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<sst xmlns="http://schemas.openxmlformats.org/spreadsheetml/2006/main" count="216" uniqueCount="216">
  <si>
    <t xml:space="preserve">  </t>
  </si>
  <si>
    <t xml:space="preserve">基础信息</t>
  </si>
  <si>
    <t/>
    <r>
      <rPr>
        <b val="true"/>
        <i val="false"/>
        <strike val="false"/>
        <sz val="12"/>
        <color rgb="FF000000"/>
      </rPr>
      <t>业务数据</t>
    </r>
  </si>
  <si>
    <t xml:space="preserve">过程指标</t>
  </si>
  <si>
    <t xml:space="preserve">互动数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</si>
  <si>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</si>
  <si>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</si>
  <si>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</si>
  <si>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</si>
  <si>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</si>
  <si>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</si>
  <si>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智擎版消耗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</si>
  <si>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</si>
  <si>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</si>
  <si>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</si>
  <si>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</si>
  <si>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</si>
  <si>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</si>
  <si>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</si>
  <si>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</si>
  <si>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</si>
  <si>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</si>
  <si>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</si>
  <si>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</si>
  <si>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</si>
  <si>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</si>
  <si>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</si>
  <si>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</si>
  <si>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</si>
  <si>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</si>
  <si>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</si>
  <si>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</si>
  <si>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</si>
  <si>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</si>
  <si>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</si>
  <si>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08:00-09:00</t>
  </si>
  <si>
    <t xml:space="preserve">张欣</t>
  </si>
  <si>
    <t xml:space="preserve">陈浏铭</t>
  </si>
  <si>
    <t xml:space="preserve">朱明</t>
  </si>
  <si>
    <t xml:space="preserve">09:00-10:00</t>
  </si>
  <si>
    <t xml:space="preserve">10:00-11:00</t>
  </si>
  <si>
    <t xml:space="preserve">11:00-12:00</t>
  </si>
  <si>
    <t xml:space="preserve">分主播汇总</t>
  </si>
  <si>
    <t xml:space="preserve">12:00-13:00</t>
  </si>
  <si>
    <t xml:space="preserve">孙文曜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</si>
  <si>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</si>
  <si>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</si>
  <si>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</si>
  <si>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</si>
  <si>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陈哲贤</t>
  </si>
  <si>
    <t xml:space="preserve">李叶叶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</si>
  <si>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</si>
  <si>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</si>
  <si>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</si>
  <si>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</si>
  <si>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孙克岚</t>
  </si>
  <si>
    <t xml:space="preserve">21:00-22:00</t>
  </si>
  <si>
    <t xml:space="preserve">22:00-23:00</t>
  </si>
  <si>
    <t xml:space="preserve">23:00-24:00</t>
  </si>
  <si>
    <t xml:space="preserve">合计</t>
  </si>
  <si>
    <t xml:space="preserve">王雨欣</t>
  </si>
  <si>
    <t xml:space="preserve">陈蕾</t>
  </si>
  <si>
    <t xml:space="preserve">张晓雨</t>
  </si>
  <si>
    <t xml:space="preserve">卢佳轩</t>
  </si>
  <si>
    <t xml:space="preserve">06:00-07:00</t>
  </si>
  <si>
    <t xml:space="preserve">07:00-08:00</t>
  </si>
  <si>
    <t xml:space="preserve">米秋全</t>
  </si>
  <si>
    <t xml:space="preserve">00:00-01:00</t>
  </si>
  <si>
    <t xml:space="preserve">01:00-02:00</t>
  </si>
  <si>
    <t xml:space="preserve">陈思钰</t>
  </si>
  <si>
    <t xml:space="preserve">李哲</t>
  </si>
  <si>
    <t xml:space="preserve">赵</t>
  </si>
  <si>
    <t xml:space="preserve">陈</t>
  </si>
  <si>
    <t xml:space="preserve">基础信息</t>
  </si>
  <si>
    <t/>
    <r>
      <rPr>
        <b val="true"/>
        <i val="false"/>
        <strike val="false"/>
        <sz val="12"/>
        <color rgb="FF000000"/>
      </rPr>
      <t>业务数据</t>
    </r>
  </si>
  <si>
    <t xml:space="preserve">过程指标</t>
  </si>
  <si>
    <t xml:space="preserve">互动数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</si>
  <si>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</si>
  <si>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</si>
  <si>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</si>
  <si>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</si>
  <si>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</si>
  <si>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</si>
  <si>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</si>
  <si>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</si>
  <si>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</si>
  <si>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</si>
  <si>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</si>
  <si>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</si>
  <si>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</si>
  <si>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</si>
  <si>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</si>
  <si>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</si>
  <si>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</si>
  <si>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</si>
  <si>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</si>
  <si>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</si>
  <si>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</si>
  <si>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</si>
  <si>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</si>
  <si>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</si>
  <si>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</si>
  <si>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</si>
  <si>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</si>
  <si>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</si>
  <si>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</si>
  <si>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08:00-9:00</t>
  </si>
  <si>
    <t xml:space="preserve">张欣</t>
  </si>
  <si>
    <t xml:space="preserve">陈浏铭</t>
  </si>
  <si>
    <t xml:space="preserve">朱明</t>
  </si>
  <si>
    <t xml:space="preserve">09:00-10:00</t>
  </si>
  <si>
    <t xml:space="preserve">10:00-11:00</t>
  </si>
  <si>
    <t xml:space="preserve">11:00-12:00</t>
  </si>
  <si>
    <t xml:space="preserve">分主播汇总</t>
  </si>
  <si>
    <t xml:space="preserve">12:00-13:00</t>
  </si>
  <si>
    <t xml:space="preserve">陈蕾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</si>
  <si>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</si>
  <si>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</si>
  <si>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</si>
  <si>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</si>
  <si>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孙克岚</t>
  </si>
  <si>
    <t xml:space="preserve">李子健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</si>
  <si>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</si>
  <si>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</si>
  <si>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</si>
  <si>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</si>
  <si>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王雨欣</t>
  </si>
  <si>
    <t xml:space="preserve">21:00-22:00</t>
  </si>
  <si>
    <t xml:space="preserve">22:00-23:00</t>
  </si>
  <si>
    <t xml:space="preserve">23:00-24:00</t>
  </si>
  <si>
    <t xml:space="preserve">合计</t>
  </si>
  <si>
    <t xml:space="preserve">王文怡</t>
  </si>
  <si>
    <t xml:space="preserve">陈思钰</t>
  </si>
  <si>
    <t xml:space="preserve">李叶叶</t>
  </si>
  <si>
    <t xml:space="preserve">李哲</t>
  </si>
  <si>
    <t xml:space="preserve">杨紫萱</t>
  </si>
  <si>
    <t xml:space="preserve">曹颖慧</t>
  </si>
  <si>
    <t xml:space="preserve">孙文曜</t>
  </si>
  <si>
    <t xml:space="preserve">08:00-09:00</t>
  </si>
  <si>
    <t xml:space="preserve">智擎版消耗</t>
  </si>
  <si>
    <t xml:space="preserve">董柯言</t>
  </si>
  <si>
    <t xml:space="preserve">赵宁尧</t>
  </si>
  <si>
    <t xml:space="preserve">陈哲贤</t>
  </si>
  <si>
    <t xml:space="preserve">杨博</t>
  </si>
  <si>
    <t xml:space="preserve">赵</t>
  </si>
  <si>
    <t xml:space="preserve">陈</t>
  </si>
  <si>
    <t xml:space="preserve">每小时的</t>
  </si>
  <si>
    <t xml:space="preserve">旧的</t>
  </si>
  <si>
    <t xml:space="preserve">智擎</t>
  </si>
  <si>
    <t xml:space="preserve">每小时总的</t>
  </si>
  <si>
    <t xml:space="preserve">基础信息</t>
  </si>
  <si>
    <t/>
    <r>
      <rPr>
        <b val="true"/>
        <i val="false"/>
        <strike val="false"/>
        <sz val="12"/>
        <color rgb="FF000000"/>
      </rPr>
      <t>业务数据</t>
    </r>
  </si>
  <si>
    <t xml:space="preserve">过程指标</t>
  </si>
  <si>
    <t xml:space="preserve">互动数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</si>
  <si>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</si>
  <si>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</si>
  <si>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</si>
  <si>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</si>
  <si>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</si>
  <si>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</si>
  <si>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</si>
  <si>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</si>
  <si>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</si>
  <si>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</si>
  <si>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</si>
  <si>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</si>
  <si>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</si>
  <si>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</si>
  <si>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</si>
  <si>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</si>
  <si>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</si>
  <si>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</si>
  <si>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</si>
  <si>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</si>
  <si>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</si>
  <si>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</si>
  <si>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</si>
  <si>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</si>
  <si>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</si>
  <si>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</si>
  <si>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</si>
  <si>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</si>
  <si>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</si>
  <si>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17:00-18:00</t>
  </si>
  <si>
    <t xml:space="preserve">陈蕾</t>
  </si>
  <si>
    <t xml:space="preserve">陈浏铭</t>
  </si>
  <si>
    <t xml:space="preserve">李叶叶</t>
  </si>
  <si>
    <t xml:space="preserve">18:00-19:00</t>
  </si>
  <si>
    <t xml:space="preserve">19:00-20:00</t>
  </si>
  <si>
    <t xml:space="preserve">分主播汇总</t>
  </si>
  <si>
    <t xml:space="preserve">20:00-21:00</t>
  </si>
  <si>
    <t xml:space="preserve">赵宁尧</t>
  </si>
  <si>
    <t xml:space="preserve">21:00-22:00</t>
  </si>
  <si>
    <t xml:space="preserve">22:00-23:00</t>
  </si>
  <si>
    <t xml:space="preserve">23:00-24:00</t>
  </si>
  <si>
    <t xml:space="preserve">合计</t>
  </si>
  <si>
    <t xml:space="preserve">16:00-17:00</t>
  </si>
  <si>
    <t xml:space="preserve">张欣</t>
  </si>
  <si>
    <t xml:space="preserve">孙克岚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</si>
  <si>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</si>
  <si>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</si>
  <si>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</si>
  <si>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</si>
  <si>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</si>
  <si>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</si>
  <si>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</si>
  <si>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曹颖慧</t>
  </si>
  <si>
    <t xml:space="preserve">卢佳轩</t>
  </si>
  <si>
    <t xml:space="preserve">王文怡</t>
  </si>
  <si>
    <t xml:space="preserve">李哲</t>
  </si>
  <si>
    <t xml:space="preserve">王雨欣</t>
  </si>
  <si>
    <t xml:space="preserve">陈思钰</t>
  </si>
  <si>
    <t xml:space="preserve">08:00-9:00</t>
  </si>
  <si>
    <t xml:space="preserve">朱明</t>
  </si>
  <si>
    <t xml:space="preserve">视频01</t>
  </si>
  <si>
    <t xml:space="preserve">视频明星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</si>
</sst>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164" formatCode="0.00_);[Red]\(0.00\)"/>
    <numFmt numFmtId="165" formatCode="0.00_ ;[Red]\-0.00\ "/>
    <numFmt numFmtId="166" formatCode="0_ ;[Red]\-0\ "/>
    <numFmt numFmtId="167" formatCode="0_);[Red]\(0\)"/>
    <numFmt numFmtId="168" formatCode="0.00%"/>
    <numFmt numFmtId="169" formatCode="yyyy/m/d"/>
    <numFmt numFmtId="170" formatCode="h:mm;@"/>
    <numFmt numFmtId="171" formatCode="General"/>
    <numFmt numFmtId="172" formatCode="0.00_);[Red](0.00)"/>
    <numFmt numFmtId="173" formatCode="0.00_);[Red]\(0.00\)"/>
    <numFmt numFmtId="174" formatCode="0.00_ ;[Red]\-0.00\ "/>
    <numFmt numFmtId="175" formatCode="0_ ;[Red]\-0\ "/>
    <numFmt numFmtId="176" formatCode="0_);[Red]\(0\)"/>
    <numFmt numFmtId="177" formatCode="0.00%"/>
    <numFmt numFmtId="178" formatCode="yyyy/m/d"/>
    <numFmt numFmtId="179" formatCode="h:mm;@"/>
    <numFmt numFmtId="180" formatCode="General"/>
    <numFmt numFmtId="181" formatCode="0.00_);[Red](0.00)"/>
    <numFmt numFmtId="182" formatCode="0.00_);[Red]\(0.00\)"/>
    <numFmt numFmtId="183" formatCode="0.00_ ;[Red]\-0.00\ "/>
    <numFmt numFmtId="184" formatCode="0_ ;[Red]\-0\ "/>
    <numFmt numFmtId="185" formatCode="0_);[Red]\(0\)"/>
    <numFmt numFmtId="186" formatCode="0.00%"/>
    <numFmt numFmtId="187" formatCode="yyyy/m/d"/>
    <numFmt numFmtId="188" formatCode="General"/>
    <numFmt numFmtId="189" formatCode="0.00_);[Red](0.00)"/>
    <numFmt numFmtId="190" formatCode="h:mm;@"/>
  </numFmts>
  <fonts count="34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 val="true"/>
      <sz val="12"/>
      <color rgb="FFFF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sz val="12"/>
      <color rgb="FF1F2329"/>
      <name val="Calibri"/>
      <family val="2"/>
      <scheme val="minor"/>
    </font>
    <font>
      <b val="true"/>
      <i val="true"/>
      <sz val="12"/>
      <color rgb="FFF54A45"/>
      <name val="楷体"/>
      <family val="2"/>
    </font>
    <font>
      <b val="true"/>
      <i val="true"/>
      <sz val="18"/>
      <color rgb="FFF54A45"/>
      <name val="楷体"/>
      <family val="2"/>
    </font>
    <font>
      <sz val="10"/>
      <color rgb="FF000000"/>
      <name val="Calibri"/>
      <family val="2"/>
      <scheme val="minor"/>
    </font>
    <font>
      <b val="true"/>
      <sz val="18"/>
      <color rgb="FFFF0000"/>
      <name val="楷体"/>
      <family val="2"/>
    </font>
    <font>
      <b val="true"/>
      <sz val="18"/>
      <color rgb="FFFF0000"/>
      <name val="Comic Sans MS"/>
      <family val="2"/>
    </font>
    <font>
      <b val="true"/>
      <sz val="14"/>
      <color rgb="FF373C43"/>
      <name val="Calibri"/>
      <family val="2"/>
      <scheme val="minor"/>
    </font>
    <font>
      <sz val="14"/>
      <color rgb="FF373C43"/>
      <name val="Calibri"/>
      <family val="2"/>
      <scheme val="minor"/>
    </font>
    <font>
      <sz val="14"/>
      <color rgb="FF373C43"/>
      <name val="楷体"/>
      <family val="2"/>
    </font>
    <font>
      <b val="true"/>
      <sz val="12"/>
      <color rgb="FF373C43"/>
      <name val="Calibri"/>
      <family val="2"/>
      <scheme val="minor"/>
    </font>
    <font>
      <sz val="9"/>
      <color rgb="FF31343B"/>
      <name val="Noto Sans SC"/>
      <family val="2"/>
    </font>
    <font>
      <sz val="9"/>
      <color rgb="FF31343B"/>
      <name val="Calibri"/>
      <family val="2"/>
      <scheme val="minor"/>
    </font>
    <font>
      <b val="true"/>
      <sz val="14"/>
      <color rgb="FFFF0000"/>
      <name val="Calibri"/>
      <family val="2"/>
      <scheme val="minor"/>
    </font>
    <font>
      <sz val="11"/>
      <color rgb="FF8F959E"/>
      <name val="Calibri"/>
      <family val="2"/>
      <scheme val="minor"/>
    </font>
    <font>
      <b val="true"/>
      <i val="true"/>
      <sz val="14"/>
      <color rgb="FFF54A45"/>
      <name val="楷体"/>
      <family val="2"/>
    </font>
    <font>
      <sz val="12"/>
      <color rgb="FF373C43"/>
      <name val="Calibri"/>
      <family val="2"/>
      <scheme val="minor"/>
    </font>
    <font>
      <b val="true"/>
      <sz val="12"/>
      <color rgb="FFFF0000"/>
      <name val="新宋体"/>
      <family val="2"/>
    </font>
    <font>
      <sz val="14"/>
      <color rgb="FF000000"/>
      <name val="Calibri"/>
      <family val="2"/>
      <scheme val="minor"/>
    </font>
    <font>
      <sz val="14"/>
      <color rgb="FF1F2329"/>
      <name val="Calibri"/>
      <family val="2"/>
      <scheme val="minor"/>
    </font>
    <font>
      <sz val="12"/>
      <color rgb="FF31343B"/>
      <name val="Calibri"/>
      <family val="2"/>
      <scheme val="minor"/>
    </font>
    <font>
      <b val="true"/>
      <sz val="14"/>
      <color rgb="FF373C43"/>
      <name val="Comic Sans MS"/>
      <family val="2"/>
    </font>
    <font>
      <b val="true"/>
      <sz val="18"/>
      <color rgb="FFFF0000"/>
      <name val="Calibri"/>
      <family val="2"/>
      <scheme val="minor"/>
    </font>
    <font>
      <b val="true"/>
      <sz val="12"/>
      <color rgb="FFD83931"/>
      <name val="Calibri"/>
      <family val="2"/>
      <scheme val="minor"/>
    </font>
    <font>
      <sz val="12"/>
      <color rgb="FF31343B"/>
      <name val="Microsoft YaHei"/>
      <family val="2"/>
    </font>
    <font>
      <sz val="12"/>
      <color rgb="FF000000"/>
      <name val="Calibri"/>
      <family val="2"/>
      <scheme val="minor"/>
    </font>
  </fonts>
  <fills count="3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00B0F0"/>
        <bgColor/>
      </patternFill>
    </fill>
    <fill>
      <patternFill patternType="solid">
        <fgColor rgb="FF7EDAFB"/>
        <bgColor/>
      </patternFill>
    </fill>
    <fill>
      <patternFill patternType="solid">
        <fgColor rgb="FFF8F9FA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E1EAFF"/>
        <bgColor/>
      </patternFill>
    </fill>
    <fill>
      <patternFill patternType="solid">
        <fgColor rgb="FFFFFFFF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00B0F0"/>
        <bgColor/>
      </patternFill>
    </fill>
    <fill>
      <patternFill patternType="solid">
        <fgColor rgb="FF7EDAFB"/>
        <bgColor/>
      </patternFill>
    </fill>
    <fill>
      <patternFill patternType="solid">
        <fgColor rgb="FFF8F9FA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00B0F0"/>
        <bgColor/>
      </patternFill>
    </fill>
    <fill>
      <patternFill patternType="solid">
        <fgColor rgb="FF7EDAFB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F8F9FA"/>
        <bgColor/>
      </patternFill>
    </fill>
    <fill>
      <patternFill patternType="solid">
        <fgColor rgb="FFFFFFFF"/>
        <bgColor/>
      </patternFill>
    </fill>
  </fills>
  <borders count="7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 style="medium">
        <color rgb="FFDFE0E2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7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true" applyProtection="false" borderId="1" fillId="4" fontId="1" numFmtId="164" xfId="0">
      <alignment horizontal="center" vertical="center"/>
    </xf>
    <xf applyAlignment="true" applyBorder="false" applyFill="true" applyFont="true" applyNumberFormat="true" applyProtection="false" borderId="1" fillId="3" fontId="2" numFmtId="165" xfId="0">
      <alignment horizontal="center" vertical="center"/>
    </xf>
    <xf applyAlignment="true" applyBorder="false" applyFill="true" applyFont="true" applyNumberFormat="true" applyProtection="false" borderId="1" fillId="3" fontId="2" numFmtId="166" xfId="0">
      <alignment horizontal="center" vertical="center"/>
    </xf>
    <xf applyAlignment="true" applyBorder="false" applyFill="true" applyFont="true" applyNumberFormat="true" applyProtection="false" borderId="1" fillId="5" fontId="3" numFmtId="16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7" xfId="0">
      <alignment horizontal="center" vertical="center"/>
    </xf>
    <xf applyAlignment="true" applyBorder="false" applyFill="true" applyFont="true" applyNumberFormat="true" applyProtection="false" borderId="1" fillId="4" fontId="1" numFmtId="168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center" vertical="center"/>
    </xf>
    <xf applyAlignment="true" applyBorder="false" applyFill="true" applyFont="true" applyNumberFormat="true" applyProtection="false" borderId="1" fillId="6" fontId="4" numFmtId="166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true" applyProtection="false" borderId="1" fillId="0" fontId="5" numFmtId="169" xfId="0">
      <alignment horizontal="center" vertical="center"/>
    </xf>
    <xf applyAlignment="true" applyBorder="false" applyFill="true" applyFont="true" applyNumberFormat="true" applyProtection="false" borderId="2" fillId="7" fontId="4" numFmtId="170" xfId="0">
      <alignment horizontal="center" vertical="center"/>
    </xf>
    <xf applyAlignment="true" applyBorder="false" applyFill="false" applyFont="true" applyNumberFormat="true" applyProtection="false" borderId="1" fillId="0" fontId="4" numFmtId="171" xfId="0">
      <alignment horizontal="center" vertical="center"/>
    </xf>
    <xf applyAlignment="true" applyBorder="false" applyFill="false" applyFont="true" applyNumberFormat="true" applyProtection="false" borderId="3" fillId="0" fontId="4" numFmtId="171" xfId="0">
      <alignment horizontal="center" vertical="center"/>
    </xf>
    <xf applyAlignment="true" applyBorder="false" applyFill="false" applyFont="true" applyNumberFormat="true" applyProtection="false" borderId="4" fillId="0" fontId="4" numFmtId="171" xfId="0">
      <alignment horizontal="center" vertical="center"/>
    </xf>
    <xf applyAlignment="true" applyBorder="false" applyFill="false" applyFont="true" applyNumberFormat="true" applyProtection="false" borderId="5" fillId="0" fontId="4" numFmtId="171" xfId="0">
      <alignment horizontal="center" vertical="center"/>
    </xf>
    <xf applyAlignment="true" applyBorder="false" applyFill="true" applyFont="true" applyNumberFormat="true" applyProtection="false" borderId="4" fillId="8" fontId="6" numFmtId="172" xfId="0">
      <alignment horizontal="center" vertical="center"/>
    </xf>
    <xf applyAlignment="true" applyBorder="false" applyFill="false" applyFont="true" applyNumberFormat="true" applyProtection="false" borderId="4" fillId="0" fontId="4" numFmtId="168" xfId="0">
      <alignment horizontal="center" vertical="center"/>
    </xf>
    <xf applyAlignment="true" applyBorder="false" applyFill="false" applyFont="true" applyNumberFormat="true" applyProtection="false" borderId="4" fillId="0" fontId="4" numFmtId="164" xfId="0">
      <alignment horizontal="center" vertical="center"/>
    </xf>
    <xf applyAlignment="true" applyBorder="false" applyFill="false" applyFont="true" applyNumberFormat="true" applyProtection="false" borderId="3" fillId="0" fontId="4" numFmtId="168" xfId="0">
      <alignment horizontal="center" vertical="center"/>
    </xf>
    <xf applyAlignment="true" applyBorder="false" applyFill="false" applyFont="true" applyNumberFormat="true" applyProtection="false" borderId="4" fillId="0" fontId="4" numFmtId="164" xfId="0">
      <alignment horizontal="center" vertical="bottom"/>
    </xf>
    <xf applyAlignment="true" applyBorder="false" applyFill="false" applyFont="true" applyNumberFormat="true" applyProtection="false" borderId="4" fillId="0" fontId="6" numFmtId="165" xfId="0">
      <alignment horizontal="center" vertical="center"/>
    </xf>
    <xf applyAlignment="true" applyBorder="false" applyFill="false" applyFont="true" applyNumberFormat="true" applyProtection="false" borderId="4" fillId="0" fontId="4" numFmtId="165" xfId="0">
      <alignment horizontal="center" vertical="bottom"/>
    </xf>
    <xf applyAlignment="true" applyBorder="false" applyFill="false" applyFont="true" applyNumberFormat="false" applyProtection="false" borderId="4" fillId="0" fontId="4" numFmtId="0" xfId="0">
      <alignment horizontal="center" vertical="bottom"/>
    </xf>
    <xf applyAlignment="true" applyBorder="false" applyFill="false" applyFont="true" applyNumberFormat="true" applyProtection="false" borderId="4" fillId="0" fontId="4" numFmtId="171" xfId="0">
      <alignment horizontal="center" vertical="center"/>
    </xf>
    <xf applyAlignment="true" applyBorder="false" applyFill="false" applyFont="true" applyNumberFormat="true" applyProtection="false" borderId="6" fillId="0" fontId="4" numFmtId="171" xfId="0">
      <alignment horizontal="center" vertical="center"/>
    </xf>
    <xf applyAlignment="true" applyBorder="false" applyFill="false" applyFont="true" applyNumberFormat="true" applyProtection="false" borderId="7" fillId="0" fontId="4" numFmtId="171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8" fillId="7" fontId="4" numFmtId="170" xfId="0">
      <alignment horizontal="center" vertical="center"/>
    </xf>
    <xf applyAlignment="true" applyBorder="false" applyFill="false" applyFont="true" applyNumberFormat="true" applyProtection="false" borderId="4" fillId="0" fontId="4" numFmtId="171" xfId="0">
      <alignment horizontal="center" vertical="bottom"/>
    </xf>
    <xf applyAlignment="true" applyBorder="false" applyFill="true" applyFont="true" applyNumberFormat="true" applyProtection="false" borderId="3" fillId="7" fontId="4" numFmtId="170" xfId="0">
      <alignment horizontal="center" vertical="center"/>
    </xf>
    <xf applyAlignment="true" applyBorder="false" applyFill="false" applyFont="true" applyNumberFormat="true" applyProtection="false" borderId="4" fillId="0" fontId="4" numFmtId="171" xfId="0">
      <alignment horizontal="center" vertical="bottom"/>
    </xf>
    <xf applyAlignment="true" applyBorder="false" applyFill="true" applyFont="true" applyNumberFormat="true" applyProtection="false" borderId="2" fillId="7" fontId="4" numFmtId="170" xfId="0">
      <alignment horizontal="center" vertical="center"/>
    </xf>
    <xf applyAlignment="true" applyBorder="false" applyFill="true" applyFont="true" applyNumberFormat="true" applyProtection="false" borderId="3" fillId="9" fontId="1" numFmtId="171" xfId="0">
      <alignment horizontal="center" vertical="center"/>
    </xf>
    <xf applyAlignment="true" applyBorder="false" applyFill="true" applyFont="true" applyNumberFormat="true" applyProtection="false" borderId="4" fillId="9" fontId="1" numFmtId="171" xfId="0">
      <alignment horizontal="center" vertical="center"/>
    </xf>
    <xf applyAlignment="true" applyBorder="false" applyFill="true" applyFont="true" applyNumberFormat="true" applyProtection="false" borderId="4" fillId="9" fontId="6" numFmtId="172" xfId="0">
      <alignment horizontal="center" vertical="center"/>
    </xf>
    <xf applyAlignment="true" applyBorder="false" applyFill="true" applyFont="true" applyNumberFormat="true" applyProtection="false" borderId="4" fillId="9" fontId="1" numFmtId="168" xfId="0">
      <alignment horizontal="center" vertical="center"/>
    </xf>
    <xf applyAlignment="true" applyBorder="false" applyFill="true" applyFont="true" applyNumberFormat="true" applyProtection="false" borderId="4" fillId="9" fontId="1" numFmtId="164" xfId="0">
      <alignment horizontal="center" vertical="center"/>
    </xf>
    <xf applyAlignment="true" applyBorder="false" applyFill="true" applyFont="true" applyNumberFormat="true" applyProtection="false" borderId="3" fillId="9" fontId="1" numFmtId="168" xfId="0">
      <alignment horizontal="center" vertical="center"/>
    </xf>
    <xf applyAlignment="true" applyBorder="false" applyFill="true" applyFont="true" applyNumberFormat="true" applyProtection="false" borderId="4" fillId="9" fontId="1" numFmtId="164" xfId="0">
      <alignment horizontal="center" vertical="bottom"/>
    </xf>
    <xf applyAlignment="true" applyBorder="false" applyFill="true" applyFont="true" applyNumberFormat="true" applyProtection="false" borderId="4" fillId="9" fontId="6" numFmtId="165" xfId="0">
      <alignment horizontal="center" vertical="center"/>
    </xf>
    <xf applyAlignment="true" applyBorder="false" applyFill="true" applyFont="true" applyNumberFormat="true" applyProtection="false" borderId="4" fillId="9" fontId="6" numFmtId="171" xfId="0">
      <alignment horizontal="center" vertical="center"/>
    </xf>
    <xf applyAlignment="true" applyBorder="false" applyFill="true" applyFont="true" applyNumberFormat="true" applyProtection="false" borderId="4" fillId="9" fontId="7" numFmtId="171" xfId="0">
      <alignment horizontal="center" vertical="center"/>
    </xf>
    <xf applyAlignment="true" applyBorder="false" applyFill="true" applyFont="true" applyNumberFormat="true" applyProtection="false" borderId="9" fillId="7" fontId="4" numFmtId="170" xfId="0">
      <alignment horizontal="center" vertical="center"/>
    </xf>
    <xf applyAlignment="true" applyBorder="false" applyFill="true" applyFont="true" applyNumberFormat="true" applyProtection="false" borderId="9" fillId="7" fontId="4" numFmtId="170" xfId="0">
      <alignment horizontal="center" vertical="center"/>
    </xf>
    <xf applyAlignment="true" applyBorder="false" applyFill="false" applyFont="true" applyNumberFormat="true" applyProtection="false" borderId="3" fillId="0" fontId="4" numFmtId="171" xfId="0">
      <alignment horizontal="center" vertical="center"/>
    </xf>
    <xf applyAlignment="true" applyBorder="false" applyFill="false" applyFont="true" applyNumberFormat="true" applyProtection="false" borderId="10" fillId="0" fontId="4" numFmtId="171" xfId="0">
      <alignment horizontal="center" vertical="center"/>
    </xf>
    <xf applyAlignment="true" applyBorder="false" applyFill="true" applyFont="true" applyNumberFormat="true" applyProtection="false" borderId="11" fillId="10" fontId="6" numFmtId="171" xfId="0">
      <alignment horizontal="center" vertical="center"/>
    </xf>
    <xf applyAlignment="true" applyBorder="false" applyFill="true" applyFont="true" applyNumberFormat="true" applyProtection="false" borderId="11" fillId="10" fontId="6" numFmtId="172" xfId="0">
      <alignment horizontal="center" vertical="center"/>
    </xf>
    <xf applyAlignment="true" applyBorder="false" applyFill="true" applyFont="true" applyNumberFormat="true" applyProtection="false" borderId="12" fillId="10" fontId="6" numFmtId="172" xfId="0">
      <alignment horizontal="center" vertical="center"/>
    </xf>
    <xf applyAlignment="true" applyBorder="false" applyFill="true" applyFont="true" applyNumberFormat="true" applyProtection="false" borderId="1" fillId="10" fontId="6" numFmtId="172" xfId="0">
      <alignment horizontal="center" vertical="center"/>
    </xf>
    <xf applyAlignment="true" applyBorder="false" applyFill="true" applyFont="true" applyNumberFormat="true" applyProtection="false" borderId="13" fillId="10" fontId="6" numFmtId="172" xfId="0">
      <alignment horizontal="center" vertical="center"/>
    </xf>
    <xf applyAlignment="true" applyBorder="false" applyFill="true" applyFont="true" applyNumberFormat="true" applyProtection="false" borderId="14" fillId="10" fontId="6" numFmtId="168" xfId="0">
      <alignment horizontal="center" vertical="center"/>
    </xf>
    <xf applyAlignment="true" applyBorder="false" applyFill="true" applyFont="true" applyNumberFormat="true" applyProtection="false" borderId="10" fillId="10" fontId="6" numFmtId="172" xfId="0">
      <alignment horizontal="center" vertical="center"/>
    </xf>
    <xf applyAlignment="true" applyBorder="false" applyFill="true" applyFont="true" applyNumberFormat="true" applyProtection="false" borderId="10" fillId="10" fontId="6" numFmtId="168" xfId="0">
      <alignment horizontal="center" vertical="center"/>
    </xf>
    <xf applyAlignment="true" applyBorder="false" applyFill="true" applyFont="true" applyNumberFormat="true" applyProtection="false" borderId="15" fillId="10" fontId="6" numFmtId="164" xfId="0">
      <alignment horizontal="center" vertical="center"/>
    </xf>
    <xf applyAlignment="true" applyBorder="false" applyFill="true" applyFont="true" applyNumberFormat="true" applyProtection="false" borderId="16" fillId="10" fontId="6" numFmtId="165" xfId="0">
      <alignment horizontal="center" vertical="center"/>
    </xf>
    <xf applyAlignment="true" applyBorder="false" applyFill="true" applyFont="true" applyNumberFormat="true" applyProtection="false" borderId="17" fillId="10" fontId="6" numFmtId="172" xfId="0">
      <alignment horizontal="center" vertical="center"/>
    </xf>
    <xf applyAlignment="true" applyBorder="false" applyFill="true" applyFont="true" applyNumberFormat="true" applyProtection="false" borderId="1" fillId="7" fontId="4" numFmtId="170" xfId="0">
      <alignment horizontal="center" vertical="center"/>
    </xf>
    <xf applyAlignment="true" applyBorder="false" applyFill="false" applyFont="true" applyNumberFormat="true" applyProtection="false" borderId="1" fillId="0" fontId="4" numFmtId="171" xfId="0">
      <alignment horizontal="center" vertical="center"/>
    </xf>
    <xf applyAlignment="true" applyBorder="false" applyFill="true" applyFont="true" applyNumberFormat="true" applyProtection="false" borderId="1" fillId="8" fontId="6" numFmtId="172" xfId="0">
      <alignment horizontal="center" vertical="center"/>
    </xf>
    <xf applyAlignment="true" applyBorder="false" applyFill="false" applyFont="true" applyNumberFormat="true" applyProtection="false" borderId="1" fillId="0" fontId="4" numFmtId="168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bottom"/>
    </xf>
    <xf applyAlignment="true" applyBorder="false" applyFill="false" applyFont="true" applyNumberFormat="true" applyProtection="false" borderId="1" fillId="0" fontId="6" numFmtId="165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center" vertical="bottom"/>
    </xf>
    <xf applyAlignment="true" applyBorder="false" applyFill="false" applyFont="true" applyNumberFormat="false" applyProtection="false" borderId="1" fillId="0" fontId="4" numFmtId="0" xfId="0">
      <alignment horizontal="center" vertical="bottom"/>
    </xf>
    <xf applyAlignment="true" applyBorder="false" applyFill="true" applyFont="true" applyNumberFormat="true" applyProtection="false" borderId="1" fillId="7" fontId="4" numFmtId="170" xfId="0">
      <alignment horizontal="center" vertical="center"/>
    </xf>
    <xf applyAlignment="true" applyBorder="false" applyFill="false" applyFont="true" applyNumberFormat="true" applyProtection="false" borderId="1" fillId="0" fontId="4" numFmtId="171" xfId="0">
      <alignment horizontal="center" vertical="bottom"/>
    </xf>
    <xf applyAlignment="true" applyBorder="false" applyFill="false" applyFont="true" applyNumberFormat="true" applyProtection="false" borderId="1" fillId="0" fontId="4" numFmtId="171" xfId="0">
      <alignment horizontal="center" vertical="bottom"/>
    </xf>
    <xf applyAlignment="true" applyBorder="false" applyFill="true" applyFont="true" applyNumberFormat="true" applyProtection="false" borderId="1" fillId="9" fontId="1" numFmtId="171" xfId="0">
      <alignment horizontal="center" vertical="center"/>
    </xf>
    <xf applyAlignment="true" applyBorder="false" applyFill="true" applyFont="true" applyNumberFormat="true" applyProtection="false" borderId="1" fillId="9" fontId="6" numFmtId="172" xfId="0">
      <alignment horizontal="center" vertical="center"/>
    </xf>
    <xf applyAlignment="true" applyBorder="false" applyFill="true" applyFont="true" applyNumberFormat="true" applyProtection="false" borderId="1" fillId="9" fontId="1" numFmtId="168" xfId="0">
      <alignment horizontal="center" vertical="center"/>
    </xf>
    <xf applyAlignment="true" applyBorder="false" applyFill="true" applyFont="true" applyNumberFormat="true" applyProtection="false" borderId="1" fillId="9" fontId="1" numFmtId="164" xfId="0">
      <alignment horizontal="center" vertical="center"/>
    </xf>
    <xf applyAlignment="true" applyBorder="false" applyFill="true" applyFont="true" applyNumberFormat="true" applyProtection="false" borderId="1" fillId="9" fontId="1" numFmtId="164" xfId="0">
      <alignment horizontal="center" vertical="bottom"/>
    </xf>
    <xf applyAlignment="true" applyBorder="false" applyFill="true" applyFont="true" applyNumberFormat="true" applyProtection="false" borderId="1" fillId="9" fontId="6" numFmtId="165" xfId="0">
      <alignment horizontal="center" vertical="center"/>
    </xf>
    <xf applyAlignment="true" applyBorder="false" applyFill="true" applyFont="true" applyNumberFormat="true" applyProtection="false" borderId="1" fillId="9" fontId="6" numFmtId="171" xfId="0">
      <alignment horizontal="center" vertical="center"/>
    </xf>
    <xf applyAlignment="true" applyBorder="false" applyFill="true" applyFont="true" applyNumberFormat="true" applyProtection="false" borderId="1" fillId="9" fontId="7" numFmtId="171" xfId="0">
      <alignment horizontal="center" vertical="center"/>
    </xf>
    <xf applyAlignment="true" applyBorder="false" applyFill="true" applyFont="true" applyNumberFormat="true" applyProtection="false" borderId="3" fillId="9" fontId="7" numFmtId="171" xfId="0">
      <alignment horizontal="center" vertical="center"/>
    </xf>
    <xf applyAlignment="true" applyBorder="false" applyFill="false" applyFont="true" applyNumberFormat="true" applyProtection="false" borderId="14" fillId="0" fontId="4" numFmtId="171" xfId="0">
      <alignment horizontal="center" vertical="center"/>
    </xf>
    <xf applyAlignment="true" applyBorder="false" applyFill="true" applyFont="true" applyNumberFormat="true" applyProtection="false" borderId="1" fillId="10" fontId="6" numFmtId="171" xfId="0">
      <alignment horizontal="center" vertical="center"/>
    </xf>
    <xf applyAlignment="true" applyBorder="false" applyFill="true" applyFont="true" applyNumberFormat="true" applyProtection="false" borderId="1" fillId="10" fontId="6" numFmtId="168" xfId="0">
      <alignment horizontal="center" vertical="center"/>
    </xf>
    <xf applyAlignment="true" applyBorder="false" applyFill="true" applyFont="true" applyNumberFormat="true" applyProtection="false" borderId="1" fillId="10" fontId="6" numFmtId="164" xfId="0">
      <alignment horizontal="center" vertical="center"/>
    </xf>
    <xf applyAlignment="true" applyBorder="false" applyFill="true" applyFont="true" applyNumberFormat="true" applyProtection="false" borderId="1" fillId="10" fontId="6" numFmtId="165" xfId="0">
      <alignment horizontal="center" vertical="center"/>
    </xf>
    <xf applyAlignment="true" applyBorder="false" applyFill="true" applyFont="true" applyNumberFormat="true" applyProtection="false" borderId="2" fillId="10" fontId="6" numFmtId="172" xfId="0">
      <alignment horizontal="center" vertical="center"/>
    </xf>
    <xf applyAlignment="true" applyBorder="false" applyFill="true" applyFont="true" applyNumberFormat="true" applyProtection="false" borderId="1" fillId="9" fontId="8" numFmtId="171" xfId="0">
      <alignment horizontal="center" vertical="center"/>
    </xf>
    <xf applyAlignment="true" applyBorder="false" applyFill="false" applyFont="true" applyNumberFormat="true" applyProtection="false" borderId="1" fillId="0" fontId="9" numFmtId="171" xfId="0">
      <alignment horizontal="center" vertical="bottom"/>
    </xf>
    <xf applyAlignment="true" applyBorder="false" applyFill="false" applyFont="true" applyNumberFormat="true" applyProtection="false" borderId="1" fillId="0" fontId="9" numFmtId="171" xfId="0">
      <alignment horizontal="center" vertical="center"/>
    </xf>
    <xf applyAlignment="true" applyBorder="false" applyFill="false" applyFont="true" applyNumberFormat="true" applyProtection="false" borderId="1" fillId="0" fontId="9" numFmtId="171" xfId="0">
      <alignment horizontal="center" vertical="bottom"/>
    </xf>
    <xf applyAlignment="true" applyBorder="false" applyFill="true" applyFont="true" applyNumberFormat="true" applyProtection="false" borderId="18" fillId="10" fontId="6" numFmtId="171" xfId="0">
      <alignment horizontal="center" vertical="center"/>
    </xf>
    <xf applyAlignment="true" applyBorder="false" applyFill="true" applyFont="true" applyNumberFormat="true" applyProtection="false" borderId="2" fillId="9" fontId="1" numFmtId="171" xfId="0">
      <alignment horizontal="center" vertical="center"/>
    </xf>
    <xf applyAlignment="true" applyBorder="false" applyFill="false" applyFont="true" applyNumberFormat="true" applyProtection="false" borderId="11" fillId="0" fontId="4" numFmtId="171" xfId="0">
      <alignment horizontal="center" vertical="center"/>
    </xf>
    <xf applyAlignment="true" applyBorder="false" applyFill="false" applyFont="true" applyNumberFormat="true" applyProtection="false" borderId="18" fillId="0" fontId="4" numFmtId="171" xfId="0">
      <alignment horizontal="center" vertical="center"/>
    </xf>
    <xf applyAlignment="true" applyBorder="false" applyFill="false" applyFont="true" applyNumberFormat="true" applyProtection="false" borderId="18" fillId="0" fontId="4" numFmtId="171" xfId="0">
      <alignment horizontal="center" vertical="center"/>
    </xf>
    <xf applyAlignment="true" applyBorder="false" applyFill="false" applyFont="true" applyNumberFormat="true" applyProtection="false" borderId="18" fillId="0" fontId="5" numFmtId="169" xfId="0">
      <alignment horizontal="center" vertical="center"/>
    </xf>
    <xf applyAlignment="true" applyBorder="false" applyFill="true" applyFont="true" applyNumberFormat="true" applyProtection="false" borderId="18" fillId="10" fontId="6" numFmtId="172" xfId="0">
      <alignment horizontal="center" vertical="center"/>
    </xf>
    <xf applyAlignment="true" applyBorder="false" applyFill="true" applyFont="true" applyNumberFormat="true" applyProtection="false" borderId="2" fillId="4" fontId="1" numFmtId="164" xfId="0">
      <alignment horizontal="center" vertical="center"/>
    </xf>
    <xf applyAlignment="true" applyBorder="false" applyFill="true" applyFont="true" applyNumberFormat="true" applyProtection="false" borderId="18" fillId="3" fontId="1" numFmtId="164" xfId="0">
      <alignment horizontal="center" vertical="center"/>
    </xf>
    <xf applyAlignment="true" applyBorder="false" applyFill="false" applyFont="true" applyNumberFormat="true" applyProtection="false" borderId="19" fillId="0" fontId="4" numFmtId="171" xfId="0">
      <alignment horizontal="center" vertical="center"/>
    </xf>
    <xf applyAlignment="true" applyBorder="false" applyFill="false" applyFont="true" applyNumberFormat="true" applyProtection="false" borderId="2" fillId="0" fontId="4" numFmtId="171" xfId="0">
      <alignment horizontal="center" vertical="center"/>
    </xf>
    <xf applyAlignment="true" applyBorder="false" applyFill="false" applyFont="true" applyNumberFormat="true" applyProtection="false" borderId="2" fillId="0" fontId="4" numFmtId="168" xfId="0">
      <alignment horizontal="center" vertical="center"/>
    </xf>
    <xf applyAlignment="true" applyBorder="false" applyFill="true" applyFont="true" applyNumberFormat="true" applyProtection="false" borderId="20" fillId="9" fontId="1" numFmtId="171" xfId="0">
      <alignment horizontal="center" vertical="center"/>
    </xf>
    <xf applyAlignment="true" applyBorder="false" applyFill="true" applyFont="true" applyNumberFormat="true" applyProtection="false" borderId="1" fillId="9" fontId="1" numFmtId="171" xfId="0">
      <alignment horizontal="center" vertical="center"/>
    </xf>
    <xf applyAlignment="true" applyBorder="false" applyFill="true" applyFont="true" applyNumberFormat="true" applyProtection="false" borderId="2" fillId="9" fontId="1" numFmtId="168" xfId="0">
      <alignment horizontal="center" vertical="center"/>
    </xf>
    <xf applyAlignment="true" applyBorder="false" applyFill="true" applyFont="true" applyNumberFormat="true" applyProtection="false" borderId="2" fillId="10" fontId="6" numFmtId="168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true" applyFont="true" applyNumberFormat="false" applyProtection="false" borderId="0" fillId="11" fontId="11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true" applyProtection="false" borderId="0" fillId="12" fontId="6" numFmtId="171" xfId="0">
      <alignment horizontal="center" vertical="center"/>
    </xf>
    <xf applyAlignment="true" applyBorder="false" applyFill="true" applyFont="true" applyNumberFormat="true" applyProtection="false" borderId="0" fillId="12" fontId="13" numFmtId="171" xfId="0">
      <alignment horizontal="center" vertical="center"/>
    </xf>
    <xf applyAlignment="true" applyBorder="false" applyFill="true" applyFont="true" applyNumberFormat="true" applyProtection="false" borderId="0" fillId="12" fontId="14" numFmtId="171" xfId="0">
      <alignment horizontal="center" vertical="center"/>
    </xf>
    <xf applyAlignment="true" applyBorder="false" applyFill="true" applyFont="true" applyNumberFormat="true" applyProtection="false" borderId="0" fillId="12" fontId="15" numFmtId="171" xfId="0">
      <alignment horizontal="center" vertical="center"/>
    </xf>
    <xf applyAlignment="true" applyBorder="false" applyFill="true" applyFont="true" applyNumberFormat="true" applyProtection="false" borderId="0" fillId="12" fontId="6" numFmtId="172" xfId="0">
      <alignment horizontal="center" vertical="center"/>
    </xf>
    <xf applyAlignment="true" applyBorder="false" applyFill="true" applyFont="true" applyNumberFormat="true" applyProtection="false" borderId="0" fillId="12" fontId="6" numFmtId="168" xfId="0">
      <alignment horizontal="center" vertical="center"/>
    </xf>
    <xf applyAlignment="true" applyBorder="false" applyFill="true" applyFont="true" applyNumberFormat="true" applyProtection="false" borderId="0" fillId="12" fontId="6" numFmtId="164" xfId="0">
      <alignment horizontal="center" vertical="center"/>
    </xf>
    <xf applyAlignment="true" applyBorder="false" applyFill="true" applyFont="true" applyNumberFormat="true" applyProtection="false" borderId="0" fillId="12" fontId="15" numFmtId="171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true" applyFont="true" applyNumberFormat="true" applyProtection="false" borderId="0" fillId="12" fontId="16" numFmtId="171" xfId="0">
      <alignment horizontal="center" vertical="center"/>
    </xf>
    <xf applyAlignment="true" applyBorder="false" applyFill="true" applyFont="true" applyNumberFormat="true" applyProtection="false" borderId="0" fillId="12" fontId="17" numFmtId="171" xfId="0">
      <alignment horizontal="center" vertical="center"/>
    </xf>
    <xf applyAlignment="true" applyBorder="false" applyFill="true" applyFont="true" applyNumberFormat="true" applyProtection="false" borderId="0" fillId="12" fontId="4" numFmtId="171" xfId="0">
      <alignment horizontal="center" vertical="center"/>
    </xf>
    <xf applyAlignment="true" applyBorder="false" applyFill="true" applyFont="true" applyNumberFormat="true" applyProtection="false" borderId="0" fillId="12" fontId="16" numFmtId="171" xfId="0">
      <alignment horizontal="center" vertical="center"/>
    </xf>
    <xf applyAlignment="true" applyBorder="false" applyFill="true" applyFont="true" applyNumberFormat="true" applyProtection="false" borderId="0" fillId="12" fontId="18" numFmtId="171" xfId="0">
      <alignment horizontal="center" vertical="center"/>
    </xf>
    <xf applyAlignment="true" applyBorder="false" applyFill="true" applyFont="true" applyNumberFormat="true" applyProtection="false" borderId="0" fillId="12" fontId="19" numFmtId="171" xfId="0">
      <alignment horizontal="right" vertical="center" wrapText="true"/>
    </xf>
    <xf applyAlignment="true" applyBorder="false" applyFill="true" applyFont="true" applyNumberFormat="true" applyProtection="false" borderId="0" fillId="12" fontId="20" numFmtId="171" xfId="0">
      <alignment horizontal="right" vertical="center" wrapText="true"/>
    </xf>
    <xf applyAlignment="true" applyBorder="false" applyFill="true" applyFont="true" applyNumberFormat="true" applyProtection="false" borderId="0" fillId="12" fontId="21" numFmtId="172" xfId="0">
      <alignment horizontal="center" vertical="center"/>
    </xf>
    <xf applyAlignment="true" applyBorder="false" applyFill="true" applyFont="true" applyNumberFormat="true" applyProtection="false" borderId="0" fillId="12" fontId="22" numFmtId="172" xfId="0">
      <alignment vertical="center"/>
    </xf>
    <xf applyAlignment="true" applyBorder="false" applyFill="true" applyFont="true" applyNumberFormat="true" applyProtection="false" borderId="0" fillId="12" fontId="6" numFmtId="165" xfId="0">
      <alignment horizontal="center" vertical="center"/>
    </xf>
    <xf applyAlignment="true" applyBorder="false" applyFill="true" applyFont="true" applyNumberFormat="true" applyProtection="false" borderId="0" fillId="12" fontId="21" numFmtId="172" xfId="0">
      <alignment horizontal="center" vertical="center"/>
    </xf>
    <xf applyAlignment="true" applyBorder="false" applyFill="false" applyFont="true" applyNumberFormat="false" applyProtection="false" borderId="0" fillId="0" fontId="23" numFmtId="0" xfId="0">
      <alignment horizontal="center" vertical="center"/>
    </xf>
    <xf applyAlignment="true" applyBorder="false" applyFill="true" applyFont="true" applyNumberFormat="true" applyProtection="false" borderId="0" fillId="12" fontId="6" numFmtId="165" xfId="0">
      <alignment horizontal="center" vertical="center"/>
    </xf>
    <xf applyAlignment="true" applyBorder="false" applyFill="true" applyFont="true" applyNumberFormat="true" applyProtection="false" borderId="0" fillId="12" fontId="6" numFmtId="172" xfId="0">
      <alignment horizontal="center" vertical="center"/>
    </xf>
    <xf applyAlignment="true" applyBorder="false" applyFill="true" applyFont="true" applyNumberFormat="false" applyProtection="false" borderId="0" fillId="12" fontId="12" numFmtId="0" xfId="0">
      <alignment vertical="center"/>
    </xf>
    <xf applyAlignment="true" applyBorder="false" applyFill="true" applyFont="true" applyNumberFormat="false" applyProtection="false" borderId="0" fillId="12" fontId="12" numFmtId="0" xfId="0">
      <alignment horizontal="center" vertical="center"/>
    </xf>
    <xf applyAlignment="true" applyBorder="false" applyFill="true" applyFont="true" applyNumberFormat="true" applyProtection="false" borderId="0" fillId="12" fontId="24" numFmtId="171" xfId="0">
      <alignment horizontal="center" vertical="center"/>
    </xf>
    <xf applyAlignment="true" applyBorder="false" applyFill="true" applyFont="true" applyNumberFormat="true" applyProtection="false" borderId="0" fillId="12" fontId="25" numFmtId="172" xfId="0">
      <alignment horizontal="center" vertical="center"/>
    </xf>
    <xf applyAlignment="true" applyBorder="false" applyFill="true" applyFont="true" applyNumberFormat="false" applyProtection="false" borderId="0" fillId="12" fontId="26" numFmtId="0" xfId="0">
      <alignment horizontal="center" vertical="center"/>
    </xf>
    <xf applyAlignment="true" applyBorder="false" applyFill="true" applyFont="true" applyNumberFormat="false" applyProtection="false" borderId="0" fillId="12" fontId="26" numFmtId="0" xfId="0">
      <alignment horizontal="center" vertical="center"/>
    </xf>
    <xf applyAlignment="true" applyBorder="false" applyFill="true" applyFont="true" applyNumberFormat="false" applyProtection="false" borderId="0" fillId="12" fontId="26" numFmtId="0" xfId="0">
      <alignment vertical="center"/>
    </xf>
    <xf applyAlignment="true" applyBorder="false" applyFill="true" applyFont="true" applyNumberFormat="false" applyProtection="false" borderId="0" fillId="12" fontId="26" numFmtId="0" xfId="0">
      <alignment vertical="center"/>
    </xf>
    <xf applyAlignment="true" applyBorder="false" applyFill="true" applyFont="true" applyNumberFormat="true" applyProtection="false" borderId="0" fillId="12" fontId="27" numFmtId="172" xfId="0">
      <alignment horizontal="center" vertical="center"/>
    </xf>
    <xf applyAlignment="true" applyBorder="false" applyFill="true" applyFont="true" applyNumberFormat="true" applyProtection="false" borderId="0" fillId="12" fontId="27" numFmtId="172" xfId="0">
      <alignment horizontal="center" vertical="center"/>
    </xf>
    <xf applyAlignment="true" applyBorder="false" applyFill="true" applyFont="true" applyNumberFormat="false" applyProtection="false" borderId="21" fillId="13" fontId="1" numFmtId="0" xfId="0">
      <alignment horizontal="center" vertical="center"/>
    </xf>
    <xf applyAlignment="true" applyBorder="false" applyFill="true" applyFont="true" applyNumberFormat="true" applyProtection="false" borderId="22" fillId="14" fontId="1" numFmtId="173" xfId="0">
      <alignment horizontal="center" vertical="center"/>
    </xf>
    <xf applyAlignment="true" applyBorder="false" applyFill="true" applyFont="true" applyNumberFormat="true" applyProtection="false" borderId="23" fillId="15" fontId="1" numFmtId="173" xfId="0">
      <alignment horizontal="center" vertical="center"/>
    </xf>
    <xf applyAlignment="true" applyBorder="false" applyFill="true" applyFont="true" applyNumberFormat="true" applyProtection="false" borderId="21" fillId="14" fontId="2" numFmtId="174" xfId="0">
      <alignment horizontal="center" vertical="center"/>
    </xf>
    <xf applyAlignment="true" applyBorder="false" applyFill="true" applyFont="true" applyNumberFormat="true" applyProtection="false" borderId="21" fillId="14" fontId="2" numFmtId="175" xfId="0">
      <alignment horizontal="center" vertical="center"/>
    </xf>
    <xf applyAlignment="true" applyBorder="false" applyFill="true" applyFont="true" applyNumberFormat="true" applyProtection="false" borderId="21" fillId="16" fontId="3" numFmtId="176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24" fillId="13" fontId="1" numFmtId="0" xfId="0">
      <alignment horizontal="center" vertical="center"/>
    </xf>
    <xf applyAlignment="true" applyBorder="false" applyFill="true" applyFont="true" applyNumberFormat="true" applyProtection="false" borderId="25" fillId="14" fontId="1" numFmtId="173" xfId="0">
      <alignment horizontal="center" vertical="center"/>
    </xf>
    <xf applyAlignment="true" applyBorder="false" applyFill="true" applyFont="true" applyNumberFormat="false" applyProtection="false" borderId="21" fillId="14" fontId="1" numFmtId="0" xfId="0">
      <alignment horizontal="center" vertical="center"/>
    </xf>
    <xf applyAlignment="true" applyBorder="false" applyFill="true" applyFont="true" applyNumberFormat="true" applyProtection="false" borderId="21" fillId="14" fontId="1" numFmtId="176" xfId="0">
      <alignment horizontal="center" vertical="center"/>
    </xf>
    <xf applyAlignment="true" applyBorder="false" applyFill="true" applyFont="true" applyNumberFormat="true" applyProtection="false" borderId="21" fillId="14" fontId="1" numFmtId="173" xfId="0">
      <alignment horizontal="center" vertical="center"/>
    </xf>
    <xf applyAlignment="true" applyBorder="false" applyFill="true" applyFont="true" applyNumberFormat="true" applyProtection="false" borderId="21" fillId="15" fontId="1" numFmtId="173" xfId="0">
      <alignment horizontal="center" vertical="center"/>
    </xf>
    <xf applyAlignment="true" applyBorder="false" applyFill="true" applyFont="true" applyNumberFormat="true" applyProtection="false" borderId="26" fillId="15" fontId="1" numFmtId="177" xfId="0">
      <alignment horizontal="center" vertical="center"/>
    </xf>
    <xf applyAlignment="true" applyBorder="false" applyFill="true" applyFont="true" applyNumberFormat="true" applyProtection="false" borderId="23" fillId="15" fontId="1" numFmtId="177" xfId="0">
      <alignment horizontal="center" vertical="center"/>
    </xf>
    <xf applyAlignment="true" applyBorder="false" applyFill="true" applyFont="true" applyNumberFormat="true" applyProtection="false" borderId="27" fillId="15" fontId="1" numFmtId="173" xfId="0">
      <alignment horizontal="center" vertical="center"/>
    </xf>
    <xf applyAlignment="true" applyBorder="false" applyFill="false" applyFont="true" applyNumberFormat="true" applyProtection="false" borderId="28" fillId="0" fontId="4" numFmtId="174" xfId="0">
      <alignment horizontal="center" vertical="center"/>
    </xf>
    <xf applyAlignment="true" applyBorder="false" applyFill="true" applyFont="true" applyNumberFormat="true" applyProtection="false" borderId="28" fillId="17" fontId="4" numFmtId="175" xfId="0">
      <alignment horizontal="center" vertical="center"/>
    </xf>
    <xf applyAlignment="true" applyBorder="false" applyFill="false" applyFont="true" applyNumberFormat="false" applyProtection="false" borderId="28" fillId="0" fontId="3" numFmtId="0" xfId="0">
      <alignment horizontal="center" vertical="center"/>
    </xf>
    <xf applyAlignment="true" applyBorder="false" applyFill="false" applyFont="true" applyNumberFormat="false" applyProtection="false" borderId="21" fillId="0" fontId="3" numFmtId="0" xfId="0">
      <alignment horizontal="center" vertical="center"/>
    </xf>
    <xf applyAlignment="true" applyBorder="false" applyFill="false" applyFont="true" applyNumberFormat="true" applyProtection="false" borderId="29" fillId="0" fontId="5" numFmtId="178" xfId="0">
      <alignment horizontal="center" vertical="center"/>
    </xf>
    <xf applyAlignment="true" applyBorder="false" applyFill="true" applyFont="true" applyNumberFormat="true" applyProtection="false" borderId="30" fillId="18" fontId="4" numFmtId="179" xfId="0">
      <alignment horizontal="center" vertical="center"/>
    </xf>
    <xf applyAlignment="true" applyBorder="false" applyFill="false" applyFont="true" applyNumberFormat="true" applyProtection="false" borderId="29" fillId="0" fontId="4" numFmtId="180" xfId="0">
      <alignment horizontal="center" vertical="center"/>
    </xf>
    <xf applyAlignment="true" applyBorder="false" applyFill="false" applyFont="true" applyNumberFormat="true" applyProtection="false" borderId="21" fillId="0" fontId="4" numFmtId="180" xfId="0">
      <alignment horizontal="center" vertical="center"/>
    </xf>
    <xf applyAlignment="true" applyBorder="false" applyFill="false" applyFont="true" applyNumberFormat="true" applyProtection="false" borderId="21" fillId="0" fontId="4" numFmtId="180" xfId="0">
      <alignment horizontal="center" vertical="center"/>
    </xf>
    <xf applyAlignment="true" applyBorder="false" applyFill="true" applyFont="true" applyNumberFormat="true" applyProtection="false" borderId="21" fillId="19" fontId="6" numFmtId="181" xfId="0">
      <alignment horizontal="center" vertical="center"/>
    </xf>
    <xf applyAlignment="true" applyBorder="false" applyFill="false" applyFont="true" applyNumberFormat="true" applyProtection="false" borderId="21" fillId="0" fontId="4" numFmtId="177" xfId="0">
      <alignment horizontal="center" vertical="center"/>
    </xf>
    <xf applyAlignment="true" applyBorder="false" applyFill="false" applyFont="true" applyNumberFormat="true" applyProtection="false" borderId="21" fillId="0" fontId="4" numFmtId="173" xfId="0">
      <alignment horizontal="center" vertical="center"/>
    </xf>
    <xf applyAlignment="true" applyBorder="false" applyFill="false" applyFont="true" applyNumberFormat="true" applyProtection="false" borderId="30" fillId="0" fontId="4" numFmtId="177" xfId="0">
      <alignment horizontal="center" vertical="center"/>
    </xf>
    <xf applyAlignment="true" applyBorder="false" applyFill="false" applyFont="true" applyNumberFormat="true" applyProtection="false" borderId="21" fillId="0" fontId="4" numFmtId="173" xfId="0">
      <alignment horizontal="center" vertical="bottom"/>
    </xf>
    <xf applyAlignment="true" applyBorder="false" applyFill="false" applyFont="true" applyNumberFormat="true" applyProtection="false" borderId="21" fillId="0" fontId="6" numFmtId="174" xfId="0">
      <alignment horizontal="center" vertical="center"/>
    </xf>
    <xf applyAlignment="true" applyBorder="false" applyFill="false" applyFont="true" applyNumberFormat="true" applyProtection="false" borderId="21" fillId="0" fontId="4" numFmtId="174" xfId="0">
      <alignment horizontal="center" vertical="bottom"/>
    </xf>
    <xf applyAlignment="true" applyBorder="false" applyFill="false" applyFont="true" applyNumberFormat="false" applyProtection="false" borderId="21" fillId="0" fontId="4" numFmtId="0" xfId="0">
      <alignment horizontal="center" vertical="bottom"/>
    </xf>
    <xf applyAlignment="true" applyBorder="false" applyFill="false" applyFont="true" applyNumberFormat="true" applyProtection="false" borderId="31" fillId="0" fontId="4" numFmtId="180" xfId="0">
      <alignment horizontal="center" vertical="center"/>
    </xf>
    <xf applyAlignment="true" applyBorder="false" applyFill="false" applyFont="true" applyNumberFormat="true" applyProtection="false" borderId="32" fillId="0" fontId="4" numFmtId="180" xfId="0">
      <alignment horizontal="center" vertical="center"/>
    </xf>
    <xf applyAlignment="true" applyBorder="false" applyFill="true" applyFont="true" applyNumberFormat="true" applyProtection="false" borderId="30" fillId="18" fontId="4" numFmtId="179" xfId="0">
      <alignment horizontal="center" vertical="center"/>
    </xf>
    <xf applyAlignment="true" applyBorder="false" applyFill="false" applyFont="true" applyNumberFormat="false" applyProtection="false" borderId="21" fillId="0" fontId="4" numFmtId="0" xfId="0">
      <alignment horizontal="center" vertical="bottom"/>
    </xf>
    <xf applyAlignment="true" applyBorder="false" applyFill="true" applyFont="true" applyNumberFormat="true" applyProtection="false" borderId="33" fillId="18" fontId="4" numFmtId="179" xfId="0">
      <alignment horizontal="center" vertical="center"/>
    </xf>
    <xf applyAlignment="true" applyBorder="false" applyFill="true" applyFont="true" applyNumberFormat="true" applyProtection="false" borderId="30" fillId="20" fontId="1" numFmtId="180" xfId="0">
      <alignment horizontal="center" vertical="center"/>
    </xf>
    <xf applyAlignment="true" applyBorder="false" applyFill="true" applyFont="true" applyNumberFormat="true" applyProtection="false" borderId="21" fillId="20" fontId="1" numFmtId="180" xfId="0">
      <alignment horizontal="center" vertical="center"/>
    </xf>
    <xf applyAlignment="true" applyBorder="false" applyFill="true" applyFont="true" applyNumberFormat="true" applyProtection="false" borderId="21" fillId="20" fontId="6" numFmtId="181" xfId="0">
      <alignment horizontal="center" vertical="center"/>
    </xf>
    <xf applyAlignment="true" applyBorder="false" applyFill="true" applyFont="true" applyNumberFormat="true" applyProtection="false" borderId="21" fillId="20" fontId="1" numFmtId="177" xfId="0">
      <alignment horizontal="center" vertical="center"/>
    </xf>
    <xf applyAlignment="true" applyBorder="false" applyFill="true" applyFont="true" applyNumberFormat="true" applyProtection="false" borderId="21" fillId="20" fontId="1" numFmtId="173" xfId="0">
      <alignment horizontal="center" vertical="center"/>
    </xf>
    <xf applyAlignment="true" applyBorder="false" applyFill="true" applyFont="true" applyNumberFormat="true" applyProtection="false" borderId="30" fillId="20" fontId="1" numFmtId="177" xfId="0">
      <alignment horizontal="center" vertical="center"/>
    </xf>
    <xf applyAlignment="true" applyBorder="false" applyFill="true" applyFont="true" applyNumberFormat="true" applyProtection="false" borderId="21" fillId="20" fontId="1" numFmtId="173" xfId="0">
      <alignment horizontal="center" vertical="bottom"/>
    </xf>
    <xf applyAlignment="true" applyBorder="false" applyFill="true" applyFont="true" applyNumberFormat="true" applyProtection="false" borderId="21" fillId="20" fontId="6" numFmtId="174" xfId="0">
      <alignment horizontal="center" vertical="center"/>
    </xf>
    <xf applyAlignment="true" applyBorder="false" applyFill="true" applyFont="true" applyNumberFormat="true" applyProtection="false" borderId="33" fillId="18" fontId="4" numFmtId="179" xfId="0">
      <alignment horizontal="center" vertical="center"/>
    </xf>
    <xf applyAlignment="true" applyBorder="false" applyFill="true" applyFont="true" applyNumberFormat="true" applyProtection="false" borderId="0" fillId="21" fontId="28" numFmtId="180" xfId="0">
      <alignment horizontal="center" vertical="center" wrapText="true"/>
    </xf>
    <xf applyAlignment="true" applyBorder="false" applyFill="true" applyFont="true" applyNumberFormat="true" applyProtection="false" borderId="34" fillId="18" fontId="4" numFmtId="179" xfId="0">
      <alignment horizontal="center" vertical="center"/>
    </xf>
    <xf applyAlignment="true" applyBorder="false" applyFill="false" applyFont="true" applyNumberFormat="true" applyProtection="false" borderId="30" fillId="0" fontId="4" numFmtId="180" xfId="0">
      <alignment horizontal="center" vertical="center"/>
    </xf>
    <xf applyAlignment="true" applyBorder="false" applyFill="true" applyFont="true" applyNumberFormat="true" applyProtection="false" borderId="30" fillId="22" fontId="6" numFmtId="180" xfId="0">
      <alignment horizontal="center" vertical="center"/>
    </xf>
    <xf applyAlignment="true" applyBorder="false" applyFill="true" applyFont="true" applyNumberFormat="true" applyProtection="false" borderId="30" fillId="22" fontId="6" numFmtId="181" xfId="0">
      <alignment horizontal="center" vertical="center"/>
    </xf>
    <xf applyAlignment="true" applyBorder="false" applyFill="true" applyFont="true" applyNumberFormat="true" applyProtection="false" borderId="21" fillId="22" fontId="6" numFmtId="181" xfId="0">
      <alignment horizontal="center" vertical="center"/>
    </xf>
    <xf applyAlignment="true" applyBorder="false" applyFill="true" applyFont="true" applyNumberFormat="true" applyProtection="false" borderId="31" fillId="22" fontId="6" numFmtId="177" xfId="0">
      <alignment horizontal="center" vertical="center"/>
    </xf>
    <xf applyAlignment="true" applyBorder="false" applyFill="true" applyFont="true" applyNumberFormat="true" applyProtection="false" borderId="32" fillId="22" fontId="6" numFmtId="181" xfId="0">
      <alignment horizontal="center" vertical="center"/>
    </xf>
    <xf applyAlignment="true" applyBorder="false" applyFill="true" applyFont="true" applyNumberFormat="true" applyProtection="false" borderId="32" fillId="22" fontId="6" numFmtId="177" xfId="0">
      <alignment horizontal="center" vertical="center"/>
    </xf>
    <xf applyAlignment="true" applyBorder="false" applyFill="true" applyFont="true" applyNumberFormat="true" applyProtection="false" borderId="35" fillId="22" fontId="6" numFmtId="173" xfId="0">
      <alignment horizontal="center" vertical="center"/>
    </xf>
    <xf applyAlignment="true" applyBorder="false" applyFill="true" applyFont="true" applyNumberFormat="true" applyProtection="false" borderId="36" fillId="22" fontId="6" numFmtId="174" xfId="0">
      <alignment horizontal="center" vertical="center"/>
    </xf>
    <xf applyAlignment="true" applyBorder="false" applyFill="false" applyFont="true" applyNumberFormat="true" applyProtection="false" borderId="21" fillId="0" fontId="4" numFmtId="174" xfId="0">
      <alignment horizontal="center" vertical="bottom"/>
    </xf>
    <xf applyAlignment="true" applyBorder="false" applyFill="false" applyFont="true" applyNumberFormat="true" applyProtection="false" borderId="21" fillId="0" fontId="4" numFmtId="180" xfId="0">
      <alignment horizontal="center" vertical="bottom"/>
    </xf>
    <xf applyAlignment="true" applyBorder="false" applyFill="true" applyFont="true" applyNumberFormat="true" applyProtection="false" borderId="21" fillId="20" fontId="6" numFmtId="180" xfId="0">
      <alignment horizontal="center" vertical="center"/>
    </xf>
    <xf applyAlignment="true" applyBorder="false" applyFill="true" applyFont="true" applyNumberFormat="true" applyProtection="false" borderId="21" fillId="20" fontId="8" numFmtId="180" xfId="0">
      <alignment horizontal="center" vertical="center"/>
    </xf>
    <xf applyAlignment="true" applyBorder="false" applyFill="false" applyFont="true" applyNumberFormat="true" applyProtection="false" borderId="21" fillId="0" fontId="4" numFmtId="180" xfId="0">
      <alignment horizontal="center" vertical="bottom"/>
    </xf>
    <xf applyAlignment="true" applyBorder="false" applyFill="true" applyFont="true" applyNumberFormat="true" applyProtection="false" borderId="21" fillId="20" fontId="7" numFmtId="180" xfId="0">
      <alignment horizontal="center" vertical="center"/>
    </xf>
    <xf applyAlignment="true" applyBorder="false" applyFill="true" applyFont="true" applyNumberFormat="true" applyProtection="false" borderId="34" fillId="18" fontId="4" numFmtId="179" xfId="0">
      <alignment horizontal="center" vertical="center"/>
    </xf>
    <xf applyAlignment="true" applyBorder="false" applyFill="true" applyFont="true" applyNumberFormat="true" applyProtection="false" borderId="21" fillId="20" fontId="18" numFmtId="180" xfId="0">
      <alignment horizontal="center" vertical="center"/>
    </xf>
    <xf applyAlignment="true" applyBorder="false" applyFill="false" applyFont="true" applyNumberFormat="true" applyProtection="false" borderId="30" fillId="0" fontId="4" numFmtId="180" xfId="0">
      <alignment horizontal="center" vertical="center"/>
    </xf>
    <xf applyAlignment="true" applyBorder="false" applyFill="true" applyFont="true" applyNumberFormat="true" applyProtection="false" borderId="28" fillId="20" fontId="1" numFmtId="180" xfId="0">
      <alignment horizontal="center" vertical="center"/>
    </xf>
    <xf applyAlignment="true" applyBorder="false" applyFill="false" applyFont="true" applyNumberFormat="true" applyProtection="false" borderId="37" fillId="0" fontId="5" numFmtId="178" xfId="0">
      <alignment horizontal="center" vertical="center"/>
    </xf>
    <xf applyAlignment="true" applyBorder="false" applyFill="true" applyFont="true" applyNumberFormat="true" applyProtection="false" borderId="22" fillId="22" fontId="6" numFmtId="180" xfId="0">
      <alignment horizontal="center" vertical="center"/>
    </xf>
    <xf applyAlignment="true" applyBorder="false" applyFill="true" applyFont="true" applyNumberFormat="true" applyProtection="false" borderId="22" fillId="22" fontId="6" numFmtId="181" xfId="0">
      <alignment horizontal="center" vertical="center"/>
    </xf>
    <xf applyAlignment="true" applyBorder="false" applyFill="true" applyFont="true" applyNumberFormat="true" applyProtection="false" borderId="38" fillId="22" fontId="6" numFmtId="181" xfId="0">
      <alignment horizontal="center" vertical="center"/>
    </xf>
    <xf applyAlignment="true" applyBorder="false" applyFill="true" applyFont="true" applyNumberFormat="true" applyProtection="false" borderId="29" fillId="22" fontId="6" numFmtId="181" xfId="0">
      <alignment horizontal="center" vertical="center"/>
    </xf>
    <xf applyAlignment="true" applyBorder="false" applyFill="true" applyFont="true" applyNumberFormat="true" applyProtection="false" borderId="28" fillId="22" fontId="6" numFmtId="181" xfId="0">
      <alignment horizontal="center" vertical="center"/>
    </xf>
    <xf applyAlignment="true" applyBorder="false" applyFill="true" applyFont="true" applyNumberFormat="true" applyProtection="false" borderId="26" fillId="22" fontId="6" numFmtId="177" xfId="0">
      <alignment horizontal="center" vertical="center"/>
    </xf>
    <xf applyAlignment="true" applyBorder="false" applyFill="true" applyFont="true" applyNumberFormat="true" applyProtection="false" borderId="23" fillId="22" fontId="6" numFmtId="181" xfId="0">
      <alignment horizontal="center" vertical="center"/>
    </xf>
    <xf applyAlignment="true" applyBorder="false" applyFill="true" applyFont="true" applyNumberFormat="true" applyProtection="false" borderId="23" fillId="22" fontId="6" numFmtId="177" xfId="0">
      <alignment horizontal="center" vertical="center"/>
    </xf>
    <xf applyAlignment="true" applyBorder="false" applyFill="true" applyFont="true" applyNumberFormat="true" applyProtection="false" borderId="39" fillId="22" fontId="6" numFmtId="173" xfId="0">
      <alignment horizontal="center" vertical="center"/>
    </xf>
    <xf applyAlignment="true" applyBorder="false" applyFill="true" applyFont="true" applyNumberFormat="true" applyProtection="false" borderId="40" fillId="22" fontId="6" numFmtId="174" xfId="0">
      <alignment horizontal="center" vertical="center"/>
    </xf>
    <xf applyAlignment="true" applyBorder="false" applyFill="true" applyFont="true" applyNumberFormat="false" applyProtection="false" borderId="25" fillId="14" fontId="1" numFmtId="0" xfId="0">
      <alignment horizontal="center" vertical="center"/>
    </xf>
    <xf applyAlignment="true" applyBorder="false" applyFill="true" applyFont="true" applyNumberFormat="false" applyProtection="false" borderId="29" fillId="14" fontId="1" numFmtId="0" xfId="0">
      <alignment horizontal="center" vertical="center"/>
    </xf>
    <xf applyAlignment="true" applyBorder="false" applyFill="true" applyFont="true" applyNumberFormat="false" applyProtection="false" borderId="33" fillId="14" fontId="1" numFmtId="0" xfId="0">
      <alignment horizontal="center" vertical="center"/>
    </xf>
    <xf applyAlignment="true" applyBorder="false" applyFill="true" applyFont="true" applyNumberFormat="true" applyProtection="false" borderId="30" fillId="14" fontId="1" numFmtId="176" xfId="0">
      <alignment horizontal="center" vertical="center"/>
    </xf>
    <xf applyAlignment="true" applyBorder="false" applyFill="false" applyFont="true" applyNumberFormat="true" applyProtection="false" borderId="41" fillId="0" fontId="4" numFmtId="180" xfId="0">
      <alignment horizontal="center" vertical="center"/>
    </xf>
    <xf applyAlignment="true" applyBorder="false" applyFill="false" applyFont="true" applyNumberFormat="true" applyProtection="false" borderId="23" fillId="0" fontId="4" numFmtId="180" xfId="0">
      <alignment horizontal="center" vertical="center"/>
    </xf>
    <xf applyAlignment="true" applyBorder="false" applyFill="true" applyFont="true" applyNumberFormat="true" applyProtection="false" borderId="25" fillId="20" fontId="1" numFmtId="180" xfId="0">
      <alignment horizontal="center" vertical="center"/>
    </xf>
    <xf applyAlignment="true" applyBorder="false" applyFill="true" applyFont="true" applyNumberFormat="true" applyProtection="false" borderId="29" fillId="20" fontId="1" numFmtId="180" xfId="0">
      <alignment horizontal="center" vertical="center"/>
    </xf>
    <xf applyAlignment="true" applyBorder="false" applyFill="true" applyFont="true" applyNumberFormat="true" applyProtection="false" borderId="24" fillId="22" fontId="6" numFmtId="181" xfId="0">
      <alignment horizontal="center" vertical="center"/>
    </xf>
    <xf applyAlignment="true" applyBorder="false" applyFill="true" applyFont="true" applyNumberFormat="false" applyProtection="false" borderId="28" fillId="13" fontId="1" numFmtId="0" xfId="0">
      <alignment horizontal="center" vertical="center"/>
    </xf>
    <xf applyAlignment="true" applyBorder="false" applyFill="true" applyFont="true" applyNumberFormat="true" applyProtection="false" borderId="29" fillId="18" fontId="4" numFmtId="179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29" fillId="18" fontId="4" numFmtId="179" xfId="0">
      <alignment horizontal="center" vertical="center"/>
    </xf>
    <xf applyAlignment="true" applyBorder="false" applyFill="false" applyFont="true" applyNumberFormat="true" applyProtection="false" borderId="29" fillId="0" fontId="4" numFmtId="180" xfId="0">
      <alignment horizontal="center" vertical="center"/>
    </xf>
    <xf applyAlignment="true" applyBorder="false" applyFill="true" applyFont="true" applyNumberFormat="true" applyProtection="false" borderId="29" fillId="22" fontId="6" numFmtId="180" xfId="0">
      <alignment horizontal="center" vertical="center"/>
    </xf>
    <xf applyAlignment="true" applyBorder="false" applyFill="true" applyFont="true" applyNumberFormat="false" applyProtection="false" borderId="29" fillId="13" fontId="1" numFmtId="0" xfId="0">
      <alignment horizontal="center" vertical="center"/>
    </xf>
    <xf applyAlignment="true" applyBorder="false" applyFill="true" applyFont="true" applyNumberFormat="true" applyProtection="false" borderId="42" fillId="14" fontId="1" numFmtId="173" xfId="0">
      <alignment horizontal="center" vertical="center"/>
    </xf>
    <xf applyAlignment="true" applyBorder="false" applyFill="false" applyFont="true" applyNumberFormat="true" applyProtection="false" borderId="43" fillId="0" fontId="5" numFmtId="178" xfId="0">
      <alignment horizontal="center" vertical="center"/>
    </xf>
    <xf applyAlignment="true" applyBorder="false" applyFill="true" applyFont="true" applyNumberFormat="true" applyProtection="false" borderId="44" fillId="18" fontId="4" numFmtId="179" xfId="0">
      <alignment horizontal="center" vertical="center"/>
    </xf>
    <xf applyAlignment="true" applyBorder="false" applyFill="false" applyFont="true" applyNumberFormat="true" applyProtection="false" borderId="43" fillId="0" fontId="4" numFmtId="180" xfId="0">
      <alignment horizontal="center" vertical="center"/>
    </xf>
    <xf applyAlignment="true" applyBorder="false" applyFill="true" applyFont="true" applyNumberFormat="false" applyProtection="false" borderId="37" fillId="13" fontId="1" numFmtId="0" xfId="0">
      <alignment horizontal="center" vertical="center"/>
    </xf>
    <xf applyAlignment="true" applyBorder="false" applyFill="false" applyFont="true" applyNumberFormat="true" applyProtection="false" borderId="45" fillId="0" fontId="5" numFmtId="178" xfId="0">
      <alignment horizontal="center" vertical="center"/>
    </xf>
    <xf applyAlignment="true" applyBorder="false" applyFill="true" applyFont="true" applyNumberFormat="true" applyProtection="false" borderId="44" fillId="18" fontId="4" numFmtId="179" xfId="0">
      <alignment horizontal="center" vertical="center"/>
    </xf>
    <xf applyAlignment="true" applyBorder="false" applyFill="true" applyFont="true" applyNumberFormat="true" applyProtection="false" borderId="0" fillId="23" fontId="5" numFmtId="178" xfId="0">
      <alignment horizontal="center" vertical="center"/>
    </xf>
    <xf applyAlignment="true" applyBorder="false" applyFill="true" applyFont="true" applyNumberFormat="true" applyProtection="false" borderId="46" fillId="23" fontId="6" numFmtId="180" xfId="0">
      <alignment horizontal="center" vertical="center"/>
    </xf>
    <xf applyAlignment="true" applyBorder="false" applyFill="true" applyFont="true" applyNumberFormat="true" applyProtection="false" borderId="46" fillId="23" fontId="14" numFmtId="180" xfId="0">
      <alignment horizontal="center" vertical="center"/>
    </xf>
    <xf applyAlignment="true" applyBorder="false" applyFill="true" applyFont="true" applyNumberFormat="true" applyProtection="false" borderId="0" fillId="23" fontId="6" numFmtId="180" xfId="0">
      <alignment horizontal="center" vertical="center"/>
    </xf>
    <xf applyAlignment="true" applyBorder="false" applyFill="true" applyFont="true" applyNumberFormat="true" applyProtection="false" borderId="46" fillId="23" fontId="15" numFmtId="180" xfId="0">
      <alignment horizontal="center" vertical="center"/>
    </xf>
    <xf applyAlignment="true" applyBorder="false" applyFill="true" applyFont="true" applyNumberFormat="true" applyProtection="false" borderId="46" fillId="23" fontId="6" numFmtId="181" xfId="0">
      <alignment horizontal="center" vertical="center"/>
    </xf>
    <xf applyAlignment="true" applyBorder="false" applyFill="true" applyFont="true" applyNumberFormat="true" applyProtection="false" borderId="46" fillId="23" fontId="6" numFmtId="177" xfId="0">
      <alignment horizontal="center" vertical="center"/>
    </xf>
    <xf applyAlignment="true" applyBorder="false" applyFill="true" applyFont="true" applyNumberFormat="true" applyProtection="false" borderId="46" fillId="23" fontId="6" numFmtId="173" xfId="0">
      <alignment horizontal="center" vertical="center"/>
    </xf>
    <xf applyAlignment="true" applyBorder="false" applyFill="true" applyFont="true" applyNumberFormat="true" applyProtection="false" borderId="0" fillId="23" fontId="15" numFmtId="180" xfId="0">
      <alignment horizontal="center" vertical="center"/>
    </xf>
    <xf applyAlignment="true" applyBorder="false" applyFill="true" applyFont="true" applyNumberFormat="false" applyProtection="false" borderId="0" fillId="23" fontId="3" numFmtId="0" xfId="0">
      <alignment vertical="center"/>
    </xf>
    <xf applyAlignment="true" applyBorder="false" applyFill="true" applyFont="true" applyNumberFormat="true" applyProtection="false" borderId="0" fillId="23" fontId="16" numFmtId="180" xfId="0">
      <alignment horizontal="center" vertical="center"/>
    </xf>
    <xf applyAlignment="true" applyBorder="false" applyFill="true" applyFont="true" applyNumberFormat="true" applyProtection="false" borderId="0" fillId="23" fontId="29" numFmtId="180" xfId="0">
      <alignment horizontal="center" vertical="center"/>
    </xf>
    <xf applyAlignment="true" applyBorder="false" applyFill="true" applyFont="true" applyNumberFormat="true" applyProtection="false" borderId="0" fillId="23" fontId="4" numFmtId="180" xfId="0">
      <alignment horizontal="center" vertical="center"/>
    </xf>
    <xf applyAlignment="true" applyBorder="false" applyFill="true" applyFont="true" applyNumberFormat="true" applyProtection="false" borderId="0" fillId="23" fontId="6" numFmtId="181" xfId="0">
      <alignment horizontal="center" vertical="center"/>
    </xf>
    <xf applyAlignment="true" applyBorder="false" applyFill="true" applyFont="true" applyNumberFormat="true" applyProtection="false" borderId="0" fillId="23" fontId="6" numFmtId="177" xfId="0">
      <alignment horizontal="center" vertical="center"/>
    </xf>
    <xf applyAlignment="true" applyBorder="false" applyFill="true" applyFont="true" applyNumberFormat="true" applyProtection="false" borderId="0" fillId="23" fontId="6" numFmtId="173" xfId="0">
      <alignment horizontal="center" vertical="center"/>
    </xf>
    <xf applyAlignment="true" applyBorder="false" applyFill="true" applyFont="true" applyNumberFormat="true" applyProtection="false" borderId="0" fillId="23" fontId="18" numFmtId="180" xfId="0">
      <alignment horizontal="center" vertical="center"/>
    </xf>
    <xf applyAlignment="true" applyBorder="false" applyFill="true" applyFont="true" applyNumberFormat="true" applyProtection="false" borderId="0" fillId="23" fontId="19" numFmtId="180" xfId="0">
      <alignment horizontal="right" vertical="center" wrapText="true"/>
    </xf>
    <xf applyAlignment="true" applyBorder="false" applyFill="true" applyFont="true" applyNumberFormat="true" applyProtection="false" borderId="0" fillId="23" fontId="20" numFmtId="180" xfId="0">
      <alignment horizontal="right" vertical="center" wrapText="true"/>
    </xf>
    <xf applyAlignment="true" applyBorder="false" applyFill="true" applyFont="true" applyNumberFormat="true" applyProtection="false" borderId="0" fillId="23" fontId="21" numFmtId="181" xfId="0">
      <alignment horizontal="center" vertical="center"/>
    </xf>
    <xf applyAlignment="true" applyBorder="false" applyFill="true" applyFont="true" applyNumberFormat="true" applyProtection="false" borderId="0" fillId="23" fontId="22" numFmtId="181" xfId="0">
      <alignment vertical="center"/>
    </xf>
    <xf applyAlignment="true" applyBorder="false" applyFill="true" applyFont="true" applyNumberFormat="true" applyProtection="false" borderId="0" fillId="23" fontId="6" numFmtId="174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true" applyProtection="false" borderId="0" fillId="23" fontId="6" numFmtId="174" xfId="0">
      <alignment horizontal="center" vertical="center"/>
    </xf>
    <xf applyAlignment="true" applyBorder="false" applyFill="true" applyFont="true" applyNumberFormat="true" applyProtection="false" borderId="0" fillId="23" fontId="6" numFmtId="181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horizontal="center" vertical="center"/>
    </xf>
    <xf applyAlignment="true" applyBorder="false" applyFill="false" applyFont="true" applyNumberFormat="true" applyProtection="false" borderId="0" fillId="0" fontId="24" numFmtId="180" xfId="0">
      <alignment horizontal="center" vertical="center"/>
    </xf>
    <xf applyAlignment="true" applyBorder="false" applyFill="true" applyFont="true" applyNumberFormat="false" applyProtection="false" borderId="0" fillId="24" fontId="26" numFmtId="0" xfId="0">
      <alignment horizontal="center" vertical="center"/>
    </xf>
    <xf applyAlignment="true" applyBorder="false" applyFill="true" applyFont="true" applyNumberFormat="false" applyProtection="false" borderId="0" fillId="24" fontId="26" numFmtId="0" xfId="0">
      <alignment horizontal="center" vertical="center"/>
    </xf>
    <xf applyAlignment="true" applyBorder="false" applyFill="false" applyFont="true" applyNumberFormat="false" applyProtection="false" borderId="0" fillId="0" fontId="26" numFmtId="0" xfId="0">
      <alignment vertical="center"/>
    </xf>
    <xf applyAlignment="true" applyBorder="false" applyFill="false" applyFont="true" applyNumberFormat="false" applyProtection="false" borderId="0" fillId="0" fontId="26" numFmtId="0" xfId="0">
      <alignment vertical="center"/>
    </xf>
    <xf applyAlignment="true" applyBorder="false" applyFill="true" applyFont="true" applyNumberFormat="true" applyProtection="false" borderId="0" fillId="23" fontId="27" numFmtId="181" xfId="0">
      <alignment horizontal="center" vertical="center"/>
    </xf>
    <xf applyAlignment="true" applyBorder="false" applyFill="true" applyFont="true" applyNumberFormat="true" applyProtection="false" borderId="0" fillId="23" fontId="27" numFmtId="181" xfId="0">
      <alignment horizontal="center" vertical="center"/>
    </xf>
    <xf applyAlignment="true" applyBorder="false" applyFill="true" applyFont="true" applyNumberFormat="true" applyProtection="false" borderId="0" fillId="24" fontId="30" numFmtId="174" xfId="0">
      <alignment horizontal="center" vertical="center"/>
    </xf>
    <xf applyAlignment="true" applyBorder="false" applyFill="true" applyFont="true" applyNumberFormat="true" applyProtection="false" borderId="0" fillId="24" fontId="21" numFmtId="174" xfId="0">
      <alignment horizontal="center" vertical="center"/>
    </xf>
    <xf applyAlignment="true" applyBorder="false" applyFill="true" applyFont="true" applyNumberFormat="true" applyProtection="false" borderId="0" fillId="24" fontId="21" numFmtId="181" xfId="0">
      <alignment horizontal="center" vertical="center"/>
    </xf>
    <xf applyAlignment="true" applyBorder="false" applyFill="true" applyFont="true" applyNumberFormat="false" applyProtection="false" borderId="0" fillId="23" fontId="5" numFmtId="0" xfId="0">
      <alignment horizontal="center" vertical="center"/>
    </xf>
    <xf applyAlignment="true" applyBorder="false" applyFill="true" applyFont="true" applyNumberFormat="true" applyProtection="false" borderId="0" fillId="23" fontId="30" numFmtId="174" xfId="0">
      <alignment horizontal="center" vertical="center"/>
    </xf>
    <xf applyAlignment="true" applyBorder="false" applyFill="true" applyFont="true" applyNumberFormat="true" applyProtection="false" borderId="0" fillId="23" fontId="21" numFmtId="174" xfId="0">
      <alignment horizontal="center" vertical="center"/>
    </xf>
    <xf applyAlignment="true" applyBorder="false" applyFill="true" applyFont="true" applyNumberFormat="false" applyProtection="false" borderId="47" fillId="25" fontId="1" numFmtId="0" xfId="0">
      <alignment horizontal="center" vertical="center"/>
    </xf>
    <xf applyAlignment="true" applyBorder="false" applyFill="true" applyFont="true" applyNumberFormat="true" applyProtection="false" borderId="48" fillId="26" fontId="1" numFmtId="182" xfId="0">
      <alignment horizontal="center" vertical="center"/>
    </xf>
    <xf applyAlignment="true" applyBorder="false" applyFill="true" applyFont="true" applyNumberFormat="true" applyProtection="false" borderId="49" fillId="27" fontId="1" numFmtId="182" xfId="0">
      <alignment horizontal="center" vertical="center"/>
    </xf>
    <xf applyAlignment="true" applyBorder="false" applyFill="true" applyFont="true" applyNumberFormat="true" applyProtection="false" borderId="50" fillId="26" fontId="2" numFmtId="183" xfId="0">
      <alignment horizontal="center" vertical="center"/>
    </xf>
    <xf applyAlignment="true" applyBorder="false" applyFill="true" applyFont="true" applyNumberFormat="true" applyProtection="false" borderId="51" fillId="26" fontId="2" numFmtId="184" xfId="0">
      <alignment horizontal="center" vertical="center"/>
    </xf>
    <xf applyAlignment="true" applyBorder="false" applyFill="true" applyFont="true" applyNumberFormat="true" applyProtection="false" borderId="51" fillId="28" fontId="3" numFmtId="185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52" fillId="25" fontId="1" numFmtId="0" xfId="0">
      <alignment horizontal="center" vertical="center"/>
    </xf>
    <xf applyAlignment="true" applyBorder="false" applyFill="true" applyFont="true" applyNumberFormat="false" applyProtection="false" borderId="53" fillId="25" fontId="1" numFmtId="0" xfId="0">
      <alignment horizontal="center" vertical="center"/>
    </xf>
    <xf applyAlignment="true" applyBorder="false" applyFill="true" applyFont="true" applyNumberFormat="true" applyProtection="false" borderId="54" fillId="26" fontId="1" numFmtId="182" xfId="0">
      <alignment horizontal="center" vertical="center"/>
    </xf>
    <xf applyAlignment="true" applyBorder="false" applyFill="true" applyFont="true" applyNumberFormat="false" applyProtection="false" borderId="53" fillId="26" fontId="1" numFmtId="0" xfId="0">
      <alignment horizontal="center" vertical="center"/>
    </xf>
    <xf applyAlignment="true" applyBorder="false" applyFill="true" applyFont="true" applyNumberFormat="true" applyProtection="false" borderId="52" fillId="26" fontId="1" numFmtId="185" xfId="0">
      <alignment horizontal="center" vertical="center"/>
    </xf>
    <xf applyAlignment="true" applyBorder="false" applyFill="true" applyFont="true" applyNumberFormat="true" applyProtection="false" borderId="52" fillId="26" fontId="1" numFmtId="182" xfId="0">
      <alignment horizontal="center" vertical="center"/>
    </xf>
    <xf applyAlignment="true" applyBorder="false" applyFill="true" applyFont="true" applyNumberFormat="false" applyProtection="false" borderId="55" fillId="26" fontId="1" numFmtId="0" xfId="0">
      <alignment horizontal="center" vertical="center"/>
    </xf>
    <xf applyAlignment="true" applyBorder="false" applyFill="true" applyFont="true" applyNumberFormat="true" applyProtection="false" borderId="49" fillId="27" fontId="1" numFmtId="186" xfId="0">
      <alignment horizontal="center" vertical="center"/>
    </xf>
    <xf applyAlignment="true" applyBorder="false" applyFill="true" applyFont="true" applyNumberFormat="true" applyProtection="false" borderId="51" fillId="27" fontId="1" numFmtId="182" xfId="0">
      <alignment horizontal="center" vertical="center"/>
    </xf>
    <xf applyAlignment="true" applyBorder="false" applyFill="false" applyFont="true" applyNumberFormat="true" applyProtection="false" borderId="51" fillId="0" fontId="4" numFmtId="183" xfId="0">
      <alignment horizontal="center" vertical="center"/>
    </xf>
    <xf applyAlignment="true" applyBorder="false" applyFill="true" applyFont="true" applyNumberFormat="true" applyProtection="false" borderId="51" fillId="29" fontId="4" numFmtId="184" xfId="0">
      <alignment horizontal="center" vertical="center"/>
    </xf>
    <xf applyAlignment="true" applyBorder="false" applyFill="false" applyFont="true" applyNumberFormat="false" applyProtection="false" borderId="49" fillId="0" fontId="3" numFmtId="0" xfId="0">
      <alignment horizontal="center" vertical="center"/>
    </xf>
    <xf applyAlignment="true" applyBorder="false" applyFill="false" applyFont="true" applyNumberFormat="false" applyProtection="false" borderId="51" fillId="0" fontId="3" numFmtId="0" xfId="0">
      <alignment horizontal="center" vertical="center"/>
    </xf>
    <xf applyAlignment="true" applyBorder="false" applyFill="false" applyFont="true" applyNumberFormat="true" applyProtection="false" borderId="47" fillId="0" fontId="4" numFmtId="187" xfId="0">
      <alignment horizontal="center" vertical="center"/>
    </xf>
    <xf applyAlignment="true" applyBorder="false" applyFill="false" applyFont="true" applyNumberFormat="true" applyProtection="false" borderId="48" fillId="0" fontId="4" numFmtId="188" xfId="0">
      <alignment horizontal="center" vertical="center"/>
    </xf>
    <xf applyAlignment="true" applyBorder="false" applyFill="false" applyFont="true" applyNumberFormat="true" applyProtection="false" borderId="47" fillId="0" fontId="4" numFmtId="188" xfId="0">
      <alignment horizontal="center" vertical="center"/>
    </xf>
    <xf applyAlignment="true" applyBorder="false" applyFill="false" applyFont="true" applyNumberFormat="true" applyProtection="false" borderId="49" fillId="0" fontId="4" numFmtId="188" xfId="0">
      <alignment horizontal="center" vertical="center"/>
    </xf>
    <xf applyAlignment="true" applyBorder="false" applyFill="true" applyFont="true" applyNumberFormat="true" applyProtection="false" borderId="56" fillId="30" fontId="6" numFmtId="189" xfId="0">
      <alignment horizontal="center" vertical="center"/>
    </xf>
    <xf applyAlignment="true" applyBorder="false" applyFill="false" applyFont="true" applyNumberFormat="true" applyProtection="false" borderId="49" fillId="0" fontId="4" numFmtId="186" xfId="0">
      <alignment horizontal="center" vertical="center"/>
    </xf>
    <xf applyAlignment="true" applyBorder="false" applyFill="false" applyFont="true" applyNumberFormat="true" applyProtection="false" borderId="49" fillId="0" fontId="4" numFmtId="182" xfId="0">
      <alignment horizontal="center" vertical="center"/>
    </xf>
    <xf applyAlignment="true" applyBorder="false" applyFill="false" applyFont="true" applyNumberFormat="true" applyProtection="false" borderId="51" fillId="0" fontId="4" numFmtId="182" xfId="0">
      <alignment horizontal="center" vertical="center"/>
    </xf>
    <xf applyAlignment="true" applyBorder="false" applyFill="false" applyFont="true" applyNumberFormat="true" applyProtection="false" borderId="57" fillId="0" fontId="4" numFmtId="182" xfId="0">
      <alignment horizontal="center" vertical="bottom"/>
    </xf>
    <xf applyAlignment="true" applyBorder="false" applyFill="false" applyFont="true" applyNumberFormat="true" applyProtection="false" borderId="49" fillId="0" fontId="6" numFmtId="183" xfId="0">
      <alignment horizontal="center" vertical="center"/>
    </xf>
    <xf applyAlignment="true" applyBorder="false" applyFill="false" applyFont="true" applyNumberFormat="true" applyProtection="false" borderId="49" fillId="0" fontId="4" numFmtId="183" xfId="0">
      <alignment horizontal="center" vertical="bottom"/>
    </xf>
    <xf applyAlignment="true" applyBorder="false" applyFill="false" applyFont="true" applyNumberFormat="false" applyProtection="false" borderId="49" fillId="0" fontId="4" numFmtId="0" xfId="0">
      <alignment horizontal="center" vertical="bottom"/>
    </xf>
    <xf applyAlignment="true" applyBorder="false" applyFill="true" applyFont="true" applyNumberFormat="true" applyProtection="false" borderId="58" fillId="31" fontId="1" numFmtId="188" xfId="0">
      <alignment horizontal="center" vertical="center"/>
    </xf>
    <xf applyAlignment="true" applyBorder="false" applyFill="true" applyFont="true" applyNumberFormat="true" applyProtection="false" borderId="59" fillId="31" fontId="1" numFmtId="188" xfId="0">
      <alignment horizontal="center" vertical="center"/>
    </xf>
    <xf applyAlignment="true" applyBorder="false" applyFill="true" applyFont="true" applyNumberFormat="true" applyProtection="false" borderId="60" fillId="31" fontId="6" numFmtId="189" xfId="0">
      <alignment horizontal="center" vertical="center"/>
    </xf>
    <xf applyAlignment="true" applyBorder="false" applyFill="true" applyFont="true" applyNumberFormat="true" applyProtection="false" borderId="49" fillId="31" fontId="1" numFmtId="186" xfId="0">
      <alignment horizontal="center" vertical="center"/>
    </xf>
    <xf applyAlignment="true" applyBorder="false" applyFill="true" applyFont="true" applyNumberFormat="true" applyProtection="false" borderId="49" fillId="31" fontId="1" numFmtId="182" xfId="0">
      <alignment horizontal="center" vertical="center"/>
    </xf>
    <xf applyAlignment="true" applyBorder="false" applyFill="true" applyFont="true" applyNumberFormat="true" applyProtection="false" borderId="51" fillId="31" fontId="1" numFmtId="182" xfId="0">
      <alignment horizontal="center" vertical="center"/>
    </xf>
    <xf applyAlignment="true" applyBorder="false" applyFill="true" applyFont="true" applyNumberFormat="true" applyProtection="false" borderId="49" fillId="31" fontId="1" numFmtId="182" xfId="0">
      <alignment horizontal="center" vertical="bottom"/>
    </xf>
    <xf applyAlignment="true" applyBorder="false" applyFill="true" applyFont="true" applyNumberFormat="true" applyProtection="false" borderId="49" fillId="31" fontId="6" numFmtId="183" xfId="0">
      <alignment horizontal="center" vertical="center"/>
    </xf>
    <xf applyAlignment="true" applyBorder="false" applyFill="true" applyFont="true" applyNumberFormat="true" applyProtection="false" borderId="47" fillId="32" fontId="6" numFmtId="188" xfId="0">
      <alignment horizontal="center" vertical="center"/>
    </xf>
    <xf applyAlignment="true" applyBorder="false" applyFill="true" applyFont="true" applyNumberFormat="true" applyProtection="false" borderId="47" fillId="32" fontId="6" numFmtId="189" xfId="0">
      <alignment horizontal="center" vertical="center"/>
    </xf>
    <xf applyAlignment="true" applyBorder="false" applyFill="true" applyFont="true" applyNumberFormat="true" applyProtection="false" borderId="56" fillId="32" fontId="6" numFmtId="186" xfId="0">
      <alignment horizontal="center" vertical="center"/>
    </xf>
    <xf applyAlignment="true" applyBorder="false" applyFill="true" applyFont="true" applyNumberFormat="true" applyProtection="false" borderId="49" fillId="32" fontId="6" numFmtId="189" xfId="0">
      <alignment horizontal="center" vertical="center"/>
    </xf>
    <xf applyAlignment="true" applyBorder="false" applyFill="true" applyFont="true" applyNumberFormat="true" applyProtection="false" borderId="49" fillId="32" fontId="6" numFmtId="186" xfId="0">
      <alignment horizontal="center" vertical="center"/>
    </xf>
    <xf applyAlignment="true" applyBorder="false" applyFill="true" applyFont="true" applyNumberFormat="true" applyProtection="false" borderId="52" fillId="32" fontId="6" numFmtId="182" xfId="0">
      <alignment horizontal="center" vertical="center"/>
    </xf>
    <xf applyAlignment="true" applyBorder="false" applyFill="true" applyFont="true" applyNumberFormat="true" applyProtection="false" borderId="61" fillId="32" fontId="6" numFmtId="183" xfId="0">
      <alignment horizontal="center" vertical="center"/>
    </xf>
    <xf applyAlignment="true" applyBorder="false" applyFill="true" applyFont="true" applyNumberFormat="true" applyProtection="false" borderId="58" fillId="26" fontId="1" numFmtId="182" xfId="0">
      <alignment horizontal="center" vertical="center"/>
    </xf>
    <xf applyAlignment="true" applyBorder="false" applyFill="true" applyFont="true" applyNumberFormat="false" applyProtection="false" borderId="61" fillId="25" fontId="1" numFmtId="0" xfId="0">
      <alignment horizontal="center" vertical="center"/>
    </xf>
    <xf applyAlignment="true" applyBorder="false" applyFill="true" applyFont="true" applyNumberFormat="true" applyProtection="false" borderId="47" fillId="26" fontId="1" numFmtId="182" xfId="0">
      <alignment horizontal="center" vertical="center"/>
    </xf>
    <xf applyAlignment="true" applyBorder="false" applyFill="true" applyFont="true" applyNumberFormat="false" applyProtection="false" borderId="47" fillId="26" fontId="1" numFmtId="0" xfId="0">
      <alignment horizontal="center" vertical="center"/>
    </xf>
    <xf applyAlignment="true" applyBorder="false" applyFill="true" applyFont="true" applyNumberFormat="true" applyProtection="false" borderId="47" fillId="26" fontId="1" numFmtId="185" xfId="0">
      <alignment horizontal="center" vertical="center"/>
    </xf>
    <xf applyAlignment="true" applyBorder="false" applyFill="true" applyFont="true" applyNumberFormat="true" applyProtection="false" borderId="56" fillId="27" fontId="1" numFmtId="182" xfId="0">
      <alignment horizontal="center" vertical="center"/>
    </xf>
    <xf applyAlignment="true" applyBorder="false" applyFill="false" applyFont="true" applyNumberFormat="true" applyProtection="false" borderId="62" fillId="0" fontId="4" numFmtId="187" xfId="0">
      <alignment horizontal="center" vertical="center"/>
    </xf>
    <xf applyAlignment="true" applyBorder="false" applyFill="true" applyFont="true" applyNumberFormat="true" applyProtection="false" borderId="47" fillId="30" fontId="6" numFmtId="189" xfId="0">
      <alignment horizontal="center" vertical="center"/>
    </xf>
    <xf applyAlignment="true" applyBorder="false" applyFill="false" applyFont="true" applyNumberFormat="true" applyProtection="false" borderId="56" fillId="0" fontId="4" numFmtId="186" xfId="0">
      <alignment horizontal="center" vertical="center"/>
    </xf>
    <xf applyAlignment="true" applyBorder="false" applyFill="true" applyFont="true" applyNumberFormat="true" applyProtection="false" borderId="47" fillId="31" fontId="1" numFmtId="188" xfId="0">
      <alignment horizontal="center" vertical="center"/>
    </xf>
    <xf applyAlignment="true" applyBorder="false" applyFill="true" applyFont="true" applyNumberFormat="true" applyProtection="false" borderId="47" fillId="31" fontId="6" numFmtId="189" xfId="0">
      <alignment horizontal="center" vertical="center"/>
    </xf>
    <xf applyAlignment="true" applyBorder="false" applyFill="true" applyFont="true" applyNumberFormat="true" applyProtection="false" borderId="56" fillId="31" fontId="1" numFmtId="186" xfId="0">
      <alignment horizontal="center" vertical="center"/>
    </xf>
    <xf applyAlignment="true" applyBorder="false" applyFill="false" applyFont="true" applyNumberFormat="true" applyProtection="false" borderId="63" fillId="0" fontId="4" numFmtId="188" xfId="0">
      <alignment horizontal="center" vertical="center"/>
    </xf>
    <xf applyAlignment="true" applyBorder="false" applyFill="false" applyFont="true" applyNumberFormat="true" applyProtection="false" borderId="64" fillId="0" fontId="4" numFmtId="188" xfId="0">
      <alignment horizontal="center" vertical="center"/>
    </xf>
    <xf applyAlignment="true" applyBorder="false" applyFill="false" applyFont="true" applyNumberFormat="true" applyProtection="false" borderId="52" fillId="0" fontId="4" numFmtId="188" xfId="0">
      <alignment horizontal="center" vertical="center"/>
    </xf>
    <xf applyAlignment="true" applyBorder="false" applyFill="true" applyFont="true" applyNumberFormat="true" applyProtection="false" borderId="55" fillId="30" fontId="6" numFmtId="189" xfId="0">
      <alignment horizontal="center" vertical="center"/>
    </xf>
    <xf applyAlignment="true" applyBorder="false" applyFill="false" applyFont="true" applyNumberFormat="true" applyProtection="false" borderId="65" fillId="0" fontId="4" numFmtId="187" xfId="0">
      <alignment horizontal="center" vertical="center"/>
    </xf>
    <xf applyAlignment="true" applyBorder="false" applyFill="true" applyFont="true" applyNumberFormat="true" applyProtection="false" borderId="59" fillId="32" fontId="6" numFmtId="188" xfId="0">
      <alignment horizontal="center" vertical="center"/>
    </xf>
    <xf applyAlignment="true" applyBorder="false" applyFill="true" applyFont="true" applyNumberFormat="false" applyProtection="false" borderId="66" fillId="25" fontId="1" numFmtId="0" xfId="0">
      <alignment horizontal="center" vertical="center"/>
    </xf>
    <xf applyAlignment="true" applyBorder="false" applyFill="true" applyFont="true" applyNumberFormat="false" applyProtection="false" borderId="67" fillId="25" fontId="1" numFmtId="0" xfId="0">
      <alignment horizontal="center" vertical="center"/>
    </xf>
    <xf applyAlignment="true" applyBorder="false" applyFill="true" applyFont="true" applyNumberFormat="false" applyProtection="false" borderId="68" fillId="25" fontId="1" numFmtId="0" xfId="0">
      <alignment horizontal="center" vertical="center"/>
    </xf>
    <xf applyAlignment="true" applyBorder="false" applyFill="false" applyFont="true" applyNumberFormat="true" applyProtection="false" borderId="66" fillId="0" fontId="4" numFmtId="187" xfId="0">
      <alignment horizontal="center" vertical="center"/>
    </xf>
    <xf applyAlignment="true" applyBorder="false" applyFill="false" applyFont="true" applyNumberFormat="true" applyProtection="false" borderId="69" fillId="0" fontId="4" numFmtId="188" xfId="0">
      <alignment horizontal="center" vertical="center"/>
    </xf>
    <xf applyAlignment="true" applyBorder="false" applyFill="false" applyFont="true" applyNumberFormat="true" applyProtection="false" borderId="70" fillId="0" fontId="4" numFmtId="188" xfId="0">
      <alignment horizontal="center" vertical="center"/>
    </xf>
    <xf applyAlignment="true" applyBorder="false" applyFill="false" applyFont="true" applyNumberFormat="true" applyProtection="false" borderId="47" fillId="0" fontId="4" numFmtId="188" xfId="0">
      <alignment horizontal="center" vertical="center"/>
    </xf>
    <xf applyAlignment="true" applyBorder="false" applyFill="false" applyFont="true" applyNumberFormat="true" applyProtection="false" borderId="49" fillId="0" fontId="4" numFmtId="188" xfId="0">
      <alignment horizontal="center" vertical="center"/>
    </xf>
    <xf applyAlignment="true" applyBorder="false" applyFill="false" applyFont="true" applyNumberFormat="true" applyProtection="false" borderId="66" fillId="0" fontId="4" numFmtId="188" xfId="0">
      <alignment horizontal="center" vertical="center"/>
    </xf>
    <xf applyAlignment="true" applyBorder="false" applyFill="true" applyFont="true" applyNumberFormat="true" applyProtection="false" borderId="66" fillId="31" fontId="1" numFmtId="188" xfId="0">
      <alignment horizontal="center" vertical="center"/>
    </xf>
    <xf applyAlignment="true" applyBorder="false" applyFill="true" applyFont="true" applyNumberFormat="true" applyProtection="false" borderId="70" fillId="31" fontId="1" numFmtId="188" xfId="0">
      <alignment horizontal="center" vertical="center"/>
    </xf>
    <xf applyAlignment="true" applyBorder="false" applyFill="true" applyFont="true" applyNumberFormat="true" applyProtection="false" borderId="48" fillId="31" fontId="1" numFmtId="188" xfId="0">
      <alignment horizontal="center" vertical="center"/>
    </xf>
    <xf applyAlignment="true" applyBorder="false" applyFill="false" applyFont="true" applyNumberFormat="true" applyProtection="false" borderId="52" fillId="0" fontId="4" numFmtId="188" xfId="0">
      <alignment horizontal="center" vertical="center"/>
    </xf>
    <xf applyAlignment="true" applyBorder="false" applyFill="true" applyFont="true" applyNumberFormat="true" applyProtection="false" borderId="71" fillId="31" fontId="1" numFmtId="188" xfId="0">
      <alignment horizontal="center" vertical="center"/>
    </xf>
    <xf applyAlignment="true" applyBorder="false" applyFill="true" applyFont="true" applyNumberFormat="true" applyProtection="false" borderId="66" fillId="32" fontId="6" numFmtId="188" xfId="0">
      <alignment horizontal="center" vertical="center"/>
    </xf>
    <xf applyAlignment="true" applyBorder="false" applyFill="true" applyFont="true" applyNumberFormat="true" applyProtection="false" borderId="48" fillId="32" fontId="6" numFmtId="189" xfId="0">
      <alignment horizontal="center" vertical="center"/>
    </xf>
    <xf applyAlignment="true" applyBorder="false" applyFill="false" applyFont="true" applyNumberFormat="true" applyProtection="false" borderId="66" fillId="0" fontId="4" numFmtId="187" xfId="0">
      <alignment horizontal="center" vertical="center"/>
    </xf>
    <xf applyAlignment="true" applyBorder="false" applyFill="false" applyFont="true" applyNumberFormat="true" applyProtection="false" borderId="66" fillId="0" fontId="4" numFmtId="188" xfId="0">
      <alignment horizontal="center" vertical="center"/>
    </xf>
    <xf applyAlignment="true" applyBorder="false" applyFill="true" applyFont="true" applyNumberFormat="true" applyProtection="false" borderId="66" fillId="26" fontId="2" numFmtId="183" xfId="0">
      <alignment horizontal="center" vertical="center"/>
    </xf>
    <xf applyAlignment="true" applyBorder="false" applyFill="true" applyFont="true" applyNumberFormat="true" applyProtection="false" borderId="66" fillId="26" fontId="2" numFmtId="184" xfId="0">
      <alignment horizontal="center" vertical="center"/>
    </xf>
    <xf applyAlignment="true" applyBorder="false" applyFill="true" applyFont="true" applyNumberFormat="true" applyProtection="false" borderId="66" fillId="28" fontId="3" numFmtId="185" xfId="0">
      <alignment horizontal="center" vertical="center"/>
    </xf>
    <xf applyAlignment="true" applyBorder="false" applyFill="true" applyFont="true" applyNumberFormat="false" applyProtection="false" borderId="59" fillId="26" fontId="1" numFmtId="0" xfId="0">
      <alignment horizontal="center" vertical="center"/>
    </xf>
    <xf applyAlignment="true" applyBorder="false" applyFill="true" applyFont="true" applyNumberFormat="true" applyProtection="false" borderId="59" fillId="26" fontId="1" numFmtId="185" xfId="0">
      <alignment horizontal="center" vertical="center"/>
    </xf>
    <xf applyAlignment="true" applyBorder="false" applyFill="true" applyFont="true" applyNumberFormat="true" applyProtection="false" borderId="59" fillId="26" fontId="1" numFmtId="182" xfId="0">
      <alignment horizontal="center" vertical="center"/>
    </xf>
    <xf applyAlignment="true" applyBorder="false" applyFill="true" applyFont="true" applyNumberFormat="true" applyProtection="false" borderId="60" fillId="27" fontId="1" numFmtId="182" xfId="0">
      <alignment horizontal="center" vertical="center"/>
    </xf>
    <xf applyAlignment="true" applyBorder="false" applyFill="true" applyFont="true" applyNumberFormat="true" applyProtection="false" borderId="57" fillId="27" fontId="1" numFmtId="182" xfId="0">
      <alignment horizontal="center" vertical="center"/>
    </xf>
    <xf applyAlignment="true" applyBorder="false" applyFill="true" applyFont="true" applyNumberFormat="true" applyProtection="false" borderId="57" fillId="27" fontId="1" numFmtId="186" xfId="0">
      <alignment horizontal="center" vertical="center"/>
    </xf>
    <xf applyAlignment="true" applyBorder="false" applyFill="true" applyFont="true" applyNumberFormat="true" applyProtection="false" borderId="50" fillId="27" fontId="1" numFmtId="182" xfId="0">
      <alignment horizontal="center" vertical="center"/>
    </xf>
    <xf applyAlignment="true" applyBorder="false" applyFill="false" applyFont="true" applyNumberFormat="true" applyProtection="false" borderId="67" fillId="0" fontId="4" numFmtId="183" xfId="0">
      <alignment horizontal="center" vertical="center"/>
    </xf>
    <xf applyAlignment="true" applyBorder="false" applyFill="true" applyFont="true" applyNumberFormat="true" applyProtection="false" borderId="67" fillId="29" fontId="4" numFmtId="184" xfId="0">
      <alignment horizontal="center" vertical="center"/>
    </xf>
    <xf applyAlignment="true" applyBorder="false" applyFill="false" applyFont="true" applyNumberFormat="false" applyProtection="false" borderId="67" fillId="0" fontId="3" numFmtId="0" xfId="0">
      <alignment horizontal="center" vertical="center"/>
    </xf>
    <xf applyAlignment="true" applyBorder="false" applyFill="false" applyFont="true" applyNumberFormat="false" applyProtection="false" borderId="66" fillId="0" fontId="3" numFmtId="0" xfId="0">
      <alignment horizontal="center" vertical="center"/>
    </xf>
    <xf applyAlignment="true" applyBorder="false" applyFill="false" applyFont="true" applyNumberFormat="true" applyProtection="false" borderId="68" fillId="0" fontId="4" numFmtId="187" xfId="0">
      <alignment horizontal="center" vertical="center"/>
    </xf>
    <xf applyAlignment="true" applyBorder="false" applyFill="true" applyFont="true" applyNumberFormat="true" applyProtection="false" borderId="66" fillId="33" fontId="4" numFmtId="190" xfId="0">
      <alignment horizontal="center" vertical="center"/>
    </xf>
    <xf applyAlignment="true" applyBorder="false" applyFill="false" applyFont="true" applyNumberFormat="true" applyProtection="false" borderId="70" fillId="0" fontId="4" numFmtId="188" xfId="0">
      <alignment horizontal="center" vertical="center"/>
    </xf>
    <xf applyAlignment="true" applyBorder="false" applyFill="true" applyFont="true" applyNumberFormat="true" applyProtection="false" borderId="66" fillId="30" fontId="6" numFmtId="189" xfId="0">
      <alignment horizontal="center" vertical="center"/>
    </xf>
    <xf applyAlignment="true" applyBorder="false" applyFill="false" applyFont="true" applyNumberFormat="true" applyProtection="false" borderId="66" fillId="0" fontId="4" numFmtId="186" xfId="0">
      <alignment horizontal="center" vertical="center"/>
    </xf>
    <xf applyAlignment="true" applyBorder="false" applyFill="false" applyFont="true" applyNumberFormat="true" applyProtection="false" borderId="66" fillId="0" fontId="4" numFmtId="182" xfId="0">
      <alignment horizontal="center" vertical="center"/>
    </xf>
    <xf applyAlignment="true" applyBorder="false" applyFill="false" applyFont="true" applyNumberFormat="true" applyProtection="false" borderId="66" fillId="0" fontId="4" numFmtId="182" xfId="0">
      <alignment horizontal="center" vertical="bottom"/>
    </xf>
    <xf applyAlignment="true" applyBorder="false" applyFill="false" applyFont="true" applyNumberFormat="true" applyProtection="false" borderId="66" fillId="0" fontId="6" numFmtId="183" xfId="0">
      <alignment horizontal="center" vertical="center"/>
    </xf>
    <xf applyAlignment="true" applyBorder="false" applyFill="false" applyFont="true" applyNumberFormat="true" applyProtection="false" borderId="66" fillId="0" fontId="4" numFmtId="183" xfId="0">
      <alignment horizontal="center" vertical="bottom"/>
    </xf>
    <xf applyAlignment="true" applyBorder="false" applyFill="false" applyFont="true" applyNumberFormat="false" applyProtection="false" borderId="66" fillId="0" fontId="4" numFmtId="0" xfId="0">
      <alignment horizontal="center" vertical="bottom"/>
    </xf>
    <xf applyAlignment="true" applyBorder="false" applyFill="false" applyFont="true" applyNumberFormat="true" applyProtection="false" borderId="55" fillId="0" fontId="4" numFmtId="188" xfId="0">
      <alignment horizontal="center" vertical="center"/>
    </xf>
    <xf applyAlignment="true" applyBorder="false" applyFill="false" applyFont="true" applyNumberFormat="true" applyProtection="false" borderId="56" fillId="0" fontId="4" numFmtId="188" xfId="0">
      <alignment horizontal="center" vertical="center"/>
    </xf>
    <xf applyAlignment="true" applyBorder="false" applyFill="true" applyFont="true" applyNumberFormat="true" applyProtection="false" borderId="66" fillId="31" fontId="6" numFmtId="189" xfId="0">
      <alignment horizontal="center" vertical="center"/>
    </xf>
    <xf applyAlignment="true" applyBorder="false" applyFill="true" applyFont="true" applyNumberFormat="true" applyProtection="false" borderId="66" fillId="31" fontId="1" numFmtId="186" xfId="0">
      <alignment horizontal="center" vertical="center"/>
    </xf>
    <xf applyAlignment="true" applyBorder="false" applyFill="true" applyFont="true" applyNumberFormat="true" applyProtection="false" borderId="66" fillId="31" fontId="1" numFmtId="182" xfId="0">
      <alignment horizontal="center" vertical="center"/>
    </xf>
    <xf applyAlignment="true" applyBorder="false" applyFill="true" applyFont="true" applyNumberFormat="true" applyProtection="false" borderId="66" fillId="31" fontId="1" numFmtId="182" xfId="0">
      <alignment horizontal="center" vertical="bottom"/>
    </xf>
    <xf applyAlignment="true" applyBorder="false" applyFill="true" applyFont="true" applyNumberFormat="true" applyProtection="false" borderId="66" fillId="31" fontId="6" numFmtId="183" xfId="0">
      <alignment horizontal="center" vertical="center"/>
    </xf>
    <xf applyAlignment="true" applyBorder="false" applyFill="true" applyFont="true" applyNumberFormat="true" applyProtection="false" borderId="69" fillId="33" fontId="4" numFmtId="190" xfId="0">
      <alignment horizontal="center" vertical="center"/>
    </xf>
    <xf applyAlignment="true" applyBorder="false" applyFill="false" applyFont="true" applyNumberFormat="true" applyProtection="false" borderId="69" fillId="0" fontId="4" numFmtId="188" xfId="0">
      <alignment horizontal="center" vertical="center"/>
    </xf>
    <xf applyAlignment="true" applyBorder="false" applyFill="true" applyFont="true" applyNumberFormat="true" applyProtection="false" borderId="64" fillId="33" fontId="4" numFmtId="190" xfId="0">
      <alignment horizontal="center" vertical="center"/>
    </xf>
    <xf applyAlignment="true" applyBorder="false" applyFill="false" applyFont="true" applyNumberFormat="true" applyProtection="false" borderId="72" fillId="0" fontId="4" numFmtId="188" xfId="0">
      <alignment horizontal="center" vertical="center"/>
    </xf>
    <xf applyAlignment="true" applyBorder="false" applyFill="false" applyFont="true" applyNumberFormat="true" applyProtection="false" borderId="52" fillId="0" fontId="4" numFmtId="186" xfId="0">
      <alignment horizontal="center" vertical="center"/>
    </xf>
    <xf applyAlignment="true" applyBorder="false" applyFill="false" applyFont="true" applyNumberFormat="true" applyProtection="false" borderId="52" fillId="0" fontId="4" numFmtId="182" xfId="0">
      <alignment horizontal="center" vertical="center"/>
    </xf>
    <xf applyAlignment="true" applyBorder="false" applyFill="false" applyFont="true" applyNumberFormat="true" applyProtection="false" borderId="61" fillId="0" fontId="4" numFmtId="182" xfId="0">
      <alignment horizontal="center" vertical="center"/>
    </xf>
    <xf applyAlignment="true" applyBorder="false" applyFill="false" applyFont="true" applyNumberFormat="true" applyProtection="false" borderId="53" fillId="0" fontId="4" numFmtId="182" xfId="0">
      <alignment horizontal="center" vertical="bottom"/>
    </xf>
    <xf applyAlignment="true" applyBorder="false" applyFill="false" applyFont="true" applyNumberFormat="true" applyProtection="false" borderId="52" fillId="0" fontId="6" numFmtId="183" xfId="0">
      <alignment horizontal="center" vertical="center"/>
    </xf>
    <xf applyAlignment="true" applyBorder="false" applyFill="false" applyFont="true" applyNumberFormat="true" applyProtection="false" borderId="52" fillId="0" fontId="4" numFmtId="183" xfId="0">
      <alignment horizontal="center" vertical="bottom"/>
    </xf>
    <xf applyAlignment="true" applyBorder="false" applyFill="false" applyFont="true" applyNumberFormat="false" applyProtection="false" borderId="52" fillId="0" fontId="4" numFmtId="0" xfId="0">
      <alignment horizontal="center" vertical="bottom"/>
    </xf>
    <xf applyAlignment="true" applyBorder="false" applyFill="true" applyFont="true" applyNumberFormat="true" applyProtection="false" borderId="66" fillId="26" fontId="1" numFmtId="182" xfId="0">
      <alignment horizontal="center" vertical="center"/>
    </xf>
    <xf applyAlignment="true" applyBorder="false" applyFill="true" applyFont="true" applyNumberFormat="false" applyProtection="false" borderId="66" fillId="26" fontId="1" numFmtId="0" xfId="0">
      <alignment horizontal="center" vertical="center"/>
    </xf>
    <xf applyAlignment="true" applyBorder="false" applyFill="true" applyFont="true" applyNumberFormat="true" applyProtection="false" borderId="66" fillId="26" fontId="1" numFmtId="185" xfId="0">
      <alignment horizontal="center" vertical="center"/>
    </xf>
    <xf applyAlignment="true" applyBorder="false" applyFill="true" applyFont="true" applyNumberFormat="true" applyProtection="false" borderId="66" fillId="27" fontId="1" numFmtId="182" xfId="0">
      <alignment horizontal="center" vertical="center"/>
    </xf>
    <xf applyAlignment="true" applyBorder="false" applyFill="true" applyFont="true" applyNumberFormat="true" applyProtection="false" borderId="60" fillId="27" fontId="1" numFmtId="186" xfId="0">
      <alignment horizontal="center" vertical="center"/>
    </xf>
    <xf applyAlignment="true" applyBorder="false" applyFill="false" applyFont="true" applyNumberFormat="true" applyProtection="false" borderId="70" fillId="0" fontId="4" numFmtId="186" xfId="0">
      <alignment horizontal="center" vertical="center"/>
    </xf>
    <xf applyAlignment="true" applyBorder="false" applyFill="true" applyFont="true" applyNumberFormat="true" applyProtection="false" borderId="70" fillId="31" fontId="1" numFmtId="186" xfId="0">
      <alignment horizontal="center" vertical="center"/>
    </xf>
    <xf applyAlignment="true" applyBorder="false" applyFill="true" applyFont="true" applyNumberFormat="true" applyProtection="false" borderId="66" fillId="33" fontId="4" numFmtId="190" xfId="0">
      <alignment horizontal="center" vertical="center"/>
    </xf>
    <xf applyAlignment="true" applyBorder="false" applyFill="true" applyFont="true" applyNumberFormat="true" applyProtection="false" borderId="69" fillId="30" fontId="6" numFmtId="189" xfId="0">
      <alignment horizontal="center" vertical="center"/>
    </xf>
    <xf applyAlignment="true" applyBorder="false" applyFill="false" applyFont="true" applyNumberFormat="true" applyProtection="false" borderId="69" fillId="0" fontId="4" numFmtId="186" xfId="0">
      <alignment horizontal="center" vertical="center"/>
    </xf>
    <xf applyAlignment="true" applyBorder="false" applyFill="false" applyFont="true" applyNumberFormat="true" applyProtection="false" borderId="69" fillId="0" fontId="4" numFmtId="182" xfId="0">
      <alignment horizontal="center" vertical="center"/>
    </xf>
    <xf applyAlignment="true" applyBorder="false" applyFill="false" applyFont="true" applyNumberFormat="false" applyProtection="false" borderId="66" fillId="0" fontId="4" numFmtId="0" xfId="0">
      <alignment horizontal="center" vertical="bottom"/>
    </xf>
    <xf applyAlignment="true" applyBorder="false" applyFill="true" applyFont="true" applyNumberFormat="false" applyProtection="false" borderId="59" fillId="25" fontId="1" numFmtId="0" xfId="0">
      <alignment horizontal="center" vertical="center"/>
    </xf>
    <xf applyAlignment="true" applyBorder="false" applyFill="false" applyFont="true" applyNumberFormat="true" applyProtection="false" borderId="62" fillId="0" fontId="4" numFmtId="187" xfId="0">
      <alignment horizontal="center" vertical="center"/>
    </xf>
    <xf applyAlignment="true" applyBorder="false" applyFill="true" applyFont="true" applyNumberFormat="true" applyProtection="false" borderId="73" fillId="32" fontId="6" numFmtId="188" xfId="0">
      <alignment horizontal="center" vertical="center"/>
    </xf>
    <xf applyAlignment="true" applyBorder="false" applyFill="true" applyFont="true" applyNumberFormat="false" applyProtection="false" borderId="66" fillId="26" fontId="1" numFmtId="0" xfId="0">
      <alignment horizontal="center" vertical="center"/>
    </xf>
    <xf applyAlignment="true" applyBorder="false" applyFill="true" applyFont="true" applyNumberFormat="true" applyProtection="false" borderId="68" fillId="26" fontId="1" numFmtId="182" xfId="0">
      <alignment horizontal="center" vertical="center"/>
    </xf>
    <xf applyAlignment="true" applyBorder="false" applyFill="true" applyFont="true" applyNumberFormat="true" applyProtection="false" borderId="47" fillId="33" fontId="4" numFmtId="190" xfId="0">
      <alignment horizontal="center" vertical="center"/>
    </xf>
    <xf applyAlignment="true" applyBorder="false" applyFill="false" applyFont="true" applyNumberFormat="true" applyProtection="false" borderId="47" fillId="0" fontId="4" numFmtId="186" xfId="0">
      <alignment horizontal="center" vertical="center"/>
    </xf>
    <xf applyAlignment="true" applyBorder="false" applyFill="false" applyFont="true" applyNumberFormat="true" applyProtection="false" borderId="47" fillId="0" fontId="4" numFmtId="182" xfId="0">
      <alignment horizontal="center" vertical="center"/>
    </xf>
    <xf applyAlignment="true" applyBorder="false" applyFill="false" applyFont="true" applyNumberFormat="true" applyProtection="false" borderId="47" fillId="0" fontId="4" numFmtId="182" xfId="0">
      <alignment horizontal="center" vertical="bottom"/>
    </xf>
    <xf applyAlignment="true" applyBorder="false" applyFill="false" applyFont="true" applyNumberFormat="true" applyProtection="false" borderId="47" fillId="0" fontId="6" numFmtId="183" xfId="0">
      <alignment horizontal="center" vertical="center"/>
    </xf>
    <xf applyAlignment="true" applyBorder="false" applyFill="false" applyFont="true" applyNumberFormat="true" applyProtection="false" borderId="47" fillId="0" fontId="4" numFmtId="183" xfId="0">
      <alignment horizontal="center" vertical="bottom"/>
    </xf>
    <xf applyAlignment="true" applyBorder="false" applyFill="false" applyFont="true" applyNumberFormat="false" applyProtection="false" borderId="47" fillId="0" fontId="4" numFmtId="0" xfId="0">
      <alignment horizontal="center" vertical="bottom"/>
    </xf>
    <xf applyAlignment="true" applyBorder="false" applyFill="true" applyFont="true" applyNumberFormat="true" applyProtection="false" borderId="47" fillId="26" fontId="2" numFmtId="183" xfId="0">
      <alignment horizontal="center" vertical="center"/>
    </xf>
    <xf applyAlignment="true" applyBorder="false" applyFill="true" applyFont="true" applyNumberFormat="true" applyProtection="false" borderId="47" fillId="26" fontId="2" numFmtId="184" xfId="0">
      <alignment horizontal="center" vertical="center"/>
    </xf>
    <xf applyAlignment="true" applyBorder="false" applyFill="true" applyFont="true" applyNumberFormat="true" applyProtection="false" borderId="47" fillId="28" fontId="3" numFmtId="185" xfId="0">
      <alignment horizontal="center" vertical="center"/>
    </xf>
    <xf applyAlignment="true" applyBorder="false" applyFill="true" applyFont="true" applyNumberFormat="false" applyProtection="false" borderId="62" fillId="25" fontId="1" numFmtId="0" xfId="0">
      <alignment horizontal="center" vertical="center"/>
    </xf>
    <xf applyAlignment="true" applyBorder="false" applyFill="true" applyFont="true" applyNumberFormat="true" applyProtection="false" borderId="62" fillId="26" fontId="1" numFmtId="182" xfId="0">
      <alignment horizontal="center" vertical="center"/>
    </xf>
    <xf applyAlignment="true" applyBorder="false" applyFill="true" applyFont="true" applyNumberFormat="true" applyProtection="false" borderId="47" fillId="27" fontId="1" numFmtId="182" xfId="0">
      <alignment horizontal="center" vertical="center"/>
    </xf>
    <xf applyAlignment="true" applyBorder="false" applyFill="false" applyFont="true" applyNumberFormat="true" applyProtection="false" borderId="59" fillId="0" fontId="4" numFmtId="183" xfId="0">
      <alignment horizontal="center" vertical="center"/>
    </xf>
    <xf applyAlignment="true" applyBorder="false" applyFill="true" applyFont="true" applyNumberFormat="true" applyProtection="false" borderId="59" fillId="29" fontId="4" numFmtId="184" xfId="0">
      <alignment horizontal="center" vertical="center"/>
    </xf>
    <xf applyAlignment="true" applyBorder="false" applyFill="false" applyFont="true" applyNumberFormat="false" applyProtection="false" borderId="59" fillId="0" fontId="3" numFmtId="0" xfId="0">
      <alignment horizontal="center" vertical="center"/>
    </xf>
    <xf applyAlignment="true" applyBorder="false" applyFill="false" applyFont="true" applyNumberFormat="false" applyProtection="false" borderId="47" fillId="0" fontId="3" numFmtId="0" xfId="0">
      <alignment horizontal="center" vertical="center"/>
    </xf>
    <xf applyAlignment="true" applyBorder="false" applyFill="true" applyFont="true" applyNumberFormat="true" applyProtection="false" borderId="47" fillId="33" fontId="4" numFmtId="190" xfId="0">
      <alignment horizontal="center" vertical="center"/>
    </xf>
    <xf applyAlignment="true" applyBorder="false" applyFill="false" applyFont="true" applyNumberFormat="true" applyProtection="false" borderId="48" fillId="0" fontId="4" numFmtId="186" xfId="0">
      <alignment horizontal="center" vertical="center"/>
    </xf>
    <xf applyAlignment="true" applyBorder="false" applyFill="true" applyFont="true" applyNumberFormat="true" applyProtection="false" borderId="47" fillId="31" fontId="1" numFmtId="186" xfId="0">
      <alignment horizontal="center" vertical="center"/>
    </xf>
    <xf applyAlignment="true" applyBorder="false" applyFill="true" applyFont="true" applyNumberFormat="true" applyProtection="false" borderId="47" fillId="31" fontId="1" numFmtId="182" xfId="0">
      <alignment horizontal="center" vertical="center"/>
    </xf>
    <xf applyAlignment="true" applyBorder="false" applyFill="true" applyFont="true" applyNumberFormat="true" applyProtection="false" borderId="48" fillId="31" fontId="1" numFmtId="186" xfId="0">
      <alignment horizontal="center" vertical="center"/>
    </xf>
    <xf applyAlignment="true" applyBorder="false" applyFill="true" applyFont="true" applyNumberFormat="true" applyProtection="false" borderId="47" fillId="31" fontId="1" numFmtId="182" xfId="0">
      <alignment horizontal="center" vertical="bottom"/>
    </xf>
    <xf applyAlignment="true" applyBorder="false" applyFill="true" applyFont="true" applyNumberFormat="true" applyProtection="false" borderId="47" fillId="31" fontId="6" numFmtId="183" xfId="0">
      <alignment horizontal="center" vertical="center"/>
    </xf>
    <xf applyAlignment="true" applyBorder="false" applyFill="true" applyFont="true" applyNumberFormat="false" applyProtection="false" borderId="65" fillId="25" fontId="1" numFmtId="0" xfId="0">
      <alignment horizontal="center" vertical="center"/>
    </xf>
    <xf applyAlignment="true" applyBorder="false" applyFill="false" applyFont="true" applyNumberFormat="true" applyProtection="false" borderId="66" fillId="0" fontId="5" numFmtId="187" xfId="0">
      <alignment horizontal="center" vertical="center"/>
    </xf>
    <xf applyAlignment="true" applyBorder="false" applyFill="true" applyFont="true" applyNumberFormat="true" applyProtection="false" borderId="48" fillId="33" fontId="4" numFmtId="190" xfId="0">
      <alignment horizontal="center" vertical="center"/>
    </xf>
    <xf applyAlignment="true" applyBorder="false" applyFill="false" applyFont="true" applyNumberFormat="true" applyProtection="false" borderId="66" fillId="0" fontId="5" numFmtId="187" xfId="0">
      <alignment horizontal="center" vertical="center"/>
    </xf>
    <xf applyAlignment="true" applyBorder="false" applyFill="true" applyFont="true" applyNumberFormat="true" applyProtection="false" borderId="48" fillId="33" fontId="4" numFmtId="190" xfId="0">
      <alignment horizontal="center" vertical="center"/>
    </xf>
    <xf applyAlignment="true" applyBorder="false" applyFill="true" applyFont="true" applyNumberFormat="true" applyProtection="false" borderId="70" fillId="33" fontId="4" numFmtId="190" xfId="0">
      <alignment horizontal="center" vertical="center"/>
    </xf>
    <xf applyAlignment="true" applyBorder="false" applyFill="true" applyFont="true" applyNumberFormat="true" applyProtection="false" borderId="70" fillId="33" fontId="4" numFmtId="190" xfId="0">
      <alignment horizontal="center" vertical="center"/>
    </xf>
    <xf applyAlignment="true" applyBorder="false" applyFill="true" applyFont="true" applyNumberFormat="true" applyProtection="false" borderId="72" fillId="33" fontId="4" numFmtId="190" xfId="0">
      <alignment horizontal="center" vertical="center"/>
    </xf>
    <xf applyAlignment="true" applyBorder="false" applyFill="true" applyFont="true" applyNumberFormat="true" applyProtection="false" borderId="48" fillId="32" fontId="6" numFmtId="188" xfId="0">
      <alignment horizontal="center" vertical="center"/>
    </xf>
    <xf applyAlignment="true" applyBorder="false" applyFill="false" applyFont="true" applyNumberFormat="false" applyProtection="false" borderId="47" fillId="0" fontId="4" numFmtId="0" xfId="0">
      <alignment horizontal="center" vertical="bottom"/>
    </xf>
    <xf applyAlignment="true" applyBorder="false" applyFill="true" applyFont="true" applyNumberFormat="true" applyProtection="false" borderId="0" fillId="34" fontId="28" numFmtId="188" xfId="0">
      <alignment horizontal="center" vertical="center" wrapText="true"/>
    </xf>
    <xf applyAlignment="true" applyBorder="false" applyFill="false" applyFont="true" applyNumberFormat="true" applyProtection="false" borderId="56" fillId="0" fontId="4" numFmtId="188" xfId="0">
      <alignment horizontal="center" vertical="center"/>
    </xf>
    <xf applyAlignment="true" applyBorder="false" applyFill="false" applyFont="true" applyNumberFormat="false" applyProtection="false" borderId="0" fillId="0" fontId="31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true" applyFont="true" applyNumberFormat="false" applyProtection="false" borderId="0" fillId="34" fontId="32" numFmtId="0" xfId="0">
      <alignment horizontal="right"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74" fillId="34" fontId="20" numFmtId="0" xfId="0">
      <alignment horizontal="right" vertical="center" wrapText="true"/>
    </xf>
    <xf applyAlignment="true" applyBorder="false" applyFill="true" applyFont="true" applyNumberFormat="false" applyProtection="false" borderId="0" fillId="34" fontId="28" numFmtId="0" xfId="0">
      <alignment horizontal="right" vertical="center" wrapText="true"/>
    </xf>
    <xf applyAlignment="true" applyBorder="false" applyFill="false" applyFont="true" applyNumberFormat="false" applyProtection="false" borderId="0" fillId="0" fontId="3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8" min="8" style="0" width="11.211267605633802"/>
    <col collapsed="false" customWidth="true" hidden="false" max="9" min="9" style="0" width="11.211267605633802"/>
  </cols>
  <sheetData>
    <row r="1">
      <c r="A1" s="1" t="s">
        <v>1</v>
      </c>
      <c r="B1" s="1"/>
      <c r="C1" s="1"/>
      <c r="D1" s="2" t="s">
        <v>2</v>
      </c>
      <c r="E1" s="2"/>
      <c r="F1" s="2"/>
      <c r="G1" s="2"/>
      <c r="H1" s="2"/>
      <c r="I1" s="2"/>
      <c r="J1" s="2"/>
      <c r="K1" s="3" t="s">
        <v>3</v>
      </c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5"/>
      <c r="Y1" s="5"/>
      <c r="Z1" s="5"/>
      <c r="AA1" s="5"/>
      <c r="AB1" s="5"/>
      <c r="AC1" s="5"/>
      <c r="AD1" s="5"/>
      <c r="AE1" s="6" t="s">
        <v>4</v>
      </c>
      <c r="AF1" s="7"/>
      <c r="AG1" s="7"/>
    </row>
    <row r="2">
      <c r="A2" s="1" t="s">
        <v>5</v>
      </c>
      <c r="B2" s="1" t="s">
        <v>6</v>
      </c>
      <c r="C2" s="1" t="s">
        <v>7</v>
      </c>
      <c r="D2" s="2" t="s">
        <v>8</v>
      </c>
      <c r="E2" s="8" t="s">
        <v>9</v>
      </c>
      <c r="F2" s="8" t="s">
        <v>10</v>
      </c>
      <c r="G2" s="9" t="s">
        <v>11</v>
      </c>
      <c r="H2" s="10" t="s">
        <v>12</v>
      </c>
      <c r="I2" s="2" t="s">
        <v>13</v>
      </c>
      <c r="J2" s="8" t="s">
        <v>14</v>
      </c>
      <c r="K2" s="3" t="s">
        <v>15</v>
      </c>
      <c r="L2" s="3" t="s">
        <v>16</v>
      </c>
      <c r="M2" s="11" t="s">
        <v>17</v>
      </c>
      <c r="N2" s="11" t="s">
        <v>18</v>
      </c>
      <c r="O2" s="3" t="s">
        <v>19</v>
      </c>
      <c r="P2" s="11" t="s">
        <v>20</v>
      </c>
      <c r="Q2" s="11" t="s">
        <v>21</v>
      </c>
      <c r="R2" s="3" t="s">
        <v>22</v>
      </c>
      <c r="S2" s="11" t="s">
        <v>23</v>
      </c>
      <c r="T2" s="3" t="s">
        <v>24</v>
      </c>
      <c r="U2" s="12" t="s">
        <v>25</v>
      </c>
      <c r="V2" s="12" t="s">
        <v>26</v>
      </c>
      <c r="W2" s="12" t="s">
        <v>27</v>
      </c>
      <c r="X2" s="13" t="s">
        <v>28</v>
      </c>
      <c r="Y2" s="14" t="s">
        <v>29</v>
      </c>
      <c r="Z2" s="14" t="s">
        <v>30</v>
      </c>
      <c r="AA2" s="14" t="s">
        <v>31</v>
      </c>
      <c r="AB2" s="14" t="s">
        <v>32</v>
      </c>
      <c r="AC2" s="14" t="s">
        <v>33</v>
      </c>
      <c r="AD2" s="14" t="s">
        <v>34</v>
      </c>
      <c r="AE2" s="6"/>
      <c r="AF2" s="7"/>
      <c r="AG2" s="7"/>
    </row>
    <row r="3">
      <c r="A3" s="15">
        <v>46296</v>
      </c>
      <c r="B3" s="16" t="s">
        <v>35</v>
      </c>
      <c r="C3" s="17" t="s">
        <v>36</v>
      </c>
      <c r="D3" s="18">
        <f t="shared" ref="D3:D6" si="109">E3+F3+G3</f>
      </c>
      <c r="E3" s="19">
        <v>2000</v>
      </c>
      <c r="F3" s="20">
        <v>1000</v>
      </c>
      <c r="G3" s="20">
        <v>0</v>
      </c>
      <c r="H3" s="19">
        <v>2</v>
      </c>
      <c r="I3" s="19">
        <v>1110.2400000000002</v>
      </c>
      <c r="J3" s="21">
        <f t="shared" ref="J3:J86" si="0">I3/D3</f>
      </c>
      <c r="K3" s="22">
        <f t="shared" ref="K3:K58" si="32">Z3/Y3</f>
      </c>
      <c r="L3" s="23">
        <f t="shared" ref="L3:L58" si="76">D3/AA3</f>
      </c>
      <c r="M3" s="24">
        <f t="shared" ref="M3:M58" si="43">AB3/AA3</f>
      </c>
      <c r="N3" s="22">
        <f t="shared" ref="N3:N58" si="168">AC3/AA3</f>
      </c>
      <c r="O3" s="23">
        <f t="shared" ref="O3:O58" si="10">D3/AC3</f>
      </c>
      <c r="P3" s="22">
        <f t="shared" ref="P3:P58" si="54">AD3/AC3</f>
      </c>
      <c r="Q3" s="22">
        <f t="shared" ref="Q3:Q58" si="87">H3/AD3</f>
      </c>
      <c r="R3" s="23">
        <f t="shared" ref="R3:R58" si="179">D3/H3</f>
      </c>
      <c r="S3" s="25">
        <f t="shared" ref="S3:S58" si="21">I3/H3</f>
      </c>
      <c r="T3" s="23">
        <f t="shared" ref="T3:T58" si="65">D3/X3</f>
      </c>
      <c r="U3" s="26">
        <f t="shared" ref="U3:U58" si="98">AE3*1000/D3</f>
      </c>
      <c r="V3" s="27" t="s">
        <v>37</v>
      </c>
      <c r="W3" s="28" t="s">
        <v>38</v>
      </c>
      <c r="X3" s="19">
        <v>1</v>
      </c>
      <c r="Y3" s="29">
        <v>11489</v>
      </c>
      <c r="Z3" s="29">
        <v>671</v>
      </c>
      <c r="AA3" s="29">
        <v>1088</v>
      </c>
      <c r="AB3" s="29">
        <v>240</v>
      </c>
      <c r="AC3" s="30">
        <v>35</v>
      </c>
      <c r="AD3" s="30">
        <v>2</v>
      </c>
      <c r="AE3" s="31">
        <v>27</v>
      </c>
      <c r="AF3" s="32"/>
      <c r="AG3" s="7"/>
    </row>
    <row r="4">
      <c r="A4" s="15"/>
      <c r="B4" s="33" t="s">
        <v>39</v>
      </c>
      <c r="C4" s="17" t="s">
        <v>36</v>
      </c>
      <c r="D4" s="29">
        <f t="shared" si="109"/>
      </c>
      <c r="E4" s="19">
        <v>957.94</v>
      </c>
      <c r="F4" s="19">
        <v>253.76</v>
      </c>
      <c r="G4" s="19">
        <v>0</v>
      </c>
      <c r="H4" s="19">
        <v>0</v>
      </c>
      <c r="I4" s="19">
        <v>0</v>
      </c>
      <c r="J4" s="21">
        <f t="shared" si="0"/>
      </c>
      <c r="K4" s="22">
        <f t="shared" si="32"/>
      </c>
      <c r="L4" s="23">
        <f t="shared" si="76"/>
      </c>
      <c r="M4" s="24">
        <f t="shared" si="43"/>
      </c>
      <c r="N4" s="22">
        <f t="shared" si="168"/>
      </c>
      <c r="O4" s="23">
        <f t="shared" si="10"/>
      </c>
      <c r="P4" s="22">
        <f t="shared" si="54"/>
      </c>
      <c r="Q4" s="22">
        <f t="shared" si="87"/>
      </c>
      <c r="R4" s="23">
        <f t="shared" si="179"/>
      </c>
      <c r="S4" s="25">
        <f t="shared" si="21"/>
      </c>
      <c r="T4" s="23">
        <f t="shared" si="65"/>
      </c>
      <c r="U4" s="26">
        <f t="shared" si="98"/>
      </c>
      <c r="V4" s="27" t="s">
        <v>37</v>
      </c>
      <c r="W4" s="28" t="s">
        <v>38</v>
      </c>
      <c r="X4" s="34">
        <v>0</v>
      </c>
      <c r="Y4" s="29">
        <v>4564</v>
      </c>
      <c r="Z4" s="29">
        <v>287</v>
      </c>
      <c r="AA4" s="29">
        <v>340</v>
      </c>
      <c r="AB4" s="29">
        <v>84</v>
      </c>
      <c r="AC4" s="29">
        <v>8</v>
      </c>
      <c r="AD4" s="30">
        <v>0</v>
      </c>
      <c r="AE4" s="31">
        <v>10</v>
      </c>
      <c r="AF4" s="32"/>
      <c r="AG4" s="7"/>
    </row>
    <row r="5">
      <c r="A5" s="15"/>
      <c r="B5" s="35" t="s">
        <v>40</v>
      </c>
      <c r="C5" s="17" t="s">
        <v>36</v>
      </c>
      <c r="D5" s="29">
        <f t="shared" si="109"/>
      </c>
      <c r="E5" s="29">
        <v>897.02</v>
      </c>
      <c r="F5" s="29">
        <v>1652.07</v>
      </c>
      <c r="G5" s="19">
        <v>0</v>
      </c>
      <c r="H5" s="19">
        <v>1</v>
      </c>
      <c r="I5" s="19">
        <v>2837.4</v>
      </c>
      <c r="J5" s="21">
        <f t="shared" si="0"/>
      </c>
      <c r="K5" s="22">
        <f t="shared" si="32"/>
      </c>
      <c r="L5" s="23">
        <f t="shared" si="76"/>
      </c>
      <c r="M5" s="24">
        <f t="shared" si="43"/>
      </c>
      <c r="N5" s="22">
        <f t="shared" si="168"/>
      </c>
      <c r="O5" s="23">
        <f t="shared" si="10"/>
      </c>
      <c r="P5" s="22">
        <f t="shared" si="54"/>
      </c>
      <c r="Q5" s="22">
        <f t="shared" si="87"/>
      </c>
      <c r="R5" s="23">
        <f t="shared" si="179"/>
      </c>
      <c r="S5" s="25">
        <f t="shared" si="21"/>
      </c>
      <c r="T5" s="23">
        <f t="shared" si="65"/>
      </c>
      <c r="U5" s="26">
        <f t="shared" si="98"/>
      </c>
      <c r="V5" s="27" t="s">
        <v>37</v>
      </c>
      <c r="W5" s="28" t="s">
        <v>38</v>
      </c>
      <c r="X5" s="36">
        <v>1</v>
      </c>
      <c r="Y5" s="29">
        <v>8261</v>
      </c>
      <c r="Z5" s="29">
        <v>586</v>
      </c>
      <c r="AA5" s="29">
        <v>892</v>
      </c>
      <c r="AB5" s="29">
        <v>192</v>
      </c>
      <c r="AC5" s="29">
        <v>35</v>
      </c>
      <c r="AD5" s="30">
        <v>2</v>
      </c>
      <c r="AE5" s="31">
        <v>17</v>
      </c>
      <c r="AF5" s="32"/>
      <c r="AG5" s="7"/>
    </row>
    <row r="6">
      <c r="A6" s="15"/>
      <c r="B6" s="37" t="s">
        <v>41</v>
      </c>
      <c r="C6" s="17" t="s">
        <v>36</v>
      </c>
      <c r="D6" s="29">
        <f t="shared" si="109"/>
      </c>
      <c r="E6" s="29">
        <v>2778.7799999999997</v>
      </c>
      <c r="F6" s="19">
        <v>1628.8</v>
      </c>
      <c r="G6" s="19">
        <v>0</v>
      </c>
      <c r="H6" s="19">
        <v>10</v>
      </c>
      <c r="I6" s="19">
        <v>18750.839999999997</v>
      </c>
      <c r="J6" s="21">
        <f t="shared" si="0"/>
      </c>
      <c r="K6" s="22">
        <f t="shared" si="32"/>
      </c>
      <c r="L6" s="23">
        <f t="shared" si="76"/>
      </c>
      <c r="M6" s="24">
        <f t="shared" si="43"/>
      </c>
      <c r="N6" s="22">
        <f t="shared" si="168"/>
      </c>
      <c r="O6" s="23">
        <f t="shared" si="10"/>
      </c>
      <c r="P6" s="22">
        <f t="shared" si="54"/>
      </c>
      <c r="Q6" s="22">
        <f t="shared" si="87"/>
      </c>
      <c r="R6" s="23">
        <f t="shared" si="179"/>
      </c>
      <c r="S6" s="25">
        <f t="shared" si="21"/>
      </c>
      <c r="T6" s="23">
        <f t="shared" si="65"/>
      </c>
      <c r="U6" s="26">
        <f t="shared" si="98"/>
      </c>
      <c r="V6" s="27" t="s">
        <v>37</v>
      </c>
      <c r="W6" s="28" t="s">
        <v>38</v>
      </c>
      <c r="X6" s="34">
        <v>9</v>
      </c>
      <c r="Y6" s="29">
        <v>10981</v>
      </c>
      <c r="Z6" s="29">
        <v>951</v>
      </c>
      <c r="AA6" s="29">
        <v>1401</v>
      </c>
      <c r="AB6" s="29">
        <v>401</v>
      </c>
      <c r="AC6" s="29">
        <v>47</v>
      </c>
      <c r="AD6" s="30">
        <v>12</v>
      </c>
      <c r="AE6" s="31">
        <v>30</v>
      </c>
      <c r="AF6" s="32"/>
      <c r="AG6" s="7"/>
    </row>
    <row r="7">
      <c r="A7" s="15"/>
      <c r="B7" s="38" t="s">
        <v>42</v>
      </c>
      <c r="C7" s="38"/>
      <c r="D7" s="39">
        <f>D3+D4+D5+D6</f>
      </c>
      <c r="E7" s="39">
        <f>SUM(E3:E6)</f>
      </c>
      <c r="F7" s="39">
        <f>SUM(F3:F6)</f>
      </c>
      <c r="G7" s="39">
        <f>SUM(G3:G6)</f>
      </c>
      <c r="H7" s="39">
        <f>SUM(H3:H6)</f>
      </c>
      <c r="I7" s="39">
        <f>SUM(I3:I6)</f>
      </c>
      <c r="J7" s="40">
        <f t="shared" si="0"/>
      </c>
      <c r="K7" s="41">
        <f t="shared" si="32"/>
      </c>
      <c r="L7" s="42">
        <f t="shared" si="76"/>
      </c>
      <c r="M7" s="43">
        <f t="shared" si="43"/>
      </c>
      <c r="N7" s="41">
        <f t="shared" si="168"/>
      </c>
      <c r="O7" s="42">
        <f t="shared" si="10"/>
      </c>
      <c r="P7" s="41">
        <f t="shared" si="54"/>
      </c>
      <c r="Q7" s="41">
        <f t="shared" si="87"/>
      </c>
      <c r="R7" s="42">
        <f t="shared" si="179"/>
      </c>
      <c r="S7" s="44">
        <f t="shared" si="21"/>
      </c>
      <c r="T7" s="42">
        <f t="shared" si="65"/>
      </c>
      <c r="U7" s="45">
        <f t="shared" si="98"/>
      </c>
      <c r="V7" s="45"/>
      <c r="W7" s="45"/>
      <c r="X7" s="46">
        <f>SUM(X3:X6)</f>
      </c>
      <c r="Y7" s="39">
        <f>SUM(Y3:Y6)</f>
      </c>
      <c r="Z7" s="39">
        <f>SUM(Z3:Z6)</f>
      </c>
      <c r="AA7" s="39">
        <f>SUM(AA3:AA6)</f>
      </c>
      <c r="AB7" s="39">
        <f>SUM(AB3:AB6)</f>
      </c>
      <c r="AC7" s="39">
        <f>SUM(AC3:AC6)</f>
      </c>
      <c r="AD7" s="39">
        <f>SUM(AD3:AD6)</f>
      </c>
      <c r="AE7" s="39">
        <f>SUM(AE3:AE6)</f>
      </c>
      <c r="AF7" s="7"/>
      <c r="AG7" s="7"/>
    </row>
    <row r="8">
      <c r="A8" s="15"/>
      <c r="B8" s="35" t="s">
        <v>43</v>
      </c>
      <c r="C8" s="17" t="s">
        <v>44</v>
      </c>
      <c r="D8" s="29">
        <f t="shared" ref="D8:D11" si="110">E8+F8+G8</f>
      </c>
      <c r="E8" s="29">
        <v>1482.53</v>
      </c>
      <c r="F8" s="29">
        <v>3810.64</v>
      </c>
      <c r="G8" s="19">
        <v>0</v>
      </c>
      <c r="H8" s="19">
        <v>5</v>
      </c>
      <c r="I8" s="19">
        <v>10539.839999999997</v>
      </c>
      <c r="J8" s="21">
        <f t="shared" si="0"/>
      </c>
      <c r="K8" s="22">
        <f t="shared" si="32"/>
      </c>
      <c r="L8" s="23">
        <f t="shared" si="76"/>
      </c>
      <c r="M8" s="24">
        <f t="shared" si="43"/>
      </c>
      <c r="N8" s="22">
        <f t="shared" si="168"/>
      </c>
      <c r="O8" s="23">
        <f t="shared" si="10"/>
      </c>
      <c r="P8" s="22">
        <f t="shared" si="54"/>
      </c>
      <c r="Q8" s="22">
        <f t="shared" si="87"/>
      </c>
      <c r="R8" s="23">
        <f t="shared" si="179"/>
      </c>
      <c r="S8" s="25">
        <f t="shared" si="21"/>
      </c>
      <c r="T8" s="23">
        <f t="shared" si="65"/>
      </c>
      <c r="U8" s="26">
        <f t="shared" si="98"/>
      </c>
      <c r="V8" s="27" t="s">
        <v>37</v>
      </c>
      <c r="W8" s="28" t="s">
        <v>38</v>
      </c>
      <c r="X8" s="34">
        <v>5</v>
      </c>
      <c r="Y8" s="19">
        <v>14151</v>
      </c>
      <c r="Z8" s="19">
        <v>1490</v>
      </c>
      <c r="AA8" s="29">
        <v>2538</v>
      </c>
      <c r="AB8" s="19">
        <v>688</v>
      </c>
      <c r="AC8" s="19">
        <v>60</v>
      </c>
      <c r="AD8" s="30">
        <v>7</v>
      </c>
      <c r="AE8" s="31">
        <v>60</v>
      </c>
      <c r="AF8" s="32"/>
      <c r="AG8" s="7"/>
    </row>
    <row r="9">
      <c r="A9" s="15"/>
      <c r="B9" s="35" t="s">
        <v>45</v>
      </c>
      <c r="C9" s="17" t="s">
        <v>44</v>
      </c>
      <c r="D9" s="29">
        <f t="shared" si="110"/>
      </c>
      <c r="E9" s="19">
        <v>2076.8199999999997</v>
      </c>
      <c r="F9" s="29">
        <v>3132.48</v>
      </c>
      <c r="G9" s="19">
        <v>0</v>
      </c>
      <c r="H9" s="19">
        <v>2</v>
      </c>
      <c r="I9" s="29">
        <v>8141.520000000004</v>
      </c>
      <c r="J9" s="21">
        <f t="shared" si="0"/>
      </c>
      <c r="K9" s="22">
        <f t="shared" si="32"/>
      </c>
      <c r="L9" s="23">
        <f t="shared" si="76"/>
      </c>
      <c r="M9" s="24">
        <f t="shared" si="43"/>
      </c>
      <c r="N9" s="22">
        <f t="shared" si="168"/>
      </c>
      <c r="O9" s="23">
        <f t="shared" si="10"/>
      </c>
      <c r="P9" s="22">
        <f t="shared" si="54"/>
      </c>
      <c r="Q9" s="22">
        <f t="shared" si="87"/>
      </c>
      <c r="R9" s="23">
        <f t="shared" si="179"/>
      </c>
      <c r="S9" s="25">
        <f t="shared" si="21"/>
      </c>
      <c r="T9" s="23">
        <f t="shared" si="65"/>
      </c>
      <c r="U9" s="26">
        <f t="shared" si="98"/>
      </c>
      <c r="V9" s="27" t="s">
        <v>37</v>
      </c>
      <c r="W9" s="28" t="s">
        <v>38</v>
      </c>
      <c r="X9" s="34">
        <v>1</v>
      </c>
      <c r="Y9" s="19">
        <v>11533</v>
      </c>
      <c r="Z9" s="19">
        <v>1307</v>
      </c>
      <c r="AA9" s="19">
        <v>2172</v>
      </c>
      <c r="AB9" s="19">
        <v>639</v>
      </c>
      <c r="AC9" s="19">
        <v>58</v>
      </c>
      <c r="AD9" s="30">
        <v>3</v>
      </c>
      <c r="AE9" s="31">
        <v>52</v>
      </c>
      <c r="AF9" s="32"/>
      <c r="AG9" s="7"/>
    </row>
    <row r="10">
      <c r="A10" s="15"/>
      <c r="B10" s="35" t="s">
        <v>46</v>
      </c>
      <c r="C10" s="17" t="s">
        <v>44</v>
      </c>
      <c r="D10" s="29">
        <f t="shared" si="110"/>
      </c>
      <c r="E10" s="29">
        <v>1456.01</v>
      </c>
      <c r="F10" s="19">
        <v>4536.94</v>
      </c>
      <c r="G10" s="19">
        <v>0</v>
      </c>
      <c r="H10" s="19">
        <v>6</v>
      </c>
      <c r="I10" s="19">
        <v>13571.64</v>
      </c>
      <c r="J10" s="21">
        <f t="shared" si="0"/>
      </c>
      <c r="K10" s="22">
        <f t="shared" si="32"/>
      </c>
      <c r="L10" s="23">
        <f t="shared" si="76"/>
      </c>
      <c r="M10" s="24">
        <f t="shared" si="43"/>
      </c>
      <c r="N10" s="22">
        <f t="shared" si="168"/>
      </c>
      <c r="O10" s="23">
        <f t="shared" si="10"/>
      </c>
      <c r="P10" s="22">
        <f t="shared" si="54"/>
      </c>
      <c r="Q10" s="22">
        <f t="shared" si="87"/>
      </c>
      <c r="R10" s="23">
        <f t="shared" si="179"/>
      </c>
      <c r="S10" s="25">
        <f t="shared" si="21"/>
      </c>
      <c r="T10" s="23">
        <f t="shared" si="65"/>
      </c>
      <c r="U10" s="26">
        <f t="shared" si="98"/>
      </c>
      <c r="V10" s="27" t="s">
        <v>37</v>
      </c>
      <c r="W10" s="28" t="s">
        <v>38</v>
      </c>
      <c r="X10" s="34">
        <v>5</v>
      </c>
      <c r="Y10" s="19">
        <v>14604</v>
      </c>
      <c r="Z10" s="19">
        <v>1815</v>
      </c>
      <c r="AA10" s="19">
        <v>2997</v>
      </c>
      <c r="AB10" s="19">
        <v>811</v>
      </c>
      <c r="AC10" s="19">
        <v>47</v>
      </c>
      <c r="AD10" s="30">
        <v>8</v>
      </c>
      <c r="AE10" s="31">
        <v>45</v>
      </c>
      <c r="AF10" s="32"/>
      <c r="AG10" s="7"/>
    </row>
    <row r="11">
      <c r="A11" s="15"/>
      <c r="B11" s="35" t="s">
        <v>47</v>
      </c>
      <c r="C11" s="17" t="s">
        <v>44</v>
      </c>
      <c r="D11" s="29">
        <f t="shared" si="110"/>
      </c>
      <c r="E11" s="29">
        <v>1365.08</v>
      </c>
      <c r="F11" s="19">
        <v>6458.74</v>
      </c>
      <c r="G11" s="19">
        <v>0</v>
      </c>
      <c r="H11" s="19">
        <v>3</v>
      </c>
      <c r="I11" s="19">
        <v>4602</v>
      </c>
      <c r="J11" s="21">
        <f t="shared" si="0"/>
      </c>
      <c r="K11" s="22">
        <f t="shared" si="32"/>
      </c>
      <c r="L11" s="23">
        <f t="shared" si="76"/>
      </c>
      <c r="M11" s="24">
        <f t="shared" si="43"/>
      </c>
      <c r="N11" s="22">
        <f t="shared" si="168"/>
      </c>
      <c r="O11" s="23">
        <f t="shared" si="10"/>
      </c>
      <c r="P11" s="22">
        <f t="shared" si="54"/>
      </c>
      <c r="Q11" s="22">
        <f t="shared" si="87"/>
      </c>
      <c r="R11" s="23">
        <f t="shared" si="179"/>
      </c>
      <c r="S11" s="25">
        <f t="shared" si="21"/>
      </c>
      <c r="T11" s="23">
        <f t="shared" si="65"/>
      </c>
      <c r="U11" s="26">
        <f t="shared" si="98"/>
      </c>
      <c r="V11" s="27" t="s">
        <v>37</v>
      </c>
      <c r="W11" s="28" t="s">
        <v>38</v>
      </c>
      <c r="X11" s="34">
        <v>4</v>
      </c>
      <c r="Y11" s="19">
        <v>13972</v>
      </c>
      <c r="Z11" s="19">
        <v>2603</v>
      </c>
      <c r="AA11" s="19">
        <v>4206</v>
      </c>
      <c r="AB11" s="19">
        <v>1298</v>
      </c>
      <c r="AC11" s="19">
        <v>44</v>
      </c>
      <c r="AD11" s="30">
        <v>9</v>
      </c>
      <c r="AE11" s="31">
        <v>81</v>
      </c>
      <c r="AF11" s="32"/>
      <c r="AG11" s="7"/>
    </row>
    <row r="12">
      <c r="A12" s="15"/>
      <c r="B12" s="38" t="s">
        <v>42</v>
      </c>
      <c r="C12" s="38"/>
      <c r="D12" s="39">
        <f>SUM(D8:D11)</f>
      </c>
      <c r="E12" s="39">
        <f>SUM(E8:E11)</f>
      </c>
      <c r="F12" s="39">
        <f>SUM(F8:F11)</f>
      </c>
      <c r="G12" s="39">
        <f>SUM(G8:G11)</f>
      </c>
      <c r="H12" s="39">
        <f>SUM(H8:H11)</f>
      </c>
      <c r="I12" s="39">
        <f>SUM(I8:I11)</f>
      </c>
      <c r="J12" s="40">
        <f t="shared" si="0"/>
      </c>
      <c r="K12" s="41">
        <f t="shared" si="32"/>
      </c>
      <c r="L12" s="42">
        <f t="shared" si="76"/>
      </c>
      <c r="M12" s="43">
        <f t="shared" si="43"/>
      </c>
      <c r="N12" s="41">
        <f t="shared" si="168"/>
      </c>
      <c r="O12" s="42">
        <f t="shared" si="10"/>
      </c>
      <c r="P12" s="41">
        <f t="shared" si="54"/>
      </c>
      <c r="Q12" s="41">
        <f t="shared" si="87"/>
      </c>
      <c r="R12" s="42">
        <f t="shared" si="179"/>
      </c>
      <c r="S12" s="44">
        <f t="shared" si="21"/>
      </c>
      <c r="T12" s="42">
        <f t="shared" si="65"/>
      </c>
      <c r="U12" s="45">
        <f t="shared" si="98"/>
      </c>
      <c r="V12" s="45"/>
      <c r="W12" s="45"/>
      <c r="X12" s="46">
        <f>SUM(X8:X11)</f>
      </c>
      <c r="Y12" s="47">
        <f>SUM(Y8:Y11)</f>
      </c>
      <c r="Z12" s="47">
        <f>SUM(Z8:Z11)</f>
      </c>
      <c r="AA12" s="47">
        <f>SUM(AA8:AA11)</f>
      </c>
      <c r="AB12" s="47">
        <f>SUM(AB8:AB11)</f>
      </c>
      <c r="AC12" s="47">
        <f>SUM(AC8:AC11)</f>
      </c>
      <c r="AD12" s="47">
        <f>SUM(AD8:AD11)</f>
      </c>
      <c r="AE12" s="47">
        <f>SUM(AE8:AE11)</f>
      </c>
      <c r="AF12" s="7"/>
      <c r="AG12" s="7"/>
    </row>
    <row r="13">
      <c r="A13" s="15"/>
      <c r="B13" s="16" t="s">
        <v>48</v>
      </c>
      <c r="C13" s="17" t="s">
        <v>49</v>
      </c>
      <c r="D13" s="29">
        <f t="shared" ref="D13:D16" si="111">E13+F13+G13</f>
      </c>
      <c r="E13" s="19">
        <v>651.82</v>
      </c>
      <c r="F13" s="19">
        <v>5238.97</v>
      </c>
      <c r="G13" s="19">
        <v>0</v>
      </c>
      <c r="H13" s="19">
        <v>1</v>
      </c>
      <c r="I13" s="19">
        <v>5882.1600000000035</v>
      </c>
      <c r="J13" s="21">
        <f t="shared" si="0"/>
      </c>
      <c r="K13" s="22">
        <f t="shared" si="32"/>
      </c>
      <c r="L13" s="23">
        <f t="shared" si="76"/>
      </c>
      <c r="M13" s="24">
        <f t="shared" si="43"/>
      </c>
      <c r="N13" s="22">
        <f t="shared" si="168"/>
      </c>
      <c r="O13" s="23">
        <f t="shared" si="10"/>
      </c>
      <c r="P13" s="22">
        <f t="shared" si="54"/>
      </c>
      <c r="Q13" s="22">
        <f t="shared" si="87"/>
      </c>
      <c r="R13" s="23">
        <f t="shared" si="179"/>
      </c>
      <c r="S13" s="25">
        <f t="shared" si="21"/>
      </c>
      <c r="T13" s="23">
        <f t="shared" si="65"/>
      </c>
      <c r="U13" s="26">
        <f t="shared" si="98"/>
      </c>
      <c r="V13" s="27" t="s">
        <v>37</v>
      </c>
      <c r="W13" s="28" t="s">
        <v>50</v>
      </c>
      <c r="X13" s="19">
        <v>1</v>
      </c>
      <c r="Y13" s="19">
        <v>11061</v>
      </c>
      <c r="Z13" s="19">
        <v>1724</v>
      </c>
      <c r="AA13" s="29">
        <v>3194</v>
      </c>
      <c r="AB13" s="19">
        <v>892</v>
      </c>
      <c r="AC13" s="30">
        <v>57</v>
      </c>
      <c r="AD13" s="30">
        <v>3</v>
      </c>
      <c r="AE13" s="31">
        <v>40</v>
      </c>
      <c r="AF13" s="32"/>
      <c r="AG13" s="7"/>
    </row>
    <row r="14">
      <c r="A14" s="15"/>
      <c r="B14" s="48" t="s">
        <v>51</v>
      </c>
      <c r="C14" s="17" t="s">
        <v>49</v>
      </c>
      <c r="D14" s="29">
        <f t="shared" si="111"/>
      </c>
      <c r="E14" s="29">
        <v>1668.1599999999999</v>
      </c>
      <c r="F14" s="19">
        <v>2410.13</v>
      </c>
      <c r="G14" s="19">
        <v>0</v>
      </c>
      <c r="H14" s="19">
        <v>0</v>
      </c>
      <c r="I14" s="19">
        <v>0</v>
      </c>
      <c r="J14" s="21">
        <f t="shared" si="0"/>
      </c>
      <c r="K14" s="22">
        <f t="shared" si="32"/>
      </c>
      <c r="L14" s="23">
        <f t="shared" si="76"/>
      </c>
      <c r="M14" s="24">
        <f t="shared" si="43"/>
      </c>
      <c r="N14" s="22">
        <f t="shared" si="168"/>
      </c>
      <c r="O14" s="23">
        <f t="shared" si="10"/>
      </c>
      <c r="P14" s="22">
        <f t="shared" si="54"/>
      </c>
      <c r="Q14" s="22">
        <f t="shared" si="87"/>
      </c>
      <c r="R14" s="23">
        <f t="shared" si="179"/>
      </c>
      <c r="S14" s="25">
        <f t="shared" si="21"/>
      </c>
      <c r="T14" s="23">
        <f t="shared" si="65"/>
      </c>
      <c r="U14" s="26">
        <f t="shared" si="98"/>
      </c>
      <c r="V14" s="27" t="s">
        <v>37</v>
      </c>
      <c r="W14" s="28" t="s">
        <v>50</v>
      </c>
      <c r="X14" s="34">
        <v>0</v>
      </c>
      <c r="Y14" s="29">
        <v>11209</v>
      </c>
      <c r="Z14" s="29">
        <v>950</v>
      </c>
      <c r="AA14" s="29">
        <v>1597</v>
      </c>
      <c r="AB14" s="29">
        <v>346</v>
      </c>
      <c r="AC14" s="29">
        <v>32</v>
      </c>
      <c r="AD14" s="30">
        <v>1</v>
      </c>
      <c r="AE14" s="31">
        <v>16</v>
      </c>
      <c r="AF14" s="7"/>
      <c r="AG14" s="7"/>
    </row>
    <row r="15">
      <c r="A15" s="15"/>
      <c r="B15" s="49" t="s">
        <v>52</v>
      </c>
      <c r="C15" s="17" t="s">
        <v>49</v>
      </c>
      <c r="D15" s="29">
        <f t="shared" si="111"/>
      </c>
      <c r="E15" s="19">
        <v>1842.02</v>
      </c>
      <c r="F15" s="19">
        <v>1591.35</v>
      </c>
      <c r="G15" s="19">
        <v>0</v>
      </c>
      <c r="H15" s="19">
        <v>2</v>
      </c>
      <c r="I15" s="19">
        <v>3835.0800000000017</v>
      </c>
      <c r="J15" s="21">
        <f t="shared" si="0"/>
      </c>
      <c r="K15" s="22">
        <f t="shared" si="32"/>
      </c>
      <c r="L15" s="23">
        <f t="shared" si="76"/>
      </c>
      <c r="M15" s="24">
        <f t="shared" si="43"/>
      </c>
      <c r="N15" s="22">
        <f t="shared" si="168"/>
      </c>
      <c r="O15" s="23">
        <f t="shared" si="10"/>
      </c>
      <c r="P15" s="22">
        <f t="shared" si="54"/>
      </c>
      <c r="Q15" s="22">
        <f t="shared" si="87"/>
      </c>
      <c r="R15" s="23">
        <f t="shared" si="179"/>
      </c>
      <c r="S15" s="25">
        <f t="shared" si="21"/>
      </c>
      <c r="T15" s="23">
        <f t="shared" si="65"/>
      </c>
      <c r="U15" s="26">
        <f t="shared" si="98"/>
      </c>
      <c r="V15" s="27" t="s">
        <v>37</v>
      </c>
      <c r="W15" s="28" t="s">
        <v>50</v>
      </c>
      <c r="X15" s="34">
        <v>1</v>
      </c>
      <c r="Y15" s="29">
        <v>12246</v>
      </c>
      <c r="Z15" s="29">
        <v>992</v>
      </c>
      <c r="AA15" s="29">
        <v>1608</v>
      </c>
      <c r="AB15" s="29">
        <v>391</v>
      </c>
      <c r="AC15" s="29">
        <v>46</v>
      </c>
      <c r="AD15" s="30">
        <v>3</v>
      </c>
      <c r="AE15" s="31">
        <v>33</v>
      </c>
      <c r="AF15" s="7"/>
      <c r="AG15" s="7"/>
    </row>
    <row r="16">
      <c r="A16" s="15"/>
      <c r="B16" s="37" t="s">
        <v>53</v>
      </c>
      <c r="C16" s="17" t="s">
        <v>49</v>
      </c>
      <c r="D16" s="29">
        <f t="shared" si="111"/>
      </c>
      <c r="E16" s="19">
        <v>1045.87</v>
      </c>
      <c r="F16" s="19">
        <v>3018.01</v>
      </c>
      <c r="G16" s="19">
        <v>0</v>
      </c>
      <c r="H16" s="19">
        <v>7</v>
      </c>
      <c r="I16" s="19">
        <v>18159.72</v>
      </c>
      <c r="J16" s="21">
        <f t="shared" si="0"/>
      </c>
      <c r="K16" s="22">
        <f t="shared" si="32"/>
      </c>
      <c r="L16" s="23">
        <f t="shared" si="76"/>
      </c>
      <c r="M16" s="24">
        <f t="shared" si="43"/>
      </c>
      <c r="N16" s="22">
        <f t="shared" si="168"/>
      </c>
      <c r="O16" s="23">
        <f t="shared" si="10"/>
      </c>
      <c r="P16" s="22">
        <f t="shared" si="54"/>
      </c>
      <c r="Q16" s="22">
        <f t="shared" si="87"/>
      </c>
      <c r="R16" s="23">
        <f t="shared" si="179"/>
      </c>
      <c r="S16" s="25">
        <f t="shared" si="21"/>
      </c>
      <c r="T16" s="23">
        <f t="shared" si="65"/>
      </c>
      <c r="U16" s="26">
        <f t="shared" si="98"/>
      </c>
      <c r="V16" s="27" t="s">
        <v>37</v>
      </c>
      <c r="W16" s="28" t="s">
        <v>50</v>
      </c>
      <c r="X16" s="36">
        <v>3</v>
      </c>
      <c r="Y16" s="29">
        <v>11059</v>
      </c>
      <c r="Z16" s="29">
        <v>1128</v>
      </c>
      <c r="AA16" s="29">
        <v>1896</v>
      </c>
      <c r="AB16" s="29">
        <v>458</v>
      </c>
      <c r="AC16" s="29">
        <v>37</v>
      </c>
      <c r="AD16" s="30">
        <v>8</v>
      </c>
      <c r="AE16" s="31">
        <v>34</v>
      </c>
      <c r="AF16" s="7"/>
      <c r="AG16" s="7"/>
    </row>
    <row r="17">
      <c r="A17" s="15"/>
      <c r="B17" s="38" t="s">
        <v>42</v>
      </c>
      <c r="C17" s="38"/>
      <c r="D17" s="39">
        <f>SUM(D13:D16)</f>
      </c>
      <c r="E17" s="39">
        <f>SUM(E13:E16)</f>
      </c>
      <c r="F17" s="39">
        <f>SUM(F13:F16)</f>
      </c>
      <c r="G17" s="39">
        <f>SUM(G13:G16)</f>
      </c>
      <c r="H17" s="39">
        <f>SUM(H13:H16)</f>
      </c>
      <c r="I17" s="39">
        <f>SUM(I13:I16)</f>
      </c>
      <c r="J17" s="40">
        <f t="shared" si="0"/>
      </c>
      <c r="K17" s="41">
        <f t="shared" si="32"/>
      </c>
      <c r="L17" s="42">
        <f t="shared" si="76"/>
      </c>
      <c r="M17" s="43">
        <f t="shared" si="43"/>
      </c>
      <c r="N17" s="41">
        <f t="shared" si="168"/>
      </c>
      <c r="O17" s="42">
        <f t="shared" si="10"/>
      </c>
      <c r="P17" s="41">
        <f t="shared" si="54"/>
      </c>
      <c r="Q17" s="41">
        <f t="shared" si="87"/>
      </c>
      <c r="R17" s="42">
        <f t="shared" si="179"/>
      </c>
      <c r="S17" s="44">
        <f t="shared" si="21"/>
      </c>
      <c r="T17" s="42">
        <f t="shared" si="65"/>
      </c>
      <c r="U17" s="45">
        <f t="shared" si="98"/>
      </c>
      <c r="V17" s="45"/>
      <c r="W17" s="45"/>
      <c r="X17" s="46">
        <f>SUM(X13:X16)</f>
      </c>
      <c r="Y17" s="39">
        <f>SUM(Y13:Y16)</f>
      </c>
      <c r="Z17" s="39">
        <f>SUM(Z13:Z16)</f>
      </c>
      <c r="AA17" s="39">
        <f>SUM(AA13:AA16)</f>
      </c>
      <c r="AB17" s="39">
        <f>SUM(AB13:AB16)</f>
      </c>
      <c r="AC17" s="39">
        <f>SUM(AC13:AC16)</f>
      </c>
      <c r="AD17" s="39">
        <f>SUM(AD13:AD16)</f>
      </c>
      <c r="AE17" s="39">
        <f>SUM(AE13:AE16)</f>
      </c>
      <c r="AF17" s="7"/>
      <c r="AG17" s="7"/>
    </row>
    <row r="18">
      <c r="A18" s="15"/>
      <c r="B18" s="35" t="s">
        <v>54</v>
      </c>
      <c r="C18" s="17" t="s">
        <v>55</v>
      </c>
      <c r="D18" s="29">
        <f t="shared" ref="D18:D21" si="112">E18+F18+G18</f>
      </c>
      <c r="E18" s="19">
        <v>1919.3200000000002</v>
      </c>
      <c r="F18" s="19">
        <v>3667.13</v>
      </c>
      <c r="G18" s="19">
        <v>0</v>
      </c>
      <c r="H18" s="19">
        <v>2</v>
      </c>
      <c r="I18" s="19">
        <v>5627.880000000005</v>
      </c>
      <c r="J18" s="21">
        <f t="shared" si="0"/>
      </c>
      <c r="K18" s="22">
        <f t="shared" si="32"/>
      </c>
      <c r="L18" s="23">
        <f t="shared" si="76"/>
      </c>
      <c r="M18" s="24">
        <f t="shared" si="43"/>
      </c>
      <c r="N18" s="22">
        <f t="shared" si="168"/>
      </c>
      <c r="O18" s="23">
        <f t="shared" si="10"/>
      </c>
      <c r="P18" s="22">
        <f t="shared" si="54"/>
      </c>
      <c r="Q18" s="22">
        <f t="shared" si="87"/>
      </c>
      <c r="R18" s="23">
        <f t="shared" si="179"/>
      </c>
      <c r="S18" s="25">
        <f t="shared" si="21"/>
      </c>
      <c r="T18" s="23">
        <f t="shared" si="65"/>
      </c>
      <c r="U18" s="26">
        <f t="shared" si="98"/>
      </c>
      <c r="V18" s="27" t="s">
        <v>37</v>
      </c>
      <c r="W18" s="28" t="s">
        <v>50</v>
      </c>
      <c r="X18" s="19">
        <v>3</v>
      </c>
      <c r="Y18" s="29">
        <v>15398</v>
      </c>
      <c r="Z18" s="29">
        <v>1510</v>
      </c>
      <c r="AA18" s="29">
        <v>2478</v>
      </c>
      <c r="AB18" s="29">
        <v>572</v>
      </c>
      <c r="AC18" s="30">
        <v>80</v>
      </c>
      <c r="AD18" s="30">
        <v>7</v>
      </c>
      <c r="AE18" s="31">
        <v>44</v>
      </c>
      <c r="AF18" s="7"/>
      <c r="AG18" s="7"/>
    </row>
    <row r="19">
      <c r="A19" s="15"/>
      <c r="B19" s="50" t="s">
        <v>56</v>
      </c>
      <c r="C19" s="17" t="s">
        <v>55</v>
      </c>
      <c r="D19" s="29">
        <f t="shared" si="112"/>
      </c>
      <c r="E19" s="19">
        <v>1990.63</v>
      </c>
      <c r="F19" s="19">
        <v>5912.1</v>
      </c>
      <c r="G19" s="19">
        <v>0</v>
      </c>
      <c r="H19" s="19">
        <v>7</v>
      </c>
      <c r="I19" s="19">
        <v>32191.79999999999</v>
      </c>
      <c r="J19" s="21">
        <f t="shared" si="0"/>
      </c>
      <c r="K19" s="22">
        <f t="shared" si="32"/>
      </c>
      <c r="L19" s="23">
        <f t="shared" si="76"/>
      </c>
      <c r="M19" s="24">
        <f t="shared" si="43"/>
      </c>
      <c r="N19" s="22">
        <f t="shared" si="168"/>
      </c>
      <c r="O19" s="23">
        <f t="shared" si="10"/>
      </c>
      <c r="P19" s="22">
        <f t="shared" si="54"/>
      </c>
      <c r="Q19" s="22">
        <f t="shared" si="87"/>
      </c>
      <c r="R19" s="23">
        <f t="shared" si="179"/>
      </c>
      <c r="S19" s="25">
        <f t="shared" si="21"/>
      </c>
      <c r="T19" s="23">
        <f t="shared" si="65"/>
      </c>
      <c r="U19" s="26">
        <f t="shared" si="98"/>
      </c>
      <c r="V19" s="27" t="s">
        <v>37</v>
      </c>
      <c r="W19" s="28" t="s">
        <v>50</v>
      </c>
      <c r="X19" s="34">
        <v>7</v>
      </c>
      <c r="Y19" s="29">
        <v>20582</v>
      </c>
      <c r="Z19" s="29">
        <v>2067</v>
      </c>
      <c r="AA19" s="29">
        <v>3396</v>
      </c>
      <c r="AB19" s="29">
        <v>740</v>
      </c>
      <c r="AC19" s="29">
        <v>109</v>
      </c>
      <c r="AD19" s="30">
        <v>13</v>
      </c>
      <c r="AE19" s="51">
        <v>61</v>
      </c>
      <c r="AF19" s="7"/>
      <c r="AG19" s="7"/>
    </row>
    <row r="20">
      <c r="A20" s="15"/>
      <c r="B20" s="18" t="s">
        <v>57</v>
      </c>
      <c r="C20" s="17" t="s">
        <v>55</v>
      </c>
      <c r="D20" s="29">
        <f t="shared" si="112"/>
      </c>
      <c r="E20" s="19">
        <v>1999.1399999999999</v>
      </c>
      <c r="F20" s="19">
        <v>4583.79</v>
      </c>
      <c r="G20" s="19">
        <v>0</v>
      </c>
      <c r="H20" s="19">
        <v>5</v>
      </c>
      <c r="I20" s="19">
        <v>10852.559999999998</v>
      </c>
      <c r="J20" s="21">
        <f t="shared" si="0"/>
      </c>
      <c r="K20" s="22">
        <f t="shared" si="32"/>
      </c>
      <c r="L20" s="23">
        <f t="shared" si="76"/>
      </c>
      <c r="M20" s="24">
        <f t="shared" si="43"/>
      </c>
      <c r="N20" s="22">
        <f t="shared" si="168"/>
      </c>
      <c r="O20" s="23">
        <f t="shared" si="10"/>
      </c>
      <c r="P20" s="22">
        <f t="shared" si="54"/>
      </c>
      <c r="Q20" s="22">
        <f t="shared" si="87"/>
      </c>
      <c r="R20" s="23">
        <f t="shared" si="179"/>
      </c>
      <c r="S20" s="25">
        <f t="shared" si="21"/>
      </c>
      <c r="T20" s="23">
        <f t="shared" si="65"/>
      </c>
      <c r="U20" s="26">
        <f t="shared" si="98"/>
      </c>
      <c r="V20" s="27" t="s">
        <v>37</v>
      </c>
      <c r="W20" s="28" t="s">
        <v>50</v>
      </c>
      <c r="X20" s="34">
        <v>5</v>
      </c>
      <c r="Y20" s="29">
        <v>24267</v>
      </c>
      <c r="Z20" s="29">
        <v>2027</v>
      </c>
      <c r="AA20" s="29">
        <v>3141</v>
      </c>
      <c r="AB20" s="29">
        <v>591</v>
      </c>
      <c r="AC20" s="19">
        <v>94</v>
      </c>
      <c r="AD20" s="30">
        <v>9</v>
      </c>
      <c r="AE20" s="31">
        <v>55</v>
      </c>
      <c r="AF20" s="7"/>
      <c r="AG20" s="7"/>
    </row>
    <row r="21">
      <c r="A21" s="15"/>
      <c r="B21" s="50" t="s">
        <v>58</v>
      </c>
      <c r="C21" s="17" t="s">
        <v>55</v>
      </c>
      <c r="D21" s="29">
        <f t="shared" si="112"/>
      </c>
      <c r="E21" s="19">
        <v>622.77</v>
      </c>
      <c r="F21" s="19">
        <v>2812.77</v>
      </c>
      <c r="G21" s="19">
        <v>0</v>
      </c>
      <c r="H21" s="19">
        <v>2</v>
      </c>
      <c r="I21" s="19">
        <v>4707.4800000000105</v>
      </c>
      <c r="J21" s="21">
        <f t="shared" si="0"/>
      </c>
      <c r="K21" s="22">
        <f t="shared" si="32"/>
      </c>
      <c r="L21" s="23">
        <f t="shared" si="76"/>
      </c>
      <c r="M21" s="24">
        <f t="shared" si="43"/>
      </c>
      <c r="N21" s="22">
        <f t="shared" si="168"/>
      </c>
      <c r="O21" s="23">
        <f t="shared" si="10"/>
      </c>
      <c r="P21" s="22">
        <f t="shared" si="54"/>
      </c>
      <c r="Q21" s="22">
        <f t="shared" si="87"/>
      </c>
      <c r="R21" s="23">
        <f t="shared" si="179"/>
      </c>
      <c r="S21" s="25">
        <f t="shared" si="21"/>
      </c>
      <c r="T21" s="23">
        <f t="shared" si="65"/>
      </c>
      <c r="U21" s="26">
        <f t="shared" si="98"/>
      </c>
      <c r="V21" s="27" t="s">
        <v>37</v>
      </c>
      <c r="W21" s="28" t="s">
        <v>50</v>
      </c>
      <c r="X21" s="34">
        <v>2</v>
      </c>
      <c r="Y21" s="29">
        <v>13013</v>
      </c>
      <c r="Z21" s="29">
        <v>1245</v>
      </c>
      <c r="AA21" s="29">
        <v>2024</v>
      </c>
      <c r="AB21" s="29">
        <v>393</v>
      </c>
      <c r="AC21" s="19">
        <v>45</v>
      </c>
      <c r="AD21" s="30">
        <v>6</v>
      </c>
      <c r="AE21" s="51">
        <v>30</v>
      </c>
      <c r="AF21" s="7"/>
      <c r="AG21" s="7"/>
    </row>
    <row r="22">
      <c r="A22" s="15"/>
      <c r="B22" s="38" t="s">
        <v>42</v>
      </c>
      <c r="C22" s="38"/>
      <c r="D22" s="39">
        <f>SUM(D18:D21)</f>
      </c>
      <c r="E22" s="39">
        <f>SUM(E18:E21)</f>
      </c>
      <c r="F22" s="39">
        <f>SUM(F18:F21)</f>
      </c>
      <c r="G22" s="39">
        <f>SUM(G18:G21)</f>
      </c>
      <c r="H22" s="39">
        <f>SUM(H18:H21)</f>
      </c>
      <c r="I22" s="39">
        <f>SUM(I18:I21)</f>
      </c>
      <c r="J22" s="40">
        <f t="shared" si="0"/>
      </c>
      <c r="K22" s="41">
        <f t="shared" si="32"/>
      </c>
      <c r="L22" s="42">
        <f t="shared" si="76"/>
      </c>
      <c r="M22" s="43">
        <f t="shared" si="43"/>
      </c>
      <c r="N22" s="41">
        <f t="shared" si="168"/>
      </c>
      <c r="O22" s="42">
        <f t="shared" si="10"/>
      </c>
      <c r="P22" s="41">
        <f t="shared" si="54"/>
      </c>
      <c r="Q22" s="41">
        <f t="shared" si="87"/>
      </c>
      <c r="R22" s="42">
        <f t="shared" si="179"/>
      </c>
      <c r="S22" s="44">
        <f t="shared" si="21"/>
      </c>
      <c r="T22" s="42">
        <f t="shared" si="65"/>
      </c>
      <c r="U22" s="45">
        <f t="shared" si="98"/>
      </c>
      <c r="V22" s="45"/>
      <c r="W22" s="45"/>
      <c r="X22" s="46">
        <f>SUM(X18:X21)</f>
      </c>
      <c r="Y22" s="47">
        <f>SUM(Y18:Y21)</f>
      </c>
      <c r="Z22" s="47">
        <f>SUM(Z18:Z21)</f>
      </c>
      <c r="AA22" s="47">
        <f>SUM(AA18:AA21)</f>
      </c>
      <c r="AB22" s="47">
        <f>SUM(AB18:AB21)</f>
      </c>
      <c r="AC22" s="47">
        <f>SUM(AC18:AC21)</f>
      </c>
      <c r="AD22" s="47">
        <f>SUM(AD18:AD21)</f>
      </c>
      <c r="AE22" s="47">
        <f>SUM(AE18:AE21)</f>
      </c>
      <c r="AF22" s="7"/>
      <c r="AG22" s="7"/>
    </row>
    <row r="23">
      <c r="A23" s="15"/>
      <c r="B23" s="52" t="s">
        <v>59</v>
      </c>
      <c r="C23" s="52"/>
      <c r="D23" s="53">
        <f>D7+D12+D17+D22</f>
      </c>
      <c r="E23" s="54">
        <f>E7+E12+E17+E22</f>
      </c>
      <c r="F23" s="55">
        <f>F7+F12+F17+F22</f>
      </c>
      <c r="G23" s="55">
        <f>G7+G12+G17+G22</f>
      </c>
      <c r="H23" s="53">
        <f>H7+H12+H17+H22</f>
      </c>
      <c r="I23" s="53">
        <f>I7+I12+I17+I22</f>
      </c>
      <c r="J23" s="56">
        <f t="shared" si="0"/>
      </c>
      <c r="K23" s="57">
        <f t="shared" si="32"/>
      </c>
      <c r="L23" s="58">
        <f t="shared" si="76"/>
      </c>
      <c r="M23" s="59">
        <f t="shared" si="43"/>
      </c>
      <c r="N23" s="59">
        <f t="shared" si="168"/>
      </c>
      <c r="O23" s="58">
        <f t="shared" si="10"/>
      </c>
      <c r="P23" s="59">
        <f t="shared" si="54"/>
      </c>
      <c r="Q23" s="59">
        <f t="shared" si="87"/>
      </c>
      <c r="R23" s="58">
        <f t="shared" si="179"/>
      </c>
      <c r="S23" s="60">
        <f t="shared" si="21"/>
      </c>
      <c r="T23" s="58">
        <f t="shared" si="65"/>
      </c>
      <c r="U23" s="61">
        <f t="shared" si="98"/>
      </c>
      <c r="V23" s="61"/>
      <c r="W23" s="61"/>
      <c r="X23" s="56">
        <f>X7+X12+X17+X22</f>
      </c>
      <c r="Y23" s="56">
        <f>Y7+Y12+Y17+Y22</f>
      </c>
      <c r="Z23" s="56">
        <f>Z7+Z12+Z17+Z22</f>
      </c>
      <c r="AA23" s="56">
        <f>AA7+AA12+AA17+AA22</f>
      </c>
      <c r="AB23" s="56">
        <f>AB7+AB12+AB17+AB22</f>
      </c>
      <c r="AC23" s="56">
        <f>AC7+AC12+AC17+AC22</f>
      </c>
      <c r="AD23" s="62">
        <f>AD7+AD12+AD17+AD22</f>
      </c>
      <c r="AE23" s="55">
        <f>AE7+AE12+AE17+AE22</f>
      </c>
      <c r="AF23" s="7"/>
      <c r="AG23" s="7"/>
    </row>
    <row r="24">
      <c r="A24" s="15">
        <v>46297</v>
      </c>
      <c r="B24" s="16" t="s">
        <v>35</v>
      </c>
      <c r="C24" s="17" t="s">
        <v>36</v>
      </c>
      <c r="D24" s="18">
        <f t="shared" ref="D24:D27" si="113">E24+F24+G24</f>
      </c>
      <c r="E24" s="19">
        <v>1000</v>
      </c>
      <c r="F24" s="20">
        <v>1000</v>
      </c>
      <c r="G24" s="20">
        <v>0</v>
      </c>
      <c r="H24" s="19">
        <v>1</v>
      </c>
      <c r="I24" s="19">
        <v>1216.08</v>
      </c>
      <c r="J24" s="21">
        <f t="shared" si="0"/>
      </c>
      <c r="K24" s="22">
        <f t="shared" si="32"/>
      </c>
      <c r="L24" s="23">
        <f t="shared" si="76"/>
      </c>
      <c r="M24" s="24">
        <f t="shared" si="43"/>
      </c>
      <c r="N24" s="22">
        <f t="shared" si="168"/>
      </c>
      <c r="O24" s="23">
        <f t="shared" si="10"/>
      </c>
      <c r="P24" s="22">
        <f t="shared" si="54"/>
      </c>
      <c r="Q24" s="22">
        <f t="shared" si="87"/>
      </c>
      <c r="R24" s="23">
        <f t="shared" si="179"/>
      </c>
      <c r="S24" s="25">
        <f t="shared" si="21"/>
      </c>
      <c r="T24" s="23">
        <f t="shared" si="65"/>
      </c>
      <c r="U24" s="26">
        <f t="shared" si="98"/>
      </c>
      <c r="V24" s="27" t="s">
        <v>37</v>
      </c>
      <c r="W24" s="28" t="s">
        <v>38</v>
      </c>
      <c r="X24" s="19">
        <v>1</v>
      </c>
      <c r="Y24" s="29">
        <v>6802</v>
      </c>
      <c r="Z24" s="29">
        <v>639</v>
      </c>
      <c r="AA24" s="29">
        <v>1070</v>
      </c>
      <c r="AB24" s="29">
        <v>254</v>
      </c>
      <c r="AC24" s="30">
        <v>35</v>
      </c>
      <c r="AD24" s="30">
        <v>2</v>
      </c>
      <c r="AE24" s="31">
        <v>33</v>
      </c>
      <c r="AF24" s="32"/>
      <c r="AG24" s="7"/>
    </row>
    <row r="25">
      <c r="A25" s="15"/>
      <c r="B25" s="33" t="s">
        <v>39</v>
      </c>
      <c r="C25" s="17" t="s">
        <v>36</v>
      </c>
      <c r="D25" s="29">
        <f t="shared" si="113"/>
      </c>
      <c r="E25" s="19">
        <v>2000</v>
      </c>
      <c r="F25" s="19">
        <v>842.3</v>
      </c>
      <c r="G25" s="19">
        <v>0</v>
      </c>
      <c r="H25" s="19">
        <v>4</v>
      </c>
      <c r="I25" s="19">
        <v>8366.4</v>
      </c>
      <c r="J25" s="21">
        <f t="shared" si="0"/>
      </c>
      <c r="K25" s="22">
        <f t="shared" si="32"/>
      </c>
      <c r="L25" s="23">
        <f t="shared" si="76"/>
      </c>
      <c r="M25" s="24">
        <f t="shared" si="43"/>
      </c>
      <c r="N25" s="22">
        <f t="shared" si="168"/>
      </c>
      <c r="O25" s="23">
        <f t="shared" si="10"/>
      </c>
      <c r="P25" s="22">
        <f t="shared" si="54"/>
      </c>
      <c r="Q25" s="22">
        <f t="shared" si="87"/>
      </c>
      <c r="R25" s="23">
        <f t="shared" si="179"/>
      </c>
      <c r="S25" s="25">
        <f t="shared" si="21"/>
      </c>
      <c r="T25" s="23">
        <f t="shared" si="65"/>
      </c>
      <c r="U25" s="26">
        <f t="shared" si="98"/>
      </c>
      <c r="V25" s="27" t="s">
        <v>37</v>
      </c>
      <c r="W25" s="28" t="s">
        <v>38</v>
      </c>
      <c r="X25" s="34">
        <v>3</v>
      </c>
      <c r="Y25" s="29">
        <v>6840</v>
      </c>
      <c r="Z25" s="29">
        <v>482</v>
      </c>
      <c r="AA25" s="29">
        <v>580</v>
      </c>
      <c r="AB25" s="29">
        <v>168</v>
      </c>
      <c r="AC25" s="29">
        <v>38</v>
      </c>
      <c r="AD25" s="30">
        <v>5</v>
      </c>
      <c r="AE25" s="31">
        <v>23</v>
      </c>
      <c r="AF25" s="32"/>
      <c r="AG25" s="7"/>
    </row>
    <row r="26">
      <c r="A26" s="15"/>
      <c r="B26" s="35" t="s">
        <v>40</v>
      </c>
      <c r="C26" s="17" t="s">
        <v>36</v>
      </c>
      <c r="D26" s="29">
        <f t="shared" si="113"/>
      </c>
      <c r="E26" s="29">
        <v>2487.37</v>
      </c>
      <c r="F26" s="29">
        <v>157.7</v>
      </c>
      <c r="G26" s="19">
        <v>0</v>
      </c>
      <c r="H26" s="19">
        <v>2</v>
      </c>
      <c r="I26" s="19">
        <v>6216.6799999999985</v>
      </c>
      <c r="J26" s="21">
        <f t="shared" si="0"/>
      </c>
      <c r="K26" s="22">
        <f t="shared" si="32"/>
      </c>
      <c r="L26" s="23">
        <f t="shared" si="76"/>
      </c>
      <c r="M26" s="24">
        <f t="shared" si="43"/>
      </c>
      <c r="N26" s="22">
        <f t="shared" si="168"/>
      </c>
      <c r="O26" s="23">
        <f t="shared" si="10"/>
      </c>
      <c r="P26" s="22">
        <f t="shared" si="54"/>
      </c>
      <c r="Q26" s="22">
        <f t="shared" si="87"/>
      </c>
      <c r="R26" s="23">
        <f t="shared" si="179"/>
      </c>
      <c r="S26" s="25">
        <f t="shared" si="21"/>
      </c>
      <c r="T26" s="23">
        <f t="shared" si="65"/>
      </c>
      <c r="U26" s="26">
        <f t="shared" si="98"/>
      </c>
      <c r="V26" s="27" t="s">
        <v>37</v>
      </c>
      <c r="W26" s="28" t="s">
        <v>38</v>
      </c>
      <c r="X26" s="36">
        <v>2</v>
      </c>
      <c r="Y26" s="29">
        <v>8339</v>
      </c>
      <c r="Z26" s="29">
        <v>346</v>
      </c>
      <c r="AA26" s="29">
        <v>401</v>
      </c>
      <c r="AB26" s="29">
        <v>99</v>
      </c>
      <c r="AC26" s="29">
        <v>37</v>
      </c>
      <c r="AD26" s="30">
        <v>2</v>
      </c>
      <c r="AE26" s="31">
        <v>13</v>
      </c>
      <c r="AF26" s="32"/>
      <c r="AG26" s="7"/>
    </row>
    <row r="27">
      <c r="A27" s="15"/>
      <c r="B27" s="37" t="s">
        <v>41</v>
      </c>
      <c r="C27" s="17" t="s">
        <v>36</v>
      </c>
      <c r="D27" s="29">
        <f t="shared" si="113"/>
      </c>
      <c r="E27" s="29">
        <v>2443.21</v>
      </c>
      <c r="F27" s="19">
        <v>1300.66</v>
      </c>
      <c r="G27" s="19">
        <v>0</v>
      </c>
      <c r="H27" s="19">
        <v>1</v>
      </c>
      <c r="I27" s="19">
        <v>1125.9999999999982</v>
      </c>
      <c r="J27" s="21">
        <f t="shared" si="0"/>
      </c>
      <c r="K27" s="22">
        <f t="shared" si="32"/>
      </c>
      <c r="L27" s="23">
        <f t="shared" si="76"/>
      </c>
      <c r="M27" s="24">
        <f t="shared" si="43"/>
      </c>
      <c r="N27" s="22">
        <f t="shared" si="168"/>
      </c>
      <c r="O27" s="23">
        <f t="shared" si="10"/>
      </c>
      <c r="P27" s="22">
        <f t="shared" si="54"/>
      </c>
      <c r="Q27" s="22">
        <f t="shared" si="87"/>
      </c>
      <c r="R27" s="23">
        <f t="shared" si="179"/>
      </c>
      <c r="S27" s="25">
        <f t="shared" si="21"/>
      </c>
      <c r="T27" s="23">
        <f t="shared" si="65"/>
      </c>
      <c r="U27" s="26">
        <f t="shared" si="98"/>
      </c>
      <c r="V27" s="27" t="s">
        <v>37</v>
      </c>
      <c r="W27" s="28" t="s">
        <v>38</v>
      </c>
      <c r="X27" s="34">
        <v>1</v>
      </c>
      <c r="Y27" s="29">
        <v>13227</v>
      </c>
      <c r="Z27" s="29">
        <v>555</v>
      </c>
      <c r="AA27" s="29">
        <v>680</v>
      </c>
      <c r="AB27" s="29">
        <v>105</v>
      </c>
      <c r="AC27" s="29">
        <v>71</v>
      </c>
      <c r="AD27" s="30">
        <v>3</v>
      </c>
      <c r="AE27" s="31">
        <v>25</v>
      </c>
      <c r="AF27" s="32"/>
      <c r="AG27" s="7"/>
    </row>
    <row r="28">
      <c r="A28" s="15"/>
      <c r="B28" s="38" t="s">
        <v>42</v>
      </c>
      <c r="C28" s="38"/>
      <c r="D28" s="39">
        <f>D24+D25+D26+D27</f>
      </c>
      <c r="E28" s="39">
        <f>SUM(E24:E27)</f>
      </c>
      <c r="F28" s="39">
        <f>SUM(F24:F27)</f>
      </c>
      <c r="G28" s="39">
        <f>SUM(G24:G27)</f>
      </c>
      <c r="H28" s="39">
        <f>SUM(H24:H27)</f>
      </c>
      <c r="I28" s="39">
        <f>SUM(I24:I27)</f>
      </c>
      <c r="J28" s="40">
        <f t="shared" si="0"/>
      </c>
      <c r="K28" s="41">
        <f t="shared" si="32"/>
      </c>
      <c r="L28" s="42">
        <f t="shared" si="76"/>
      </c>
      <c r="M28" s="43">
        <f t="shared" si="43"/>
      </c>
      <c r="N28" s="41">
        <f t="shared" si="168"/>
      </c>
      <c r="O28" s="42">
        <f t="shared" si="10"/>
      </c>
      <c r="P28" s="41">
        <f t="shared" si="54"/>
      </c>
      <c r="Q28" s="41">
        <f t="shared" si="87"/>
      </c>
      <c r="R28" s="42">
        <f t="shared" si="179"/>
      </c>
      <c r="S28" s="44">
        <f t="shared" si="21"/>
      </c>
      <c r="T28" s="42">
        <f t="shared" si="65"/>
      </c>
      <c r="U28" s="45">
        <f t="shared" si="98"/>
      </c>
      <c r="V28" s="45"/>
      <c r="W28" s="45"/>
      <c r="X28" s="46">
        <f>SUM(X24:X27)</f>
      </c>
      <c r="Y28" s="39">
        <f>SUM(Y24:Y27)</f>
      </c>
      <c r="Z28" s="39">
        <f>SUM(Z24:Z27)</f>
      </c>
      <c r="AA28" s="39">
        <f>SUM(AA24:AA27)</f>
      </c>
      <c r="AB28" s="39">
        <f>SUM(AB24:AB27)</f>
      </c>
      <c r="AC28" s="39">
        <f>SUM(AC24:AC27)</f>
      </c>
      <c r="AD28" s="39">
        <f>SUM(AD24:AD27)</f>
      </c>
      <c r="AE28" s="39">
        <f>SUM(AE24:AE27)</f>
      </c>
      <c r="AF28" s="7"/>
      <c r="AG28" s="7"/>
    </row>
    <row r="29">
      <c r="A29" s="15"/>
      <c r="B29" s="35" t="s">
        <v>43</v>
      </c>
      <c r="C29" s="17" t="s">
        <v>55</v>
      </c>
      <c r="D29" s="29">
        <f t="shared" ref="D29:D32" si="114">E29+F29+G29</f>
      </c>
      <c r="E29" s="29">
        <v>1314.02</v>
      </c>
      <c r="F29" s="29">
        <v>2281.52</v>
      </c>
      <c r="G29" s="19">
        <v>0</v>
      </c>
      <c r="H29" s="19">
        <v>2</v>
      </c>
      <c r="I29" s="19">
        <v>3451.3199999999997</v>
      </c>
      <c r="J29" s="21">
        <f t="shared" si="0"/>
      </c>
      <c r="K29" s="22">
        <f t="shared" si="32"/>
      </c>
      <c r="L29" s="23">
        <f t="shared" si="76"/>
      </c>
      <c r="M29" s="24">
        <f t="shared" si="43"/>
      </c>
      <c r="N29" s="22">
        <f t="shared" si="168"/>
      </c>
      <c r="O29" s="23">
        <f t="shared" si="10"/>
      </c>
      <c r="P29" s="22">
        <f t="shared" si="54"/>
      </c>
      <c r="Q29" s="22">
        <f t="shared" si="87"/>
      </c>
      <c r="R29" s="23">
        <f t="shared" si="179"/>
      </c>
      <c r="S29" s="25">
        <f t="shared" si="21"/>
      </c>
      <c r="T29" s="23">
        <f t="shared" si="65"/>
      </c>
      <c r="U29" s="26">
        <f t="shared" si="98"/>
      </c>
      <c r="V29" s="27" t="s">
        <v>37</v>
      </c>
      <c r="W29" s="28" t="s">
        <v>38</v>
      </c>
      <c r="X29" s="34">
        <v>1</v>
      </c>
      <c r="Y29" s="19">
        <v>12354</v>
      </c>
      <c r="Z29" s="19">
        <v>844</v>
      </c>
      <c r="AA29" s="29">
        <v>1257</v>
      </c>
      <c r="AB29" s="19">
        <v>267</v>
      </c>
      <c r="AC29" s="19">
        <v>55</v>
      </c>
      <c r="AD29" s="30">
        <v>4</v>
      </c>
      <c r="AE29" s="31">
        <v>38</v>
      </c>
      <c r="AF29" s="32"/>
      <c r="AG29" s="7"/>
    </row>
    <row r="30">
      <c r="A30" s="15"/>
      <c r="B30" s="35" t="s">
        <v>45</v>
      </c>
      <c r="C30" s="17" t="s">
        <v>55</v>
      </c>
      <c r="D30" s="29">
        <f t="shared" si="114"/>
      </c>
      <c r="E30" s="19">
        <v>1987.8</v>
      </c>
      <c r="F30" s="29">
        <v>2388.24</v>
      </c>
      <c r="G30" s="19">
        <v>0</v>
      </c>
      <c r="H30" s="19">
        <v>4</v>
      </c>
      <c r="I30" s="29">
        <v>8993.880000000001</v>
      </c>
      <c r="J30" s="21">
        <f t="shared" si="0"/>
      </c>
      <c r="K30" s="22">
        <f t="shared" si="32"/>
      </c>
      <c r="L30" s="23">
        <f t="shared" si="76"/>
      </c>
      <c r="M30" s="24">
        <f t="shared" si="43"/>
      </c>
      <c r="N30" s="22">
        <f t="shared" si="168"/>
      </c>
      <c r="O30" s="23">
        <f t="shared" si="10"/>
      </c>
      <c r="P30" s="22">
        <f t="shared" si="54"/>
      </c>
      <c r="Q30" s="22">
        <f t="shared" si="87"/>
      </c>
      <c r="R30" s="23">
        <f t="shared" si="179"/>
      </c>
      <c r="S30" s="25">
        <f t="shared" si="21"/>
      </c>
      <c r="T30" s="23">
        <f t="shared" si="65"/>
      </c>
      <c r="U30" s="26">
        <f t="shared" si="98"/>
      </c>
      <c r="V30" s="27" t="s">
        <v>37</v>
      </c>
      <c r="W30" s="28" t="s">
        <v>38</v>
      </c>
      <c r="X30" s="34">
        <v>4</v>
      </c>
      <c r="Y30" s="19">
        <v>12865</v>
      </c>
      <c r="Z30" s="19">
        <v>1144</v>
      </c>
      <c r="AA30" s="19">
        <v>1686</v>
      </c>
      <c r="AB30" s="19">
        <v>421</v>
      </c>
      <c r="AC30" s="19">
        <v>59</v>
      </c>
      <c r="AD30" s="30">
        <v>5</v>
      </c>
      <c r="AE30" s="31">
        <v>46</v>
      </c>
      <c r="AF30" s="32"/>
      <c r="AG30" s="7"/>
    </row>
    <row r="31">
      <c r="A31" s="15"/>
      <c r="B31" s="35" t="s">
        <v>46</v>
      </c>
      <c r="C31" s="17" t="s">
        <v>55</v>
      </c>
      <c r="D31" s="29">
        <f t="shared" si="114"/>
      </c>
      <c r="E31" s="29">
        <v>1199.18</v>
      </c>
      <c r="F31" s="19">
        <v>3682.68</v>
      </c>
      <c r="G31" s="19">
        <v>0</v>
      </c>
      <c r="H31" s="19">
        <v>0</v>
      </c>
      <c r="I31" s="19">
        <v>0</v>
      </c>
      <c r="J31" s="21">
        <f t="shared" si="0"/>
      </c>
      <c r="K31" s="22">
        <f t="shared" si="32"/>
      </c>
      <c r="L31" s="23">
        <f t="shared" si="76"/>
      </c>
      <c r="M31" s="24">
        <f t="shared" si="43"/>
      </c>
      <c r="N31" s="22">
        <f t="shared" si="168"/>
      </c>
      <c r="O31" s="23">
        <f t="shared" si="10"/>
      </c>
      <c r="P31" s="22">
        <f t="shared" si="54"/>
      </c>
      <c r="Q31" s="22">
        <f t="shared" si="87"/>
      </c>
      <c r="R31" s="23">
        <f t="shared" si="179"/>
      </c>
      <c r="S31" s="25">
        <f t="shared" si="21"/>
      </c>
      <c r="T31" s="23">
        <f t="shared" si="65"/>
      </c>
      <c r="U31" s="26">
        <f t="shared" si="98"/>
      </c>
      <c r="V31" s="27" t="s">
        <v>37</v>
      </c>
      <c r="W31" s="28" t="s">
        <v>38</v>
      </c>
      <c r="X31" s="34">
        <v>0</v>
      </c>
      <c r="Y31" s="19">
        <v>11808</v>
      </c>
      <c r="Z31" s="19">
        <v>1008</v>
      </c>
      <c r="AA31" s="19">
        <v>1604</v>
      </c>
      <c r="AB31" s="19">
        <v>386</v>
      </c>
      <c r="AC31" s="19">
        <v>70</v>
      </c>
      <c r="AD31" s="30">
        <v>0</v>
      </c>
      <c r="AE31" s="31">
        <v>29</v>
      </c>
      <c r="AF31" s="32"/>
      <c r="AG31" s="7"/>
    </row>
    <row r="32">
      <c r="A32" s="15"/>
      <c r="B32" s="35" t="s">
        <v>47</v>
      </c>
      <c r="C32" s="17" t="s">
        <v>55</v>
      </c>
      <c r="D32" s="29">
        <f t="shared" si="114"/>
      </c>
      <c r="E32" s="29">
        <v>1831.23</v>
      </c>
      <c r="F32" s="19">
        <v>1822.95</v>
      </c>
      <c r="G32" s="19">
        <v>0</v>
      </c>
      <c r="H32" s="19">
        <v>4</v>
      </c>
      <c r="I32" s="19">
        <v>4885.799999999999</v>
      </c>
      <c r="J32" s="21">
        <f t="shared" si="0"/>
      </c>
      <c r="K32" s="22">
        <f t="shared" si="32"/>
      </c>
      <c r="L32" s="23">
        <f t="shared" si="76"/>
      </c>
      <c r="M32" s="24">
        <f t="shared" si="43"/>
      </c>
      <c r="N32" s="22">
        <f t="shared" si="168"/>
      </c>
      <c r="O32" s="23">
        <f t="shared" si="10"/>
      </c>
      <c r="P32" s="22">
        <f t="shared" si="54"/>
      </c>
      <c r="Q32" s="22">
        <f t="shared" si="87"/>
      </c>
      <c r="R32" s="23">
        <f t="shared" si="179"/>
      </c>
      <c r="S32" s="25">
        <f t="shared" si="21"/>
      </c>
      <c r="T32" s="23">
        <f t="shared" si="65"/>
      </c>
      <c r="U32" s="26">
        <f t="shared" si="98"/>
      </c>
      <c r="V32" s="27" t="s">
        <v>37</v>
      </c>
      <c r="W32" s="28" t="s">
        <v>38</v>
      </c>
      <c r="X32" s="34">
        <v>4</v>
      </c>
      <c r="Y32" s="19">
        <v>11815</v>
      </c>
      <c r="Z32" s="19">
        <v>887</v>
      </c>
      <c r="AA32" s="19">
        <v>1354</v>
      </c>
      <c r="AB32" s="19">
        <v>366</v>
      </c>
      <c r="AC32" s="19">
        <v>68</v>
      </c>
      <c r="AD32" s="30">
        <v>7</v>
      </c>
      <c r="AE32" s="31">
        <v>43</v>
      </c>
      <c r="AF32" s="32"/>
      <c r="AG32" s="7"/>
    </row>
    <row r="33">
      <c r="A33" s="15"/>
      <c r="B33" s="38" t="s">
        <v>42</v>
      </c>
      <c r="C33" s="38"/>
      <c r="D33" s="39">
        <f>SUM(D29:D32)</f>
      </c>
      <c r="E33" s="39">
        <f>SUM(E29:E32)</f>
      </c>
      <c r="F33" s="39">
        <f>SUM(F29:F32)</f>
      </c>
      <c r="G33" s="39">
        <f>SUM(G29:G32)</f>
      </c>
      <c r="H33" s="39">
        <f>SUM(H29:H32)</f>
      </c>
      <c r="I33" s="39">
        <f>SUM(I29:I32)</f>
      </c>
      <c r="J33" s="40">
        <f t="shared" si="0"/>
      </c>
      <c r="K33" s="41">
        <f t="shared" si="32"/>
      </c>
      <c r="L33" s="42">
        <f t="shared" si="76"/>
      </c>
      <c r="M33" s="43">
        <f t="shared" si="43"/>
      </c>
      <c r="N33" s="41">
        <f t="shared" si="168"/>
      </c>
      <c r="O33" s="42">
        <f t="shared" si="10"/>
      </c>
      <c r="P33" s="41">
        <f t="shared" si="54"/>
      </c>
      <c r="Q33" s="41">
        <f t="shared" si="87"/>
      </c>
      <c r="R33" s="42">
        <f t="shared" si="179"/>
      </c>
      <c r="S33" s="44">
        <f t="shared" si="21"/>
      </c>
      <c r="T33" s="42">
        <f t="shared" si="65"/>
      </c>
      <c r="U33" s="45">
        <f t="shared" si="98"/>
      </c>
      <c r="V33" s="45"/>
      <c r="W33" s="45"/>
      <c r="X33" s="46">
        <f>SUM(X29:X32)</f>
      </c>
      <c r="Y33" s="47">
        <f>SUM(Y29:Y32)</f>
      </c>
      <c r="Z33" s="47">
        <f>SUM(Z29:Z32)</f>
      </c>
      <c r="AA33" s="47">
        <f>SUM(AA29:AA32)</f>
      </c>
      <c r="AB33" s="47">
        <f>SUM(AB29:AB32)</f>
      </c>
      <c r="AC33" s="47">
        <f>SUM(AC29:AC32)</f>
      </c>
      <c r="AD33" s="47">
        <f>SUM(AD29:AD32)</f>
      </c>
      <c r="AE33" s="47">
        <f>SUM(AE29:AE32)</f>
      </c>
      <c r="AF33" s="7"/>
      <c r="AG33" s="7"/>
    </row>
    <row r="34">
      <c r="A34" s="15"/>
      <c r="B34" s="16" t="s">
        <v>48</v>
      </c>
      <c r="C34" s="17" t="s">
        <v>60</v>
      </c>
      <c r="D34" s="29">
        <f t="shared" ref="D34:D37" si="115">E34+F34+G34</f>
      </c>
      <c r="E34" s="19">
        <v>2000.42</v>
      </c>
      <c r="F34" s="19">
        <v>1853.6</v>
      </c>
      <c r="G34" s="19">
        <v>0</v>
      </c>
      <c r="H34" s="19">
        <v>1</v>
      </c>
      <c r="I34" s="19">
        <v>1539.7200000000012</v>
      </c>
      <c r="J34" s="21">
        <f t="shared" si="0"/>
      </c>
      <c r="K34" s="22">
        <f t="shared" si="32"/>
      </c>
      <c r="L34" s="23">
        <f t="shared" si="76"/>
      </c>
      <c r="M34" s="24">
        <f t="shared" si="43"/>
      </c>
      <c r="N34" s="22">
        <f t="shared" si="168"/>
      </c>
      <c r="O34" s="23">
        <f t="shared" si="10"/>
      </c>
      <c r="P34" s="22">
        <f t="shared" si="54"/>
      </c>
      <c r="Q34" s="22">
        <f t="shared" si="87"/>
      </c>
      <c r="R34" s="23">
        <f t="shared" si="179"/>
      </c>
      <c r="S34" s="25">
        <f t="shared" si="21"/>
      </c>
      <c r="T34" s="23">
        <f t="shared" si="65"/>
      </c>
      <c r="U34" s="26">
        <f t="shared" si="98"/>
      </c>
      <c r="V34" s="27" t="s">
        <v>37</v>
      </c>
      <c r="W34" s="28" t="s">
        <v>50</v>
      </c>
      <c r="X34" s="19">
        <v>1</v>
      </c>
      <c r="Y34" s="19">
        <v>11982</v>
      </c>
      <c r="Z34" s="19">
        <v>625</v>
      </c>
      <c r="AA34" s="29">
        <v>979</v>
      </c>
      <c r="AB34" s="19">
        <v>243</v>
      </c>
      <c r="AC34" s="30">
        <v>46</v>
      </c>
      <c r="AD34" s="30">
        <v>1</v>
      </c>
      <c r="AE34" s="31">
        <v>27</v>
      </c>
      <c r="AF34" s="32"/>
      <c r="AG34" s="7"/>
    </row>
    <row r="35">
      <c r="A35" s="15"/>
      <c r="B35" s="48" t="s">
        <v>51</v>
      </c>
      <c r="C35" s="17" t="s">
        <v>60</v>
      </c>
      <c r="D35" s="29">
        <f t="shared" si="115"/>
      </c>
      <c r="E35" s="29">
        <v>1130.97</v>
      </c>
      <c r="F35" s="19">
        <v>1732.1</v>
      </c>
      <c r="G35" s="19">
        <v>0</v>
      </c>
      <c r="H35" s="19">
        <v>0</v>
      </c>
      <c r="I35" s="19">
        <v>0</v>
      </c>
      <c r="J35" s="21">
        <f t="shared" si="0"/>
      </c>
      <c r="K35" s="22">
        <f t="shared" si="32"/>
      </c>
      <c r="L35" s="23">
        <f t="shared" si="76"/>
      </c>
      <c r="M35" s="24">
        <f t="shared" si="43"/>
      </c>
      <c r="N35" s="22">
        <f t="shared" si="168"/>
      </c>
      <c r="O35" s="23">
        <f t="shared" si="10"/>
      </c>
      <c r="P35" s="22">
        <f t="shared" si="54"/>
      </c>
      <c r="Q35" s="22">
        <f t="shared" si="87"/>
      </c>
      <c r="R35" s="23">
        <f t="shared" si="179"/>
      </c>
      <c r="S35" s="25">
        <f t="shared" si="21"/>
      </c>
      <c r="T35" s="23">
        <f t="shared" si="65"/>
      </c>
      <c r="U35" s="26">
        <f t="shared" si="98"/>
      </c>
      <c r="V35" s="27" t="s">
        <v>37</v>
      </c>
      <c r="W35" s="28" t="s">
        <v>50</v>
      </c>
      <c r="X35" s="34">
        <v>0</v>
      </c>
      <c r="Y35" s="29">
        <v>9604</v>
      </c>
      <c r="Z35" s="29">
        <v>664</v>
      </c>
      <c r="AA35" s="29">
        <v>1062</v>
      </c>
      <c r="AB35" s="29">
        <v>282</v>
      </c>
      <c r="AC35" s="29">
        <v>35</v>
      </c>
      <c r="AD35" s="30">
        <v>0</v>
      </c>
      <c r="AE35" s="31">
        <v>23</v>
      </c>
      <c r="AF35" s="7"/>
      <c r="AG35" s="7"/>
    </row>
    <row r="36">
      <c r="A36" s="15"/>
      <c r="B36" s="49" t="s">
        <v>52</v>
      </c>
      <c r="C36" s="17" t="s">
        <v>60</v>
      </c>
      <c r="D36" s="29">
        <f t="shared" si="115"/>
      </c>
      <c r="E36" s="19">
        <v>2120.81</v>
      </c>
      <c r="F36" s="19">
        <v>913.08</v>
      </c>
      <c r="G36" s="19">
        <v>0</v>
      </c>
      <c r="H36" s="19">
        <v>2</v>
      </c>
      <c r="I36" s="19">
        <v>1437.479999999996</v>
      </c>
      <c r="J36" s="21">
        <f t="shared" si="0"/>
      </c>
      <c r="K36" s="22">
        <f t="shared" si="32"/>
      </c>
      <c r="L36" s="23">
        <f t="shared" si="76"/>
      </c>
      <c r="M36" s="24">
        <f t="shared" si="43"/>
      </c>
      <c r="N36" s="22">
        <f t="shared" si="168"/>
      </c>
      <c r="O36" s="23">
        <f t="shared" si="10"/>
      </c>
      <c r="P36" s="22">
        <f t="shared" si="54"/>
      </c>
      <c r="Q36" s="22">
        <f t="shared" si="87"/>
      </c>
      <c r="R36" s="23">
        <f t="shared" si="179"/>
      </c>
      <c r="S36" s="25">
        <f t="shared" si="21"/>
      </c>
      <c r="T36" s="23">
        <f t="shared" si="65"/>
      </c>
      <c r="U36" s="26">
        <f t="shared" si="98"/>
      </c>
      <c r="V36" s="27" t="s">
        <v>37</v>
      </c>
      <c r="W36" s="28" t="s">
        <v>50</v>
      </c>
      <c r="X36" s="34">
        <v>2</v>
      </c>
      <c r="Y36" s="29">
        <v>14571</v>
      </c>
      <c r="Z36" s="29">
        <v>591</v>
      </c>
      <c r="AA36" s="29">
        <v>909</v>
      </c>
      <c r="AB36" s="29">
        <v>248</v>
      </c>
      <c r="AC36" s="29">
        <v>43</v>
      </c>
      <c r="AD36" s="30">
        <v>3</v>
      </c>
      <c r="AE36" s="31">
        <v>36</v>
      </c>
      <c r="AF36" s="7"/>
      <c r="AG36" s="7"/>
    </row>
    <row r="37">
      <c r="A37" s="15"/>
      <c r="B37" s="37" t="s">
        <v>53</v>
      </c>
      <c r="C37" s="17" t="s">
        <v>60</v>
      </c>
      <c r="D37" s="29">
        <f t="shared" si="115"/>
      </c>
      <c r="E37" s="19">
        <v>1926.88</v>
      </c>
      <c r="F37" s="19">
        <v>1804.9</v>
      </c>
      <c r="G37" s="19">
        <v>0</v>
      </c>
      <c r="H37" s="19">
        <v>0</v>
      </c>
      <c r="I37" s="19">
        <v>0</v>
      </c>
      <c r="J37" s="21">
        <f t="shared" si="0"/>
      </c>
      <c r="K37" s="22">
        <f t="shared" si="32"/>
      </c>
      <c r="L37" s="23">
        <f t="shared" si="76"/>
      </c>
      <c r="M37" s="24">
        <f t="shared" si="43"/>
      </c>
      <c r="N37" s="22">
        <f t="shared" si="168"/>
      </c>
      <c r="O37" s="23">
        <f t="shared" si="10"/>
      </c>
      <c r="P37" s="22">
        <f t="shared" si="54"/>
      </c>
      <c r="Q37" s="22">
        <f t="shared" si="87"/>
      </c>
      <c r="R37" s="23">
        <f t="shared" si="179"/>
      </c>
      <c r="S37" s="25">
        <f t="shared" si="21"/>
      </c>
      <c r="T37" s="23">
        <f t="shared" si="65"/>
      </c>
      <c r="U37" s="26">
        <f t="shared" si="98"/>
      </c>
      <c r="V37" s="27" t="s">
        <v>37</v>
      </c>
      <c r="W37" s="28" t="s">
        <v>50</v>
      </c>
      <c r="X37" s="36">
        <v>0</v>
      </c>
      <c r="Y37" s="29">
        <v>11737</v>
      </c>
      <c r="Z37" s="29">
        <v>658</v>
      </c>
      <c r="AA37" s="29">
        <v>1014</v>
      </c>
      <c r="AB37" s="29">
        <v>269</v>
      </c>
      <c r="AC37" s="29">
        <v>46</v>
      </c>
      <c r="AD37" s="30">
        <v>4</v>
      </c>
      <c r="AE37" s="31">
        <v>29</v>
      </c>
      <c r="AF37" s="7"/>
      <c r="AG37" s="7"/>
    </row>
    <row r="38">
      <c r="A38" s="15"/>
      <c r="B38" s="38" t="s">
        <v>42</v>
      </c>
      <c r="C38" s="38"/>
      <c r="D38" s="39">
        <f>SUM(D34:D37)</f>
      </c>
      <c r="E38" s="39">
        <f>SUM(E34:E37)</f>
      </c>
      <c r="F38" s="39">
        <f>SUM(F34:F37)</f>
      </c>
      <c r="G38" s="39">
        <f>SUM(G34:G37)</f>
      </c>
      <c r="H38" s="39">
        <f>SUM(H34:H37)</f>
      </c>
      <c r="I38" s="39">
        <f>SUM(I34:I37)</f>
      </c>
      <c r="J38" s="40">
        <f t="shared" si="0"/>
      </c>
      <c r="K38" s="41">
        <f t="shared" si="32"/>
      </c>
      <c r="L38" s="42">
        <f t="shared" si="76"/>
      </c>
      <c r="M38" s="43">
        <f t="shared" si="43"/>
      </c>
      <c r="N38" s="41">
        <f t="shared" si="168"/>
      </c>
      <c r="O38" s="42">
        <f t="shared" si="10"/>
      </c>
      <c r="P38" s="41">
        <f t="shared" si="54"/>
      </c>
      <c r="Q38" s="41">
        <f t="shared" si="87"/>
      </c>
      <c r="R38" s="42">
        <f t="shared" si="179"/>
      </c>
      <c r="S38" s="44">
        <f t="shared" si="21"/>
      </c>
      <c r="T38" s="42">
        <f t="shared" si="65"/>
      </c>
      <c r="U38" s="45">
        <f t="shared" si="98"/>
      </c>
      <c r="V38" s="45"/>
      <c r="W38" s="45"/>
      <c r="X38" s="46">
        <f>SUM(X34:X37)</f>
      </c>
      <c r="Y38" s="39">
        <f>SUM(Y34:Y37)</f>
      </c>
      <c r="Z38" s="39">
        <f>SUM(Z34:Z37)</f>
      </c>
      <c r="AA38" s="39">
        <f>SUM(AA34:AA37)</f>
      </c>
      <c r="AB38" s="39">
        <f>SUM(AB34:AB37)</f>
      </c>
      <c r="AC38" s="39">
        <f>SUM(AC34:AC37)</f>
      </c>
      <c r="AD38" s="39">
        <f>SUM(AD34:AD37)</f>
      </c>
      <c r="AE38" s="39">
        <f>SUM(AE34:AE37)</f>
      </c>
      <c r="AF38" s="7"/>
      <c r="AG38" s="7"/>
    </row>
    <row r="39">
      <c r="A39" s="15"/>
      <c r="B39" s="35" t="s">
        <v>54</v>
      </c>
      <c r="C39" s="17" t="s">
        <v>61</v>
      </c>
      <c r="D39" s="29">
        <f t="shared" ref="D39:D42" si="116">E39+F39+G39</f>
      </c>
      <c r="E39" s="19">
        <v>2048.18</v>
      </c>
      <c r="F39" s="19">
        <v>888.38</v>
      </c>
      <c r="G39" s="19">
        <v>0</v>
      </c>
      <c r="H39" s="19">
        <v>4</v>
      </c>
      <c r="I39" s="19">
        <v>6085.799999999996</v>
      </c>
      <c r="J39" s="21">
        <f t="shared" si="0"/>
      </c>
      <c r="K39" s="22">
        <f t="shared" si="32"/>
      </c>
      <c r="L39" s="23">
        <f t="shared" si="76"/>
      </c>
      <c r="M39" s="24">
        <f t="shared" si="43"/>
      </c>
      <c r="N39" s="22">
        <f t="shared" si="168"/>
      </c>
      <c r="O39" s="23">
        <f t="shared" si="10"/>
      </c>
      <c r="P39" s="22">
        <f t="shared" si="54"/>
      </c>
      <c r="Q39" s="22">
        <f t="shared" si="87"/>
      </c>
      <c r="R39" s="23">
        <f t="shared" si="179"/>
      </c>
      <c r="S39" s="25">
        <f t="shared" si="21"/>
      </c>
      <c r="T39" s="23">
        <f t="shared" si="65"/>
      </c>
      <c r="U39" s="26">
        <f t="shared" si="98"/>
      </c>
      <c r="V39" s="27" t="s">
        <v>37</v>
      </c>
      <c r="W39" s="28" t="s">
        <v>50</v>
      </c>
      <c r="X39" s="19">
        <v>3</v>
      </c>
      <c r="Y39" s="29">
        <v>11608</v>
      </c>
      <c r="Z39" s="29">
        <v>482</v>
      </c>
      <c r="AA39" s="29">
        <v>790</v>
      </c>
      <c r="AB39" s="29">
        <v>167</v>
      </c>
      <c r="AC39" s="30">
        <v>45</v>
      </c>
      <c r="AD39" s="30">
        <v>5</v>
      </c>
      <c r="AE39" s="31">
        <v>18</v>
      </c>
      <c r="AF39" s="7"/>
      <c r="AG39" s="7"/>
    </row>
    <row r="40">
      <c r="A40" s="15"/>
      <c r="B40" s="50" t="s">
        <v>56</v>
      </c>
      <c r="C40" s="17" t="s">
        <v>61</v>
      </c>
      <c r="D40" s="29">
        <f t="shared" si="116"/>
      </c>
      <c r="E40" s="19">
        <v>2021.02</v>
      </c>
      <c r="F40" s="19">
        <v>1367.68</v>
      </c>
      <c r="G40" s="19">
        <v>0</v>
      </c>
      <c r="H40" s="19">
        <v>0</v>
      </c>
      <c r="I40" s="19">
        <v>0</v>
      </c>
      <c r="J40" s="21">
        <f t="shared" si="0"/>
      </c>
      <c r="K40" s="22">
        <f t="shared" si="32"/>
      </c>
      <c r="L40" s="23">
        <f t="shared" si="76"/>
      </c>
      <c r="M40" s="24">
        <f t="shared" si="43"/>
      </c>
      <c r="N40" s="22">
        <f t="shared" si="168"/>
      </c>
      <c r="O40" s="23">
        <f t="shared" si="10"/>
      </c>
      <c r="P40" s="22">
        <f t="shared" si="54"/>
      </c>
      <c r="Q40" s="22">
        <f t="shared" si="87"/>
      </c>
      <c r="R40" s="23">
        <f t="shared" si="179"/>
      </c>
      <c r="S40" s="25">
        <f t="shared" si="21"/>
      </c>
      <c r="T40" s="23">
        <f t="shared" si="65"/>
      </c>
      <c r="U40" s="26">
        <f t="shared" si="98"/>
      </c>
      <c r="V40" s="27" t="s">
        <v>37</v>
      </c>
      <c r="W40" s="28" t="s">
        <v>50</v>
      </c>
      <c r="X40" s="34">
        <v>0</v>
      </c>
      <c r="Y40" s="29">
        <v>12548</v>
      </c>
      <c r="Z40" s="29">
        <v>756</v>
      </c>
      <c r="AA40" s="29">
        <v>1148</v>
      </c>
      <c r="AB40" s="29">
        <v>248</v>
      </c>
      <c r="AC40" s="29">
        <v>68</v>
      </c>
      <c r="AD40" s="30">
        <v>0</v>
      </c>
      <c r="AE40" s="51">
        <v>25</v>
      </c>
      <c r="AF40" s="7"/>
      <c r="AG40" s="7"/>
    </row>
    <row r="41">
      <c r="A41" s="15"/>
      <c r="B41" s="18" t="s">
        <v>57</v>
      </c>
      <c r="C41" s="17" t="s">
        <v>61</v>
      </c>
      <c r="D41" s="29">
        <f t="shared" si="116"/>
      </c>
      <c r="E41" s="19">
        <v>1988.11</v>
      </c>
      <c r="F41" s="19">
        <v>1247.31</v>
      </c>
      <c r="G41" s="19">
        <v>0</v>
      </c>
      <c r="H41" s="19">
        <v>1</v>
      </c>
      <c r="I41" s="19">
        <v>4874.640000000007</v>
      </c>
      <c r="J41" s="21">
        <f t="shared" si="0"/>
      </c>
      <c r="K41" s="22">
        <f t="shared" si="32"/>
      </c>
      <c r="L41" s="23">
        <f t="shared" si="76"/>
      </c>
      <c r="M41" s="24">
        <f t="shared" si="43"/>
      </c>
      <c r="N41" s="22">
        <f t="shared" si="168"/>
      </c>
      <c r="O41" s="23">
        <f t="shared" si="10"/>
      </c>
      <c r="P41" s="22">
        <f t="shared" si="54"/>
      </c>
      <c r="Q41" s="22">
        <f t="shared" si="87"/>
      </c>
      <c r="R41" s="23">
        <f t="shared" si="179"/>
      </c>
      <c r="S41" s="25">
        <f t="shared" si="21"/>
      </c>
      <c r="T41" s="23">
        <f t="shared" si="65"/>
      </c>
      <c r="U41" s="26">
        <f t="shared" si="98"/>
      </c>
      <c r="V41" s="27" t="s">
        <v>37</v>
      </c>
      <c r="W41" s="28" t="s">
        <v>50</v>
      </c>
      <c r="X41" s="34">
        <v>1</v>
      </c>
      <c r="Y41" s="29">
        <v>15494</v>
      </c>
      <c r="Z41" s="29">
        <v>797</v>
      </c>
      <c r="AA41" s="29">
        <v>1128</v>
      </c>
      <c r="AB41" s="29">
        <v>252</v>
      </c>
      <c r="AC41" s="19">
        <v>67</v>
      </c>
      <c r="AD41" s="30">
        <v>2</v>
      </c>
      <c r="AE41" s="31">
        <v>18</v>
      </c>
      <c r="AF41" s="7"/>
      <c r="AG41" s="7"/>
    </row>
    <row r="42">
      <c r="A42" s="15"/>
      <c r="B42" s="50" t="s">
        <v>58</v>
      </c>
      <c r="C42" s="17" t="s">
        <v>61</v>
      </c>
      <c r="D42" s="29">
        <f t="shared" si="116"/>
      </c>
      <c r="E42" s="19">
        <v>765.95</v>
      </c>
      <c r="F42" s="19">
        <v>809.82</v>
      </c>
      <c r="G42" s="19">
        <v>0</v>
      </c>
      <c r="H42" s="19">
        <v>3</v>
      </c>
      <c r="I42" s="19">
        <v>14274.919999999998</v>
      </c>
      <c r="J42" s="21">
        <f t="shared" si="0"/>
      </c>
      <c r="K42" s="22">
        <f t="shared" si="32"/>
      </c>
      <c r="L42" s="23">
        <f t="shared" si="76"/>
      </c>
      <c r="M42" s="24">
        <f t="shared" si="43"/>
      </c>
      <c r="N42" s="22">
        <f t="shared" si="168"/>
      </c>
      <c r="O42" s="23">
        <f t="shared" si="10"/>
      </c>
      <c r="P42" s="22">
        <f t="shared" si="54"/>
      </c>
      <c r="Q42" s="22">
        <f t="shared" si="87"/>
      </c>
      <c r="R42" s="23">
        <f t="shared" si="179"/>
      </c>
      <c r="S42" s="25">
        <f t="shared" si="21"/>
      </c>
      <c r="T42" s="23">
        <f t="shared" si="65"/>
      </c>
      <c r="U42" s="26">
        <f t="shared" si="98"/>
      </c>
      <c r="V42" s="27" t="s">
        <v>37</v>
      </c>
      <c r="W42" s="28" t="s">
        <v>50</v>
      </c>
      <c r="X42" s="34">
        <v>3</v>
      </c>
      <c r="Y42" s="29">
        <v>7358</v>
      </c>
      <c r="Z42" s="29">
        <v>455</v>
      </c>
      <c r="AA42" s="29">
        <v>663</v>
      </c>
      <c r="AB42" s="29">
        <v>125</v>
      </c>
      <c r="AC42" s="19">
        <v>25</v>
      </c>
      <c r="AD42" s="30">
        <v>3</v>
      </c>
      <c r="AE42" s="51">
        <v>20</v>
      </c>
      <c r="AF42" s="7"/>
      <c r="AG42" s="7"/>
    </row>
    <row r="43">
      <c r="A43" s="15"/>
      <c r="B43" s="38" t="s">
        <v>42</v>
      </c>
      <c r="C43" s="38"/>
      <c r="D43" s="39">
        <f>SUM(D39:D42)</f>
      </c>
      <c r="E43" s="39">
        <f>SUM(E39:E42)</f>
      </c>
      <c r="F43" s="39">
        <f>SUM(F39:F42)</f>
      </c>
      <c r="G43" s="39">
        <f>SUM(G39:G42)</f>
      </c>
      <c r="H43" s="39">
        <f>SUM(H39:H42)</f>
      </c>
      <c r="I43" s="39">
        <f>SUM(I39:I42)</f>
      </c>
      <c r="J43" s="40">
        <f t="shared" si="0"/>
      </c>
      <c r="K43" s="41">
        <f t="shared" si="32"/>
      </c>
      <c r="L43" s="42">
        <f t="shared" si="76"/>
      </c>
      <c r="M43" s="43">
        <f t="shared" si="43"/>
      </c>
      <c r="N43" s="41">
        <f t="shared" si="168"/>
      </c>
      <c r="O43" s="42">
        <f t="shared" si="10"/>
      </c>
      <c r="P43" s="41">
        <f t="shared" si="54"/>
      </c>
      <c r="Q43" s="41">
        <f t="shared" si="87"/>
      </c>
      <c r="R43" s="42">
        <f t="shared" si="179"/>
      </c>
      <c r="S43" s="44">
        <f t="shared" si="21"/>
      </c>
      <c r="T43" s="42">
        <f t="shared" si="65"/>
      </c>
      <c r="U43" s="45">
        <f t="shared" si="98"/>
      </c>
      <c r="V43" s="45"/>
      <c r="W43" s="45"/>
      <c r="X43" s="46">
        <f>SUM(X39:X42)</f>
      </c>
      <c r="Y43" s="47">
        <f>SUM(Y39:Y42)</f>
      </c>
      <c r="Z43" s="47">
        <f>SUM(Z39:Z42)</f>
      </c>
      <c r="AA43" s="47">
        <f>SUM(AA39:AA42)</f>
      </c>
      <c r="AB43" s="47">
        <f>SUM(AB39:AB42)</f>
      </c>
      <c r="AC43" s="47">
        <f>SUM(AC39:AC42)</f>
      </c>
      <c r="AD43" s="47">
        <f>SUM(AD39:AD42)</f>
      </c>
      <c r="AE43" s="47">
        <f>SUM(AE39:AE42)</f>
      </c>
      <c r="AF43" s="7"/>
      <c r="AG43" s="7"/>
    </row>
    <row r="44">
      <c r="A44" s="15"/>
      <c r="B44" s="52" t="s">
        <v>59</v>
      </c>
      <c r="C44" s="52"/>
      <c r="D44" s="53">
        <f>D28+D33+D38+D43</f>
      </c>
      <c r="E44" s="54">
        <f>E28+E33+E38+E43</f>
      </c>
      <c r="F44" s="55">
        <f>F28+F33+F38+F43</f>
      </c>
      <c r="G44" s="55">
        <f>G28+G33+G38+G43</f>
      </c>
      <c r="H44" s="53">
        <f>H28+H33+H38+H43</f>
      </c>
      <c r="I44" s="53">
        <f>I28+I33+I38+I43</f>
      </c>
      <c r="J44" s="56">
        <f t="shared" si="0"/>
      </c>
      <c r="K44" s="57">
        <f t="shared" si="32"/>
      </c>
      <c r="L44" s="58">
        <f t="shared" si="76"/>
      </c>
      <c r="M44" s="59">
        <f t="shared" si="43"/>
      </c>
      <c r="N44" s="59">
        <f t="shared" si="168"/>
      </c>
      <c r="O44" s="58">
        <f t="shared" si="10"/>
      </c>
      <c r="P44" s="59">
        <f t="shared" si="54"/>
      </c>
      <c r="Q44" s="59">
        <f t="shared" si="87"/>
      </c>
      <c r="R44" s="58">
        <f t="shared" si="179"/>
      </c>
      <c r="S44" s="60">
        <f t="shared" si="21"/>
      </c>
      <c r="T44" s="58">
        <f t="shared" si="65"/>
      </c>
      <c r="U44" s="61">
        <f t="shared" si="98"/>
      </c>
      <c r="V44" s="61"/>
      <c r="W44" s="61"/>
      <c r="X44" s="56">
        <f>X28+X33+X38+X43</f>
      </c>
      <c r="Y44" s="56">
        <f>Y28+Y33+Y38+Y43</f>
      </c>
      <c r="Z44" s="56">
        <f>Z28+Z33+Z38+Z43</f>
      </c>
      <c r="AA44" s="56">
        <f>AA28+AA33+AA38+AA43</f>
      </c>
      <c r="AB44" s="56">
        <f>AB28+AB33+AB38+AB43</f>
      </c>
      <c r="AC44" s="56">
        <f>AC28+AC33+AC38+AC43</f>
      </c>
      <c r="AD44" s="62">
        <f>AD28+AD33+AD38+AD43</f>
      </c>
      <c r="AE44" s="55">
        <f>AE28+AE33+AE38+AE43</f>
      </c>
      <c r="AF44" s="7"/>
      <c r="AG44" s="7"/>
    </row>
    <row r="45">
      <c r="A45" s="15">
        <v>46298</v>
      </c>
      <c r="B45" s="63" t="s">
        <v>35</v>
      </c>
      <c r="C45" s="17" t="s">
        <v>36</v>
      </c>
      <c r="D45" s="64">
        <f t="shared" ref="D45:D48" si="117">E45+F45+G45</f>
      </c>
      <c r="E45" s="17">
        <v>2000</v>
      </c>
      <c r="F45" s="17">
        <v>1577.42</v>
      </c>
      <c r="G45" s="17">
        <v>0</v>
      </c>
      <c r="H45" s="17">
        <v>2</v>
      </c>
      <c r="I45" s="17">
        <v>5855.400000000001</v>
      </c>
      <c r="J45" s="65">
        <f t="shared" si="0"/>
      </c>
      <c r="K45" s="66">
        <f t="shared" si="32"/>
      </c>
      <c r="L45" s="67">
        <f t="shared" si="76"/>
      </c>
      <c r="M45" s="66">
        <f t="shared" si="43"/>
      </c>
      <c r="N45" s="66">
        <f t="shared" si="168"/>
      </c>
      <c r="O45" s="67">
        <f t="shared" si="10"/>
      </c>
      <c r="P45" s="66">
        <f t="shared" si="54"/>
      </c>
      <c r="Q45" s="66">
        <f t="shared" si="87"/>
      </c>
      <c r="R45" s="67">
        <f t="shared" si="179"/>
      </c>
      <c r="S45" s="68">
        <f t="shared" si="21"/>
      </c>
      <c r="T45" s="67">
        <f t="shared" si="65"/>
      </c>
      <c r="U45" s="69">
        <f t="shared" si="98"/>
      </c>
      <c r="V45" s="70" t="s">
        <v>37</v>
      </c>
      <c r="W45" s="71" t="s">
        <v>38</v>
      </c>
      <c r="X45" s="17">
        <v>2</v>
      </c>
      <c r="Y45" s="64">
        <v>11173</v>
      </c>
      <c r="Z45" s="64">
        <v>713</v>
      </c>
      <c r="AA45" s="64">
        <v>1011</v>
      </c>
      <c r="AB45" s="64">
        <v>170</v>
      </c>
      <c r="AC45" s="17">
        <v>34</v>
      </c>
      <c r="AD45" s="17">
        <v>2</v>
      </c>
      <c r="AE45" s="30">
        <v>22</v>
      </c>
      <c r="AF45" s="32"/>
      <c r="AG45" s="7"/>
    </row>
    <row r="46">
      <c r="A46" s="15"/>
      <c r="B46" s="72" t="s">
        <v>39</v>
      </c>
      <c r="C46" s="17" t="s">
        <v>36</v>
      </c>
      <c r="D46" s="64">
        <f t="shared" si="117"/>
      </c>
      <c r="E46" s="17">
        <v>2986.62</v>
      </c>
      <c r="F46" s="17">
        <v>1171.16</v>
      </c>
      <c r="G46" s="17">
        <v>0</v>
      </c>
      <c r="H46" s="17">
        <v>2</v>
      </c>
      <c r="I46" s="17">
        <v>9873</v>
      </c>
      <c r="J46" s="65">
        <f t="shared" si="0"/>
      </c>
      <c r="K46" s="66">
        <f t="shared" si="32"/>
      </c>
      <c r="L46" s="67">
        <f t="shared" si="76"/>
      </c>
      <c r="M46" s="66">
        <f t="shared" si="43"/>
      </c>
      <c r="N46" s="66">
        <f t="shared" si="168"/>
      </c>
      <c r="O46" s="67">
        <f t="shared" si="10"/>
      </c>
      <c r="P46" s="66">
        <f t="shared" si="54"/>
      </c>
      <c r="Q46" s="66">
        <f t="shared" si="87"/>
      </c>
      <c r="R46" s="67">
        <f t="shared" si="179"/>
      </c>
      <c r="S46" s="68">
        <f t="shared" si="21"/>
      </c>
      <c r="T46" s="67">
        <f t="shared" si="65"/>
      </c>
      <c r="U46" s="69">
        <f t="shared" si="98"/>
      </c>
      <c r="V46" s="70" t="s">
        <v>37</v>
      </c>
      <c r="W46" s="71" t="s">
        <v>38</v>
      </c>
      <c r="X46" s="73">
        <v>2</v>
      </c>
      <c r="Y46" s="64">
        <v>12918</v>
      </c>
      <c r="Z46" s="64">
        <v>837</v>
      </c>
      <c r="AA46" s="64">
        <v>1278</v>
      </c>
      <c r="AB46" s="64">
        <v>322</v>
      </c>
      <c r="AC46" s="64">
        <v>59</v>
      </c>
      <c r="AD46" s="17">
        <v>3</v>
      </c>
      <c r="AE46" s="30">
        <v>34</v>
      </c>
      <c r="AF46" s="32"/>
      <c r="AG46" s="7"/>
    </row>
    <row r="47">
      <c r="A47" s="15"/>
      <c r="B47" s="72" t="s">
        <v>40</v>
      </c>
      <c r="C47" s="17" t="s">
        <v>36</v>
      </c>
      <c r="D47" s="64">
        <f t="shared" si="117"/>
      </c>
      <c r="E47" s="64">
        <v>1089.04</v>
      </c>
      <c r="F47" s="64">
        <v>3240.43</v>
      </c>
      <c r="G47" s="17">
        <v>0</v>
      </c>
      <c r="H47" s="17">
        <v>5</v>
      </c>
      <c r="I47" s="17">
        <v>7435.759999999998</v>
      </c>
      <c r="J47" s="65">
        <f t="shared" si="0"/>
      </c>
      <c r="K47" s="66">
        <f t="shared" si="32"/>
      </c>
      <c r="L47" s="67">
        <f t="shared" si="76"/>
      </c>
      <c r="M47" s="66">
        <f t="shared" si="43"/>
      </c>
      <c r="N47" s="66">
        <f t="shared" si="168"/>
      </c>
      <c r="O47" s="67">
        <f t="shared" si="10"/>
      </c>
      <c r="P47" s="66">
        <f t="shared" si="54"/>
      </c>
      <c r="Q47" s="66">
        <f t="shared" si="87"/>
      </c>
      <c r="R47" s="67">
        <f t="shared" si="179"/>
      </c>
      <c r="S47" s="68">
        <f t="shared" si="21"/>
      </c>
      <c r="T47" s="67">
        <f t="shared" si="65"/>
      </c>
      <c r="U47" s="69">
        <f t="shared" si="98"/>
      </c>
      <c r="V47" s="70" t="s">
        <v>37</v>
      </c>
      <c r="W47" s="71" t="s">
        <v>38</v>
      </c>
      <c r="X47" s="74">
        <v>5</v>
      </c>
      <c r="Y47" s="64">
        <v>12543</v>
      </c>
      <c r="Z47" s="64">
        <v>1268</v>
      </c>
      <c r="AA47" s="64">
        <v>2102</v>
      </c>
      <c r="AB47" s="64">
        <v>505</v>
      </c>
      <c r="AC47" s="64">
        <v>62</v>
      </c>
      <c r="AD47" s="17">
        <v>5</v>
      </c>
      <c r="AE47" s="30">
        <v>47</v>
      </c>
      <c r="AF47" s="32"/>
      <c r="AG47" s="7"/>
    </row>
    <row r="48">
      <c r="A48" s="15"/>
      <c r="B48" s="72" t="s">
        <v>41</v>
      </c>
      <c r="C48" s="17" t="s">
        <v>36</v>
      </c>
      <c r="D48" s="64">
        <f t="shared" si="117"/>
      </c>
      <c r="E48" s="64">
        <v>1732.5</v>
      </c>
      <c r="F48" s="17">
        <v>2915.72</v>
      </c>
      <c r="G48" s="17">
        <v>0</v>
      </c>
      <c r="H48" s="17">
        <v>3</v>
      </c>
      <c r="I48" s="17">
        <v>15513.48</v>
      </c>
      <c r="J48" s="65">
        <f t="shared" si="0"/>
      </c>
      <c r="K48" s="66">
        <f t="shared" si="32"/>
      </c>
      <c r="L48" s="67">
        <f t="shared" si="76"/>
      </c>
      <c r="M48" s="66">
        <f t="shared" si="43"/>
      </c>
      <c r="N48" s="66">
        <f t="shared" si="168"/>
      </c>
      <c r="O48" s="67">
        <f t="shared" si="10"/>
      </c>
      <c r="P48" s="66">
        <f t="shared" si="54"/>
      </c>
      <c r="Q48" s="66">
        <f t="shared" si="87"/>
      </c>
      <c r="R48" s="67">
        <f t="shared" si="179"/>
      </c>
      <c r="S48" s="68">
        <f t="shared" si="21"/>
      </c>
      <c r="T48" s="67">
        <f t="shared" si="65"/>
      </c>
      <c r="U48" s="69">
        <f t="shared" si="98"/>
      </c>
      <c r="V48" s="70" t="s">
        <v>37</v>
      </c>
      <c r="W48" s="71" t="s">
        <v>38</v>
      </c>
      <c r="X48" s="73">
        <v>3</v>
      </c>
      <c r="Y48" s="64">
        <v>12526</v>
      </c>
      <c r="Z48" s="64">
        <v>1082</v>
      </c>
      <c r="AA48" s="64">
        <v>1764</v>
      </c>
      <c r="AB48" s="64">
        <v>389</v>
      </c>
      <c r="AC48" s="64">
        <v>53</v>
      </c>
      <c r="AD48" s="17">
        <v>4</v>
      </c>
      <c r="AE48" s="30">
        <v>39</v>
      </c>
      <c r="AF48" s="32"/>
      <c r="AG48" s="7"/>
    </row>
    <row r="49">
      <c r="A49" s="15"/>
      <c r="B49" s="75" t="s">
        <v>42</v>
      </c>
      <c r="C49" s="75"/>
      <c r="D49" s="75">
        <f>D45+D46+D47+D48</f>
      </c>
      <c r="E49" s="75">
        <f>SUM(E45:E48)</f>
      </c>
      <c r="F49" s="75">
        <f>SUM(F45:F48)</f>
      </c>
      <c r="G49" s="75">
        <f>SUM(G45:G48)</f>
      </c>
      <c r="H49" s="75">
        <f>SUM(H45:H48)</f>
      </c>
      <c r="I49" s="75">
        <f>SUM(I45:I48)</f>
      </c>
      <c r="J49" s="76">
        <f t="shared" si="0"/>
      </c>
      <c r="K49" s="77">
        <f t="shared" si="32"/>
      </c>
      <c r="L49" s="78">
        <f t="shared" si="76"/>
      </c>
      <c r="M49" s="77">
        <f t="shared" si="43"/>
      </c>
      <c r="N49" s="77">
        <f t="shared" si="168"/>
      </c>
      <c r="O49" s="78">
        <f t="shared" si="10"/>
      </c>
      <c r="P49" s="77">
        <f t="shared" si="54"/>
      </c>
      <c r="Q49" s="77">
        <f t="shared" si="87"/>
      </c>
      <c r="R49" s="78">
        <f t="shared" si="179"/>
      </c>
      <c r="S49" s="79">
        <f t="shared" si="21"/>
      </c>
      <c r="T49" s="78">
        <f t="shared" si="65"/>
      </c>
      <c r="U49" s="80">
        <f t="shared" si="98"/>
      </c>
      <c r="V49" s="80"/>
      <c r="W49" s="80"/>
      <c r="X49" s="81">
        <f>SUM(X45:X48)</f>
      </c>
      <c r="Y49" s="75">
        <f>SUM(Y45:Y48)</f>
      </c>
      <c r="Z49" s="75">
        <f>SUM(Z45:Z48)</f>
      </c>
      <c r="AA49" s="75">
        <f>SUM(AA45:AA48)</f>
      </c>
      <c r="AB49" s="75">
        <f>SUM(AB45:AB48)</f>
      </c>
      <c r="AC49" s="75">
        <f>SUM(AC45:AC48)</f>
      </c>
      <c r="AD49" s="75">
        <f>SUM(AD45:AD48)</f>
      </c>
      <c r="AE49" s="38">
        <f>SUM(AE45:AE48)</f>
      </c>
      <c r="AF49" s="7"/>
      <c r="AG49" s="7"/>
    </row>
    <row r="50">
      <c r="A50" s="15"/>
      <c r="B50" s="72" t="s">
        <v>43</v>
      </c>
      <c r="C50" s="17" t="s">
        <v>61</v>
      </c>
      <c r="D50" s="64">
        <f t="shared" ref="D50:D53" si="118">E50+F50+G50</f>
      </c>
      <c r="E50" s="64">
        <v>1186.42</v>
      </c>
      <c r="F50" s="64">
        <v>3328.38</v>
      </c>
      <c r="G50" s="17">
        <v>0</v>
      </c>
      <c r="H50" s="17">
        <v>4</v>
      </c>
      <c r="I50" s="17">
        <v>6364.8399999999965</v>
      </c>
      <c r="J50" s="65">
        <f t="shared" si="0"/>
      </c>
      <c r="K50" s="66">
        <f t="shared" si="32"/>
      </c>
      <c r="L50" s="67">
        <f t="shared" si="76"/>
      </c>
      <c r="M50" s="66">
        <f t="shared" si="43"/>
      </c>
      <c r="N50" s="66">
        <f t="shared" si="168"/>
      </c>
      <c r="O50" s="67">
        <f t="shared" si="10"/>
      </c>
      <c r="P50" s="66">
        <f t="shared" si="54"/>
      </c>
      <c r="Q50" s="66">
        <f t="shared" si="87"/>
      </c>
      <c r="R50" s="67">
        <f t="shared" si="179"/>
      </c>
      <c r="S50" s="68">
        <f t="shared" si="21"/>
      </c>
      <c r="T50" s="67">
        <f t="shared" si="65"/>
      </c>
      <c r="U50" s="69">
        <f t="shared" si="98"/>
      </c>
      <c r="V50" s="70" t="s">
        <v>37</v>
      </c>
      <c r="W50" s="71" t="s">
        <v>38</v>
      </c>
      <c r="X50" s="73">
        <v>4</v>
      </c>
      <c r="Y50" s="17">
        <v>14712</v>
      </c>
      <c r="Z50" s="17">
        <v>1546</v>
      </c>
      <c r="AA50" s="64">
        <v>2663</v>
      </c>
      <c r="AB50" s="17">
        <v>677</v>
      </c>
      <c r="AC50" s="17">
        <v>75</v>
      </c>
      <c r="AD50" s="17">
        <v>5</v>
      </c>
      <c r="AE50" s="30">
        <v>53</v>
      </c>
      <c r="AF50" s="32"/>
      <c r="AG50" s="7"/>
    </row>
    <row r="51">
      <c r="A51" s="15"/>
      <c r="B51" s="72" t="s">
        <v>45</v>
      </c>
      <c r="C51" s="17" t="s">
        <v>61</v>
      </c>
      <c r="D51" s="64">
        <f t="shared" si="118"/>
      </c>
      <c r="E51" s="17">
        <v>1985.28</v>
      </c>
      <c r="F51" s="64">
        <v>4164.58</v>
      </c>
      <c r="G51" s="17">
        <v>0</v>
      </c>
      <c r="H51" s="17">
        <v>3</v>
      </c>
      <c r="I51" s="64">
        <v>11032.080000000002</v>
      </c>
      <c r="J51" s="65">
        <f t="shared" si="0"/>
      </c>
      <c r="K51" s="66">
        <f t="shared" si="32"/>
      </c>
      <c r="L51" s="67">
        <f t="shared" si="76"/>
      </c>
      <c r="M51" s="66">
        <f t="shared" si="43"/>
      </c>
      <c r="N51" s="66">
        <f t="shared" si="168"/>
      </c>
      <c r="O51" s="67">
        <f t="shared" si="10"/>
      </c>
      <c r="P51" s="66">
        <f t="shared" si="54"/>
      </c>
      <c r="Q51" s="66">
        <f t="shared" si="87"/>
      </c>
      <c r="R51" s="67">
        <f t="shared" si="179"/>
      </c>
      <c r="S51" s="68">
        <f t="shared" si="21"/>
      </c>
      <c r="T51" s="67">
        <f t="shared" si="65"/>
      </c>
      <c r="U51" s="69">
        <f t="shared" si="98"/>
      </c>
      <c r="V51" s="70" t="s">
        <v>37</v>
      </c>
      <c r="W51" s="71" t="s">
        <v>38</v>
      </c>
      <c r="X51" s="73">
        <v>1</v>
      </c>
      <c r="Y51" s="17">
        <v>19349</v>
      </c>
      <c r="Z51" s="17">
        <v>1891</v>
      </c>
      <c r="AA51" s="17">
        <v>2960</v>
      </c>
      <c r="AB51" s="17">
        <v>764</v>
      </c>
      <c r="AC51" s="17">
        <v>89</v>
      </c>
      <c r="AD51" s="17">
        <v>4</v>
      </c>
      <c r="AE51" s="30">
        <v>58</v>
      </c>
      <c r="AF51" s="32"/>
      <c r="AG51" s="7"/>
    </row>
    <row r="52">
      <c r="A52" s="15"/>
      <c r="B52" s="72" t="s">
        <v>46</v>
      </c>
      <c r="C52" s="17" t="s">
        <v>61</v>
      </c>
      <c r="D52" s="64">
        <f t="shared" si="118"/>
      </c>
      <c r="E52" s="64">
        <v>2009.3899999999999</v>
      </c>
      <c r="F52" s="17">
        <v>3093.5</v>
      </c>
      <c r="G52" s="17">
        <v>0</v>
      </c>
      <c r="H52" s="17">
        <v>4</v>
      </c>
      <c r="I52" s="17">
        <v>10405.680000000008</v>
      </c>
      <c r="J52" s="65">
        <f t="shared" si="0"/>
      </c>
      <c r="K52" s="66">
        <f t="shared" si="32"/>
      </c>
      <c r="L52" s="67">
        <f t="shared" si="76"/>
      </c>
      <c r="M52" s="66">
        <f t="shared" si="43"/>
      </c>
      <c r="N52" s="66">
        <f t="shared" si="168"/>
      </c>
      <c r="O52" s="67">
        <f t="shared" si="10"/>
      </c>
      <c r="P52" s="66">
        <f t="shared" si="54"/>
      </c>
      <c r="Q52" s="66">
        <f t="shared" si="87"/>
      </c>
      <c r="R52" s="67">
        <f t="shared" si="179"/>
      </c>
      <c r="S52" s="68">
        <f t="shared" si="21"/>
      </c>
      <c r="T52" s="67">
        <f t="shared" si="65"/>
      </c>
      <c r="U52" s="69">
        <f t="shared" si="98"/>
      </c>
      <c r="V52" s="70" t="s">
        <v>37</v>
      </c>
      <c r="W52" s="71" t="s">
        <v>38</v>
      </c>
      <c r="X52" s="73">
        <v>3</v>
      </c>
      <c r="Y52" s="17">
        <v>15331</v>
      </c>
      <c r="Z52" s="17">
        <v>1222</v>
      </c>
      <c r="AA52" s="17">
        <v>1854</v>
      </c>
      <c r="AB52" s="17">
        <v>453</v>
      </c>
      <c r="AC52" s="17">
        <v>61</v>
      </c>
      <c r="AD52" s="17">
        <v>7</v>
      </c>
      <c r="AE52" s="30">
        <v>38</v>
      </c>
      <c r="AF52" s="32"/>
      <c r="AG52" s="7"/>
    </row>
    <row r="53">
      <c r="A53" s="15"/>
      <c r="B53" s="72" t="s">
        <v>47</v>
      </c>
      <c r="C53" s="17" t="s">
        <v>61</v>
      </c>
      <c r="D53" s="64">
        <f t="shared" si="118"/>
      </c>
      <c r="E53" s="64">
        <v>1909.4</v>
      </c>
      <c r="F53" s="17">
        <v>2184.67</v>
      </c>
      <c r="G53" s="17">
        <v>0</v>
      </c>
      <c r="H53" s="17">
        <v>4</v>
      </c>
      <c r="I53" s="17">
        <v>15330.479999999996</v>
      </c>
      <c r="J53" s="65">
        <f t="shared" si="0"/>
      </c>
      <c r="K53" s="66">
        <f t="shared" si="32"/>
      </c>
      <c r="L53" s="67">
        <f t="shared" si="76"/>
      </c>
      <c r="M53" s="66">
        <f t="shared" si="43"/>
      </c>
      <c r="N53" s="66">
        <f t="shared" si="168"/>
      </c>
      <c r="O53" s="67">
        <f t="shared" si="10"/>
      </c>
      <c r="P53" s="66">
        <f t="shared" si="54"/>
      </c>
      <c r="Q53" s="66">
        <f t="shared" si="87"/>
      </c>
      <c r="R53" s="67">
        <f t="shared" si="179"/>
      </c>
      <c r="S53" s="68">
        <f t="shared" si="21"/>
      </c>
      <c r="T53" s="67">
        <f t="shared" si="65"/>
      </c>
      <c r="U53" s="69">
        <f t="shared" si="98"/>
      </c>
      <c r="V53" s="70" t="s">
        <v>37</v>
      </c>
      <c r="W53" s="71" t="s">
        <v>62</v>
      </c>
      <c r="X53" s="73">
        <v>3</v>
      </c>
      <c r="Y53" s="17">
        <v>15760</v>
      </c>
      <c r="Z53" s="17">
        <v>1187</v>
      </c>
      <c r="AA53" s="17">
        <v>1738</v>
      </c>
      <c r="AB53" s="17">
        <v>390</v>
      </c>
      <c r="AC53" s="17">
        <v>82</v>
      </c>
      <c r="AD53" s="17">
        <v>4</v>
      </c>
      <c r="AE53" s="30">
        <v>29</v>
      </c>
      <c r="AF53" s="32"/>
      <c r="AG53" s="7"/>
    </row>
    <row r="54">
      <c r="A54" s="15"/>
      <c r="B54" s="75" t="s">
        <v>42</v>
      </c>
      <c r="C54" s="75"/>
      <c r="D54" s="75">
        <f>SUM(D50:D53)</f>
      </c>
      <c r="E54" s="75">
        <f>SUM(E50:E53)</f>
      </c>
      <c r="F54" s="75">
        <f>SUM(F50:F53)</f>
      </c>
      <c r="G54" s="75">
        <f>SUM(G50:G53)</f>
      </c>
      <c r="H54" s="75">
        <f>SUM(H50:H53)</f>
      </c>
      <c r="I54" s="75">
        <f>SUM(I50:I53)</f>
      </c>
      <c r="J54" s="76">
        <f t="shared" si="0"/>
      </c>
      <c r="K54" s="77">
        <f t="shared" si="32"/>
      </c>
      <c r="L54" s="78">
        <f t="shared" si="76"/>
      </c>
      <c r="M54" s="77">
        <f t="shared" si="43"/>
      </c>
      <c r="N54" s="77">
        <f t="shared" si="168"/>
      </c>
      <c r="O54" s="78">
        <f t="shared" si="10"/>
      </c>
      <c r="P54" s="77">
        <f t="shared" si="54"/>
      </c>
      <c r="Q54" s="77">
        <f t="shared" si="87"/>
      </c>
      <c r="R54" s="78">
        <f t="shared" si="179"/>
      </c>
      <c r="S54" s="79">
        <f t="shared" si="21"/>
      </c>
      <c r="T54" s="78">
        <f t="shared" si="65"/>
      </c>
      <c r="U54" s="80">
        <f t="shared" si="98"/>
      </c>
      <c r="V54" s="80"/>
      <c r="W54" s="80"/>
      <c r="X54" s="81">
        <f>SUM(X50:X53)</f>
      </c>
      <c r="Y54" s="82">
        <f>SUM(Y50:Y53)</f>
      </c>
      <c r="Z54" s="82">
        <f>SUM(Z50:Z53)</f>
      </c>
      <c r="AA54" s="82">
        <f>SUM(AA50:AA53)</f>
      </c>
      <c r="AB54" s="82">
        <f>SUM(AB50:AB53)</f>
      </c>
      <c r="AC54" s="82">
        <f>SUM(AC50:AC53)</f>
      </c>
      <c r="AD54" s="82">
        <f>SUM(AD50:AD53)</f>
      </c>
      <c r="AE54" s="83">
        <f>SUM(AE50:AE53)</f>
      </c>
      <c r="AF54" s="7"/>
      <c r="AG54" s="7"/>
    </row>
    <row r="55">
      <c r="A55" s="15"/>
      <c r="B55" s="63" t="s">
        <v>48</v>
      </c>
      <c r="C55" s="17" t="s">
        <v>55</v>
      </c>
      <c r="D55" s="64">
        <f t="shared" ref="D55:D57" si="119">E55+F55+G55</f>
      </c>
      <c r="E55" s="17">
        <v>1940.99</v>
      </c>
      <c r="F55" s="17">
        <v>3304.55</v>
      </c>
      <c r="G55" s="17">
        <v>0</v>
      </c>
      <c r="H55" s="17">
        <v>2</v>
      </c>
      <c r="I55" s="17">
        <v>3046.6800000000076</v>
      </c>
      <c r="J55" s="65">
        <f t="shared" si="0"/>
      </c>
      <c r="K55" s="66">
        <f t="shared" si="32"/>
      </c>
      <c r="L55" s="67">
        <f t="shared" si="76"/>
      </c>
      <c r="M55" s="66">
        <f t="shared" si="43"/>
      </c>
      <c r="N55" s="66">
        <f t="shared" si="168"/>
      </c>
      <c r="O55" s="67">
        <f t="shared" si="10"/>
      </c>
      <c r="P55" s="66">
        <f t="shared" si="54"/>
      </c>
      <c r="Q55" s="66">
        <f t="shared" si="87"/>
      </c>
      <c r="R55" s="67">
        <f t="shared" si="179"/>
      </c>
      <c r="S55" s="68">
        <f t="shared" si="21"/>
      </c>
      <c r="T55" s="67">
        <f t="shared" si="65"/>
      </c>
      <c r="U55" s="69">
        <f t="shared" si="98"/>
      </c>
      <c r="V55" s="70" t="s">
        <v>37</v>
      </c>
      <c r="W55" s="71" t="s">
        <v>50</v>
      </c>
      <c r="X55" s="17">
        <v>1</v>
      </c>
      <c r="Y55" s="17">
        <v>16832</v>
      </c>
      <c r="Z55" s="17">
        <v>1347</v>
      </c>
      <c r="AA55" s="64">
        <v>2103</v>
      </c>
      <c r="AB55" s="17">
        <v>477</v>
      </c>
      <c r="AC55" s="17">
        <v>69</v>
      </c>
      <c r="AD55" s="17">
        <v>2</v>
      </c>
      <c r="AE55" s="30">
        <v>41</v>
      </c>
      <c r="AF55" s="32"/>
      <c r="AG55" s="7"/>
    </row>
    <row r="56">
      <c r="A56" s="15"/>
      <c r="B56" s="72" t="s">
        <v>51</v>
      </c>
      <c r="C56" s="17" t="s">
        <v>55</v>
      </c>
      <c r="D56" s="64">
        <f t="shared" si="119"/>
      </c>
      <c r="E56" s="64">
        <v>1609.77</v>
      </c>
      <c r="F56" s="17">
        <v>2689.97</v>
      </c>
      <c r="G56" s="17">
        <v>0</v>
      </c>
      <c r="H56" s="17">
        <v>3</v>
      </c>
      <c r="I56" s="17">
        <v>2442.9600000000064</v>
      </c>
      <c r="J56" s="65">
        <f t="shared" si="0"/>
      </c>
      <c r="K56" s="66">
        <f t="shared" si="32"/>
      </c>
      <c r="L56" s="67">
        <f t="shared" si="76"/>
      </c>
      <c r="M56" s="66">
        <f t="shared" si="43"/>
      </c>
      <c r="N56" s="66">
        <f t="shared" si="168"/>
      </c>
      <c r="O56" s="67">
        <f t="shared" si="10"/>
      </c>
      <c r="P56" s="66">
        <f t="shared" si="54"/>
      </c>
      <c r="Q56" s="66">
        <f t="shared" si="87"/>
      </c>
      <c r="R56" s="67">
        <f t="shared" si="179"/>
      </c>
      <c r="S56" s="68">
        <f t="shared" si="21"/>
      </c>
      <c r="T56" s="67">
        <f t="shared" si="65"/>
      </c>
      <c r="U56" s="69">
        <f t="shared" si="98"/>
      </c>
      <c r="V56" s="70" t="s">
        <v>37</v>
      </c>
      <c r="W56" s="71" t="s">
        <v>50</v>
      </c>
      <c r="X56" s="73">
        <v>3</v>
      </c>
      <c r="Y56" s="64">
        <v>13628</v>
      </c>
      <c r="Z56" s="64">
        <v>1140</v>
      </c>
      <c r="AA56" s="64">
        <v>1870</v>
      </c>
      <c r="AB56" s="64">
        <v>441</v>
      </c>
      <c r="AC56" s="64">
        <v>63</v>
      </c>
      <c r="AD56" s="17">
        <v>4</v>
      </c>
      <c r="AE56" s="30">
        <v>34</v>
      </c>
      <c r="AF56" s="7"/>
      <c r="AG56" s="7"/>
    </row>
    <row r="57">
      <c r="A57" s="15"/>
      <c r="B57" s="63" t="s">
        <v>52</v>
      </c>
      <c r="C57" s="17" t="s">
        <v>55</v>
      </c>
      <c r="D57" s="64">
        <f t="shared" si="119"/>
      </c>
      <c r="E57" s="17">
        <v>1891.01</v>
      </c>
      <c r="F57" s="17">
        <v>2134.08</v>
      </c>
      <c r="G57" s="17">
        <v>0</v>
      </c>
      <c r="H57" s="17">
        <v>1</v>
      </c>
      <c r="I57" s="17">
        <v>1931.0399999999936</v>
      </c>
      <c r="J57" s="65">
        <f t="shared" si="0"/>
      </c>
      <c r="K57" s="66">
        <f t="shared" si="32"/>
      </c>
      <c r="L57" s="67">
        <f t="shared" si="76"/>
      </c>
      <c r="M57" s="66">
        <f t="shared" si="43"/>
      </c>
      <c r="N57" s="66">
        <f t="shared" si="168"/>
      </c>
      <c r="O57" s="67">
        <f t="shared" si="10"/>
      </c>
      <c r="P57" s="66">
        <f t="shared" si="54"/>
      </c>
      <c r="Q57" s="66">
        <f t="shared" si="87"/>
      </c>
      <c r="R57" s="67">
        <f t="shared" si="179"/>
      </c>
      <c r="S57" s="68">
        <f t="shared" si="21"/>
      </c>
      <c r="T57" s="67">
        <f t="shared" si="65"/>
      </c>
      <c r="U57" s="69">
        <f t="shared" si="98"/>
      </c>
      <c r="V57" s="70" t="s">
        <v>37</v>
      </c>
      <c r="W57" s="71" t="s">
        <v>50</v>
      </c>
      <c r="X57" s="73">
        <v>0</v>
      </c>
      <c r="Y57" s="64">
        <v>14216</v>
      </c>
      <c r="Z57" s="64">
        <v>1211</v>
      </c>
      <c r="AA57" s="64">
        <v>1974</v>
      </c>
      <c r="AB57" s="64">
        <v>491</v>
      </c>
      <c r="AC57" s="64">
        <v>47</v>
      </c>
      <c r="AD57" s="17">
        <v>3</v>
      </c>
      <c r="AE57" s="30">
        <v>24</v>
      </c>
      <c r="AF57" s="7"/>
      <c r="AG57" s="7"/>
    </row>
    <row r="58">
      <c r="A58" s="15"/>
      <c r="B58" s="75" t="s">
        <v>42</v>
      </c>
      <c r="C58" s="75"/>
      <c r="D58" s="75">
        <f>SUM(D55:D57)</f>
      </c>
      <c r="E58" s="75">
        <f>SUM(E55:E57)</f>
      </c>
      <c r="F58" s="75">
        <f>SUM(F55:F57)</f>
      </c>
      <c r="G58" s="75">
        <f>SUM(G55:G57)</f>
      </c>
      <c r="H58" s="75">
        <f>SUM(H55:H57)</f>
      </c>
      <c r="I58" s="75">
        <f>SUM(I55:I57)</f>
      </c>
      <c r="J58" s="76">
        <f t="shared" si="0"/>
      </c>
      <c r="K58" s="77">
        <f t="shared" si="32"/>
      </c>
      <c r="L58" s="78">
        <f t="shared" si="76"/>
      </c>
      <c r="M58" s="77">
        <f t="shared" si="43"/>
      </c>
      <c r="N58" s="77">
        <f t="shared" si="168"/>
      </c>
      <c r="O58" s="78">
        <f t="shared" si="10"/>
      </c>
      <c r="P58" s="77">
        <f t="shared" si="54"/>
      </c>
      <c r="Q58" s="77">
        <f t="shared" si="87"/>
      </c>
      <c r="R58" s="78">
        <f t="shared" si="179"/>
      </c>
      <c r="S58" s="79">
        <f t="shared" si="21"/>
      </c>
      <c r="T58" s="78">
        <f t="shared" si="65"/>
      </c>
      <c r="U58" s="80">
        <f t="shared" si="98"/>
      </c>
      <c r="V58" s="80"/>
      <c r="W58" s="80"/>
      <c r="X58" s="81">
        <f>SUM(X55:X57)</f>
      </c>
      <c r="Y58" s="75">
        <f>SUM(Y55:Y57)</f>
      </c>
      <c r="Z58" s="75">
        <f>SUM(Z55:Z57)</f>
      </c>
      <c r="AA58" s="75">
        <f>SUM(AA55:AA57)</f>
      </c>
      <c r="AB58" s="75">
        <f>SUM(AB55:AB57)</f>
      </c>
      <c r="AC58" s="75">
        <f>SUM(AC55:AC57)</f>
      </c>
      <c r="AD58" s="75">
        <f>SUM(AD55:AD57)</f>
      </c>
      <c r="AE58" s="38">
        <f>SUM(AE55:AE57)</f>
      </c>
      <c r="AF58" s="7"/>
      <c r="AG58" s="7"/>
    </row>
    <row customHeight="true" ht="18.452380952380953" r="59">
      <c r="A59" s="15"/>
      <c r="B59" s="72" t="s">
        <v>53</v>
      </c>
      <c r="C59" s="17" t="s">
        <v>49</v>
      </c>
      <c r="D59" s="64">
        <f t="shared" ref="D59:D63" si="120">E59+F59+G59</f>
      </c>
      <c r="E59" s="17">
        <v>477.29</v>
      </c>
      <c r="F59" s="17">
        <v>2709.66</v>
      </c>
      <c r="G59" s="17">
        <v>0</v>
      </c>
      <c r="H59" s="17">
        <v>0</v>
      </c>
      <c r="I59" s="17">
        <v>0</v>
      </c>
      <c r="J59" s="65">
        <f t="shared" si="0"/>
      </c>
      <c r="K59" s="66" t="str">
        <v>#DIV/0!</v>
      </c>
      <c r="L59" s="67" t="str">
        <v>#DIV/0!</v>
      </c>
      <c r="M59" s="66" t="str">
        <v>#DIV/0!</v>
      </c>
      <c r="N59" s="66" t="str">
        <v>#DIV/0!</v>
      </c>
      <c r="O59" s="67" t="str">
        <v>#DIV/0!</v>
      </c>
      <c r="P59" s="66" t="str">
        <v>#DIV/0!</v>
      </c>
      <c r="Q59" s="66" t="str">
        <v>#DIV/0!</v>
      </c>
      <c r="R59" s="67" t="str">
        <v>#DIV/0!</v>
      </c>
      <c r="S59" s="68" t="str">
        <v>#DIV/0!</v>
      </c>
      <c r="T59" s="67" t="str">
        <v>#DIV/0!</v>
      </c>
      <c r="U59" s="69" t="str">
        <v>#DIV/0!</v>
      </c>
      <c r="V59" s="70" t="s">
        <v>37</v>
      </c>
      <c r="W59" s="71" t="s">
        <v>50</v>
      </c>
      <c r="X59" s="17">
        <v>0</v>
      </c>
      <c r="Y59" s="64">
        <v>11587</v>
      </c>
      <c r="Z59" s="64">
        <v>1320</v>
      </c>
      <c r="AA59" s="64">
        <v>2146</v>
      </c>
      <c r="AB59" s="64">
        <v>489</v>
      </c>
      <c r="AC59" s="17">
        <v>36</v>
      </c>
      <c r="AD59" s="17">
        <v>1</v>
      </c>
      <c r="AE59" s="30">
        <v>18</v>
      </c>
      <c r="AF59" s="7"/>
      <c r="AG59" s="7"/>
    </row>
    <row r="60">
      <c r="A60" s="15"/>
      <c r="B60" s="72" t="s">
        <v>54</v>
      </c>
      <c r="C60" s="17" t="s">
        <v>49</v>
      </c>
      <c r="D60" s="64">
        <f t="shared" si="120"/>
      </c>
      <c r="E60" s="17">
        <v>1113.3</v>
      </c>
      <c r="F60" s="17">
        <v>3379.73</v>
      </c>
      <c r="G60" s="17">
        <v>0</v>
      </c>
      <c r="H60" s="17">
        <v>1</v>
      </c>
      <c r="I60" s="17">
        <v>2322.600000000006</v>
      </c>
      <c r="J60" s="65">
        <f t="shared" si="0"/>
      </c>
      <c r="K60" s="66">
        <f t="shared" ref="K60:K86" si="33">Z60/Y60</f>
      </c>
      <c r="L60" s="67">
        <f t="shared" ref="L60:L86" si="77">D60/AA60</f>
      </c>
      <c r="M60" s="66">
        <f t="shared" ref="M60:M86" si="44">AB60/AA60</f>
      </c>
      <c r="N60" s="66">
        <f t="shared" ref="N60:N86" si="169">AC60/AA60</f>
      </c>
      <c r="O60" s="67">
        <f t="shared" ref="O60:O86" si="11">D60/AC60</f>
      </c>
      <c r="P60" s="66">
        <f t="shared" ref="P60:P86" si="55">AD60/AC60</f>
      </c>
      <c r="Q60" s="66">
        <f t="shared" ref="Q60:Q86" si="88">H60/AD60</f>
      </c>
      <c r="R60" s="67">
        <f t="shared" ref="R60:R86" si="180">D60/H60</f>
      </c>
      <c r="S60" s="68">
        <f t="shared" ref="S60:S86" si="22">I60/H60</f>
      </c>
      <c r="T60" s="67">
        <f t="shared" ref="T60:T86" si="66">D60/X60</f>
      </c>
      <c r="U60" s="69">
        <f t="shared" ref="U60:U86" si="99">AE60*1000/D60</f>
      </c>
      <c r="V60" s="70" t="s">
        <v>37</v>
      </c>
      <c r="W60" s="71" t="s">
        <v>50</v>
      </c>
      <c r="X60" s="17">
        <v>1</v>
      </c>
      <c r="Y60" s="64">
        <v>14985</v>
      </c>
      <c r="Z60" s="64">
        <v>1562</v>
      </c>
      <c r="AA60" s="64">
        <v>2597</v>
      </c>
      <c r="AB60" s="64">
        <v>611</v>
      </c>
      <c r="AC60" s="17">
        <v>60</v>
      </c>
      <c r="AD60" s="17">
        <v>4</v>
      </c>
      <c r="AE60" s="30">
        <v>46</v>
      </c>
      <c r="AF60" s="7"/>
      <c r="AG60" s="7"/>
    </row>
    <row r="61">
      <c r="A61" s="15"/>
      <c r="B61" s="17" t="s">
        <v>56</v>
      </c>
      <c r="C61" s="17" t="s">
        <v>49</v>
      </c>
      <c r="D61" s="64">
        <f t="shared" si="120"/>
      </c>
      <c r="E61" s="17">
        <v>904.05</v>
      </c>
      <c r="F61" s="17">
        <v>2652.73</v>
      </c>
      <c r="G61" s="17">
        <v>0</v>
      </c>
      <c r="H61" s="17">
        <v>2</v>
      </c>
      <c r="I61" s="17">
        <v>2454.199999999997</v>
      </c>
      <c r="J61" s="65">
        <f t="shared" si="0"/>
      </c>
      <c r="K61" s="66">
        <f t="shared" si="33"/>
      </c>
      <c r="L61" s="67">
        <f t="shared" si="77"/>
      </c>
      <c r="M61" s="66">
        <f t="shared" si="44"/>
      </c>
      <c r="N61" s="66">
        <f t="shared" si="169"/>
      </c>
      <c r="O61" s="67">
        <f t="shared" si="11"/>
      </c>
      <c r="P61" s="66">
        <f t="shared" si="55"/>
      </c>
      <c r="Q61" s="66">
        <f t="shared" si="88"/>
      </c>
      <c r="R61" s="67">
        <f t="shared" si="180"/>
      </c>
      <c r="S61" s="68">
        <f t="shared" si="22"/>
      </c>
      <c r="T61" s="67">
        <f t="shared" si="66"/>
      </c>
      <c r="U61" s="69">
        <f t="shared" si="99"/>
      </c>
      <c r="V61" s="70" t="s">
        <v>37</v>
      </c>
      <c r="W61" s="71" t="s">
        <v>50</v>
      </c>
      <c r="X61" s="73">
        <v>2</v>
      </c>
      <c r="Y61" s="64">
        <v>11475</v>
      </c>
      <c r="Z61" s="64">
        <v>1139</v>
      </c>
      <c r="AA61" s="64">
        <v>1886</v>
      </c>
      <c r="AB61" s="64">
        <v>437</v>
      </c>
      <c r="AC61" s="64">
        <v>47</v>
      </c>
      <c r="AD61" s="17">
        <v>4</v>
      </c>
      <c r="AE61" s="84">
        <v>38</v>
      </c>
      <c r="AF61" s="7"/>
      <c r="AG61" s="7"/>
    </row>
    <row r="62">
      <c r="A62" s="15"/>
      <c r="B62" s="64" t="s">
        <v>57</v>
      </c>
      <c r="C62" s="17" t="s">
        <v>49</v>
      </c>
      <c r="D62" s="64">
        <f t="shared" si="120"/>
      </c>
      <c r="E62" s="17">
        <v>1579.24</v>
      </c>
      <c r="F62" s="17">
        <v>894.45</v>
      </c>
      <c r="G62" s="17">
        <v>0</v>
      </c>
      <c r="H62" s="17">
        <v>2</v>
      </c>
      <c r="I62" s="17">
        <v>1691.2799999999988</v>
      </c>
      <c r="J62" s="65">
        <f t="shared" si="0"/>
      </c>
      <c r="K62" s="66">
        <f t="shared" si="33"/>
      </c>
      <c r="L62" s="67">
        <f t="shared" si="77"/>
      </c>
      <c r="M62" s="66">
        <f t="shared" si="44"/>
      </c>
      <c r="N62" s="66">
        <f t="shared" si="169"/>
      </c>
      <c r="O62" s="67">
        <f t="shared" si="11"/>
      </c>
      <c r="P62" s="66">
        <f t="shared" si="55"/>
      </c>
      <c r="Q62" s="66">
        <f t="shared" si="88"/>
      </c>
      <c r="R62" s="67">
        <f t="shared" si="180"/>
      </c>
      <c r="S62" s="68">
        <f t="shared" si="22"/>
      </c>
      <c r="T62" s="67">
        <f t="shared" si="66"/>
      </c>
      <c r="U62" s="69">
        <f t="shared" si="99"/>
      </c>
      <c r="V62" s="70" t="s">
        <v>37</v>
      </c>
      <c r="W62" s="71" t="s">
        <v>50</v>
      </c>
      <c r="X62" s="73">
        <v>2</v>
      </c>
      <c r="Y62" s="64">
        <v>13318</v>
      </c>
      <c r="Z62" s="64">
        <v>475</v>
      </c>
      <c r="AA62" s="64">
        <v>632</v>
      </c>
      <c r="AB62" s="64">
        <v>145</v>
      </c>
      <c r="AC62" s="17">
        <v>49</v>
      </c>
      <c r="AD62" s="17">
        <v>2</v>
      </c>
      <c r="AE62" s="30">
        <v>17</v>
      </c>
      <c r="AF62" s="7"/>
      <c r="AG62" s="7"/>
    </row>
    <row r="63">
      <c r="A63" s="15"/>
      <c r="B63" s="17" t="s">
        <v>58</v>
      </c>
      <c r="C63" s="17" t="s">
        <v>49</v>
      </c>
      <c r="D63" s="64">
        <f t="shared" si="120"/>
      </c>
      <c r="E63" s="17">
        <v>1167.95</v>
      </c>
      <c r="F63" s="17">
        <v>1693.32</v>
      </c>
      <c r="G63" s="17">
        <v>0</v>
      </c>
      <c r="H63" s="17">
        <v>0</v>
      </c>
      <c r="I63" s="17">
        <v>0</v>
      </c>
      <c r="J63" s="65">
        <f t="shared" si="0"/>
      </c>
      <c r="K63" s="66">
        <f t="shared" si="33"/>
      </c>
      <c r="L63" s="67">
        <f t="shared" si="77"/>
      </c>
      <c r="M63" s="66">
        <f t="shared" si="44"/>
      </c>
      <c r="N63" s="66">
        <f t="shared" si="169"/>
      </c>
      <c r="O63" s="67">
        <f t="shared" si="11"/>
      </c>
      <c r="P63" s="66">
        <f t="shared" si="55"/>
      </c>
      <c r="Q63" s="66">
        <f t="shared" si="88"/>
      </c>
      <c r="R63" s="67">
        <f t="shared" si="180"/>
      </c>
      <c r="S63" s="68">
        <f t="shared" si="22"/>
      </c>
      <c r="T63" s="67">
        <f t="shared" si="66"/>
      </c>
      <c r="U63" s="69">
        <f t="shared" si="99"/>
      </c>
      <c r="V63" s="70" t="s">
        <v>37</v>
      </c>
      <c r="W63" s="71" t="s">
        <v>50</v>
      </c>
      <c r="X63" s="73">
        <v>0</v>
      </c>
      <c r="Y63" s="64">
        <v>13565</v>
      </c>
      <c r="Z63" s="64">
        <v>937</v>
      </c>
      <c r="AA63" s="64">
        <v>1374</v>
      </c>
      <c r="AB63" s="64">
        <v>207</v>
      </c>
      <c r="AC63" s="17">
        <v>48</v>
      </c>
      <c r="AD63" s="17">
        <v>1</v>
      </c>
      <c r="AE63" s="84">
        <v>22</v>
      </c>
      <c r="AF63" s="7"/>
      <c r="AG63" s="7"/>
    </row>
    <row r="64">
      <c r="A64" s="15"/>
      <c r="B64" s="75" t="s">
        <v>42</v>
      </c>
      <c r="C64" s="75"/>
      <c r="D64" s="75">
        <f>SUM(D59:D63)</f>
      </c>
      <c r="E64" s="75">
        <f>SUM(E59:E63)</f>
      </c>
      <c r="F64" s="75">
        <f>SUM(F59:F63)</f>
      </c>
      <c r="G64" s="75">
        <f>SUM(G59:G63)</f>
      </c>
      <c r="H64" s="75">
        <f>SUM(H59:H63)</f>
      </c>
      <c r="I64" s="75">
        <f>SUM(I59:I63)</f>
      </c>
      <c r="J64" s="76">
        <f t="shared" si="0"/>
      </c>
      <c r="K64" s="77">
        <f t="shared" si="33"/>
      </c>
      <c r="L64" s="78">
        <f t="shared" si="77"/>
      </c>
      <c r="M64" s="77">
        <f t="shared" si="44"/>
      </c>
      <c r="N64" s="77">
        <f t="shared" si="169"/>
      </c>
      <c r="O64" s="78">
        <f t="shared" si="11"/>
      </c>
      <c r="P64" s="77">
        <f t="shared" si="55"/>
      </c>
      <c r="Q64" s="77">
        <f t="shared" si="88"/>
      </c>
      <c r="R64" s="78">
        <f t="shared" si="180"/>
      </c>
      <c r="S64" s="79">
        <f t="shared" si="22"/>
      </c>
      <c r="T64" s="78">
        <f t="shared" si="66"/>
      </c>
      <c r="U64" s="80">
        <f t="shared" si="99"/>
      </c>
      <c r="V64" s="80"/>
      <c r="W64" s="80"/>
      <c r="X64" s="81">
        <f>SUM(X59:X63)</f>
      </c>
      <c r="Y64" s="82">
        <f>SUM(Y59:Y63)</f>
      </c>
      <c r="Z64" s="82">
        <f>SUM(Z59:Z63)</f>
      </c>
      <c r="AA64" s="82">
        <f>SUM(AA59:AA63)</f>
      </c>
      <c r="AB64" s="82">
        <f>SUM(AB59:AB63)</f>
      </c>
      <c r="AC64" s="82">
        <f>SUM(AC59:AC63)</f>
      </c>
      <c r="AD64" s="82">
        <f>SUM(AD59:AD63)</f>
      </c>
      <c r="AE64" s="83">
        <f>SUM(AE59:AE63)</f>
      </c>
      <c r="AF64" s="7"/>
      <c r="AG64" s="7"/>
    </row>
    <row r="65">
      <c r="A65" s="15"/>
      <c r="B65" s="85" t="s">
        <v>59</v>
      </c>
      <c r="C65" s="85"/>
      <c r="D65" s="55">
        <f>D49+D54+D58+D64</f>
      </c>
      <c r="E65" s="55">
        <f>E49+E54+E58+E64</f>
      </c>
      <c r="F65" s="55">
        <f>F49+F54+F58+F64</f>
      </c>
      <c r="G65" s="55">
        <f>G49+G54+G58+G64</f>
      </c>
      <c r="H65" s="55">
        <f>H49+H54+H58+H64</f>
      </c>
      <c r="I65" s="55">
        <f>I49+I54+I58+I64</f>
      </c>
      <c r="J65" s="55">
        <f t="shared" si="0"/>
      </c>
      <c r="K65" s="86">
        <f t="shared" si="33"/>
      </c>
      <c r="L65" s="55">
        <f t="shared" si="77"/>
      </c>
      <c r="M65" s="86">
        <f t="shared" si="44"/>
      </c>
      <c r="N65" s="86">
        <f t="shared" si="169"/>
      </c>
      <c r="O65" s="55">
        <f t="shared" si="11"/>
      </c>
      <c r="P65" s="86">
        <f t="shared" si="55"/>
      </c>
      <c r="Q65" s="86">
        <f t="shared" si="88"/>
      </c>
      <c r="R65" s="55">
        <f t="shared" si="180"/>
      </c>
      <c r="S65" s="87">
        <f t="shared" si="22"/>
      </c>
      <c r="T65" s="55">
        <f t="shared" si="66"/>
      </c>
      <c r="U65" s="88">
        <f t="shared" si="99"/>
      </c>
      <c r="V65" s="88"/>
      <c r="W65" s="88"/>
      <c r="X65" s="55">
        <f>X49+X54+X58+X64</f>
      </c>
      <c r="Y65" s="55">
        <f>Y49+Y54+Y58+Y64</f>
      </c>
      <c r="Z65" s="55">
        <f>Z49+Z54+Z58+Z64</f>
      </c>
      <c r="AA65" s="55">
        <f>AA49+AA54+AA58+AA64</f>
      </c>
      <c r="AB65" s="55">
        <f>AB49+AB54+AB58+AB64</f>
      </c>
      <c r="AC65" s="55">
        <f>AC49+AC54+AC58+AC64</f>
      </c>
      <c r="AD65" s="55">
        <f>AD49+AD54+AD58+AD64</f>
      </c>
      <c r="AE65" s="89">
        <f>AE49+AE54+AE58+AE64</f>
      </c>
      <c r="AF65" s="7"/>
      <c r="AG65" s="7"/>
    </row>
    <row customHeight="true" ht="18.452380952380953" r="66">
      <c r="A66" s="15">
        <v>46299</v>
      </c>
      <c r="B66" s="63" t="s">
        <v>35</v>
      </c>
      <c r="C66" s="17" t="s">
        <v>36</v>
      </c>
      <c r="D66" s="64">
        <f t="shared" ref="D66:D69" si="121">E66+F66+G66</f>
      </c>
      <c r="E66" s="17">
        <v>2000</v>
      </c>
      <c r="F66" s="17">
        <v>1000</v>
      </c>
      <c r="G66" s="17">
        <v>0</v>
      </c>
      <c r="H66" s="17">
        <v>0</v>
      </c>
      <c r="I66" s="17">
        <v>0</v>
      </c>
      <c r="J66" s="65">
        <f t="shared" si="0"/>
      </c>
      <c r="K66" s="66">
        <f t="shared" si="33"/>
      </c>
      <c r="L66" s="67">
        <f t="shared" si="77"/>
      </c>
      <c r="M66" s="66">
        <f t="shared" si="44"/>
      </c>
      <c r="N66" s="66">
        <f t="shared" si="169"/>
      </c>
      <c r="O66" s="67">
        <f t="shared" si="11"/>
      </c>
      <c r="P66" s="66">
        <f t="shared" si="55"/>
      </c>
      <c r="Q66" s="66">
        <f t="shared" si="88"/>
      </c>
      <c r="R66" s="67">
        <f t="shared" si="180"/>
      </c>
      <c r="S66" s="68">
        <f t="shared" si="22"/>
      </c>
      <c r="T66" s="67">
        <f t="shared" si="66"/>
      </c>
      <c r="U66" s="69">
        <f t="shared" si="99"/>
      </c>
      <c r="V66" s="70" t="s">
        <v>37</v>
      </c>
      <c r="W66" s="71" t="s">
        <v>62</v>
      </c>
      <c r="X66" s="17">
        <v>0</v>
      </c>
      <c r="Y66" s="64">
        <v>9046</v>
      </c>
      <c r="Z66" s="64">
        <v>634</v>
      </c>
      <c r="AA66" s="64">
        <v>965</v>
      </c>
      <c r="AB66" s="64">
        <v>199</v>
      </c>
      <c r="AC66" s="17">
        <v>41</v>
      </c>
      <c r="AD66" s="17">
        <v>0</v>
      </c>
      <c r="AE66" s="17">
        <v>22</v>
      </c>
      <c r="AF66" s="32"/>
      <c r="AG66" s="7"/>
    </row>
    <row customHeight="true" ht="18.452380952380953" r="67">
      <c r="A67" s="15"/>
      <c r="B67" s="72" t="s">
        <v>39</v>
      </c>
      <c r="C67" s="17" t="s">
        <v>36</v>
      </c>
      <c r="D67" s="64">
        <f t="shared" si="121"/>
      </c>
      <c r="E67" s="17">
        <v>1978.29</v>
      </c>
      <c r="F67" s="17">
        <v>425.68</v>
      </c>
      <c r="G67" s="17">
        <v>0</v>
      </c>
      <c r="H67" s="17">
        <v>0</v>
      </c>
      <c r="I67" s="17">
        <v>0</v>
      </c>
      <c r="J67" s="65">
        <f t="shared" si="0"/>
      </c>
      <c r="K67" s="66">
        <f t="shared" si="33"/>
      </c>
      <c r="L67" s="67">
        <f t="shared" si="77"/>
      </c>
      <c r="M67" s="66">
        <f t="shared" si="44"/>
      </c>
      <c r="N67" s="66">
        <f t="shared" si="169"/>
      </c>
      <c r="O67" s="67">
        <f t="shared" si="11"/>
      </c>
      <c r="P67" s="66">
        <f t="shared" si="55"/>
      </c>
      <c r="Q67" s="66">
        <f t="shared" si="88"/>
      </c>
      <c r="R67" s="67">
        <f t="shared" si="180"/>
      </c>
      <c r="S67" s="68">
        <f t="shared" si="22"/>
      </c>
      <c r="T67" s="67">
        <f t="shared" si="66"/>
      </c>
      <c r="U67" s="69">
        <f t="shared" si="99"/>
      </c>
      <c r="V67" s="70" t="s">
        <v>37</v>
      </c>
      <c r="W67" s="71" t="s">
        <v>62</v>
      </c>
      <c r="X67" s="73">
        <v>0</v>
      </c>
      <c r="Y67" s="64">
        <v>7641</v>
      </c>
      <c r="Z67" s="64">
        <v>354</v>
      </c>
      <c r="AA67" s="64">
        <v>444</v>
      </c>
      <c r="AB67" s="64">
        <v>99</v>
      </c>
      <c r="AC67" s="64">
        <v>36</v>
      </c>
      <c r="AD67" s="17">
        <v>0</v>
      </c>
      <c r="AE67" s="17">
        <v>18</v>
      </c>
      <c r="AF67" s="32"/>
      <c r="AG67" s="7"/>
    </row>
    <row customHeight="true" ht="18.452380952380953" r="68">
      <c r="A68" s="15"/>
      <c r="B68" s="72" t="s">
        <v>40</v>
      </c>
      <c r="C68" s="17" t="s">
        <v>36</v>
      </c>
      <c r="D68" s="64">
        <f t="shared" si="121"/>
      </c>
      <c r="E68" s="64">
        <v>1512.29</v>
      </c>
      <c r="F68" s="64">
        <v>1540.4</v>
      </c>
      <c r="G68" s="17">
        <v>0</v>
      </c>
      <c r="H68" s="17">
        <v>1</v>
      </c>
      <c r="I68" s="17">
        <v>5051.88</v>
      </c>
      <c r="J68" s="65">
        <f t="shared" si="0"/>
      </c>
      <c r="K68" s="66">
        <f t="shared" si="33"/>
      </c>
      <c r="L68" s="67">
        <f t="shared" si="77"/>
      </c>
      <c r="M68" s="66">
        <f t="shared" si="44"/>
      </c>
      <c r="N68" s="66">
        <f t="shared" si="169"/>
      </c>
      <c r="O68" s="67">
        <f t="shared" si="11"/>
      </c>
      <c r="P68" s="66">
        <f t="shared" si="55"/>
      </c>
      <c r="Q68" s="66">
        <f t="shared" si="88"/>
      </c>
      <c r="R68" s="67">
        <f t="shared" si="180"/>
      </c>
      <c r="S68" s="68">
        <f t="shared" si="22"/>
      </c>
      <c r="T68" s="67">
        <f t="shared" si="66"/>
      </c>
      <c r="U68" s="69">
        <f t="shared" si="99"/>
      </c>
      <c r="V68" s="70" t="s">
        <v>37</v>
      </c>
      <c r="W68" s="71" t="s">
        <v>62</v>
      </c>
      <c r="X68" s="74">
        <v>1</v>
      </c>
      <c r="Y68" s="64">
        <v>10937</v>
      </c>
      <c r="Z68" s="64">
        <v>690</v>
      </c>
      <c r="AA68" s="64">
        <v>1005</v>
      </c>
      <c r="AB68" s="64">
        <v>240</v>
      </c>
      <c r="AC68" s="64">
        <v>62</v>
      </c>
      <c r="AD68" s="17">
        <v>1</v>
      </c>
      <c r="AE68" s="17">
        <v>25</v>
      </c>
      <c r="AF68" s="32"/>
      <c r="AG68" s="7"/>
    </row>
    <row customHeight="true" ht="18.452380952380953" r="69">
      <c r="A69" s="15"/>
      <c r="B69" s="72" t="s">
        <v>41</v>
      </c>
      <c r="C69" s="17" t="s">
        <v>36</v>
      </c>
      <c r="D69" s="64">
        <f t="shared" si="121"/>
      </c>
      <c r="E69" s="64">
        <v>1488.27</v>
      </c>
      <c r="F69" s="17">
        <v>1671.47</v>
      </c>
      <c r="G69" s="17">
        <v>0</v>
      </c>
      <c r="H69" s="17">
        <v>2</v>
      </c>
      <c r="I69" s="17">
        <v>4617.96</v>
      </c>
      <c r="J69" s="65">
        <f t="shared" si="0"/>
      </c>
      <c r="K69" s="66">
        <f t="shared" si="33"/>
      </c>
      <c r="L69" s="67">
        <f t="shared" si="77"/>
      </c>
      <c r="M69" s="66">
        <f t="shared" si="44"/>
      </c>
      <c r="N69" s="66">
        <f t="shared" si="169"/>
      </c>
      <c r="O69" s="67">
        <f t="shared" si="11"/>
      </c>
      <c r="P69" s="66">
        <f t="shared" si="55"/>
      </c>
      <c r="Q69" s="66">
        <f t="shared" si="88"/>
      </c>
      <c r="R69" s="67">
        <f t="shared" si="180"/>
      </c>
      <c r="S69" s="68">
        <f t="shared" si="22"/>
      </c>
      <c r="T69" s="67">
        <f t="shared" si="66"/>
      </c>
      <c r="U69" s="69">
        <f t="shared" si="99"/>
      </c>
      <c r="V69" s="70" t="s">
        <v>37</v>
      </c>
      <c r="W69" s="71" t="s">
        <v>62</v>
      </c>
      <c r="X69" s="73">
        <v>1</v>
      </c>
      <c r="Y69" s="64">
        <v>11721</v>
      </c>
      <c r="Z69" s="64">
        <v>748</v>
      </c>
      <c r="AA69" s="64">
        <v>1133</v>
      </c>
      <c r="AB69" s="64">
        <v>270</v>
      </c>
      <c r="AC69" s="64">
        <v>41</v>
      </c>
      <c r="AD69" s="17">
        <v>4</v>
      </c>
      <c r="AE69" s="17">
        <v>20</v>
      </c>
      <c r="AF69" s="32"/>
      <c r="AG69" s="7"/>
    </row>
    <row customHeight="true" ht="18.452380952380953" r="70">
      <c r="A70" s="15"/>
      <c r="B70" s="75" t="s">
        <v>42</v>
      </c>
      <c r="C70" s="75"/>
      <c r="D70" s="75">
        <f>D66+D67+D68+D69</f>
      </c>
      <c r="E70" s="75">
        <f>SUM(E66:E69)</f>
      </c>
      <c r="F70" s="75">
        <f>SUM(F66:F69)</f>
      </c>
      <c r="G70" s="75">
        <f>SUM(G66:G69)</f>
      </c>
      <c r="H70" s="75">
        <f>SUM(H66:H69)</f>
      </c>
      <c r="I70" s="75">
        <f>SUM(I66:I69)</f>
      </c>
      <c r="J70" s="76">
        <f t="shared" si="0"/>
      </c>
      <c r="K70" s="77">
        <f t="shared" si="33"/>
      </c>
      <c r="L70" s="78">
        <f t="shared" si="77"/>
      </c>
      <c r="M70" s="77">
        <f t="shared" si="44"/>
      </c>
      <c r="N70" s="77">
        <f t="shared" si="169"/>
      </c>
      <c r="O70" s="78">
        <f t="shared" si="11"/>
      </c>
      <c r="P70" s="77">
        <f t="shared" si="55"/>
      </c>
      <c r="Q70" s="77">
        <f t="shared" si="88"/>
      </c>
      <c r="R70" s="78">
        <f t="shared" si="180"/>
      </c>
      <c r="S70" s="79">
        <f t="shared" si="22"/>
      </c>
      <c r="T70" s="78">
        <f t="shared" si="66"/>
      </c>
      <c r="U70" s="80">
        <f t="shared" si="99"/>
      </c>
      <c r="V70" s="80"/>
      <c r="W70" s="80"/>
      <c r="X70" s="81">
        <f>SUM(X66:X69)</f>
      </c>
      <c r="Y70" s="75">
        <f>SUM(Y66:Y69)</f>
      </c>
      <c r="Z70" s="75">
        <f>SUM(Z66:Z69)</f>
      </c>
      <c r="AA70" s="75">
        <f>SUM(AA66:AA69)</f>
      </c>
      <c r="AB70" s="75">
        <f>SUM(AB66:AB69)</f>
      </c>
      <c r="AC70" s="75">
        <f>SUM(AC66:AC69)</f>
      </c>
      <c r="AD70" s="75">
        <f>SUM(AD66:AD69)</f>
      </c>
      <c r="AE70" s="75">
        <f>SUM(AE66:AE69)</f>
      </c>
      <c r="AF70" s="7"/>
      <c r="AG70" s="7"/>
    </row>
    <row customHeight="true" ht="18.452380952380953" r="71">
      <c r="A71" s="15"/>
      <c r="B71" s="72" t="s">
        <v>43</v>
      </c>
      <c r="C71" s="17" t="s">
        <v>61</v>
      </c>
      <c r="D71" s="64">
        <f t="shared" ref="D71:D74" si="122">E71+F71+G71</f>
      </c>
      <c r="E71" s="64">
        <v>1500.76</v>
      </c>
      <c r="F71" s="64">
        <v>1433.46</v>
      </c>
      <c r="G71" s="17">
        <v>0</v>
      </c>
      <c r="H71" s="17">
        <v>1</v>
      </c>
      <c r="I71" s="17">
        <v>2485.08</v>
      </c>
      <c r="J71" s="65">
        <f t="shared" si="0"/>
      </c>
      <c r="K71" s="66">
        <f t="shared" si="33"/>
      </c>
      <c r="L71" s="67">
        <f t="shared" si="77"/>
      </c>
      <c r="M71" s="66">
        <f t="shared" si="44"/>
      </c>
      <c r="N71" s="66">
        <f t="shared" si="169"/>
      </c>
      <c r="O71" s="67">
        <f t="shared" si="11"/>
      </c>
      <c r="P71" s="66">
        <f t="shared" si="55"/>
      </c>
      <c r="Q71" s="66">
        <f t="shared" si="88"/>
      </c>
      <c r="R71" s="67">
        <f t="shared" si="180"/>
      </c>
      <c r="S71" s="68">
        <f t="shared" si="22"/>
      </c>
      <c r="T71" s="67">
        <f t="shared" si="66"/>
      </c>
      <c r="U71" s="69">
        <f t="shared" si="99"/>
      </c>
      <c r="V71" s="70" t="s">
        <v>37</v>
      </c>
      <c r="W71" s="71" t="s">
        <v>62</v>
      </c>
      <c r="X71" s="73">
        <v>1</v>
      </c>
      <c r="Y71" s="17">
        <v>10124</v>
      </c>
      <c r="Z71" s="17">
        <v>811</v>
      </c>
      <c r="AA71" s="64">
        <v>1303</v>
      </c>
      <c r="AB71" s="17">
        <v>313</v>
      </c>
      <c r="AC71" s="17">
        <v>47</v>
      </c>
      <c r="AD71" s="17">
        <v>1</v>
      </c>
      <c r="AE71" s="17">
        <v>25</v>
      </c>
      <c r="AF71" s="32"/>
      <c r="AG71" s="7"/>
    </row>
    <row customHeight="true" ht="18.452380952380953" r="72">
      <c r="A72" s="15"/>
      <c r="B72" s="72" t="s">
        <v>45</v>
      </c>
      <c r="C72" s="17" t="s">
        <v>61</v>
      </c>
      <c r="D72" s="64">
        <f t="shared" si="122"/>
      </c>
      <c r="E72" s="17">
        <v>1987.9299999999998</v>
      </c>
      <c r="F72" s="64">
        <v>2045.38</v>
      </c>
      <c r="G72" s="17">
        <v>0</v>
      </c>
      <c r="H72" s="17">
        <v>5</v>
      </c>
      <c r="I72" s="64">
        <v>8468.28</v>
      </c>
      <c r="J72" s="65">
        <f t="shared" si="0"/>
      </c>
      <c r="K72" s="66">
        <f t="shared" si="33"/>
      </c>
      <c r="L72" s="67">
        <f t="shared" si="77"/>
      </c>
      <c r="M72" s="66">
        <f t="shared" si="44"/>
      </c>
      <c r="N72" s="66">
        <f t="shared" si="169"/>
      </c>
      <c r="O72" s="67">
        <f t="shared" si="11"/>
      </c>
      <c r="P72" s="66">
        <f t="shared" si="55"/>
      </c>
      <c r="Q72" s="66">
        <f t="shared" si="88"/>
      </c>
      <c r="R72" s="67">
        <f t="shared" si="180"/>
      </c>
      <c r="S72" s="68">
        <f t="shared" si="22"/>
      </c>
      <c r="T72" s="67">
        <f t="shared" si="66"/>
      </c>
      <c r="U72" s="69">
        <f t="shared" si="99"/>
      </c>
      <c r="V72" s="70" t="s">
        <v>37</v>
      </c>
      <c r="W72" s="71" t="s">
        <v>62</v>
      </c>
      <c r="X72" s="73">
        <v>5</v>
      </c>
      <c r="Y72" s="17">
        <v>12863</v>
      </c>
      <c r="Z72" s="17">
        <v>1298</v>
      </c>
      <c r="AA72" s="17">
        <v>1920</v>
      </c>
      <c r="AB72" s="17">
        <v>484</v>
      </c>
      <c r="AC72" s="17">
        <v>55</v>
      </c>
      <c r="AD72" s="17">
        <v>6</v>
      </c>
      <c r="AE72" s="17">
        <v>39</v>
      </c>
      <c r="AF72" s="32"/>
      <c r="AG72" s="7"/>
    </row>
    <row customHeight="true" ht="18.452380952380953" r="73">
      <c r="A73" s="15"/>
      <c r="B73" s="72" t="s">
        <v>46</v>
      </c>
      <c r="C73" s="17" t="s">
        <v>61</v>
      </c>
      <c r="D73" s="64">
        <f t="shared" si="122"/>
      </c>
      <c r="E73" s="64">
        <v>991.3</v>
      </c>
      <c r="F73" s="17">
        <v>2546.59</v>
      </c>
      <c r="G73" s="17">
        <v>0</v>
      </c>
      <c r="H73" s="17">
        <v>4</v>
      </c>
      <c r="I73" s="17">
        <v>8098.799999999999</v>
      </c>
      <c r="J73" s="65">
        <f t="shared" si="0"/>
      </c>
      <c r="K73" s="66">
        <f t="shared" si="33"/>
      </c>
      <c r="L73" s="67">
        <f t="shared" si="77"/>
      </c>
      <c r="M73" s="66">
        <f t="shared" si="44"/>
      </c>
      <c r="N73" s="66">
        <f t="shared" si="169"/>
      </c>
      <c r="O73" s="67">
        <f t="shared" si="11"/>
      </c>
      <c r="P73" s="66">
        <f t="shared" si="55"/>
      </c>
      <c r="Q73" s="66">
        <f t="shared" si="88"/>
      </c>
      <c r="R73" s="67">
        <f t="shared" si="180"/>
      </c>
      <c r="S73" s="68">
        <f t="shared" si="22"/>
      </c>
      <c r="T73" s="67">
        <f t="shared" si="66"/>
      </c>
      <c r="U73" s="69">
        <f t="shared" si="99"/>
      </c>
      <c r="V73" s="70" t="s">
        <v>37</v>
      </c>
      <c r="W73" s="71" t="s">
        <v>62</v>
      </c>
      <c r="X73" s="73">
        <v>4</v>
      </c>
      <c r="Y73" s="17">
        <v>10431</v>
      </c>
      <c r="Z73" s="17">
        <v>1293</v>
      </c>
      <c r="AA73" s="17">
        <v>1999</v>
      </c>
      <c r="AB73" s="17">
        <v>560</v>
      </c>
      <c r="AC73" s="17">
        <v>43</v>
      </c>
      <c r="AD73" s="17">
        <v>5</v>
      </c>
      <c r="AE73" s="17">
        <v>51</v>
      </c>
      <c r="AF73" s="32"/>
      <c r="AG73" s="7"/>
    </row>
    <row customHeight="true" ht="18.452380952380953" r="74">
      <c r="A74" s="15"/>
      <c r="B74" s="72" t="s">
        <v>47</v>
      </c>
      <c r="C74" s="17" t="s">
        <v>61</v>
      </c>
      <c r="D74" s="64">
        <f t="shared" si="122"/>
      </c>
      <c r="E74" s="64">
        <v>2041.56</v>
      </c>
      <c r="F74" s="17">
        <v>3033.22</v>
      </c>
      <c r="G74" s="17">
        <v>0</v>
      </c>
      <c r="H74" s="17">
        <v>3</v>
      </c>
      <c r="I74" s="17">
        <v>12704.039999999994</v>
      </c>
      <c r="J74" s="65">
        <f t="shared" si="0"/>
      </c>
      <c r="K74" s="66">
        <f t="shared" si="33"/>
      </c>
      <c r="L74" s="67">
        <f t="shared" si="77"/>
      </c>
      <c r="M74" s="66">
        <f t="shared" si="44"/>
      </c>
      <c r="N74" s="66">
        <f t="shared" si="169"/>
      </c>
      <c r="O74" s="67">
        <f t="shared" si="11"/>
      </c>
      <c r="P74" s="66">
        <f t="shared" si="55"/>
      </c>
      <c r="Q74" s="66">
        <f t="shared" si="88"/>
      </c>
      <c r="R74" s="67">
        <f t="shared" si="180"/>
      </c>
      <c r="S74" s="68">
        <f t="shared" si="22"/>
      </c>
      <c r="T74" s="67">
        <f t="shared" si="66"/>
      </c>
      <c r="U74" s="69">
        <f t="shared" si="99"/>
      </c>
      <c r="V74" s="70" t="s">
        <v>37</v>
      </c>
      <c r="W74" s="71" t="s">
        <v>62</v>
      </c>
      <c r="X74" s="73">
        <v>1</v>
      </c>
      <c r="Y74" s="17">
        <v>13970</v>
      </c>
      <c r="Z74" s="17">
        <v>1488</v>
      </c>
      <c r="AA74" s="17">
        <v>2308</v>
      </c>
      <c r="AB74" s="17">
        <v>627</v>
      </c>
      <c r="AC74" s="17">
        <v>63</v>
      </c>
      <c r="AD74" s="17">
        <v>5</v>
      </c>
      <c r="AE74" s="17">
        <v>61</v>
      </c>
      <c r="AF74" s="32"/>
      <c r="AG74" s="7"/>
    </row>
    <row customHeight="true" ht="18.452380952380953" r="75">
      <c r="A75" s="15"/>
      <c r="B75" s="75" t="s">
        <v>42</v>
      </c>
      <c r="C75" s="75"/>
      <c r="D75" s="75">
        <f>SUM(D71:D74)</f>
      </c>
      <c r="E75" s="75">
        <f>SUM(E71:E74)</f>
      </c>
      <c r="F75" s="75">
        <f>SUM(F71:F74)</f>
      </c>
      <c r="G75" s="75">
        <f>SUM(G71:G74)</f>
      </c>
      <c r="H75" s="75">
        <f>SUM(H71:H74)</f>
      </c>
      <c r="I75" s="75">
        <f>SUM(I71:I74)</f>
      </c>
      <c r="J75" s="76">
        <f t="shared" si="0"/>
      </c>
      <c r="K75" s="77">
        <f t="shared" si="33"/>
      </c>
      <c r="L75" s="78">
        <f t="shared" si="77"/>
      </c>
      <c r="M75" s="77">
        <f t="shared" si="44"/>
      </c>
      <c r="N75" s="77">
        <f t="shared" si="169"/>
      </c>
      <c r="O75" s="78">
        <f t="shared" si="11"/>
      </c>
      <c r="P75" s="77">
        <f t="shared" si="55"/>
      </c>
      <c r="Q75" s="77">
        <f t="shared" si="88"/>
      </c>
      <c r="R75" s="78">
        <f t="shared" si="180"/>
      </c>
      <c r="S75" s="79">
        <f t="shared" si="22"/>
      </c>
      <c r="T75" s="78">
        <f t="shared" si="66"/>
      </c>
      <c r="U75" s="80">
        <f t="shared" si="99"/>
      </c>
      <c r="V75" s="80"/>
      <c r="W75" s="80"/>
      <c r="X75" s="81">
        <f>SUM(X71:X74)</f>
      </c>
      <c r="Y75" s="82">
        <f>SUM(Y71:Y74)</f>
      </c>
      <c r="Z75" s="82">
        <f>SUM(Z71:Z74)</f>
      </c>
      <c r="AA75" s="82">
        <f>SUM(AA71:AA74)</f>
      </c>
      <c r="AB75" s="82">
        <f>SUM(AB71:AB74)</f>
      </c>
      <c r="AC75" s="82">
        <f>SUM(AC71:AC74)</f>
      </c>
      <c r="AD75" s="82">
        <f>SUM(AD71:AD74)</f>
      </c>
      <c r="AE75" s="82">
        <f>SUM(AE71:AE74)</f>
      </c>
      <c r="AF75" s="7"/>
      <c r="AG75" s="7"/>
    </row>
    <row customHeight="true" ht="18.452380952380953" r="76">
      <c r="A76" s="15"/>
      <c r="B76" s="63" t="s">
        <v>48</v>
      </c>
      <c r="C76" s="17" t="s">
        <v>44</v>
      </c>
      <c r="D76" s="64">
        <f t="shared" ref="D76:D79" si="123">E76+F76+G76</f>
      </c>
      <c r="E76" s="17">
        <v>1999.6</v>
      </c>
      <c r="F76" s="17">
        <v>2058</v>
      </c>
      <c r="G76" s="17">
        <v>0</v>
      </c>
      <c r="H76" s="17">
        <v>3</v>
      </c>
      <c r="I76" s="17">
        <v>17627.760000000002</v>
      </c>
      <c r="J76" s="65">
        <f t="shared" si="0"/>
      </c>
      <c r="K76" s="66">
        <f t="shared" si="33"/>
      </c>
      <c r="L76" s="67">
        <f t="shared" si="77"/>
      </c>
      <c r="M76" s="66">
        <f t="shared" si="44"/>
      </c>
      <c r="N76" s="66">
        <f t="shared" si="169"/>
      </c>
      <c r="O76" s="67">
        <f t="shared" si="11"/>
      </c>
      <c r="P76" s="66">
        <f t="shared" si="55"/>
      </c>
      <c r="Q76" s="66">
        <f t="shared" si="88"/>
      </c>
      <c r="R76" s="67">
        <f t="shared" si="180"/>
      </c>
      <c r="S76" s="68">
        <f t="shared" si="22"/>
      </c>
      <c r="T76" s="67">
        <f t="shared" si="66"/>
      </c>
      <c r="U76" s="69">
        <f t="shared" si="99"/>
      </c>
      <c r="V76" s="70" t="s">
        <v>37</v>
      </c>
      <c r="W76" s="71" t="s">
        <v>50</v>
      </c>
      <c r="X76" s="17">
        <v>3</v>
      </c>
      <c r="Y76" s="17">
        <v>9703</v>
      </c>
      <c r="Z76" s="17">
        <v>1115</v>
      </c>
      <c r="AA76" s="64">
        <v>1806</v>
      </c>
      <c r="AB76" s="17">
        <v>496</v>
      </c>
      <c r="AC76" s="17">
        <v>56</v>
      </c>
      <c r="AD76" s="17">
        <v>5</v>
      </c>
      <c r="AE76" s="17">
        <v>46</v>
      </c>
      <c r="AF76" s="32"/>
      <c r="AG76" s="7"/>
    </row>
    <row customHeight="true" ht="18.452380952380953" r="77">
      <c r="A77" s="15"/>
      <c r="B77" s="72" t="s">
        <v>51</v>
      </c>
      <c r="C77" s="17" t="s">
        <v>44</v>
      </c>
      <c r="D77" s="64">
        <f t="shared" si="123"/>
      </c>
      <c r="E77" s="64">
        <v>1953.02</v>
      </c>
      <c r="F77" s="17">
        <v>1693.51</v>
      </c>
      <c r="G77" s="17">
        <v>0</v>
      </c>
      <c r="H77" s="17">
        <v>2</v>
      </c>
      <c r="I77" s="17">
        <v>1668.5999999999985</v>
      </c>
      <c r="J77" s="65">
        <f t="shared" si="0"/>
      </c>
      <c r="K77" s="66">
        <f t="shared" si="33"/>
      </c>
      <c r="L77" s="67">
        <f t="shared" si="77"/>
      </c>
      <c r="M77" s="66">
        <f t="shared" si="44"/>
      </c>
      <c r="N77" s="66">
        <f t="shared" si="169"/>
      </c>
      <c r="O77" s="67">
        <f t="shared" si="11"/>
      </c>
      <c r="P77" s="66">
        <f t="shared" si="55"/>
      </c>
      <c r="Q77" s="66">
        <f t="shared" si="88"/>
      </c>
      <c r="R77" s="67">
        <f t="shared" si="180"/>
      </c>
      <c r="S77" s="68">
        <f t="shared" si="22"/>
      </c>
      <c r="T77" s="67">
        <f t="shared" si="66"/>
      </c>
      <c r="U77" s="69">
        <f t="shared" si="99"/>
      </c>
      <c r="V77" s="70" t="s">
        <v>37</v>
      </c>
      <c r="W77" s="71" t="s">
        <v>50</v>
      </c>
      <c r="X77" s="73">
        <v>1</v>
      </c>
      <c r="Y77" s="64">
        <v>11257</v>
      </c>
      <c r="Z77" s="64">
        <v>964</v>
      </c>
      <c r="AA77" s="64">
        <v>1534</v>
      </c>
      <c r="AB77" s="64">
        <v>373</v>
      </c>
      <c r="AC77" s="64">
        <v>45</v>
      </c>
      <c r="AD77" s="17">
        <v>5</v>
      </c>
      <c r="AE77" s="17">
        <v>35</v>
      </c>
      <c r="AF77" s="7"/>
      <c r="AG77" s="7"/>
    </row>
    <row customHeight="true" ht="18.452380952380953" r="78">
      <c r="A78" s="15"/>
      <c r="B78" s="63" t="s">
        <v>52</v>
      </c>
      <c r="C78" s="17" t="s">
        <v>44</v>
      </c>
      <c r="D78" s="64">
        <f t="shared" si="123"/>
      </c>
      <c r="E78" s="17">
        <v>1702.4</v>
      </c>
      <c r="F78" s="17">
        <v>1308.8</v>
      </c>
      <c r="G78" s="17">
        <v>0</v>
      </c>
      <c r="H78" s="17">
        <v>0</v>
      </c>
      <c r="I78" s="17">
        <v>0</v>
      </c>
      <c r="J78" s="65">
        <f t="shared" si="0"/>
      </c>
      <c r="K78" s="66">
        <f t="shared" si="33"/>
      </c>
      <c r="L78" s="67">
        <f t="shared" si="77"/>
      </c>
      <c r="M78" s="66">
        <f t="shared" si="44"/>
      </c>
      <c r="N78" s="66">
        <f t="shared" si="169"/>
      </c>
      <c r="O78" s="67">
        <f t="shared" si="11"/>
      </c>
      <c r="P78" s="66">
        <f t="shared" si="55"/>
      </c>
      <c r="Q78" s="66">
        <f t="shared" si="88"/>
      </c>
      <c r="R78" s="67">
        <f t="shared" si="180"/>
      </c>
      <c r="S78" s="68">
        <f t="shared" si="22"/>
      </c>
      <c r="T78" s="67">
        <f t="shared" si="66"/>
      </c>
      <c r="U78" s="69">
        <f t="shared" si="99"/>
      </c>
      <c r="V78" s="70" t="s">
        <v>37</v>
      </c>
      <c r="W78" s="71" t="s">
        <v>50</v>
      </c>
      <c r="X78" s="73">
        <v>1</v>
      </c>
      <c r="Y78" s="64">
        <v>10365</v>
      </c>
      <c r="Z78" s="64">
        <v>707</v>
      </c>
      <c r="AA78" s="64">
        <v>1077</v>
      </c>
      <c r="AB78" s="64">
        <v>255</v>
      </c>
      <c r="AC78" s="64">
        <v>40</v>
      </c>
      <c r="AD78" s="17">
        <v>0</v>
      </c>
      <c r="AE78" s="17">
        <v>27</v>
      </c>
      <c r="AF78" s="7"/>
      <c r="AG78" s="7"/>
    </row>
    <row customHeight="true" ht="18.452380952380953" r="79">
      <c r="A79" s="15"/>
      <c r="B79" s="72" t="s">
        <v>53</v>
      </c>
      <c r="C79" s="17" t="s">
        <v>44</v>
      </c>
      <c r="D79" s="64">
        <f t="shared" si="123"/>
      </c>
      <c r="E79" s="17">
        <v>1691.3600000000001</v>
      </c>
      <c r="F79" s="17">
        <v>1381.08</v>
      </c>
      <c r="G79" s="17">
        <v>0</v>
      </c>
      <c r="H79" s="17">
        <v>0</v>
      </c>
      <c r="I79" s="17">
        <v>0</v>
      </c>
      <c r="J79" s="65">
        <f t="shared" si="0"/>
      </c>
      <c r="K79" s="66">
        <f t="shared" si="33"/>
      </c>
      <c r="L79" s="67">
        <f t="shared" si="77"/>
      </c>
      <c r="M79" s="66">
        <f t="shared" si="44"/>
      </c>
      <c r="N79" s="66">
        <f t="shared" si="169"/>
      </c>
      <c r="O79" s="67">
        <f t="shared" si="11"/>
      </c>
      <c r="P79" s="66">
        <f t="shared" si="55"/>
      </c>
      <c r="Q79" s="66">
        <f t="shared" si="88"/>
      </c>
      <c r="R79" s="67">
        <f t="shared" si="180"/>
      </c>
      <c r="S79" s="68">
        <f t="shared" si="22"/>
      </c>
      <c r="T79" s="67">
        <f t="shared" si="66"/>
      </c>
      <c r="U79" s="69">
        <f t="shared" si="99"/>
      </c>
      <c r="V79" s="70" t="s">
        <v>37</v>
      </c>
      <c r="W79" s="71" t="s">
        <v>50</v>
      </c>
      <c r="X79" s="74">
        <v>0</v>
      </c>
      <c r="Y79" s="64">
        <v>8501</v>
      </c>
      <c r="Z79" s="64">
        <v>820</v>
      </c>
      <c r="AA79" s="64">
        <v>1253</v>
      </c>
      <c r="AB79" s="64">
        <v>302</v>
      </c>
      <c r="AC79" s="64">
        <v>39</v>
      </c>
      <c r="AD79" s="17">
        <v>2</v>
      </c>
      <c r="AE79" s="17">
        <v>24</v>
      </c>
      <c r="AF79" s="7"/>
      <c r="AG79" s="7"/>
    </row>
    <row customHeight="true" ht="18.452380952380953" r="80">
      <c r="A80" s="15"/>
      <c r="B80" s="75" t="s">
        <v>42</v>
      </c>
      <c r="C80" s="75"/>
      <c r="D80" s="75">
        <f>SUM(D76:D79)</f>
      </c>
      <c r="E80" s="75">
        <f>SUM(E76:E79)</f>
      </c>
      <c r="F80" s="75">
        <f>SUM(F76:F79)</f>
      </c>
      <c r="G80" s="75">
        <f>SUM(G76:G79)</f>
      </c>
      <c r="H80" s="75">
        <f>SUM(H76:H79)</f>
      </c>
      <c r="I80" s="75">
        <f>SUM(I76:I79)</f>
      </c>
      <c r="J80" s="76">
        <f t="shared" si="0"/>
      </c>
      <c r="K80" s="77">
        <f t="shared" si="33"/>
      </c>
      <c r="L80" s="78">
        <f t="shared" si="77"/>
      </c>
      <c r="M80" s="77">
        <f t="shared" si="44"/>
      </c>
      <c r="N80" s="77">
        <f t="shared" si="169"/>
      </c>
      <c r="O80" s="78">
        <f t="shared" si="11"/>
      </c>
      <c r="P80" s="77">
        <f t="shared" si="55"/>
      </c>
      <c r="Q80" s="77">
        <f t="shared" si="88"/>
      </c>
      <c r="R80" s="78">
        <f t="shared" si="180"/>
      </c>
      <c r="S80" s="79">
        <f t="shared" si="22"/>
      </c>
      <c r="T80" s="78">
        <f t="shared" si="66"/>
      </c>
      <c r="U80" s="80">
        <f t="shared" si="99"/>
      </c>
      <c r="V80" s="80"/>
      <c r="W80" s="80"/>
      <c r="X80" s="81">
        <f>SUM(X76:X79)</f>
      </c>
      <c r="Y80" s="75">
        <f>SUM(Y76:Y79)</f>
      </c>
      <c r="Z80" s="75">
        <f>SUM(Z76:Z79)</f>
      </c>
      <c r="AA80" s="75">
        <f>SUM(AA76:AA79)</f>
      </c>
      <c r="AB80" s="75">
        <f>SUM(AB76:AB79)</f>
      </c>
      <c r="AC80" s="75">
        <f>SUM(AC76:AC79)</f>
      </c>
      <c r="AD80" s="75">
        <f>SUM(AD76:AD79)</f>
      </c>
      <c r="AE80" s="75">
        <f>SUM(AE76:AE79)</f>
      </c>
      <c r="AF80" s="7"/>
      <c r="AG80" s="7"/>
    </row>
    <row customHeight="true" ht="18.452380952380953" r="81">
      <c r="A81" s="15"/>
      <c r="B81" s="72" t="s">
        <v>54</v>
      </c>
      <c r="C81" s="17" t="s">
        <v>60</v>
      </c>
      <c r="D81" s="64">
        <f t="shared" ref="D81:D84" si="124">E81+F81+G81</f>
      </c>
      <c r="E81" s="17">
        <v>1759.8400000000001</v>
      </c>
      <c r="F81" s="17">
        <v>1152.67</v>
      </c>
      <c r="G81" s="17">
        <v>0</v>
      </c>
      <c r="H81" s="17">
        <v>0</v>
      </c>
      <c r="I81" s="17">
        <v>0</v>
      </c>
      <c r="J81" s="65">
        <f t="shared" si="0"/>
      </c>
      <c r="K81" s="66">
        <f t="shared" si="33"/>
      </c>
      <c r="L81" s="67">
        <f t="shared" si="77"/>
      </c>
      <c r="M81" s="66">
        <f t="shared" si="44"/>
      </c>
      <c r="N81" s="66">
        <f t="shared" si="169"/>
      </c>
      <c r="O81" s="67">
        <f t="shared" si="11"/>
      </c>
      <c r="P81" s="66">
        <f t="shared" si="55"/>
      </c>
      <c r="Q81" s="66">
        <f t="shared" si="88"/>
      </c>
      <c r="R81" s="67">
        <f t="shared" si="180"/>
      </c>
      <c r="S81" s="68">
        <f t="shared" si="22"/>
      </c>
      <c r="T81" s="67">
        <f t="shared" si="66"/>
      </c>
      <c r="U81" s="69">
        <f t="shared" si="99"/>
      </c>
      <c r="V81" s="70" t="s">
        <v>37</v>
      </c>
      <c r="W81" s="71" t="s">
        <v>50</v>
      </c>
      <c r="X81" s="17">
        <v>0</v>
      </c>
      <c r="Y81" s="64">
        <v>10914</v>
      </c>
      <c r="Z81" s="64">
        <v>581</v>
      </c>
      <c r="AA81" s="64">
        <v>879</v>
      </c>
      <c r="AB81" s="64">
        <v>220</v>
      </c>
      <c r="AC81" s="17">
        <v>42</v>
      </c>
      <c r="AD81" s="17">
        <v>0</v>
      </c>
      <c r="AE81" s="17">
        <v>14</v>
      </c>
      <c r="AF81" s="7"/>
      <c r="AG81" s="7"/>
    </row>
    <row customHeight="true" ht="18.452380952380953" r="82">
      <c r="A82" s="15"/>
      <c r="B82" s="17" t="s">
        <v>56</v>
      </c>
      <c r="C82" s="17" t="s">
        <v>60</v>
      </c>
      <c r="D82" s="64">
        <f t="shared" si="124"/>
      </c>
      <c r="E82" s="17">
        <v>979.72</v>
      </c>
      <c r="F82" s="17">
        <v>2071.22</v>
      </c>
      <c r="G82" s="17">
        <v>0</v>
      </c>
      <c r="H82" s="17">
        <v>2</v>
      </c>
      <c r="I82" s="17">
        <v>2158.9199999999983</v>
      </c>
      <c r="J82" s="65">
        <f t="shared" si="0"/>
      </c>
      <c r="K82" s="66">
        <f t="shared" si="33"/>
      </c>
      <c r="L82" s="67">
        <f t="shared" si="77"/>
      </c>
      <c r="M82" s="66">
        <f t="shared" si="44"/>
      </c>
      <c r="N82" s="66">
        <f t="shared" si="169"/>
      </c>
      <c r="O82" s="67">
        <f t="shared" si="11"/>
      </c>
      <c r="P82" s="66">
        <f t="shared" si="55"/>
      </c>
      <c r="Q82" s="66">
        <f t="shared" si="88"/>
      </c>
      <c r="R82" s="67">
        <f t="shared" si="180"/>
      </c>
      <c r="S82" s="68">
        <f t="shared" si="22"/>
      </c>
      <c r="T82" s="67">
        <f t="shared" si="66"/>
      </c>
      <c r="U82" s="69">
        <f t="shared" si="99"/>
      </c>
      <c r="V82" s="70" t="s">
        <v>37</v>
      </c>
      <c r="W82" s="71" t="s">
        <v>50</v>
      </c>
      <c r="X82" s="73">
        <v>2</v>
      </c>
      <c r="Y82" s="64">
        <v>7844</v>
      </c>
      <c r="Z82" s="64">
        <v>881</v>
      </c>
      <c r="AA82" s="64">
        <v>1360</v>
      </c>
      <c r="AB82" s="64">
        <v>327</v>
      </c>
      <c r="AC82" s="64">
        <v>31</v>
      </c>
      <c r="AD82" s="17">
        <v>2</v>
      </c>
      <c r="AE82" s="17">
        <v>28</v>
      </c>
      <c r="AF82" s="7"/>
      <c r="AG82" s="7"/>
    </row>
    <row customHeight="true" ht="18.452380952380953" r="83">
      <c r="A83" s="15"/>
      <c r="B83" s="64" t="s">
        <v>57</v>
      </c>
      <c r="C83" s="17" t="s">
        <v>60</v>
      </c>
      <c r="D83" s="64">
        <f t="shared" si="124"/>
      </c>
      <c r="E83" s="17">
        <v>1383.74</v>
      </c>
      <c r="F83" s="17">
        <v>1999.72</v>
      </c>
      <c r="G83" s="17">
        <v>0</v>
      </c>
      <c r="H83" s="17">
        <v>2</v>
      </c>
      <c r="I83" s="17">
        <v>1595.1600000000035</v>
      </c>
      <c r="J83" s="65">
        <f t="shared" si="0"/>
      </c>
      <c r="K83" s="66">
        <f t="shared" si="33"/>
      </c>
      <c r="L83" s="67">
        <f t="shared" si="77"/>
      </c>
      <c r="M83" s="66">
        <f t="shared" si="44"/>
      </c>
      <c r="N83" s="66">
        <f t="shared" si="169"/>
      </c>
      <c r="O83" s="67">
        <f t="shared" si="11"/>
      </c>
      <c r="P83" s="66">
        <f t="shared" si="55"/>
      </c>
      <c r="Q83" s="66">
        <f t="shared" si="88"/>
      </c>
      <c r="R83" s="67">
        <f t="shared" si="180"/>
      </c>
      <c r="S83" s="68">
        <f t="shared" si="22"/>
      </c>
      <c r="T83" s="67">
        <f t="shared" si="66"/>
      </c>
      <c r="U83" s="69">
        <f t="shared" si="99"/>
      </c>
      <c r="V83" s="70" t="s">
        <v>37</v>
      </c>
      <c r="W83" s="71" t="s">
        <v>50</v>
      </c>
      <c r="X83" s="73">
        <v>1</v>
      </c>
      <c r="Y83" s="64">
        <v>11754</v>
      </c>
      <c r="Z83" s="64">
        <v>1183</v>
      </c>
      <c r="AA83" s="64">
        <v>1833</v>
      </c>
      <c r="AB83" s="64">
        <v>528</v>
      </c>
      <c r="AC83" s="17">
        <v>33</v>
      </c>
      <c r="AD83" s="17">
        <v>2</v>
      </c>
      <c r="AE83" s="17">
        <v>34</v>
      </c>
      <c r="AF83" s="7"/>
      <c r="AG83" s="7"/>
    </row>
    <row customHeight="true" ht="18.452380952380953" r="84">
      <c r="A84" s="15"/>
      <c r="B84" s="17" t="s">
        <v>58</v>
      </c>
      <c r="C84" s="17" t="s">
        <v>60</v>
      </c>
      <c r="D84" s="64">
        <f t="shared" si="124"/>
      </c>
      <c r="E84" s="17">
        <v>1066.98</v>
      </c>
      <c r="F84" s="17">
        <v>665.39</v>
      </c>
      <c r="G84" s="17">
        <v>0</v>
      </c>
      <c r="H84" s="17">
        <v>2</v>
      </c>
      <c r="I84" s="17">
        <v>10899.599999999991</v>
      </c>
      <c r="J84" s="65">
        <f t="shared" si="0"/>
      </c>
      <c r="K84" s="66">
        <f t="shared" si="33"/>
      </c>
      <c r="L84" s="67">
        <f t="shared" si="77"/>
      </c>
      <c r="M84" s="66">
        <f t="shared" si="44"/>
      </c>
      <c r="N84" s="66">
        <f t="shared" si="169"/>
      </c>
      <c r="O84" s="67">
        <f t="shared" si="11"/>
      </c>
      <c r="P84" s="66">
        <f t="shared" si="55"/>
      </c>
      <c r="Q84" s="66">
        <f t="shared" si="88"/>
      </c>
      <c r="R84" s="67">
        <f t="shared" si="180"/>
      </c>
      <c r="S84" s="68">
        <f t="shared" si="22"/>
      </c>
      <c r="T84" s="67">
        <f t="shared" si="66"/>
      </c>
      <c r="U84" s="69">
        <f t="shared" si="99"/>
      </c>
      <c r="V84" s="70" t="s">
        <v>37</v>
      </c>
      <c r="W84" s="71" t="s">
        <v>50</v>
      </c>
      <c r="X84" s="73">
        <v>1</v>
      </c>
      <c r="Y84" s="64">
        <v>6667</v>
      </c>
      <c r="Z84" s="64">
        <v>472</v>
      </c>
      <c r="AA84" s="64">
        <v>748</v>
      </c>
      <c r="AB84" s="64">
        <v>183</v>
      </c>
      <c r="AC84" s="17">
        <v>18</v>
      </c>
      <c r="AD84" s="17">
        <v>2</v>
      </c>
      <c r="AE84" s="17">
        <v>12</v>
      </c>
      <c r="AF84" s="7"/>
      <c r="AG84" s="7"/>
    </row>
    <row customHeight="true" ht="18.452380952380953" r="85">
      <c r="A85" s="15"/>
      <c r="B85" s="75" t="s">
        <v>42</v>
      </c>
      <c r="C85" s="75"/>
      <c r="D85" s="75">
        <f>SUM(D81:D84)</f>
      </c>
      <c r="E85" s="75">
        <f>SUM(E81:E84)</f>
      </c>
      <c r="F85" s="75">
        <f>SUM(F81:F84)</f>
      </c>
      <c r="G85" s="75">
        <f>SUM(G81:G84)</f>
      </c>
      <c r="H85" s="75">
        <f>SUM(H81:H84)</f>
      </c>
      <c r="I85" s="75">
        <f>SUM(I81:I84)</f>
      </c>
      <c r="J85" s="76">
        <f t="shared" si="0"/>
      </c>
      <c r="K85" s="77">
        <f t="shared" si="33"/>
      </c>
      <c r="L85" s="78">
        <f t="shared" si="77"/>
      </c>
      <c r="M85" s="77">
        <f t="shared" si="44"/>
      </c>
      <c r="N85" s="77">
        <f t="shared" si="169"/>
      </c>
      <c r="O85" s="78">
        <f t="shared" si="11"/>
      </c>
      <c r="P85" s="77">
        <f t="shared" si="55"/>
      </c>
      <c r="Q85" s="77">
        <f t="shared" si="88"/>
      </c>
      <c r="R85" s="78">
        <f t="shared" si="180"/>
      </c>
      <c r="S85" s="79">
        <f t="shared" si="22"/>
      </c>
      <c r="T85" s="78">
        <f t="shared" si="66"/>
      </c>
      <c r="U85" s="80">
        <f t="shared" si="99"/>
      </c>
      <c r="V85" s="80"/>
      <c r="W85" s="80"/>
      <c r="X85" s="81">
        <f>SUM(X81:X84)</f>
      </c>
      <c r="Y85" s="82">
        <f>SUM(Y81:Y84)</f>
      </c>
      <c r="Z85" s="82">
        <f>SUM(Z81:Z84)</f>
      </c>
      <c r="AA85" s="82">
        <f>SUM(AA81:AA84)</f>
      </c>
      <c r="AB85" s="82">
        <f>SUM(AB81:AB84)</f>
      </c>
      <c r="AC85" s="82">
        <f>SUM(AC81:AC84)</f>
      </c>
      <c r="AD85" s="82">
        <f>SUM(AD81:AD84)</f>
      </c>
      <c r="AE85" s="82">
        <f>SUM(AE81:AE84)</f>
      </c>
      <c r="AF85" s="7"/>
      <c r="AG85" s="7"/>
    </row>
    <row customHeight="true" ht="18.452380952380953" r="86">
      <c r="A86" s="15"/>
      <c r="B86" s="85" t="s">
        <v>59</v>
      </c>
      <c r="C86" s="85"/>
      <c r="D86" s="55">
        <f>D70+D75+D80+D85</f>
      </c>
      <c r="E86" s="55">
        <f>E70+E75+E80+E85</f>
      </c>
      <c r="F86" s="55">
        <f>F70+F75+F80+F85</f>
      </c>
      <c r="G86" s="55">
        <f>G70+G75+G80+G85</f>
      </c>
      <c r="H86" s="55">
        <f>H70+H75+H80+H85</f>
      </c>
      <c r="I86" s="55">
        <f>I70+I75+I80+I85</f>
      </c>
      <c r="J86" s="55">
        <f t="shared" si="0"/>
      </c>
      <c r="K86" s="86">
        <f t="shared" si="33"/>
      </c>
      <c r="L86" s="55">
        <f t="shared" si="77"/>
      </c>
      <c r="M86" s="86">
        <f t="shared" si="44"/>
      </c>
      <c r="N86" s="86">
        <f t="shared" si="169"/>
      </c>
      <c r="O86" s="55">
        <f t="shared" si="11"/>
      </c>
      <c r="P86" s="86">
        <f t="shared" si="55"/>
      </c>
      <c r="Q86" s="86">
        <f t="shared" si="88"/>
      </c>
      <c r="R86" s="55">
        <f t="shared" si="180"/>
      </c>
      <c r="S86" s="87">
        <f t="shared" si="22"/>
      </c>
      <c r="T86" s="55">
        <f t="shared" si="66"/>
      </c>
      <c r="U86" s="88">
        <f t="shared" si="99"/>
      </c>
      <c r="V86" s="88"/>
      <c r="W86" s="88"/>
      <c r="X86" s="55">
        <f>X70+X75+X80+X85</f>
      </c>
      <c r="Y86" s="55">
        <f>Y70+Y75+Y80+Y85</f>
      </c>
      <c r="Z86" s="55">
        <f>Z70+Z75+Z80+Z85</f>
      </c>
      <c r="AA86" s="55">
        <f>AA70+AA75+AA80+AA85</f>
      </c>
      <c r="AB86" s="55">
        <f>AB70+AB75+AB80+AB85</f>
      </c>
      <c r="AC86" s="55">
        <f>AC70+AC75+AC80+AC85</f>
      </c>
      <c r="AD86" s="55">
        <f>AD70+AD75+AD80+AD85</f>
      </c>
      <c r="AE86" s="55">
        <f>AE70+AE75+AE80+AE85</f>
      </c>
      <c r="AF86" s="7"/>
      <c r="AG86" s="7"/>
    </row>
    <row r="87">
      <c r="A87" s="1" t="s">
        <v>1</v>
      </c>
      <c r="B87" s="1"/>
      <c r="C87" s="1"/>
      <c r="D87" s="2" t="s">
        <v>2</v>
      </c>
      <c r="E87" s="2"/>
      <c r="F87" s="2"/>
      <c r="G87" s="2"/>
      <c r="H87" s="2"/>
      <c r="I87" s="2"/>
      <c r="J87" s="2"/>
      <c r="K87" s="3" t="s">
        <v>3</v>
      </c>
      <c r="L87" s="3"/>
      <c r="M87" s="3"/>
      <c r="N87" s="3"/>
      <c r="O87" s="3"/>
      <c r="P87" s="3"/>
      <c r="Q87" s="3"/>
      <c r="R87" s="3"/>
      <c r="S87" s="3"/>
      <c r="T87" s="3"/>
      <c r="U87" s="4"/>
      <c r="V87" s="4"/>
      <c r="W87" s="4"/>
      <c r="X87" s="5"/>
      <c r="Y87" s="5"/>
      <c r="Z87" s="5"/>
      <c r="AA87" s="5"/>
      <c r="AB87" s="5"/>
      <c r="AC87" s="5"/>
      <c r="AD87" s="5"/>
      <c r="AE87" s="6" t="s">
        <v>4</v>
      </c>
      <c r="AF87" s="7"/>
      <c r="AG87" s="7"/>
    </row>
    <row r="88">
      <c r="A88" s="1" t="s">
        <v>5</v>
      </c>
      <c r="B88" s="1" t="s">
        <v>6</v>
      </c>
      <c r="C88" s="1" t="s">
        <v>7</v>
      </c>
      <c r="D88" s="2" t="s">
        <v>8</v>
      </c>
      <c r="E88" s="8" t="s">
        <v>9</v>
      </c>
      <c r="F88" s="8" t="s">
        <v>10</v>
      </c>
      <c r="G88" s="9" t="s">
        <v>11</v>
      </c>
      <c r="H88" s="10" t="s">
        <v>12</v>
      </c>
      <c r="I88" s="2" t="s">
        <v>13</v>
      </c>
      <c r="J88" s="8" t="s">
        <v>14</v>
      </c>
      <c r="K88" s="3" t="s">
        <v>15</v>
      </c>
      <c r="L88" s="3" t="s">
        <v>16</v>
      </c>
      <c r="M88" s="11" t="s">
        <v>17</v>
      </c>
      <c r="N88" s="11" t="s">
        <v>18</v>
      </c>
      <c r="O88" s="3" t="s">
        <v>19</v>
      </c>
      <c r="P88" s="11" t="s">
        <v>20</v>
      </c>
      <c r="Q88" s="11" t="s">
        <v>21</v>
      </c>
      <c r="R88" s="3" t="s">
        <v>22</v>
      </c>
      <c r="S88" s="11" t="s">
        <v>23</v>
      </c>
      <c r="T88" s="3" t="s">
        <v>24</v>
      </c>
      <c r="U88" s="12" t="s">
        <v>25</v>
      </c>
      <c r="V88" s="12" t="s">
        <v>26</v>
      </c>
      <c r="W88" s="12" t="s">
        <v>27</v>
      </c>
      <c r="X88" s="13" t="s">
        <v>28</v>
      </c>
      <c r="Y88" s="14" t="s">
        <v>29</v>
      </c>
      <c r="Z88" s="14" t="s">
        <v>30</v>
      </c>
      <c r="AA88" s="14" t="s">
        <v>31</v>
      </c>
      <c r="AB88" s="14" t="s">
        <v>32</v>
      </c>
      <c r="AC88" s="14" t="s">
        <v>33</v>
      </c>
      <c r="AD88" s="14" t="s">
        <v>34</v>
      </c>
      <c r="AE88" s="6"/>
      <c r="AF88" s="7"/>
      <c r="AG88" s="7"/>
    </row>
    <row r="89">
      <c r="A89" s="15">
        <v>46300</v>
      </c>
      <c r="B89" s="63" t="s">
        <v>35</v>
      </c>
      <c r="C89" s="17" t="s">
        <v>61</v>
      </c>
      <c r="D89" s="64">
        <f t="shared" ref="D89:D92" si="125">E89+F89+G89</f>
      </c>
      <c r="E89" s="17">
        <v>5697.33</v>
      </c>
      <c r="F89" s="17">
        <v>1634.55</v>
      </c>
      <c r="G89" s="17">
        <v>0</v>
      </c>
      <c r="H89" s="17">
        <v>2</v>
      </c>
      <c r="I89" s="17">
        <v>2680.68</v>
      </c>
      <c r="J89" s="65">
        <f t="shared" ref="J89:J109" si="1">I89/D89</f>
      </c>
      <c r="K89" s="66">
        <f t="shared" ref="K89:K109" si="34">Z89/Y89</f>
      </c>
      <c r="L89" s="67">
        <f t="shared" ref="L89:L109" si="78">D89/AA89</f>
      </c>
      <c r="M89" s="66">
        <f t="shared" ref="M89:M109" si="45">AB89/AA89</f>
      </c>
      <c r="N89" s="66">
        <f t="shared" ref="N89:N109" si="170">AC89/AA89</f>
      </c>
      <c r="O89" s="67">
        <f t="shared" ref="O89:O109" si="12">D89/AC89</f>
      </c>
      <c r="P89" s="66">
        <f t="shared" ref="P89:P109" si="56">AD89/AC89</f>
      </c>
      <c r="Q89" s="66">
        <f t="shared" ref="Q89:Q109" si="89">H89/AD89</f>
      </c>
      <c r="R89" s="67">
        <f t="shared" ref="R89:R109" si="181">D89/H89</f>
      </c>
      <c r="S89" s="68">
        <f t="shared" ref="S89:S109" si="23">I89/H89</f>
      </c>
      <c r="T89" s="67">
        <f t="shared" ref="T89:T109" si="67">D89/X89</f>
      </c>
      <c r="U89" s="69">
        <f t="shared" ref="U89:U109" si="100">AE89*1000/D89</f>
      </c>
      <c r="V89" s="70" t="s">
        <v>37</v>
      </c>
      <c r="W89" s="71" t="s">
        <v>62</v>
      </c>
      <c r="X89" s="17">
        <v>2</v>
      </c>
      <c r="Y89" s="64">
        <v>21231</v>
      </c>
      <c r="Z89" s="64">
        <v>1298</v>
      </c>
      <c r="AA89" s="64">
        <v>1767</v>
      </c>
      <c r="AB89" s="64">
        <v>481</v>
      </c>
      <c r="AC89" s="17">
        <v>97</v>
      </c>
      <c r="AD89" s="17">
        <v>3</v>
      </c>
      <c r="AE89" s="17">
        <v>52</v>
      </c>
      <c r="AF89" s="32"/>
      <c r="AG89" s="7"/>
    </row>
    <row r="90">
      <c r="A90" s="15"/>
      <c r="B90" s="72" t="s">
        <v>39</v>
      </c>
      <c r="C90" s="17" t="s">
        <v>61</v>
      </c>
      <c r="D90" s="64">
        <f t="shared" si="125"/>
      </c>
      <c r="E90" s="17">
        <v>2714.19</v>
      </c>
      <c r="F90" s="17">
        <v>1550.88</v>
      </c>
      <c r="G90" s="17">
        <v>0</v>
      </c>
      <c r="H90" s="17">
        <v>3</v>
      </c>
      <c r="I90" s="17">
        <v>8702.6</v>
      </c>
      <c r="J90" s="65">
        <f t="shared" si="1"/>
      </c>
      <c r="K90" s="66">
        <f t="shared" si="34"/>
      </c>
      <c r="L90" s="67">
        <f t="shared" si="78"/>
      </c>
      <c r="M90" s="66">
        <f t="shared" si="45"/>
      </c>
      <c r="N90" s="66">
        <f t="shared" si="170"/>
      </c>
      <c r="O90" s="67">
        <f t="shared" si="12"/>
      </c>
      <c r="P90" s="66">
        <f t="shared" si="56"/>
      </c>
      <c r="Q90" s="66">
        <f t="shared" si="89"/>
      </c>
      <c r="R90" s="67">
        <f t="shared" si="181"/>
      </c>
      <c r="S90" s="68">
        <f t="shared" si="23"/>
      </c>
      <c r="T90" s="67">
        <f t="shared" si="67"/>
      </c>
      <c r="U90" s="69">
        <f t="shared" si="100"/>
      </c>
      <c r="V90" s="70" t="s">
        <v>37</v>
      </c>
      <c r="W90" s="71" t="s">
        <v>62</v>
      </c>
      <c r="X90" s="73">
        <v>2</v>
      </c>
      <c r="Y90" s="64">
        <v>8792</v>
      </c>
      <c r="Z90" s="64">
        <v>1002</v>
      </c>
      <c r="AA90" s="64">
        <v>1332</v>
      </c>
      <c r="AB90" s="64">
        <v>393</v>
      </c>
      <c r="AC90" s="64">
        <v>42</v>
      </c>
      <c r="AD90" s="17">
        <v>5</v>
      </c>
      <c r="AE90" s="17">
        <v>45</v>
      </c>
      <c r="AF90" s="32"/>
      <c r="AG90" s="7"/>
    </row>
    <row r="91">
      <c r="A91" s="15"/>
      <c r="B91" s="72" t="s">
        <v>40</v>
      </c>
      <c r="C91" s="17" t="s">
        <v>61</v>
      </c>
      <c r="D91" s="64">
        <f t="shared" si="125"/>
      </c>
      <c r="E91" s="64">
        <v>2172.58</v>
      </c>
      <c r="F91" s="64">
        <v>1617.02</v>
      </c>
      <c r="G91" s="17">
        <v>0</v>
      </c>
      <c r="H91" s="17">
        <v>2</v>
      </c>
      <c r="I91" s="17">
        <v>4591.92</v>
      </c>
      <c r="J91" s="65">
        <f t="shared" si="1"/>
      </c>
      <c r="K91" s="66">
        <f t="shared" si="34"/>
      </c>
      <c r="L91" s="67">
        <f t="shared" si="78"/>
      </c>
      <c r="M91" s="66">
        <f t="shared" si="45"/>
      </c>
      <c r="N91" s="66">
        <f t="shared" si="170"/>
      </c>
      <c r="O91" s="67">
        <f t="shared" si="12"/>
      </c>
      <c r="P91" s="66">
        <f t="shared" si="56"/>
      </c>
      <c r="Q91" s="66">
        <f t="shared" si="89"/>
      </c>
      <c r="R91" s="67">
        <f t="shared" si="181"/>
      </c>
      <c r="S91" s="68">
        <f t="shared" si="23"/>
      </c>
      <c r="T91" s="67">
        <f t="shared" si="67"/>
      </c>
      <c r="U91" s="69">
        <f t="shared" si="100"/>
      </c>
      <c r="V91" s="70" t="s">
        <v>37</v>
      </c>
      <c r="W91" s="71" t="s">
        <v>62</v>
      </c>
      <c r="X91" s="74">
        <v>2</v>
      </c>
      <c r="Y91" s="64">
        <v>10338</v>
      </c>
      <c r="Z91" s="64">
        <v>1042</v>
      </c>
      <c r="AA91" s="64">
        <v>1506</v>
      </c>
      <c r="AB91" s="64">
        <v>472</v>
      </c>
      <c r="AC91" s="64">
        <v>57</v>
      </c>
      <c r="AD91" s="17">
        <v>5</v>
      </c>
      <c r="AE91" s="17">
        <v>38</v>
      </c>
      <c r="AF91" s="32"/>
      <c r="AG91" s="7"/>
    </row>
    <row r="92">
      <c r="A92" s="15"/>
      <c r="B92" s="72" t="s">
        <v>41</v>
      </c>
      <c r="C92" s="17" t="s">
        <v>61</v>
      </c>
      <c r="D92" s="64">
        <f t="shared" si="125"/>
      </c>
      <c r="E92" s="64">
        <v>2016.9199999999998</v>
      </c>
      <c r="F92" s="17">
        <v>783.28</v>
      </c>
      <c r="G92" s="17">
        <v>0</v>
      </c>
      <c r="H92" s="17">
        <v>2</v>
      </c>
      <c r="I92" s="17">
        <v>2508.84</v>
      </c>
      <c r="J92" s="65">
        <f t="shared" si="1"/>
      </c>
      <c r="K92" s="66">
        <f t="shared" si="34"/>
      </c>
      <c r="L92" s="67">
        <f t="shared" si="78"/>
      </c>
      <c r="M92" s="66">
        <f t="shared" si="45"/>
      </c>
      <c r="N92" s="66">
        <f t="shared" si="170"/>
      </c>
      <c r="O92" s="67">
        <f t="shared" si="12"/>
      </c>
      <c r="P92" s="66">
        <f t="shared" si="56"/>
      </c>
      <c r="Q92" s="66">
        <f t="shared" si="89"/>
      </c>
      <c r="R92" s="67">
        <f t="shared" si="181"/>
      </c>
      <c r="S92" s="68">
        <f t="shared" si="23"/>
      </c>
      <c r="T92" s="67">
        <f t="shared" si="67"/>
      </c>
      <c r="U92" s="69">
        <f t="shared" si="100"/>
      </c>
      <c r="V92" s="70" t="s">
        <v>37</v>
      </c>
      <c r="W92" s="71" t="s">
        <v>62</v>
      </c>
      <c r="X92" s="73">
        <v>1</v>
      </c>
      <c r="Y92" s="64">
        <v>8287</v>
      </c>
      <c r="Z92" s="64">
        <v>443</v>
      </c>
      <c r="AA92" s="64">
        <v>764</v>
      </c>
      <c r="AB92" s="64">
        <v>169</v>
      </c>
      <c r="AC92" s="64">
        <v>33</v>
      </c>
      <c r="AD92" s="17">
        <v>2</v>
      </c>
      <c r="AE92" s="17">
        <v>15</v>
      </c>
      <c r="AF92" s="32"/>
      <c r="AG92" s="7"/>
    </row>
    <row r="93">
      <c r="A93" s="15"/>
      <c r="B93" s="75" t="s">
        <v>42</v>
      </c>
      <c r="C93" s="75"/>
      <c r="D93" s="75">
        <f>D89+D90+D91+D92</f>
      </c>
      <c r="E93" s="75">
        <f>SUM(E89:E92)</f>
      </c>
      <c r="F93" s="75">
        <f>SUM(F89:F92)</f>
      </c>
      <c r="G93" s="75">
        <f>SUM(G89:G92)</f>
      </c>
      <c r="H93" s="75">
        <f>SUM(H89:H92)</f>
      </c>
      <c r="I93" s="75">
        <f>SUM(I89:I92)</f>
      </c>
      <c r="J93" s="76">
        <f t="shared" si="1"/>
      </c>
      <c r="K93" s="77">
        <f t="shared" si="34"/>
      </c>
      <c r="L93" s="78">
        <f t="shared" si="78"/>
      </c>
      <c r="M93" s="77">
        <f t="shared" si="45"/>
      </c>
      <c r="N93" s="77">
        <f t="shared" si="170"/>
      </c>
      <c r="O93" s="78">
        <f t="shared" si="12"/>
      </c>
      <c r="P93" s="77">
        <f t="shared" si="56"/>
      </c>
      <c r="Q93" s="77">
        <f t="shared" si="89"/>
      </c>
      <c r="R93" s="78">
        <f t="shared" si="181"/>
      </c>
      <c r="S93" s="79">
        <f t="shared" si="23"/>
      </c>
      <c r="T93" s="78">
        <f t="shared" si="67"/>
      </c>
      <c r="U93" s="80">
        <f t="shared" si="100"/>
      </c>
      <c r="V93" s="80"/>
      <c r="W93" s="80"/>
      <c r="X93" s="81">
        <f>SUM(X89:X92)</f>
      </c>
      <c r="Y93" s="75">
        <f>SUM(Y89:Y92)</f>
      </c>
      <c r="Z93" s="75">
        <f>SUM(Z89:Z92)</f>
      </c>
      <c r="AA93" s="75">
        <f>SUM(AA89:AA92)</f>
      </c>
      <c r="AB93" s="75">
        <f>SUM(AB89:AB92)</f>
      </c>
      <c r="AC93" s="75">
        <f>SUM(AC89:AC92)</f>
      </c>
      <c r="AD93" s="75">
        <f>SUM(AD89:AD92)</f>
      </c>
      <c r="AE93" s="75">
        <f>SUM(AE89:AE92)</f>
      </c>
      <c r="AF93" s="7"/>
      <c r="AG93" s="7"/>
    </row>
    <row r="94">
      <c r="A94" s="15"/>
      <c r="B94" s="72" t="s">
        <v>43</v>
      </c>
      <c r="C94" s="17" t="s">
        <v>36</v>
      </c>
      <c r="D94" s="64">
        <f t="shared" ref="D94:D97" si="126">E94+F94+G94</f>
      </c>
      <c r="E94" s="64">
        <v>1197.7500000000002</v>
      </c>
      <c r="F94" s="64">
        <v>1578.77</v>
      </c>
      <c r="G94" s="17">
        <v>0</v>
      </c>
      <c r="H94" s="17">
        <v>2</v>
      </c>
      <c r="I94" s="17">
        <v>3312.4799999999996</v>
      </c>
      <c r="J94" s="65">
        <f t="shared" si="1"/>
      </c>
      <c r="K94" s="66">
        <f t="shared" si="34"/>
      </c>
      <c r="L94" s="67">
        <f t="shared" si="78"/>
      </c>
      <c r="M94" s="66">
        <f t="shared" si="45"/>
      </c>
      <c r="N94" s="66">
        <f t="shared" si="170"/>
      </c>
      <c r="O94" s="67">
        <f t="shared" si="12"/>
      </c>
      <c r="P94" s="66">
        <f t="shared" si="56"/>
      </c>
      <c r="Q94" s="66">
        <f t="shared" si="89"/>
      </c>
      <c r="R94" s="67">
        <f t="shared" si="181"/>
      </c>
      <c r="S94" s="68">
        <f t="shared" si="23"/>
      </c>
      <c r="T94" s="67">
        <f t="shared" si="67"/>
      </c>
      <c r="U94" s="69">
        <f t="shared" si="100"/>
      </c>
      <c r="V94" s="70" t="s">
        <v>37</v>
      </c>
      <c r="W94" s="71" t="s">
        <v>62</v>
      </c>
      <c r="X94" s="73">
        <v>2</v>
      </c>
      <c r="Y94" s="17">
        <v>9514</v>
      </c>
      <c r="Z94" s="17">
        <v>819</v>
      </c>
      <c r="AA94" s="64">
        <v>1270</v>
      </c>
      <c r="AB94" s="17">
        <v>359</v>
      </c>
      <c r="AC94" s="17">
        <v>37</v>
      </c>
      <c r="AD94" s="17">
        <v>3</v>
      </c>
      <c r="AE94" s="17">
        <v>31</v>
      </c>
      <c r="AF94" s="32"/>
      <c r="AG94" s="7"/>
    </row>
    <row r="95">
      <c r="A95" s="15"/>
      <c r="B95" s="72" t="s">
        <v>45</v>
      </c>
      <c r="C95" s="17" t="s">
        <v>36</v>
      </c>
      <c r="D95" s="64">
        <f t="shared" si="126"/>
      </c>
      <c r="E95" s="17">
        <v>1667.15</v>
      </c>
      <c r="F95" s="64">
        <v>1259.53</v>
      </c>
      <c r="G95" s="17">
        <v>0</v>
      </c>
      <c r="H95" s="17">
        <v>2</v>
      </c>
      <c r="I95" s="64">
        <v>2432.16</v>
      </c>
      <c r="J95" s="65">
        <f t="shared" si="1"/>
      </c>
      <c r="K95" s="66">
        <f t="shared" si="34"/>
      </c>
      <c r="L95" s="67">
        <f t="shared" si="78"/>
      </c>
      <c r="M95" s="66">
        <f t="shared" si="45"/>
      </c>
      <c r="N95" s="66">
        <f t="shared" si="170"/>
      </c>
      <c r="O95" s="67">
        <f t="shared" si="12"/>
      </c>
      <c r="P95" s="66">
        <f t="shared" si="56"/>
      </c>
      <c r="Q95" s="66">
        <f t="shared" si="89"/>
      </c>
      <c r="R95" s="67">
        <f t="shared" si="181"/>
      </c>
      <c r="S95" s="68">
        <f t="shared" si="23"/>
      </c>
      <c r="T95" s="67">
        <f t="shared" si="67"/>
      </c>
      <c r="U95" s="69">
        <f t="shared" si="100"/>
      </c>
      <c r="V95" s="70" t="s">
        <v>37</v>
      </c>
      <c r="W95" s="71" t="s">
        <v>62</v>
      </c>
      <c r="X95" s="73">
        <v>2</v>
      </c>
      <c r="Y95" s="17">
        <v>10557</v>
      </c>
      <c r="Z95" s="17">
        <v>919</v>
      </c>
      <c r="AA95" s="17">
        <v>1284</v>
      </c>
      <c r="AB95" s="17">
        <v>374</v>
      </c>
      <c r="AC95" s="17">
        <v>26</v>
      </c>
      <c r="AD95" s="17">
        <v>2</v>
      </c>
      <c r="AE95" s="17">
        <v>19</v>
      </c>
      <c r="AF95" s="32"/>
      <c r="AG95" s="7"/>
    </row>
    <row r="96">
      <c r="A96" s="15"/>
      <c r="B96" s="72" t="s">
        <v>46</v>
      </c>
      <c r="C96" s="17" t="s">
        <v>36</v>
      </c>
      <c r="D96" s="64">
        <f t="shared" si="126"/>
      </c>
      <c r="E96" s="64">
        <v>2126.37</v>
      </c>
      <c r="F96" s="17">
        <v>1186.91</v>
      </c>
      <c r="G96" s="17">
        <v>0</v>
      </c>
      <c r="H96" s="17">
        <v>1</v>
      </c>
      <c r="I96" s="17">
        <v>1571.4000000000015</v>
      </c>
      <c r="J96" s="65">
        <f t="shared" si="1"/>
      </c>
      <c r="K96" s="66">
        <f t="shared" si="34"/>
      </c>
      <c r="L96" s="67">
        <f t="shared" si="78"/>
      </c>
      <c r="M96" s="66">
        <f t="shared" si="45"/>
      </c>
      <c r="N96" s="66">
        <f t="shared" si="170"/>
      </c>
      <c r="O96" s="67">
        <f t="shared" si="12"/>
      </c>
      <c r="P96" s="66">
        <f t="shared" si="56"/>
      </c>
      <c r="Q96" s="66">
        <f t="shared" si="89"/>
      </c>
      <c r="R96" s="67">
        <f t="shared" si="181"/>
      </c>
      <c r="S96" s="68">
        <f t="shared" si="23"/>
      </c>
      <c r="T96" s="67">
        <f t="shared" si="67"/>
      </c>
      <c r="U96" s="69">
        <f t="shared" si="100"/>
      </c>
      <c r="V96" s="70" t="s">
        <v>37</v>
      </c>
      <c r="W96" s="71" t="s">
        <v>62</v>
      </c>
      <c r="X96" s="73">
        <v>1</v>
      </c>
      <c r="Y96" s="17">
        <v>9660</v>
      </c>
      <c r="Z96" s="17">
        <v>861</v>
      </c>
      <c r="AA96" s="17">
        <v>1210</v>
      </c>
      <c r="AB96" s="17">
        <v>347</v>
      </c>
      <c r="AC96" s="17">
        <v>44</v>
      </c>
      <c r="AD96" s="17">
        <v>1</v>
      </c>
      <c r="AE96" s="17">
        <v>41</v>
      </c>
      <c r="AF96" s="32"/>
      <c r="AG96" s="7"/>
    </row>
    <row r="97">
      <c r="A97" s="15"/>
      <c r="B97" s="72" t="s">
        <v>47</v>
      </c>
      <c r="C97" s="17" t="s">
        <v>36</v>
      </c>
      <c r="D97" s="64">
        <f t="shared" si="126"/>
      </c>
      <c r="E97" s="64">
        <v>2428.67</v>
      </c>
      <c r="F97" s="17">
        <v>1402.91</v>
      </c>
      <c r="G97" s="17">
        <v>0</v>
      </c>
      <c r="H97" s="17">
        <v>3</v>
      </c>
      <c r="I97" s="17">
        <v>3907.9199999999983</v>
      </c>
      <c r="J97" s="65">
        <f t="shared" si="1"/>
      </c>
      <c r="K97" s="66">
        <f t="shared" si="34"/>
      </c>
      <c r="L97" s="67">
        <f t="shared" si="78"/>
      </c>
      <c r="M97" s="66">
        <f t="shared" si="45"/>
      </c>
      <c r="N97" s="66">
        <f t="shared" si="170"/>
      </c>
      <c r="O97" s="67">
        <f t="shared" si="12"/>
      </c>
      <c r="P97" s="66">
        <f t="shared" si="56"/>
      </c>
      <c r="Q97" s="66">
        <f t="shared" si="89"/>
      </c>
      <c r="R97" s="67">
        <f t="shared" si="181"/>
      </c>
      <c r="S97" s="68">
        <f t="shared" si="23"/>
      </c>
      <c r="T97" s="67">
        <f t="shared" si="67"/>
      </c>
      <c r="U97" s="69">
        <f t="shared" si="100"/>
      </c>
      <c r="V97" s="70" t="s">
        <v>37</v>
      </c>
      <c r="W97" s="71" t="s">
        <v>63</v>
      </c>
      <c r="X97" s="73">
        <v>3</v>
      </c>
      <c r="Y97" s="17">
        <v>13253</v>
      </c>
      <c r="Z97" s="17">
        <v>929</v>
      </c>
      <c r="AA97" s="17">
        <v>1385</v>
      </c>
      <c r="AB97" s="17">
        <v>363</v>
      </c>
      <c r="AC97" s="17">
        <v>47</v>
      </c>
      <c r="AD97" s="17">
        <v>3</v>
      </c>
      <c r="AE97" s="17">
        <v>33</v>
      </c>
      <c r="AF97" s="32"/>
      <c r="AG97" s="7"/>
    </row>
    <row r="98">
      <c r="A98" s="15"/>
      <c r="B98" s="75" t="s">
        <v>42</v>
      </c>
      <c r="C98" s="75"/>
      <c r="D98" s="75">
        <f>SUM(D94:D97)</f>
      </c>
      <c r="E98" s="75">
        <f>SUM(E94:E97)</f>
      </c>
      <c r="F98" s="75">
        <f>SUM(F94:F97)</f>
      </c>
      <c r="G98" s="75">
        <f>SUM(G94:G97)</f>
      </c>
      <c r="H98" s="75">
        <f>SUM(H94:H97)</f>
      </c>
      <c r="I98" s="75">
        <f>SUM(I94:I97)</f>
      </c>
      <c r="J98" s="76">
        <f t="shared" si="1"/>
      </c>
      <c r="K98" s="77">
        <f t="shared" si="34"/>
      </c>
      <c r="L98" s="78">
        <f t="shared" si="78"/>
      </c>
      <c r="M98" s="77">
        <f t="shared" si="45"/>
      </c>
      <c r="N98" s="77">
        <f t="shared" si="170"/>
      </c>
      <c r="O98" s="78">
        <f t="shared" si="12"/>
      </c>
      <c r="P98" s="77">
        <f t="shared" si="56"/>
      </c>
      <c r="Q98" s="77">
        <f t="shared" si="89"/>
      </c>
      <c r="R98" s="78">
        <f t="shared" si="181"/>
      </c>
      <c r="S98" s="79">
        <f t="shared" si="23"/>
      </c>
      <c r="T98" s="78">
        <f t="shared" si="67"/>
      </c>
      <c r="U98" s="80">
        <f t="shared" si="100"/>
      </c>
      <c r="V98" s="80"/>
      <c r="W98" s="80"/>
      <c r="X98" s="81">
        <f>SUM(X94:X97)</f>
      </c>
      <c r="Y98" s="82">
        <f>SUM(Y94:Y97)</f>
      </c>
      <c r="Z98" s="82">
        <f>SUM(Z94:Z97)</f>
      </c>
      <c r="AA98" s="82">
        <f>SUM(AA94:AA97)</f>
      </c>
      <c r="AB98" s="82">
        <f>SUM(AB94:AB97)</f>
      </c>
      <c r="AC98" s="82">
        <f>SUM(AC94:AC97)</f>
      </c>
      <c r="AD98" s="82">
        <f>SUM(AD94:AD97)</f>
      </c>
      <c r="AE98" s="82">
        <f>SUM(AE94:AE97)</f>
      </c>
      <c r="AF98" s="7"/>
      <c r="AG98" s="7"/>
    </row>
    <row r="99">
      <c r="A99" s="15"/>
      <c r="B99" s="63" t="s">
        <v>48</v>
      </c>
      <c r="C99" s="17" t="s">
        <v>44</v>
      </c>
      <c r="D99" s="64">
        <f t="shared" ref="D99:D102" si="127">E99+F99+G99</f>
      </c>
      <c r="E99" s="17">
        <v>1820.73</v>
      </c>
      <c r="F99" s="17">
        <v>1371.73</v>
      </c>
      <c r="G99" s="17">
        <v>0</v>
      </c>
      <c r="H99" s="17">
        <v>0</v>
      </c>
      <c r="I99" s="17">
        <v>0</v>
      </c>
      <c r="J99" s="65">
        <f t="shared" si="1"/>
      </c>
      <c r="K99" s="66">
        <f t="shared" si="34"/>
      </c>
      <c r="L99" s="67">
        <f t="shared" si="78"/>
      </c>
      <c r="M99" s="66">
        <f t="shared" si="45"/>
      </c>
      <c r="N99" s="66">
        <f t="shared" si="170"/>
      </c>
      <c r="O99" s="67">
        <f t="shared" si="12"/>
      </c>
      <c r="P99" s="66">
        <f t="shared" si="56"/>
      </c>
      <c r="Q99" s="66">
        <f t="shared" si="89"/>
      </c>
      <c r="R99" s="67">
        <f t="shared" si="181"/>
      </c>
      <c r="S99" s="68">
        <f t="shared" si="23"/>
      </c>
      <c r="T99" s="67">
        <f t="shared" si="67"/>
      </c>
      <c r="U99" s="69">
        <f t="shared" si="100"/>
      </c>
      <c r="V99" s="70" t="s">
        <v>37</v>
      </c>
      <c r="W99" s="71" t="s">
        <v>63</v>
      </c>
      <c r="X99" s="17">
        <v>0</v>
      </c>
      <c r="Y99" s="17">
        <v>9875</v>
      </c>
      <c r="Z99" s="17">
        <v>808</v>
      </c>
      <c r="AA99" s="64">
        <v>1197</v>
      </c>
      <c r="AB99" s="17">
        <v>342</v>
      </c>
      <c r="AC99" s="17">
        <v>44</v>
      </c>
      <c r="AD99" s="17">
        <v>2</v>
      </c>
      <c r="AE99" s="17">
        <v>34</v>
      </c>
      <c r="AF99" s="32"/>
      <c r="AG99" s="7"/>
    </row>
    <row r="100">
      <c r="A100" s="15"/>
      <c r="B100" s="72" t="s">
        <v>51</v>
      </c>
      <c r="C100" s="17" t="s">
        <v>44</v>
      </c>
      <c r="D100" s="64">
        <f t="shared" si="127"/>
      </c>
      <c r="E100" s="64">
        <v>2158.41</v>
      </c>
      <c r="F100" s="17">
        <v>622.01</v>
      </c>
      <c r="G100" s="17">
        <v>0</v>
      </c>
      <c r="H100" s="17">
        <v>2</v>
      </c>
      <c r="I100" s="17">
        <v>10232.64</v>
      </c>
      <c r="J100" s="65">
        <f t="shared" si="1"/>
      </c>
      <c r="K100" s="66">
        <f t="shared" si="34"/>
      </c>
      <c r="L100" s="67">
        <f t="shared" si="78"/>
      </c>
      <c r="M100" s="66">
        <f t="shared" si="45"/>
      </c>
      <c r="N100" s="66">
        <f t="shared" si="170"/>
      </c>
      <c r="O100" s="67">
        <f t="shared" si="12"/>
      </c>
      <c r="P100" s="66">
        <f t="shared" si="56"/>
      </c>
      <c r="Q100" s="66">
        <f t="shared" si="89"/>
      </c>
      <c r="R100" s="67">
        <f t="shared" si="181"/>
      </c>
      <c r="S100" s="68">
        <f t="shared" si="23"/>
      </c>
      <c r="T100" s="67">
        <f t="shared" si="67"/>
      </c>
      <c r="U100" s="69">
        <f t="shared" si="100"/>
      </c>
      <c r="V100" s="70" t="s">
        <v>37</v>
      </c>
      <c r="W100" s="71" t="s">
        <v>63</v>
      </c>
      <c r="X100" s="73">
        <v>2</v>
      </c>
      <c r="Y100" s="64">
        <v>14023</v>
      </c>
      <c r="Z100" s="64">
        <v>493</v>
      </c>
      <c r="AA100" s="64">
        <v>735</v>
      </c>
      <c r="AB100" s="64">
        <v>210</v>
      </c>
      <c r="AC100" s="64">
        <v>51</v>
      </c>
      <c r="AD100" s="17">
        <v>2</v>
      </c>
      <c r="AE100" s="17">
        <v>20</v>
      </c>
      <c r="AF100" s="7"/>
      <c r="AG100" s="7"/>
    </row>
    <row r="101">
      <c r="A101" s="15"/>
      <c r="B101" s="63" t="s">
        <v>52</v>
      </c>
      <c r="C101" s="17" t="s">
        <v>44</v>
      </c>
      <c r="D101" s="64">
        <f t="shared" si="127"/>
      </c>
      <c r="E101" s="17">
        <v>387.86</v>
      </c>
      <c r="F101" s="17">
        <v>814.35</v>
      </c>
      <c r="G101" s="17">
        <v>0</v>
      </c>
      <c r="H101" s="17">
        <v>1</v>
      </c>
      <c r="I101" s="17">
        <v>1033.5599999999977</v>
      </c>
      <c r="J101" s="65">
        <f t="shared" si="1"/>
      </c>
      <c r="K101" s="66">
        <f t="shared" si="34"/>
      </c>
      <c r="L101" s="67">
        <f t="shared" si="78"/>
      </c>
      <c r="M101" s="66">
        <f t="shared" si="45"/>
      </c>
      <c r="N101" s="66">
        <f t="shared" si="170"/>
      </c>
      <c r="O101" s="67">
        <f t="shared" si="12"/>
      </c>
      <c r="P101" s="66">
        <f t="shared" si="56"/>
      </c>
      <c r="Q101" s="66">
        <f t="shared" si="89"/>
      </c>
      <c r="R101" s="67">
        <f t="shared" si="181"/>
      </c>
      <c r="S101" s="68">
        <f t="shared" si="23"/>
      </c>
      <c r="T101" s="67">
        <f t="shared" si="67"/>
      </c>
      <c r="U101" s="69">
        <f t="shared" si="100"/>
      </c>
      <c r="V101" s="70" t="s">
        <v>37</v>
      </c>
      <c r="W101" s="71" t="s">
        <v>63</v>
      </c>
      <c r="X101" s="73">
        <v>1</v>
      </c>
      <c r="Y101" s="64">
        <v>4443</v>
      </c>
      <c r="Z101" s="64">
        <v>457</v>
      </c>
      <c r="AA101" s="64">
        <v>752</v>
      </c>
      <c r="AB101" s="64">
        <v>157</v>
      </c>
      <c r="AC101" s="64">
        <v>23</v>
      </c>
      <c r="AD101" s="17">
        <v>2</v>
      </c>
      <c r="AE101" s="17">
        <v>14</v>
      </c>
      <c r="AF101" s="7"/>
      <c r="AG101" s="7"/>
    </row>
    <row r="102">
      <c r="A102" s="15"/>
      <c r="B102" s="72" t="s">
        <v>53</v>
      </c>
      <c r="C102" s="17" t="s">
        <v>44</v>
      </c>
      <c r="D102" s="64">
        <f t="shared" si="127"/>
      </c>
      <c r="E102" s="17">
        <v>1767.53</v>
      </c>
      <c r="F102" s="17">
        <v>699.17</v>
      </c>
      <c r="G102" s="17">
        <v>0</v>
      </c>
      <c r="H102" s="17">
        <v>1</v>
      </c>
      <c r="I102" s="17">
        <v>561.6000000000058</v>
      </c>
      <c r="J102" s="65">
        <f t="shared" si="1"/>
      </c>
      <c r="K102" s="66">
        <f t="shared" si="34"/>
      </c>
      <c r="L102" s="67">
        <f t="shared" si="78"/>
      </c>
      <c r="M102" s="66">
        <f t="shared" si="45"/>
      </c>
      <c r="N102" s="66">
        <f t="shared" si="170"/>
      </c>
      <c r="O102" s="67">
        <f t="shared" si="12"/>
      </c>
      <c r="P102" s="66">
        <f t="shared" si="56"/>
      </c>
      <c r="Q102" s="66">
        <f t="shared" si="89"/>
      </c>
      <c r="R102" s="67">
        <f t="shared" si="181"/>
      </c>
      <c r="S102" s="68">
        <f t="shared" si="23"/>
      </c>
      <c r="T102" s="67">
        <f t="shared" si="67"/>
      </c>
      <c r="U102" s="69">
        <f t="shared" si="100"/>
      </c>
      <c r="V102" s="70" t="s">
        <v>37</v>
      </c>
      <c r="W102" s="71" t="s">
        <v>63</v>
      </c>
      <c r="X102" s="74">
        <v>0</v>
      </c>
      <c r="Y102" s="64">
        <v>12545</v>
      </c>
      <c r="Z102" s="64">
        <v>529</v>
      </c>
      <c r="AA102" s="64">
        <v>798</v>
      </c>
      <c r="AB102" s="64">
        <v>178</v>
      </c>
      <c r="AC102" s="64">
        <v>54</v>
      </c>
      <c r="AD102" s="17">
        <v>3</v>
      </c>
      <c r="AE102" s="17">
        <v>24</v>
      </c>
      <c r="AF102" s="7"/>
      <c r="AG102" s="7"/>
    </row>
    <row r="103">
      <c r="A103" s="15"/>
      <c r="B103" s="75" t="s">
        <v>42</v>
      </c>
      <c r="C103" s="75"/>
      <c r="D103" s="75">
        <f>SUM(D99:D102)</f>
      </c>
      <c r="E103" s="75">
        <f>SUM(E99:E102)</f>
      </c>
      <c r="F103" s="75">
        <f>SUM(F99:F102)</f>
      </c>
      <c r="G103" s="75">
        <f>SUM(G99:G102)</f>
      </c>
      <c r="H103" s="75">
        <f>SUM(H99:H102)</f>
      </c>
      <c r="I103" s="75">
        <f>SUM(I99:I102)</f>
      </c>
      <c r="J103" s="76">
        <f t="shared" si="1"/>
      </c>
      <c r="K103" s="77">
        <f t="shared" si="34"/>
      </c>
      <c r="L103" s="78">
        <f t="shared" si="78"/>
      </c>
      <c r="M103" s="77">
        <f t="shared" si="45"/>
      </c>
      <c r="N103" s="77">
        <f t="shared" si="170"/>
      </c>
      <c r="O103" s="78">
        <f t="shared" si="12"/>
      </c>
      <c r="P103" s="77">
        <f t="shared" si="56"/>
      </c>
      <c r="Q103" s="77">
        <f t="shared" si="89"/>
      </c>
      <c r="R103" s="78">
        <f t="shared" si="181"/>
      </c>
      <c r="S103" s="79">
        <f t="shared" si="23"/>
      </c>
      <c r="T103" s="78">
        <f t="shared" si="67"/>
      </c>
      <c r="U103" s="80">
        <f t="shared" si="100"/>
      </c>
      <c r="V103" s="80"/>
      <c r="W103" s="80"/>
      <c r="X103" s="81">
        <f>SUM(X99:X102)</f>
      </c>
      <c r="Y103" s="75">
        <f>SUM(Y99:Y102)</f>
      </c>
      <c r="Z103" s="75">
        <f>SUM(Z99:Z102)</f>
      </c>
      <c r="AA103" s="75">
        <f>SUM(AA99:AA102)</f>
      </c>
      <c r="AB103" s="75">
        <f>SUM(AB99:AB102)</f>
      </c>
      <c r="AC103" s="75">
        <f>SUM(AC99:AC102)</f>
      </c>
      <c r="AD103" s="75">
        <f>SUM(AD99:AD102)</f>
      </c>
      <c r="AE103" s="75">
        <f>SUM(AE99:AE102)</f>
      </c>
      <c r="AF103" s="7"/>
      <c r="AG103" s="7"/>
    </row>
    <row r="104">
      <c r="A104" s="15"/>
      <c r="B104" s="72" t="s">
        <v>54</v>
      </c>
      <c r="C104" s="17" t="s">
        <v>49</v>
      </c>
      <c r="D104" s="64">
        <f t="shared" ref="D104:D107" si="128">E104+F104+G104</f>
      </c>
      <c r="E104" s="17">
        <v>2010.51</v>
      </c>
      <c r="F104" s="17">
        <v>1104.49</v>
      </c>
      <c r="G104" s="17">
        <v>0</v>
      </c>
      <c r="H104" s="17">
        <v>2</v>
      </c>
      <c r="I104" s="17">
        <v>3451.3199999999997</v>
      </c>
      <c r="J104" s="65">
        <f t="shared" si="1"/>
      </c>
      <c r="K104" s="66">
        <f t="shared" si="34"/>
      </c>
      <c r="L104" s="67">
        <f t="shared" si="78"/>
      </c>
      <c r="M104" s="66">
        <f t="shared" si="45"/>
      </c>
      <c r="N104" s="66">
        <f t="shared" si="170"/>
      </c>
      <c r="O104" s="67">
        <f t="shared" si="12"/>
      </c>
      <c r="P104" s="66">
        <f t="shared" si="56"/>
      </c>
      <c r="Q104" s="66">
        <f t="shared" si="89"/>
      </c>
      <c r="R104" s="67">
        <f t="shared" si="181"/>
      </c>
      <c r="S104" s="68">
        <f t="shared" si="23"/>
      </c>
      <c r="T104" s="67">
        <f t="shared" si="67"/>
      </c>
      <c r="U104" s="69">
        <f t="shared" si="100"/>
      </c>
      <c r="V104" s="70" t="s">
        <v>37</v>
      </c>
      <c r="W104" s="71" t="s">
        <v>63</v>
      </c>
      <c r="X104" s="17">
        <v>2</v>
      </c>
      <c r="Y104" s="64">
        <v>12571</v>
      </c>
      <c r="Z104" s="64">
        <v>628</v>
      </c>
      <c r="AA104" s="64">
        <v>938</v>
      </c>
      <c r="AB104" s="64">
        <v>243</v>
      </c>
      <c r="AC104" s="17">
        <v>47</v>
      </c>
      <c r="AD104" s="17">
        <v>5</v>
      </c>
      <c r="AE104" s="17">
        <v>20</v>
      </c>
      <c r="AF104" s="7"/>
      <c r="AG104" s="7"/>
    </row>
    <row r="105">
      <c r="A105" s="15"/>
      <c r="B105" s="17" t="s">
        <v>56</v>
      </c>
      <c r="C105" s="17" t="s">
        <v>49</v>
      </c>
      <c r="D105" s="64">
        <f t="shared" si="128"/>
      </c>
      <c r="E105" s="17">
        <v>429.2</v>
      </c>
      <c r="F105" s="17">
        <v>1402.66</v>
      </c>
      <c r="G105" s="17">
        <v>0</v>
      </c>
      <c r="H105" s="17">
        <v>3</v>
      </c>
      <c r="I105" s="17">
        <v>2234.519999999997</v>
      </c>
      <c r="J105" s="65">
        <f t="shared" si="1"/>
      </c>
      <c r="K105" s="66">
        <f t="shared" si="34"/>
      </c>
      <c r="L105" s="67">
        <f t="shared" si="78"/>
      </c>
      <c r="M105" s="66">
        <f t="shared" si="45"/>
      </c>
      <c r="N105" s="66">
        <f t="shared" si="170"/>
      </c>
      <c r="O105" s="67">
        <f t="shared" si="12"/>
      </c>
      <c r="P105" s="66">
        <f t="shared" si="56"/>
      </c>
      <c r="Q105" s="66">
        <f t="shared" si="89"/>
      </c>
      <c r="R105" s="67">
        <f t="shared" si="181"/>
      </c>
      <c r="S105" s="68">
        <f t="shared" si="23"/>
      </c>
      <c r="T105" s="67">
        <f t="shared" si="67"/>
      </c>
      <c r="U105" s="69">
        <f t="shared" si="100"/>
      </c>
      <c r="V105" s="70" t="s">
        <v>37</v>
      </c>
      <c r="W105" s="71" t="s">
        <v>63</v>
      </c>
      <c r="X105" s="73">
        <v>2</v>
      </c>
      <c r="Y105" s="64">
        <v>6548</v>
      </c>
      <c r="Z105" s="64">
        <v>740</v>
      </c>
      <c r="AA105" s="64">
        <v>1138</v>
      </c>
      <c r="AB105" s="64">
        <v>275</v>
      </c>
      <c r="AC105" s="64">
        <v>29</v>
      </c>
      <c r="AD105" s="17">
        <v>3</v>
      </c>
      <c r="AE105" s="17">
        <v>25</v>
      </c>
      <c r="AF105" s="7"/>
      <c r="AG105" s="7"/>
    </row>
    <row r="106">
      <c r="A106" s="15"/>
      <c r="B106" s="64" t="s">
        <v>57</v>
      </c>
      <c r="C106" s="17" t="s">
        <v>49</v>
      </c>
      <c r="D106" s="64">
        <f t="shared" si="128"/>
      </c>
      <c r="E106" s="17">
        <v>3038.08</v>
      </c>
      <c r="F106" s="17">
        <v>3020.89</v>
      </c>
      <c r="G106" s="17">
        <v>0</v>
      </c>
      <c r="H106" s="17">
        <v>4</v>
      </c>
      <c r="I106" s="17">
        <v>8829.479999999996</v>
      </c>
      <c r="J106" s="65">
        <f t="shared" si="1"/>
      </c>
      <c r="K106" s="66">
        <f t="shared" si="34"/>
      </c>
      <c r="L106" s="67">
        <f t="shared" si="78"/>
      </c>
      <c r="M106" s="66">
        <f t="shared" si="45"/>
      </c>
      <c r="N106" s="66">
        <f t="shared" si="170"/>
      </c>
      <c r="O106" s="67">
        <f t="shared" si="12"/>
      </c>
      <c r="P106" s="66">
        <f t="shared" si="56"/>
      </c>
      <c r="Q106" s="66">
        <f t="shared" si="89"/>
      </c>
      <c r="R106" s="67">
        <f t="shared" si="181"/>
      </c>
      <c r="S106" s="68">
        <f t="shared" si="23"/>
      </c>
      <c r="T106" s="67">
        <f t="shared" si="67"/>
      </c>
      <c r="U106" s="69">
        <f t="shared" si="100"/>
      </c>
      <c r="V106" s="70" t="s">
        <v>37</v>
      </c>
      <c r="W106" s="71" t="s">
        <v>63</v>
      </c>
      <c r="X106" s="73">
        <v>3</v>
      </c>
      <c r="Y106" s="64">
        <v>25113</v>
      </c>
      <c r="Z106" s="64">
        <v>1621</v>
      </c>
      <c r="AA106" s="64">
        <v>2580</v>
      </c>
      <c r="AB106" s="64">
        <v>646</v>
      </c>
      <c r="AC106" s="17">
        <v>62</v>
      </c>
      <c r="AD106" s="17">
        <v>5</v>
      </c>
      <c r="AE106" s="17">
        <v>31</v>
      </c>
      <c r="AF106" s="7"/>
      <c r="AG106" s="7"/>
    </row>
    <row r="107">
      <c r="A107" s="15"/>
      <c r="B107" s="17" t="s">
        <v>58</v>
      </c>
      <c r="C107" s="17" t="s">
        <v>49</v>
      </c>
      <c r="D107" s="64">
        <f t="shared" si="128"/>
      </c>
      <c r="E107" s="17">
        <v>1721.9499999999998</v>
      </c>
      <c r="F107" s="17">
        <v>1330.51</v>
      </c>
      <c r="G107" s="17">
        <v>0</v>
      </c>
      <c r="H107" s="17">
        <v>2</v>
      </c>
      <c r="I107" s="17">
        <v>4537.560000000012</v>
      </c>
      <c r="J107" s="65">
        <f t="shared" si="1"/>
      </c>
      <c r="K107" s="66">
        <f t="shared" si="34"/>
      </c>
      <c r="L107" s="67">
        <f t="shared" si="78"/>
      </c>
      <c r="M107" s="66">
        <f t="shared" si="45"/>
      </c>
      <c r="N107" s="66">
        <f t="shared" si="170"/>
      </c>
      <c r="O107" s="67">
        <f t="shared" si="12"/>
      </c>
      <c r="P107" s="66">
        <f t="shared" si="56"/>
      </c>
      <c r="Q107" s="66">
        <f t="shared" si="89"/>
      </c>
      <c r="R107" s="67">
        <f t="shared" si="181"/>
      </c>
      <c r="S107" s="68">
        <f t="shared" si="23"/>
      </c>
      <c r="T107" s="67">
        <f t="shared" si="67"/>
      </c>
      <c r="U107" s="69">
        <f t="shared" si="100"/>
      </c>
      <c r="V107" s="70" t="s">
        <v>37</v>
      </c>
      <c r="W107" s="71" t="s">
        <v>38</v>
      </c>
      <c r="X107" s="73">
        <v>2</v>
      </c>
      <c r="Y107" s="64">
        <v>13325</v>
      </c>
      <c r="Z107" s="64">
        <v>815</v>
      </c>
      <c r="AA107" s="64">
        <v>1298</v>
      </c>
      <c r="AB107" s="64">
        <v>336</v>
      </c>
      <c r="AC107" s="17">
        <v>35</v>
      </c>
      <c r="AD107" s="17">
        <v>2</v>
      </c>
      <c r="AE107" s="17">
        <v>54</v>
      </c>
      <c r="AF107" s="7"/>
      <c r="AG107" s="7"/>
    </row>
    <row r="108">
      <c r="A108" s="15"/>
      <c r="B108" s="75" t="s">
        <v>42</v>
      </c>
      <c r="C108" s="75"/>
      <c r="D108" s="75">
        <f>SUM(D104:D107)</f>
      </c>
      <c r="E108" s="75">
        <f>SUM(E104:E107)</f>
      </c>
      <c r="F108" s="75">
        <f>SUM(F104:F107)</f>
      </c>
      <c r="G108" s="75">
        <f>SUM(G104:G107)</f>
      </c>
      <c r="H108" s="75">
        <f>SUM(H104:H107)</f>
      </c>
      <c r="I108" s="75">
        <f>SUM(I104:I107)</f>
      </c>
      <c r="J108" s="76">
        <f t="shared" si="1"/>
      </c>
      <c r="K108" s="77">
        <f t="shared" si="34"/>
      </c>
      <c r="L108" s="78">
        <f t="shared" si="78"/>
      </c>
      <c r="M108" s="77">
        <f t="shared" si="45"/>
      </c>
      <c r="N108" s="77">
        <f t="shared" si="170"/>
      </c>
      <c r="O108" s="78">
        <f t="shared" si="12"/>
      </c>
      <c r="P108" s="77">
        <f t="shared" si="56"/>
      </c>
      <c r="Q108" s="77">
        <f t="shared" si="89"/>
      </c>
      <c r="R108" s="78">
        <f t="shared" si="181"/>
      </c>
      <c r="S108" s="79">
        <f t="shared" si="23"/>
      </c>
      <c r="T108" s="78">
        <f t="shared" si="67"/>
      </c>
      <c r="U108" s="80">
        <f t="shared" si="100"/>
      </c>
      <c r="V108" s="80"/>
      <c r="W108" s="80"/>
      <c r="X108" s="81">
        <f>SUM(X104:X107)</f>
      </c>
      <c r="Y108" s="82">
        <f>SUM(Y104:Y107)</f>
      </c>
      <c r="Z108" s="82">
        <f>SUM(Z104:Z107)</f>
      </c>
      <c r="AA108" s="82">
        <f>SUM(AA104:AA107)</f>
      </c>
      <c r="AB108" s="82">
        <f>SUM(AB104:AB107)</f>
      </c>
      <c r="AC108" s="82">
        <f>SUM(AC104:AC107)</f>
      </c>
      <c r="AD108" s="82">
        <f>SUM(AD104:AD107)</f>
      </c>
      <c r="AE108" s="82">
        <f>SUM(AE104:AE107)</f>
      </c>
      <c r="AF108" s="7"/>
      <c r="AG108" s="7"/>
    </row>
    <row r="109">
      <c r="A109" s="15"/>
      <c r="B109" s="85" t="s">
        <v>59</v>
      </c>
      <c r="C109" s="85"/>
      <c r="D109" s="55">
        <f>D93+D98+D103+D108</f>
      </c>
      <c r="E109" s="55">
        <f>E93+E98+E103+E108</f>
      </c>
      <c r="F109" s="55">
        <f>F93+F98+F103+F108</f>
      </c>
      <c r="G109" s="55">
        <f>G93+G98+G103+G108</f>
      </c>
      <c r="H109" s="55">
        <f>H93+H98+H103+H108</f>
      </c>
      <c r="I109" s="55">
        <f>I93+I98+I103+I108</f>
      </c>
      <c r="J109" s="55">
        <f t="shared" si="1"/>
      </c>
      <c r="K109" s="86">
        <f t="shared" si="34"/>
      </c>
      <c r="L109" s="55">
        <f t="shared" si="78"/>
      </c>
      <c r="M109" s="86">
        <f t="shared" si="45"/>
      </c>
      <c r="N109" s="86">
        <f t="shared" si="170"/>
      </c>
      <c r="O109" s="55">
        <f t="shared" si="12"/>
      </c>
      <c r="P109" s="86">
        <f t="shared" si="56"/>
      </c>
      <c r="Q109" s="86">
        <f t="shared" si="89"/>
      </c>
      <c r="R109" s="55">
        <f t="shared" si="181"/>
      </c>
      <c r="S109" s="87">
        <f t="shared" si="23"/>
      </c>
      <c r="T109" s="55">
        <f t="shared" si="67"/>
      </c>
      <c r="U109" s="88">
        <f t="shared" si="100"/>
      </c>
      <c r="V109" s="88"/>
      <c r="W109" s="88"/>
      <c r="X109" s="55">
        <f>X93+X98+X103+X108</f>
      </c>
      <c r="Y109" s="55">
        <f>Y93+Y98+Y103+Y108</f>
      </c>
      <c r="Z109" s="55">
        <f>Z93+Z98+Z103+Z108</f>
      </c>
      <c r="AA109" s="55">
        <f>AA93+AA98+AA103+AA108</f>
      </c>
      <c r="AB109" s="55">
        <f>AB93+AB98+AB103+AB108</f>
      </c>
      <c r="AC109" s="55">
        <f>AC93+AC98+AC103+AC108</f>
      </c>
      <c r="AD109" s="55">
        <f>AD93+AD98+AD103+AD108</f>
      </c>
      <c r="AE109" s="55">
        <f>AE93+AE98+AE103+AE108</f>
      </c>
      <c r="AF109" s="7"/>
      <c r="AG109" s="7"/>
    </row>
    <row r="110">
      <c r="A110" s="1" t="s">
        <v>1</v>
      </c>
      <c r="B110" s="1"/>
      <c r="C110" s="1"/>
      <c r="D110" s="2" t="s">
        <v>2</v>
      </c>
      <c r="E110" s="2"/>
      <c r="F110" s="2"/>
      <c r="G110" s="2"/>
      <c r="H110" s="2"/>
      <c r="I110" s="2"/>
      <c r="J110" s="2"/>
      <c r="K110" s="3" t="s">
        <v>3</v>
      </c>
      <c r="L110" s="3"/>
      <c r="M110" s="3"/>
      <c r="N110" s="3"/>
      <c r="O110" s="3"/>
      <c r="P110" s="3"/>
      <c r="Q110" s="3"/>
      <c r="R110" s="3"/>
      <c r="S110" s="3"/>
      <c r="T110" s="3"/>
      <c r="U110" s="4"/>
      <c r="V110" s="4"/>
      <c r="W110" s="4"/>
      <c r="X110" s="5"/>
      <c r="Y110" s="5"/>
      <c r="Z110" s="5"/>
      <c r="AA110" s="5"/>
      <c r="AB110" s="5"/>
      <c r="AC110" s="5"/>
      <c r="AD110" s="5"/>
      <c r="AE110" s="6" t="s">
        <v>4</v>
      </c>
      <c r="AF110" s="7"/>
      <c r="AG110" s="7"/>
    </row>
    <row r="111">
      <c r="A111" s="1" t="s">
        <v>5</v>
      </c>
      <c r="B111" s="1" t="s">
        <v>6</v>
      </c>
      <c r="C111" s="1" t="s">
        <v>7</v>
      </c>
      <c r="D111" s="2" t="s">
        <v>8</v>
      </c>
      <c r="E111" s="8" t="s">
        <v>9</v>
      </c>
      <c r="F111" s="8" t="s">
        <v>10</v>
      </c>
      <c r="G111" s="9" t="s">
        <v>11</v>
      </c>
      <c r="H111" s="10" t="s">
        <v>12</v>
      </c>
      <c r="I111" s="2" t="s">
        <v>13</v>
      </c>
      <c r="J111" s="8" t="s">
        <v>14</v>
      </c>
      <c r="K111" s="3" t="s">
        <v>15</v>
      </c>
      <c r="L111" s="3" t="s">
        <v>16</v>
      </c>
      <c r="M111" s="11" t="s">
        <v>17</v>
      </c>
      <c r="N111" s="11" t="s">
        <v>18</v>
      </c>
      <c r="O111" s="3" t="s">
        <v>19</v>
      </c>
      <c r="P111" s="11" t="s">
        <v>20</v>
      </c>
      <c r="Q111" s="11" t="s">
        <v>21</v>
      </c>
      <c r="R111" s="3" t="s">
        <v>22</v>
      </c>
      <c r="S111" s="11" t="s">
        <v>23</v>
      </c>
      <c r="T111" s="3" t="s">
        <v>24</v>
      </c>
      <c r="U111" s="12" t="s">
        <v>25</v>
      </c>
      <c r="V111" s="12" t="s">
        <v>26</v>
      </c>
      <c r="W111" s="12" t="s">
        <v>27</v>
      </c>
      <c r="X111" s="13" t="s">
        <v>28</v>
      </c>
      <c r="Y111" s="14" t="s">
        <v>29</v>
      </c>
      <c r="Z111" s="14" t="s">
        <v>30</v>
      </c>
      <c r="AA111" s="14" t="s">
        <v>31</v>
      </c>
      <c r="AB111" s="14" t="s">
        <v>32</v>
      </c>
      <c r="AC111" s="14" t="s">
        <v>33</v>
      </c>
      <c r="AD111" s="14" t="s">
        <v>34</v>
      </c>
      <c r="AE111" s="6"/>
      <c r="AF111" s="7"/>
      <c r="AG111" s="7"/>
    </row>
    <row r="112">
      <c r="A112" s="15">
        <v>46301</v>
      </c>
      <c r="B112" s="18" t="s">
        <v>64</v>
      </c>
      <c r="C112" s="17" t="s">
        <v>61</v>
      </c>
      <c r="D112" s="64">
        <f t="shared" ref="D112:D116" si="129">E112+F112+G112</f>
      </c>
      <c r="E112" s="17">
        <v>1973.45</v>
      </c>
      <c r="F112" s="17">
        <v>957.92</v>
      </c>
      <c r="G112" s="17">
        <v>0</v>
      </c>
      <c r="H112" s="17">
        <v>2</v>
      </c>
      <c r="I112" s="17">
        <v>5441.039999999999</v>
      </c>
      <c r="J112" s="65">
        <f t="shared" ref="J112:J135" si="2">I112/D112</f>
      </c>
      <c r="K112" s="66">
        <f t="shared" ref="K112:K135" si="35">Z112/Y112</f>
      </c>
      <c r="L112" s="67">
        <f t="shared" ref="L112:L135" si="79">D112/AA112</f>
      </c>
      <c r="M112" s="66">
        <f t="shared" ref="M112:M135" si="46">AB112/AA112</f>
      </c>
      <c r="N112" s="66">
        <f t="shared" ref="N112:N135" si="171">AC112/AA112</f>
      </c>
      <c r="O112" s="67">
        <f t="shared" ref="O112:O135" si="13">D112/AC112</f>
      </c>
      <c r="P112" s="66">
        <f t="shared" ref="P112:P135" si="57">AD112/AC112</f>
      </c>
      <c r="Q112" s="66">
        <f t="shared" ref="Q112:Q135" si="90">H112/AD112</f>
      </c>
      <c r="R112" s="67">
        <f t="shared" ref="R112:R135" si="182">D112/H112</f>
      </c>
      <c r="S112" s="68">
        <f t="shared" ref="S112:S135" si="24">I112/H112</f>
      </c>
      <c r="T112" s="67">
        <f t="shared" ref="T112:T135" si="68">D112/X112</f>
      </c>
      <c r="U112" s="69">
        <f t="shared" ref="U112:U135" si="101">AE112*1000/D112</f>
      </c>
      <c r="V112" s="70" t="s">
        <v>37</v>
      </c>
      <c r="W112" s="71" t="s">
        <v>38</v>
      </c>
      <c r="X112" s="17">
        <v>2</v>
      </c>
      <c r="Y112" s="64">
        <v>14897</v>
      </c>
      <c r="Z112" s="64">
        <v>976</v>
      </c>
      <c r="AA112" s="64">
        <v>1313</v>
      </c>
      <c r="AB112" s="64">
        <v>247</v>
      </c>
      <c r="AC112" s="17">
        <v>30</v>
      </c>
      <c r="AD112" s="17">
        <v>4</v>
      </c>
      <c r="AE112" s="17">
        <v>33</v>
      </c>
      <c r="AF112" s="32"/>
      <c r="AG112" s="7"/>
    </row>
    <row r="113">
      <c r="A113" s="15"/>
      <c r="B113" s="18" t="s">
        <v>65</v>
      </c>
      <c r="C113" s="17" t="s">
        <v>61</v>
      </c>
      <c r="D113" s="64">
        <f t="shared" si="129"/>
      </c>
      <c r="E113" s="17">
        <v>2026.55</v>
      </c>
      <c r="F113" s="17">
        <v>1042.08</v>
      </c>
      <c r="G113" s="17">
        <v>0</v>
      </c>
      <c r="H113" s="17">
        <v>4</v>
      </c>
      <c r="I113" s="17">
        <v>11258.119999999997</v>
      </c>
      <c r="J113" s="65">
        <f t="shared" si="2"/>
      </c>
      <c r="K113" s="66">
        <f t="shared" si="35"/>
      </c>
      <c r="L113" s="67">
        <f t="shared" si="79"/>
      </c>
      <c r="M113" s="66">
        <f t="shared" si="46"/>
      </c>
      <c r="N113" s="66">
        <f t="shared" si="171"/>
      </c>
      <c r="O113" s="67">
        <f t="shared" si="13"/>
      </c>
      <c r="P113" s="66">
        <f t="shared" si="57"/>
      </c>
      <c r="Q113" s="66">
        <f t="shared" si="90"/>
      </c>
      <c r="R113" s="67">
        <f t="shared" si="182"/>
      </c>
      <c r="S113" s="68">
        <f t="shared" si="24"/>
      </c>
      <c r="T113" s="67">
        <f t="shared" si="68"/>
      </c>
      <c r="U113" s="69">
        <f t="shared" si="101"/>
      </c>
      <c r="V113" s="70" t="s">
        <v>37</v>
      </c>
      <c r="W113" s="71" t="s">
        <v>62</v>
      </c>
      <c r="X113" s="73">
        <v>3</v>
      </c>
      <c r="Y113" s="64">
        <v>11883</v>
      </c>
      <c r="Z113" s="64">
        <v>317</v>
      </c>
      <c r="AA113" s="64">
        <v>349</v>
      </c>
      <c r="AB113" s="64">
        <v>90</v>
      </c>
      <c r="AC113" s="64">
        <v>61</v>
      </c>
      <c r="AD113" s="17">
        <v>4</v>
      </c>
      <c r="AE113" s="17">
        <v>14</v>
      </c>
      <c r="AF113" s="32"/>
      <c r="AG113" s="7"/>
    </row>
    <row customHeight="true" ht="18.452380952380953" r="114">
      <c r="A114" s="15"/>
      <c r="B114" s="18" t="s">
        <v>35</v>
      </c>
      <c r="C114" s="17" t="s">
        <v>61</v>
      </c>
      <c r="D114" s="64">
        <f t="shared" si="129"/>
      </c>
      <c r="E114" s="17">
        <v>1976.21</v>
      </c>
      <c r="F114" s="17">
        <v>953.98</v>
      </c>
      <c r="G114" s="17">
        <v>0</v>
      </c>
      <c r="H114" s="17">
        <v>2</v>
      </c>
      <c r="I114" s="17">
        <v>2596.4400000000023</v>
      </c>
      <c r="J114" s="65">
        <f t="shared" si="2"/>
      </c>
      <c r="K114" s="66">
        <f t="shared" si="35"/>
      </c>
      <c r="L114" s="67">
        <f t="shared" si="79"/>
      </c>
      <c r="M114" s="66">
        <f t="shared" si="46"/>
      </c>
      <c r="N114" s="66">
        <f t="shared" si="171"/>
      </c>
      <c r="O114" s="67">
        <f t="shared" si="13"/>
      </c>
      <c r="P114" s="66">
        <f t="shared" si="57"/>
      </c>
      <c r="Q114" s="66">
        <f t="shared" si="90"/>
      </c>
      <c r="R114" s="67">
        <f t="shared" si="182"/>
      </c>
      <c r="S114" s="68">
        <f t="shared" si="24"/>
      </c>
      <c r="T114" s="67">
        <f t="shared" si="68"/>
      </c>
      <c r="U114" s="69">
        <f t="shared" si="101"/>
      </c>
      <c r="V114" s="70" t="s">
        <v>37</v>
      </c>
      <c r="W114" s="71" t="s">
        <v>62</v>
      </c>
      <c r="X114" s="73">
        <v>0</v>
      </c>
      <c r="Y114" s="64">
        <v>11277</v>
      </c>
      <c r="Z114" s="64">
        <v>238</v>
      </c>
      <c r="AA114" s="64">
        <v>262</v>
      </c>
      <c r="AB114" s="64">
        <v>67</v>
      </c>
      <c r="AC114" s="64">
        <v>42</v>
      </c>
      <c r="AD114" s="17">
        <v>2</v>
      </c>
      <c r="AE114" s="17">
        <v>16</v>
      </c>
      <c r="AF114" s="32"/>
      <c r="AG114" s="7"/>
    </row>
    <row r="115">
      <c r="A115" s="15"/>
      <c r="B115" s="18" t="s">
        <v>39</v>
      </c>
      <c r="C115" s="17" t="s">
        <v>61</v>
      </c>
      <c r="D115" s="64">
        <f t="shared" si="129"/>
      </c>
      <c r="E115" s="17">
        <v>523.79</v>
      </c>
      <c r="F115" s="17">
        <v>546.02</v>
      </c>
      <c r="G115" s="17">
        <v>0</v>
      </c>
      <c r="H115" s="17">
        <v>2</v>
      </c>
      <c r="I115" s="17">
        <v>2116.2599999999984</v>
      </c>
      <c r="J115" s="65">
        <f t="shared" si="2"/>
      </c>
      <c r="K115" s="66">
        <f t="shared" si="35"/>
      </c>
      <c r="L115" s="67">
        <f t="shared" si="79"/>
      </c>
      <c r="M115" s="66">
        <f t="shared" si="46"/>
      </c>
      <c r="N115" s="66">
        <f t="shared" si="171"/>
      </c>
      <c r="O115" s="67">
        <f t="shared" si="13"/>
      </c>
      <c r="P115" s="66">
        <f t="shared" si="57"/>
      </c>
      <c r="Q115" s="66">
        <f t="shared" si="90"/>
      </c>
      <c r="R115" s="67">
        <f t="shared" si="182"/>
      </c>
      <c r="S115" s="68">
        <f t="shared" si="24"/>
      </c>
      <c r="T115" s="67">
        <f t="shared" si="68"/>
      </c>
      <c r="U115" s="69">
        <f t="shared" si="101"/>
      </c>
      <c r="V115" s="70" t="s">
        <v>37</v>
      </c>
      <c r="W115" s="71" t="s">
        <v>62</v>
      </c>
      <c r="X115" s="74">
        <v>1</v>
      </c>
      <c r="Y115" s="64">
        <v>1503</v>
      </c>
      <c r="Z115" s="64">
        <v>38</v>
      </c>
      <c r="AA115" s="64">
        <v>51</v>
      </c>
      <c r="AB115" s="64">
        <v>12</v>
      </c>
      <c r="AC115" s="64">
        <v>9</v>
      </c>
      <c r="AD115" s="17">
        <v>3</v>
      </c>
      <c r="AE115" s="17">
        <v>6</v>
      </c>
      <c r="AF115" s="32"/>
      <c r="AG115" s="7"/>
    </row>
    <row r="116">
      <c r="A116" s="15"/>
      <c r="B116" s="18" t="s">
        <v>40</v>
      </c>
      <c r="C116" s="17" t="s">
        <v>61</v>
      </c>
      <c r="D116" s="64">
        <f t="shared" si="129"/>
      </c>
      <c r="E116" s="17">
        <v>803.45</v>
      </c>
      <c r="F116" s="17">
        <v>935.09</v>
      </c>
      <c r="G116" s="17">
        <v>0</v>
      </c>
      <c r="H116" s="17">
        <v>2</v>
      </c>
      <c r="I116" s="17">
        <v>6009.120000000003</v>
      </c>
      <c r="J116" s="65">
        <f t="shared" si="2"/>
      </c>
      <c r="K116" s="66">
        <f t="shared" si="35"/>
      </c>
      <c r="L116" s="67">
        <f t="shared" si="79"/>
      </c>
      <c r="M116" s="66">
        <f t="shared" si="46"/>
      </c>
      <c r="N116" s="66">
        <f t="shared" si="171"/>
      </c>
      <c r="O116" s="67">
        <f t="shared" si="13"/>
      </c>
      <c r="P116" s="66">
        <f t="shared" si="57"/>
      </c>
      <c r="Q116" s="66">
        <f t="shared" si="90"/>
      </c>
      <c r="R116" s="67">
        <f t="shared" si="182"/>
      </c>
      <c r="S116" s="68">
        <f t="shared" si="24"/>
      </c>
      <c r="T116" s="67">
        <f t="shared" si="68"/>
      </c>
      <c r="U116" s="69">
        <f t="shared" si="101"/>
      </c>
      <c r="V116" s="70" t="s">
        <v>37</v>
      </c>
      <c r="W116" s="71" t="s">
        <v>62</v>
      </c>
      <c r="X116" s="73">
        <v>1</v>
      </c>
      <c r="Y116" s="64">
        <v>12014</v>
      </c>
      <c r="Z116" s="64">
        <v>236</v>
      </c>
      <c r="AA116" s="64">
        <v>261</v>
      </c>
      <c r="AB116" s="64">
        <v>42</v>
      </c>
      <c r="AC116" s="64">
        <v>46</v>
      </c>
      <c r="AD116" s="17">
        <v>3</v>
      </c>
      <c r="AE116" s="17">
        <v>19</v>
      </c>
      <c r="AF116" s="32"/>
      <c r="AG116" s="7"/>
    </row>
    <row r="117">
      <c r="A117" s="15"/>
      <c r="B117" s="75" t="s">
        <v>42</v>
      </c>
      <c r="C117" s="75"/>
      <c r="D117" s="75">
        <f>SUM(D112:D116)</f>
      </c>
      <c r="E117" s="75">
        <f>SUM(E112:E116)</f>
      </c>
      <c r="F117" s="75">
        <f>SUM(F112:F116)</f>
      </c>
      <c r="G117" s="75">
        <f>SUM(G112:G116)</f>
      </c>
      <c r="H117" s="75">
        <f>SUM(H112:H116)</f>
      </c>
      <c r="I117" s="75">
        <f>SUM(I112:I116)</f>
      </c>
      <c r="J117" s="76">
        <f t="shared" si="2"/>
      </c>
      <c r="K117" s="77">
        <f t="shared" si="35"/>
      </c>
      <c r="L117" s="78">
        <f t="shared" si="79"/>
      </c>
      <c r="M117" s="77">
        <f t="shared" si="46"/>
      </c>
      <c r="N117" s="77">
        <f t="shared" si="171"/>
      </c>
      <c r="O117" s="78">
        <f t="shared" si="13"/>
      </c>
      <c r="P117" s="77">
        <f t="shared" si="57"/>
      </c>
      <c r="Q117" s="77">
        <f t="shared" si="90"/>
      </c>
      <c r="R117" s="78">
        <f t="shared" si="182"/>
      </c>
      <c r="S117" s="79">
        <f t="shared" si="24"/>
      </c>
      <c r="T117" s="78">
        <f t="shared" si="68"/>
      </c>
      <c r="U117" s="80">
        <f t="shared" si="101"/>
      </c>
      <c r="V117" s="80"/>
      <c r="W117" s="80"/>
      <c r="X117" s="81">
        <f>SUM(X112:X116)</f>
      </c>
      <c r="Y117" s="75">
        <f>SUM(Y112:Y116)</f>
      </c>
      <c r="Z117" s="75">
        <f>SUM(Z112:Z116)</f>
      </c>
      <c r="AA117" s="75">
        <f>SUM(AA112:AA116)</f>
      </c>
      <c r="AB117" s="75">
        <f>SUM(AB112:AB116)</f>
      </c>
      <c r="AC117" s="75">
        <f>SUM(AC112:AC116)</f>
      </c>
      <c r="AD117" s="75">
        <f>SUM(AD112:AD116)</f>
      </c>
      <c r="AE117" s="75">
        <f>SUM(AE112:AE116)</f>
      </c>
      <c r="AF117" s="7"/>
      <c r="AG117" s="7"/>
    </row>
    <row r="118">
      <c r="A118" s="15"/>
      <c r="B118" s="18" t="s">
        <v>41</v>
      </c>
      <c r="C118" s="17" t="s">
        <v>36</v>
      </c>
      <c r="D118" s="64">
        <f t="shared" ref="D118:D122" si="130">E118+F118+G118</f>
      </c>
      <c r="E118" s="64">
        <v>2274.54</v>
      </c>
      <c r="F118" s="64">
        <v>1538.64</v>
      </c>
      <c r="G118" s="17">
        <v>0</v>
      </c>
      <c r="H118" s="17">
        <v>2</v>
      </c>
      <c r="I118" s="17">
        <v>7466.399999999998</v>
      </c>
      <c r="J118" s="65">
        <f t="shared" si="2"/>
      </c>
      <c r="K118" s="66">
        <f t="shared" si="35"/>
      </c>
      <c r="L118" s="67">
        <f t="shared" si="79"/>
      </c>
      <c r="M118" s="66">
        <f t="shared" si="46"/>
      </c>
      <c r="N118" s="66">
        <f t="shared" si="171"/>
      </c>
      <c r="O118" s="67">
        <f t="shared" si="13"/>
      </c>
      <c r="P118" s="66">
        <f t="shared" si="57"/>
      </c>
      <c r="Q118" s="66">
        <f t="shared" si="90"/>
      </c>
      <c r="R118" s="67">
        <f t="shared" si="182"/>
      </c>
      <c r="S118" s="68">
        <f t="shared" si="24"/>
      </c>
      <c r="T118" s="67">
        <f t="shared" si="68"/>
      </c>
      <c r="U118" s="69">
        <f t="shared" si="101"/>
      </c>
      <c r="V118" s="70" t="s">
        <v>37</v>
      </c>
      <c r="W118" s="71" t="s">
        <v>62</v>
      </c>
      <c r="X118" s="73">
        <v>2</v>
      </c>
      <c r="Y118" s="17">
        <v>11801</v>
      </c>
      <c r="Z118" s="17">
        <v>1088</v>
      </c>
      <c r="AA118" s="64">
        <v>1552</v>
      </c>
      <c r="AB118" s="17">
        <v>508</v>
      </c>
      <c r="AC118" s="17">
        <v>51</v>
      </c>
      <c r="AD118" s="17">
        <v>2</v>
      </c>
      <c r="AE118" s="17">
        <v>38</v>
      </c>
      <c r="AF118" s="32"/>
      <c r="AG118" s="7"/>
    </row>
    <row customHeight="true" ht="18.452380952380953" r="119">
      <c r="A119" s="15"/>
      <c r="B119" s="18" t="s">
        <v>41</v>
      </c>
      <c r="C119" s="17" t="s">
        <v>36</v>
      </c>
      <c r="D119" s="64">
        <f t="shared" si="130"/>
      </c>
      <c r="E119" s="17">
        <v>1455.05</v>
      </c>
      <c r="F119" s="17">
        <v>1236.38</v>
      </c>
      <c r="G119" s="17">
        <v>0</v>
      </c>
      <c r="H119" s="17">
        <v>4</v>
      </c>
      <c r="I119" s="17">
        <v>3495.970000000001</v>
      </c>
      <c r="J119" s="65">
        <f t="shared" si="2"/>
      </c>
      <c r="K119" s="66">
        <f t="shared" si="35"/>
      </c>
      <c r="L119" s="67">
        <f t="shared" si="79"/>
      </c>
      <c r="M119" s="66">
        <f t="shared" si="46"/>
      </c>
      <c r="N119" s="66">
        <f t="shared" si="171"/>
      </c>
      <c r="O119" s="67">
        <f t="shared" si="13"/>
      </c>
      <c r="P119" s="66">
        <f t="shared" si="57"/>
      </c>
      <c r="Q119" s="66">
        <f t="shared" si="90"/>
      </c>
      <c r="R119" s="67">
        <f t="shared" si="182"/>
      </c>
      <c r="S119" s="68">
        <f t="shared" si="24"/>
      </c>
      <c r="T119" s="67">
        <f t="shared" si="68"/>
      </c>
      <c r="U119" s="69">
        <f t="shared" si="101"/>
      </c>
      <c r="V119" s="70" t="s">
        <v>37</v>
      </c>
      <c r="W119" s="71" t="s">
        <v>62</v>
      </c>
      <c r="X119" s="73">
        <v>3</v>
      </c>
      <c r="Y119" s="64">
        <v>10129</v>
      </c>
      <c r="Z119" s="64">
        <v>918</v>
      </c>
      <c r="AA119" s="64">
        <v>1454</v>
      </c>
      <c r="AB119" s="64">
        <v>420</v>
      </c>
      <c r="AC119" s="64">
        <v>32</v>
      </c>
      <c r="AD119" s="17">
        <v>5</v>
      </c>
      <c r="AE119" s="17">
        <v>38</v>
      </c>
      <c r="AF119" s="32"/>
      <c r="AG119" s="7"/>
    </row>
    <row r="120">
      <c r="A120" s="15"/>
      <c r="B120" s="18" t="s">
        <v>45</v>
      </c>
      <c r="C120" s="17" t="s">
        <v>36</v>
      </c>
      <c r="D120" s="64">
        <f t="shared" si="130"/>
      </c>
      <c r="E120" s="17">
        <v>1330.5900000000001</v>
      </c>
      <c r="F120" s="64">
        <v>1338.3</v>
      </c>
      <c r="G120" s="17">
        <v>0</v>
      </c>
      <c r="H120" s="17">
        <v>1</v>
      </c>
      <c r="I120" s="64">
        <v>1033.5599999999977</v>
      </c>
      <c r="J120" s="65">
        <f t="shared" si="2"/>
      </c>
      <c r="K120" s="66">
        <f t="shared" si="35"/>
      </c>
      <c r="L120" s="67">
        <f t="shared" si="79"/>
      </c>
      <c r="M120" s="66">
        <f t="shared" si="46"/>
      </c>
      <c r="N120" s="66">
        <f t="shared" si="171"/>
      </c>
      <c r="O120" s="67">
        <f t="shared" si="13"/>
      </c>
      <c r="P120" s="66">
        <f t="shared" si="57"/>
      </c>
      <c r="Q120" s="66">
        <f t="shared" si="90"/>
      </c>
      <c r="R120" s="67">
        <f t="shared" si="182"/>
      </c>
      <c r="S120" s="68">
        <f t="shared" si="24"/>
      </c>
      <c r="T120" s="67">
        <f t="shared" si="68"/>
      </c>
      <c r="U120" s="69">
        <f t="shared" si="101"/>
      </c>
      <c r="V120" s="70" t="s">
        <v>37</v>
      </c>
      <c r="W120" s="71" t="s">
        <v>62</v>
      </c>
      <c r="X120" s="73">
        <v>1</v>
      </c>
      <c r="Y120" s="17">
        <v>14875</v>
      </c>
      <c r="Z120" s="17">
        <v>491</v>
      </c>
      <c r="AA120" s="17">
        <v>573</v>
      </c>
      <c r="AB120" s="17">
        <v>77</v>
      </c>
      <c r="AC120" s="17">
        <v>53</v>
      </c>
      <c r="AD120" s="17">
        <v>2</v>
      </c>
      <c r="AE120" s="17">
        <v>15</v>
      </c>
      <c r="AF120" s="32"/>
      <c r="AG120" s="7"/>
    </row>
    <row r="121">
      <c r="A121" s="15"/>
      <c r="B121" s="18" t="s">
        <v>46</v>
      </c>
      <c r="C121" s="17" t="s">
        <v>36</v>
      </c>
      <c r="D121" s="64">
        <f t="shared" si="130"/>
      </c>
      <c r="E121" s="64">
        <v>1708.5700000000002</v>
      </c>
      <c r="F121" s="17">
        <v>1004.81</v>
      </c>
      <c r="G121" s="17">
        <v>0</v>
      </c>
      <c r="H121" s="17">
        <v>2</v>
      </c>
      <c r="I121" s="17">
        <v>1976.4000000000015</v>
      </c>
      <c r="J121" s="65">
        <f t="shared" si="2"/>
      </c>
      <c r="K121" s="66">
        <f t="shared" si="35"/>
      </c>
      <c r="L121" s="67">
        <f t="shared" si="79"/>
      </c>
      <c r="M121" s="66">
        <f t="shared" si="46"/>
      </c>
      <c r="N121" s="66">
        <f t="shared" si="171"/>
      </c>
      <c r="O121" s="67">
        <f t="shared" si="13"/>
      </c>
      <c r="P121" s="66">
        <f t="shared" si="57"/>
      </c>
      <c r="Q121" s="66">
        <f t="shared" si="90"/>
      </c>
      <c r="R121" s="67">
        <f t="shared" si="182"/>
      </c>
      <c r="S121" s="68">
        <f t="shared" si="24"/>
      </c>
      <c r="T121" s="67">
        <f t="shared" si="68"/>
      </c>
      <c r="U121" s="69">
        <f t="shared" si="101"/>
      </c>
      <c r="V121" s="70" t="s">
        <v>37</v>
      </c>
      <c r="W121" s="71" t="s">
        <v>62</v>
      </c>
      <c r="X121" s="73">
        <v>2</v>
      </c>
      <c r="Y121" s="17">
        <v>9323</v>
      </c>
      <c r="Z121" s="17">
        <v>313</v>
      </c>
      <c r="AA121" s="17">
        <v>327</v>
      </c>
      <c r="AB121" s="17">
        <v>46</v>
      </c>
      <c r="AC121" s="17">
        <v>51</v>
      </c>
      <c r="AD121" s="17">
        <v>2</v>
      </c>
      <c r="AE121" s="17">
        <v>15</v>
      </c>
      <c r="AF121" s="32"/>
      <c r="AG121" s="7"/>
    </row>
    <row r="122">
      <c r="A122" s="15"/>
      <c r="B122" s="18" t="s">
        <v>47</v>
      </c>
      <c r="C122" s="17" t="s">
        <v>36</v>
      </c>
      <c r="D122" s="64">
        <f t="shared" si="130"/>
      </c>
      <c r="E122" s="64">
        <v>874.37</v>
      </c>
      <c r="F122" s="17">
        <v>1446.78</v>
      </c>
      <c r="G122" s="17">
        <v>0</v>
      </c>
      <c r="H122" s="17">
        <v>4</v>
      </c>
      <c r="I122" s="17">
        <v>22894.800000000003</v>
      </c>
      <c r="J122" s="65">
        <f t="shared" si="2"/>
      </c>
      <c r="K122" s="66">
        <f t="shared" si="35"/>
      </c>
      <c r="L122" s="67">
        <f t="shared" si="79"/>
      </c>
      <c r="M122" s="66">
        <f t="shared" si="46"/>
      </c>
      <c r="N122" s="66">
        <f t="shared" si="171"/>
      </c>
      <c r="O122" s="67">
        <f t="shared" si="13"/>
      </c>
      <c r="P122" s="66">
        <f t="shared" si="57"/>
      </c>
      <c r="Q122" s="66">
        <f t="shared" si="90"/>
      </c>
      <c r="R122" s="67">
        <f t="shared" si="182"/>
      </c>
      <c r="S122" s="68">
        <f t="shared" si="24"/>
      </c>
      <c r="T122" s="67">
        <f t="shared" si="68"/>
      </c>
      <c r="U122" s="69">
        <f t="shared" si="101"/>
      </c>
      <c r="V122" s="70" t="s">
        <v>37</v>
      </c>
      <c r="W122" s="71" t="s">
        <v>63</v>
      </c>
      <c r="X122" s="73">
        <v>3</v>
      </c>
      <c r="Y122" s="17">
        <v>10635</v>
      </c>
      <c r="Z122" s="17">
        <v>332</v>
      </c>
      <c r="AA122" s="17">
        <v>399</v>
      </c>
      <c r="AB122" s="17">
        <v>60</v>
      </c>
      <c r="AC122" s="17">
        <v>42</v>
      </c>
      <c r="AD122" s="17">
        <v>6</v>
      </c>
      <c r="AE122" s="17">
        <v>15</v>
      </c>
      <c r="AF122" s="32"/>
      <c r="AG122" s="7"/>
    </row>
    <row r="123">
      <c r="A123" s="15"/>
      <c r="B123" s="75" t="s">
        <v>42</v>
      </c>
      <c r="C123" s="75"/>
      <c r="D123" s="75">
        <f>SUM(D118:D122)</f>
      </c>
      <c r="E123" s="75">
        <f>SUM(E118:E122)</f>
      </c>
      <c r="F123" s="75">
        <f>SUM(F118:F122)</f>
      </c>
      <c r="G123" s="75">
        <f>SUM(G118:G122)</f>
      </c>
      <c r="H123" s="75">
        <f>SUM(H118:H122)</f>
      </c>
      <c r="I123" s="75">
        <f>SUM(I118:I122)</f>
      </c>
      <c r="J123" s="76">
        <f t="shared" si="2"/>
      </c>
      <c r="K123" s="77">
        <f t="shared" si="35"/>
      </c>
      <c r="L123" s="78">
        <f t="shared" si="79"/>
      </c>
      <c r="M123" s="77">
        <f t="shared" si="46"/>
      </c>
      <c r="N123" s="77">
        <f t="shared" si="171"/>
      </c>
      <c r="O123" s="78">
        <f t="shared" si="13"/>
      </c>
      <c r="P123" s="77">
        <f t="shared" si="57"/>
      </c>
      <c r="Q123" s="77">
        <f t="shared" si="90"/>
      </c>
      <c r="R123" s="78">
        <f t="shared" si="182"/>
      </c>
      <c r="S123" s="79">
        <f t="shared" si="24"/>
      </c>
      <c r="T123" s="78">
        <f t="shared" si="68"/>
      </c>
      <c r="U123" s="80">
        <f t="shared" si="101"/>
      </c>
      <c r="V123" s="80"/>
      <c r="W123" s="80"/>
      <c r="X123" s="81">
        <f>SUM(X118:X122)</f>
      </c>
      <c r="Y123" s="82">
        <f>SUM(Y118:Y122)</f>
      </c>
      <c r="Z123" s="82">
        <f>SUM(Z118:Z122)</f>
      </c>
      <c r="AA123" s="82">
        <f>SUM(AA118:AA122)</f>
      </c>
      <c r="AB123" s="82">
        <f>SUM(AB118:AB122)</f>
      </c>
      <c r="AC123" s="82">
        <f>SUM(AC118:AC122)</f>
      </c>
      <c r="AD123" s="82">
        <f>SUM(AD118:AD122)</f>
      </c>
      <c r="AE123" s="82">
        <f>SUM(AE118:AE122)</f>
      </c>
      <c r="AF123" s="7"/>
      <c r="AG123" s="7"/>
    </row>
    <row r="124">
      <c r="A124" s="15"/>
      <c r="B124" s="63" t="s">
        <v>48</v>
      </c>
      <c r="C124" s="17" t="s">
        <v>66</v>
      </c>
      <c r="D124" s="64">
        <f t="shared" ref="D124:D125" si="131">E124+F124+G124</f>
      </c>
      <c r="E124" s="17">
        <v>1857.1</v>
      </c>
      <c r="F124" s="17">
        <v>1521.58</v>
      </c>
      <c r="G124" s="17">
        <v>0</v>
      </c>
      <c r="H124" s="17">
        <v>2</v>
      </c>
      <c r="I124" s="17">
        <v>2158.9199999999983</v>
      </c>
      <c r="J124" s="65">
        <f t="shared" si="2"/>
      </c>
      <c r="K124" s="66">
        <f t="shared" si="35"/>
      </c>
      <c r="L124" s="67">
        <f t="shared" si="79"/>
      </c>
      <c r="M124" s="66">
        <f t="shared" si="46"/>
      </c>
      <c r="N124" s="66">
        <f t="shared" si="171"/>
      </c>
      <c r="O124" s="67">
        <f t="shared" si="13"/>
      </c>
      <c r="P124" s="66">
        <f t="shared" si="57"/>
      </c>
      <c r="Q124" s="66">
        <f t="shared" si="90"/>
      </c>
      <c r="R124" s="67">
        <f t="shared" si="182"/>
      </c>
      <c r="S124" s="68">
        <f t="shared" si="24"/>
      </c>
      <c r="T124" s="67">
        <f t="shared" si="68"/>
      </c>
      <c r="U124" s="69">
        <f t="shared" si="101"/>
      </c>
      <c r="V124" s="70" t="s">
        <v>37</v>
      </c>
      <c r="W124" s="71" t="s">
        <v>50</v>
      </c>
      <c r="X124" s="17">
        <v>3</v>
      </c>
      <c r="Y124" s="17">
        <v>14279</v>
      </c>
      <c r="Z124" s="17">
        <v>463</v>
      </c>
      <c r="AA124" s="64">
        <v>524</v>
      </c>
      <c r="AB124" s="17">
        <v>115</v>
      </c>
      <c r="AC124" s="17">
        <v>55</v>
      </c>
      <c r="AD124" s="17">
        <v>4</v>
      </c>
      <c r="AE124" s="17">
        <v>21</v>
      </c>
      <c r="AF124" s="32"/>
      <c r="AG124" s="7"/>
    </row>
    <row r="125">
      <c r="A125" s="15"/>
      <c r="B125" s="72" t="s">
        <v>51</v>
      </c>
      <c r="C125" s="17" t="s">
        <v>66</v>
      </c>
      <c r="D125" s="64">
        <f t="shared" si="131"/>
      </c>
      <c r="E125" s="64">
        <v>1002.0300000000001</v>
      </c>
      <c r="F125" s="17">
        <v>978.42</v>
      </c>
      <c r="G125" s="17">
        <v>0</v>
      </c>
      <c r="H125" s="17">
        <v>1</v>
      </c>
      <c r="I125" s="17">
        <v>737.6399999999994</v>
      </c>
      <c r="J125" s="65">
        <f t="shared" si="2"/>
      </c>
      <c r="K125" s="66">
        <f t="shared" si="35"/>
      </c>
      <c r="L125" s="67">
        <f t="shared" si="79"/>
      </c>
      <c r="M125" s="66">
        <f t="shared" si="46"/>
      </c>
      <c r="N125" s="66">
        <f t="shared" si="171"/>
      </c>
      <c r="O125" s="67">
        <f t="shared" si="13"/>
      </c>
      <c r="P125" s="66">
        <f t="shared" si="57"/>
      </c>
      <c r="Q125" s="66">
        <f t="shared" si="90"/>
      </c>
      <c r="R125" s="67">
        <f t="shared" si="182"/>
      </c>
      <c r="S125" s="68">
        <f t="shared" si="24"/>
      </c>
      <c r="T125" s="67">
        <f t="shared" si="68"/>
      </c>
      <c r="U125" s="69">
        <f t="shared" si="101"/>
      </c>
      <c r="V125" s="70" t="s">
        <v>37</v>
      </c>
      <c r="W125" s="71" t="s">
        <v>50</v>
      </c>
      <c r="X125" s="73">
        <v>0</v>
      </c>
      <c r="Y125" s="64">
        <v>11837</v>
      </c>
      <c r="Z125" s="64">
        <v>371</v>
      </c>
      <c r="AA125" s="64">
        <v>383</v>
      </c>
      <c r="AB125" s="64">
        <v>39</v>
      </c>
      <c r="AC125" s="64">
        <v>30</v>
      </c>
      <c r="AD125" s="17">
        <v>2</v>
      </c>
      <c r="AE125" s="17">
        <v>10</v>
      </c>
      <c r="AF125" s="7"/>
      <c r="AG125" s="7"/>
    </row>
    <row r="126">
      <c r="A126" s="15"/>
      <c r="B126" s="75" t="s">
        <v>42</v>
      </c>
      <c r="C126" s="75"/>
      <c r="D126" s="75">
        <f>SUM(D124:D125)</f>
      </c>
      <c r="E126" s="75">
        <f>SUM(E124:E125)</f>
      </c>
      <c r="F126" s="75">
        <f>SUM(F124:F125)</f>
      </c>
      <c r="G126" s="75">
        <f>SUM(G124:G125)</f>
      </c>
      <c r="H126" s="75">
        <f>SUM(H124:H125)</f>
      </c>
      <c r="I126" s="75">
        <f>SUM(I124:I125)</f>
      </c>
      <c r="J126" s="76">
        <f t="shared" si="2"/>
      </c>
      <c r="K126" s="77">
        <f t="shared" si="35"/>
      </c>
      <c r="L126" s="78">
        <f t="shared" si="79"/>
      </c>
      <c r="M126" s="77">
        <f t="shared" si="46"/>
      </c>
      <c r="N126" s="77">
        <f t="shared" si="171"/>
      </c>
      <c r="O126" s="78">
        <f t="shared" si="13"/>
      </c>
      <c r="P126" s="77">
        <f t="shared" si="57"/>
      </c>
      <c r="Q126" s="77">
        <f t="shared" si="90"/>
      </c>
      <c r="R126" s="78">
        <f t="shared" si="182"/>
      </c>
      <c r="S126" s="79">
        <f t="shared" si="24"/>
      </c>
      <c r="T126" s="78">
        <f t="shared" si="68"/>
      </c>
      <c r="U126" s="80">
        <f t="shared" si="101"/>
      </c>
      <c r="V126" s="80"/>
      <c r="W126" s="80"/>
      <c r="X126" s="81">
        <f>SUM(X124:X125)</f>
      </c>
      <c r="Y126" s="75">
        <f>SUM(Y124:Y125)</f>
      </c>
      <c r="Z126" s="75">
        <f>SUM(Z124:Z125)</f>
      </c>
      <c r="AA126" s="75">
        <f>SUM(AA124:AA125)</f>
      </c>
      <c r="AB126" s="75">
        <f>SUM(AB124:AB125)</f>
      </c>
      <c r="AC126" s="75">
        <f>SUM(AC124:AC125)</f>
      </c>
      <c r="AD126" s="75">
        <f>SUM(AD124:AD125)</f>
      </c>
      <c r="AE126" s="75">
        <f>SUM(AE124:AE125)</f>
      </c>
      <c r="AF126" s="7"/>
      <c r="AG126" s="7"/>
    </row>
    <row customHeight="true" ht="18.452380952380953" r="127">
      <c r="A127" s="15"/>
      <c r="B127" s="63" t="s">
        <v>52</v>
      </c>
      <c r="C127" s="17" t="s">
        <v>44</v>
      </c>
      <c r="D127" s="64">
        <f t="shared" ref="D127:D130" si="132">E127+F127+G127</f>
      </c>
      <c r="E127" s="17">
        <v>1403.83</v>
      </c>
      <c r="F127" s="17">
        <v>1401.25</v>
      </c>
      <c r="G127" s="17">
        <v>0</v>
      </c>
      <c r="H127" s="17">
        <v>2</v>
      </c>
      <c r="I127" s="17">
        <v>1680.479999999996</v>
      </c>
      <c r="J127" s="65">
        <f t="shared" si="2"/>
      </c>
      <c r="K127" s="66">
        <f t="shared" si="35"/>
      </c>
      <c r="L127" s="67">
        <f t="shared" si="79"/>
      </c>
      <c r="M127" s="66">
        <f t="shared" si="46"/>
      </c>
      <c r="N127" s="66">
        <f t="shared" si="171"/>
      </c>
      <c r="O127" s="67">
        <f t="shared" si="13"/>
      </c>
      <c r="P127" s="66">
        <f t="shared" si="57"/>
      </c>
      <c r="Q127" s="66">
        <f t="shared" si="90"/>
      </c>
      <c r="R127" s="67">
        <f t="shared" si="182"/>
      </c>
      <c r="S127" s="68">
        <f t="shared" si="24"/>
      </c>
      <c r="T127" s="67">
        <f t="shared" si="68"/>
      </c>
      <c r="U127" s="69">
        <f t="shared" si="101"/>
      </c>
      <c r="V127" s="70" t="s">
        <v>37</v>
      </c>
      <c r="W127" s="71" t="s">
        <v>50</v>
      </c>
      <c r="X127" s="73">
        <v>1</v>
      </c>
      <c r="Y127" s="64">
        <v>13255</v>
      </c>
      <c r="Z127" s="64">
        <v>487</v>
      </c>
      <c r="AA127" s="64">
        <v>582</v>
      </c>
      <c r="AB127" s="64">
        <v>103</v>
      </c>
      <c r="AC127" s="64">
        <v>52</v>
      </c>
      <c r="AD127" s="17">
        <v>3</v>
      </c>
      <c r="AE127" s="17">
        <v>18</v>
      </c>
      <c r="AF127" s="7"/>
      <c r="AG127" s="7"/>
    </row>
    <row customHeight="true" ht="18.452380952380953" r="128">
      <c r="A128" s="15"/>
      <c r="B128" s="72" t="s">
        <v>53</v>
      </c>
      <c r="C128" s="17" t="s">
        <v>44</v>
      </c>
      <c r="D128" s="64">
        <f t="shared" si="132"/>
      </c>
      <c r="E128" s="17">
        <v>1067.47</v>
      </c>
      <c r="F128" s="17">
        <v>1554.78</v>
      </c>
      <c r="G128" s="17">
        <v>0</v>
      </c>
      <c r="H128" s="17">
        <v>2</v>
      </c>
      <c r="I128" s="17">
        <v>3354.3600000000006</v>
      </c>
      <c r="J128" s="65">
        <f t="shared" si="2"/>
      </c>
      <c r="K128" s="66">
        <f t="shared" si="35"/>
      </c>
      <c r="L128" s="67">
        <f t="shared" si="79"/>
      </c>
      <c r="M128" s="66">
        <f t="shared" si="46"/>
      </c>
      <c r="N128" s="66">
        <f t="shared" si="171"/>
      </c>
      <c r="O128" s="67">
        <f t="shared" si="13"/>
      </c>
      <c r="P128" s="66">
        <f t="shared" si="57"/>
      </c>
      <c r="Q128" s="66">
        <f t="shared" si="90"/>
      </c>
      <c r="R128" s="67">
        <f t="shared" si="182"/>
      </c>
      <c r="S128" s="68">
        <f t="shared" si="24"/>
      </c>
      <c r="T128" s="67">
        <f t="shared" si="68"/>
      </c>
      <c r="U128" s="69">
        <f t="shared" si="101"/>
      </c>
      <c r="V128" s="70" t="s">
        <v>37</v>
      </c>
      <c r="W128" s="71" t="s">
        <v>50</v>
      </c>
      <c r="X128" s="73">
        <v>2</v>
      </c>
      <c r="Y128" s="64">
        <v>11753</v>
      </c>
      <c r="Z128" s="64">
        <v>272</v>
      </c>
      <c r="AA128" s="64">
        <v>316</v>
      </c>
      <c r="AB128" s="64">
        <v>74</v>
      </c>
      <c r="AC128" s="64">
        <v>46</v>
      </c>
      <c r="AD128" s="17">
        <v>2</v>
      </c>
      <c r="AE128" s="17">
        <v>20</v>
      </c>
      <c r="AF128" s="7"/>
      <c r="AG128" s="7"/>
    </row>
    <row customHeight="true" ht="18.452380952380953" r="129">
      <c r="A129" s="15"/>
      <c r="B129" s="72" t="s">
        <v>54</v>
      </c>
      <c r="C129" s="17" t="s">
        <v>44</v>
      </c>
      <c r="D129" s="64">
        <f t="shared" si="132"/>
      </c>
      <c r="E129" s="17">
        <v>2439.27</v>
      </c>
      <c r="F129" s="17">
        <v>1465.8</v>
      </c>
      <c r="G129" s="17">
        <v>0</v>
      </c>
      <c r="H129" s="17">
        <v>3</v>
      </c>
      <c r="I129" s="17">
        <v>5836.440000000002</v>
      </c>
      <c r="J129" s="65">
        <f t="shared" si="2"/>
      </c>
      <c r="K129" s="66">
        <f t="shared" si="35"/>
      </c>
      <c r="L129" s="67">
        <f t="shared" si="79"/>
      </c>
      <c r="M129" s="66">
        <f t="shared" si="46"/>
      </c>
      <c r="N129" s="66">
        <f t="shared" si="171"/>
      </c>
      <c r="O129" s="67">
        <f t="shared" si="13"/>
      </c>
      <c r="P129" s="66">
        <f t="shared" si="57"/>
      </c>
      <c r="Q129" s="66">
        <f t="shared" si="90"/>
      </c>
      <c r="R129" s="67">
        <f t="shared" si="182"/>
      </c>
      <c r="S129" s="68">
        <f t="shared" si="24"/>
      </c>
      <c r="T129" s="67">
        <f t="shared" si="68"/>
      </c>
      <c r="U129" s="69">
        <f t="shared" si="101"/>
      </c>
      <c r="V129" s="70" t="s">
        <v>37</v>
      </c>
      <c r="W129" s="71" t="s">
        <v>50</v>
      </c>
      <c r="X129" s="73">
        <v>2</v>
      </c>
      <c r="Y129" s="64">
        <v>14821</v>
      </c>
      <c r="Z129" s="64">
        <v>323</v>
      </c>
      <c r="AA129" s="64">
        <v>362</v>
      </c>
      <c r="AB129" s="64">
        <v>64</v>
      </c>
      <c r="AC129" s="64">
        <v>54</v>
      </c>
      <c r="AD129" s="17">
        <v>2</v>
      </c>
      <c r="AE129" s="17">
        <v>16</v>
      </c>
      <c r="AF129" s="7"/>
      <c r="AG129" s="7"/>
    </row>
    <row customHeight="true" ht="18.452380952380953" r="130">
      <c r="A130" s="15"/>
      <c r="B130" s="17" t="s">
        <v>56</v>
      </c>
      <c r="C130" s="17" t="s">
        <v>44</v>
      </c>
      <c r="D130" s="64">
        <f t="shared" si="132"/>
      </c>
      <c r="E130" s="17">
        <v>1107.75</v>
      </c>
      <c r="F130" s="17">
        <v>1509</v>
      </c>
      <c r="G130" s="17">
        <v>0</v>
      </c>
      <c r="H130" s="17">
        <v>3</v>
      </c>
      <c r="I130" s="17">
        <v>9424.919999999998</v>
      </c>
      <c r="J130" s="65">
        <f t="shared" si="2"/>
      </c>
      <c r="K130" s="66">
        <f t="shared" si="35"/>
      </c>
      <c r="L130" s="67">
        <f t="shared" si="79"/>
      </c>
      <c r="M130" s="66">
        <f t="shared" si="46"/>
      </c>
      <c r="N130" s="66">
        <f t="shared" si="171"/>
      </c>
      <c r="O130" s="67">
        <f t="shared" si="13"/>
      </c>
      <c r="P130" s="66">
        <f t="shared" si="57"/>
      </c>
      <c r="Q130" s="66">
        <f t="shared" si="90"/>
      </c>
      <c r="R130" s="67">
        <f t="shared" si="182"/>
      </c>
      <c r="S130" s="68">
        <f t="shared" si="24"/>
      </c>
      <c r="T130" s="67">
        <f t="shared" si="68"/>
      </c>
      <c r="U130" s="69">
        <f t="shared" si="101"/>
      </c>
      <c r="V130" s="70" t="s">
        <v>37</v>
      </c>
      <c r="W130" s="71" t="s">
        <v>50</v>
      </c>
      <c r="X130" s="74">
        <v>2</v>
      </c>
      <c r="Y130" s="64">
        <v>14335</v>
      </c>
      <c r="Z130" s="64">
        <v>278</v>
      </c>
      <c r="AA130" s="64">
        <v>316</v>
      </c>
      <c r="AB130" s="64">
        <v>61</v>
      </c>
      <c r="AC130" s="64">
        <v>44</v>
      </c>
      <c r="AD130" s="17">
        <v>3</v>
      </c>
      <c r="AE130" s="17">
        <v>23</v>
      </c>
      <c r="AF130" s="7"/>
      <c r="AG130" s="7"/>
    </row>
    <row customHeight="true" ht="18.452380952380953" r="131">
      <c r="A131" s="15"/>
      <c r="B131" s="75" t="s">
        <v>42</v>
      </c>
      <c r="C131" s="75"/>
      <c r="D131" s="75">
        <f>SUM(D127:D130)</f>
      </c>
      <c r="E131" s="75">
        <f>SUM(E127:E130)</f>
      </c>
      <c r="F131" s="75">
        <f>SUM(F127:F130)</f>
      </c>
      <c r="G131" s="75">
        <f>SUM(G127:G130)</f>
      </c>
      <c r="H131" s="75">
        <f>SUM(H127:H130)</f>
      </c>
      <c r="I131" s="75">
        <f>SUM(I127:I130)</f>
      </c>
      <c r="J131" s="76">
        <f t="shared" si="2"/>
      </c>
      <c r="K131" s="77">
        <f t="shared" si="35"/>
      </c>
      <c r="L131" s="78">
        <f t="shared" si="79"/>
      </c>
      <c r="M131" s="77">
        <f t="shared" si="46"/>
      </c>
      <c r="N131" s="77">
        <f t="shared" si="171"/>
      </c>
      <c r="O131" s="78">
        <f t="shared" si="13"/>
      </c>
      <c r="P131" s="77">
        <f t="shared" si="57"/>
      </c>
      <c r="Q131" s="77">
        <f t="shared" si="90"/>
      </c>
      <c r="R131" s="78">
        <f t="shared" si="182"/>
      </c>
      <c r="S131" s="79">
        <f t="shared" si="24"/>
      </c>
      <c r="T131" s="78">
        <f t="shared" si="68"/>
      </c>
      <c r="U131" s="80">
        <f t="shared" si="101"/>
      </c>
      <c r="V131" s="80"/>
      <c r="W131" s="80"/>
      <c r="X131" s="90">
        <f>SUM(X127:X130)</f>
      </c>
      <c r="Y131" s="75">
        <f>SUM(Y127:Y130)</f>
      </c>
      <c r="Z131" s="75">
        <f>SUM(Z127:Z130)</f>
      </c>
      <c r="AA131" s="75">
        <f>SUM(AA127:AA130)</f>
      </c>
      <c r="AB131" s="75">
        <f>SUM(AB127:AB130)</f>
      </c>
      <c r="AC131" s="75">
        <f>SUM(AC127:AC130)</f>
      </c>
      <c r="AD131" s="75">
        <f>SUM(AD127:AD130)</f>
      </c>
      <c r="AE131" s="75">
        <f>SUM(AE127:AE130)</f>
      </c>
      <c r="AF131" s="7"/>
      <c r="AG131" s="7"/>
    </row>
    <row r="132">
      <c r="A132" s="15"/>
      <c r="B132" s="64" t="s">
        <v>57</v>
      </c>
      <c r="C132" s="17" t="s">
        <v>60</v>
      </c>
      <c r="D132" s="64">
        <f t="shared" ref="D132:D133" si="133">E132+F132+G132</f>
      </c>
      <c r="E132" s="17">
        <v>897.98</v>
      </c>
      <c r="F132" s="17">
        <v>1459.86</v>
      </c>
      <c r="G132" s="17">
        <v>0</v>
      </c>
      <c r="H132" s="17">
        <v>0</v>
      </c>
      <c r="I132" s="17">
        <v>0</v>
      </c>
      <c r="J132" s="65">
        <f t="shared" si="2"/>
      </c>
      <c r="K132" s="66">
        <f t="shared" si="35"/>
      </c>
      <c r="L132" s="67">
        <f t="shared" si="79"/>
      </c>
      <c r="M132" s="66">
        <f t="shared" si="46"/>
      </c>
      <c r="N132" s="66">
        <f t="shared" si="171"/>
      </c>
      <c r="O132" s="67">
        <f t="shared" si="13"/>
      </c>
      <c r="P132" s="66">
        <f t="shared" si="57"/>
      </c>
      <c r="Q132" s="66">
        <f t="shared" si="90"/>
      </c>
      <c r="R132" s="67">
        <f t="shared" si="182"/>
      </c>
      <c r="S132" s="68">
        <f t="shared" si="24"/>
      </c>
      <c r="T132" s="67">
        <f t="shared" si="68"/>
      </c>
      <c r="U132" s="69">
        <f t="shared" si="101"/>
      </c>
      <c r="V132" s="70" t="s">
        <v>37</v>
      </c>
      <c r="W132" s="71" t="s">
        <v>50</v>
      </c>
      <c r="X132" s="17">
        <v>1</v>
      </c>
      <c r="Y132" s="64">
        <v>15282</v>
      </c>
      <c r="Z132" s="64">
        <v>207</v>
      </c>
      <c r="AA132" s="64">
        <v>226</v>
      </c>
      <c r="AB132" s="64">
        <v>26</v>
      </c>
      <c r="AC132" s="17">
        <v>32</v>
      </c>
      <c r="AD132" s="17">
        <v>4</v>
      </c>
      <c r="AE132" s="17">
        <v>9</v>
      </c>
      <c r="AF132" s="7"/>
      <c r="AG132" s="7"/>
    </row>
    <row r="133">
      <c r="A133" s="15"/>
      <c r="B133" s="17" t="s">
        <v>58</v>
      </c>
      <c r="C133" s="17" t="s">
        <v>60</v>
      </c>
      <c r="D133" s="64">
        <f t="shared" si="133"/>
      </c>
      <c r="E133" s="17">
        <v>992.37</v>
      </c>
      <c r="F133" s="17">
        <v>700.69</v>
      </c>
      <c r="G133" s="17">
        <v>0</v>
      </c>
      <c r="H133" s="17">
        <v>0</v>
      </c>
      <c r="I133" s="17">
        <v>0</v>
      </c>
      <c r="J133" s="65">
        <f t="shared" si="2"/>
      </c>
      <c r="K133" s="66">
        <f t="shared" si="35"/>
      </c>
      <c r="L133" s="67">
        <f t="shared" si="79"/>
      </c>
      <c r="M133" s="66">
        <f t="shared" si="46"/>
      </c>
      <c r="N133" s="66">
        <f t="shared" si="171"/>
      </c>
      <c r="O133" s="67">
        <f t="shared" si="13"/>
      </c>
      <c r="P133" s="66">
        <f t="shared" si="57"/>
      </c>
      <c r="Q133" s="66">
        <f t="shared" si="90"/>
      </c>
      <c r="R133" s="67">
        <f t="shared" si="182"/>
      </c>
      <c r="S133" s="68">
        <f t="shared" si="24"/>
      </c>
      <c r="T133" s="67">
        <f t="shared" si="68"/>
      </c>
      <c r="U133" s="69">
        <f t="shared" si="101"/>
      </c>
      <c r="V133" s="70" t="s">
        <v>37</v>
      </c>
      <c r="W133" s="71" t="s">
        <v>50</v>
      </c>
      <c r="X133" s="73">
        <v>0</v>
      </c>
      <c r="Y133" s="64">
        <v>13136</v>
      </c>
      <c r="Z133" s="64">
        <v>238</v>
      </c>
      <c r="AA133" s="64">
        <v>247</v>
      </c>
      <c r="AB133" s="64">
        <v>42</v>
      </c>
      <c r="AC133" s="64">
        <v>35</v>
      </c>
      <c r="AD133" s="17">
        <v>0</v>
      </c>
      <c r="AE133" s="17">
        <v>5</v>
      </c>
      <c r="AF133" s="7"/>
      <c r="AG133" s="7"/>
    </row>
    <row r="134">
      <c r="A134" s="15"/>
      <c r="B134" s="75" t="s">
        <v>42</v>
      </c>
      <c r="C134" s="75"/>
      <c r="D134" s="75">
        <f>SUM(D132:D133)</f>
      </c>
      <c r="E134" s="75">
        <f>SUM(E132:E133)</f>
      </c>
      <c r="F134" s="75">
        <f>SUM(F132:F133)</f>
      </c>
      <c r="G134" s="75">
        <f>SUM(G132:G133)</f>
      </c>
      <c r="H134" s="75">
        <f>SUM(H132:H133)</f>
      </c>
      <c r="I134" s="75">
        <f>SUM(I132:I133)</f>
      </c>
      <c r="J134" s="76">
        <f t="shared" si="2"/>
      </c>
      <c r="K134" s="77">
        <f t="shared" si="35"/>
      </c>
      <c r="L134" s="78">
        <f t="shared" si="79"/>
      </c>
      <c r="M134" s="77">
        <f t="shared" si="46"/>
      </c>
      <c r="N134" s="77">
        <f t="shared" si="171"/>
      </c>
      <c r="O134" s="78">
        <f t="shared" si="13"/>
      </c>
      <c r="P134" s="77">
        <f t="shared" si="57"/>
      </c>
      <c r="Q134" s="77">
        <f t="shared" si="90"/>
      </c>
      <c r="R134" s="78">
        <f t="shared" si="182"/>
      </c>
      <c r="S134" s="79">
        <f t="shared" si="24"/>
      </c>
      <c r="T134" s="78">
        <f t="shared" si="68"/>
      </c>
      <c r="U134" s="80">
        <f t="shared" si="101"/>
      </c>
      <c r="V134" s="80"/>
      <c r="W134" s="80"/>
      <c r="X134" s="81">
        <f>SUM(X132:X133)</f>
      </c>
      <c r="Y134" s="82">
        <f>SUM(Y132:Y133)</f>
      </c>
      <c r="Z134" s="82">
        <f>SUM(Z132:Z133)</f>
      </c>
      <c r="AA134" s="82">
        <f>SUM(AA132:AA133)</f>
      </c>
      <c r="AB134" s="82">
        <f>SUM(AB132:AB133)</f>
      </c>
      <c r="AC134" s="82">
        <f>SUM(AC132:AC133)</f>
      </c>
      <c r="AD134" s="82">
        <f>SUM(AD132:AD133)</f>
      </c>
      <c r="AE134" s="82">
        <f>SUM(AE132:AE133)</f>
      </c>
      <c r="AF134" s="7"/>
      <c r="AG134" s="7"/>
    </row>
    <row r="135">
      <c r="A135" s="15"/>
      <c r="B135" s="85" t="s">
        <v>59</v>
      </c>
      <c r="C135" s="85"/>
      <c r="D135" s="55">
        <f>D134+D131+D126+D123+D117</f>
      </c>
      <c r="E135" s="55">
        <f>E134+E131+E126+E123+E117</f>
      </c>
      <c r="F135" s="55">
        <f>F134+F131+F126+F123+F117</f>
      </c>
      <c r="G135" s="55">
        <f>G134+G131+G126+G123+G117</f>
      </c>
      <c r="H135" s="55">
        <f>H134+H131+H126+H123+H117</f>
      </c>
      <c r="I135" s="55">
        <f>I134+I131+I126+I123+I117</f>
      </c>
      <c r="J135" s="55">
        <f t="shared" si="2"/>
      </c>
      <c r="K135" s="86">
        <f t="shared" si="35"/>
      </c>
      <c r="L135" s="55">
        <f t="shared" si="79"/>
      </c>
      <c r="M135" s="86">
        <f t="shared" si="46"/>
      </c>
      <c r="N135" s="86">
        <f t="shared" si="171"/>
      </c>
      <c r="O135" s="55">
        <f t="shared" si="13"/>
      </c>
      <c r="P135" s="86">
        <f t="shared" si="57"/>
      </c>
      <c r="Q135" s="86">
        <f t="shared" si="90"/>
      </c>
      <c r="R135" s="55">
        <f t="shared" si="182"/>
      </c>
      <c r="S135" s="87">
        <f t="shared" si="24"/>
      </c>
      <c r="T135" s="55">
        <f t="shared" si="68"/>
      </c>
      <c r="U135" s="88">
        <f t="shared" si="101"/>
      </c>
      <c r="V135" s="88"/>
      <c r="W135" s="88"/>
      <c r="X135" s="55">
        <f>X134+X131+X126+X123+X117</f>
      </c>
      <c r="Y135" s="55">
        <f>Y134+Y131+Y126+Y123+Y117</f>
      </c>
      <c r="Z135" s="55">
        <f>Z134+Z131+Z126+Z123+Z117</f>
      </c>
      <c r="AA135" s="55">
        <f>AA134+AA131+AA126+AA123+AA117</f>
      </c>
      <c r="AB135" s="55">
        <f>AB134+AB131+AB126+AB123+AB117</f>
      </c>
      <c r="AC135" s="55">
        <f>AC134+AC131+AC126+AC123+AC117</f>
      </c>
      <c r="AD135" s="55">
        <f>AD134+AD131+AD126+AD123+AD117</f>
      </c>
      <c r="AE135" s="55">
        <f>AE134+AE131+AE126+AE123+AE117</f>
      </c>
      <c r="AF135" s="7"/>
      <c r="AG135" s="7"/>
    </row>
    <row r="136">
      <c r="A136" s="1" t="s">
        <v>1</v>
      </c>
      <c r="B136" s="1"/>
      <c r="C136" s="1"/>
      <c r="D136" s="2" t="s">
        <v>2</v>
      </c>
      <c r="E136" s="2"/>
      <c r="F136" s="2"/>
      <c r="G136" s="2"/>
      <c r="H136" s="2"/>
      <c r="I136" s="2"/>
      <c r="J136" s="2"/>
      <c r="K136" s="3" t="s">
        <v>3</v>
      </c>
      <c r="L136" s="3"/>
      <c r="M136" s="3"/>
      <c r="N136" s="3"/>
      <c r="O136" s="3"/>
      <c r="P136" s="3"/>
      <c r="Q136" s="3"/>
      <c r="R136" s="3"/>
      <c r="S136" s="3"/>
      <c r="T136" s="3"/>
      <c r="U136" s="4"/>
      <c r="V136" s="4"/>
      <c r="W136" s="4"/>
      <c r="X136" s="5"/>
      <c r="Y136" s="5"/>
      <c r="Z136" s="5"/>
      <c r="AA136" s="5"/>
      <c r="AB136" s="5"/>
      <c r="AC136" s="5"/>
      <c r="AD136" s="5"/>
      <c r="AE136" s="6" t="s">
        <v>4</v>
      </c>
      <c r="AF136" s="7"/>
      <c r="AG136" s="7"/>
    </row>
    <row r="137">
      <c r="A137" s="1" t="s">
        <v>5</v>
      </c>
      <c r="B137" s="1" t="s">
        <v>6</v>
      </c>
      <c r="C137" s="1" t="s">
        <v>7</v>
      </c>
      <c r="D137" s="2" t="s">
        <v>8</v>
      </c>
      <c r="E137" s="8" t="s">
        <v>9</v>
      </c>
      <c r="F137" s="8" t="s">
        <v>10</v>
      </c>
      <c r="G137" s="9" t="s">
        <v>11</v>
      </c>
      <c r="H137" s="10" t="s">
        <v>12</v>
      </c>
      <c r="I137" s="2" t="s">
        <v>13</v>
      </c>
      <c r="J137" s="8" t="s">
        <v>14</v>
      </c>
      <c r="K137" s="3" t="s">
        <v>15</v>
      </c>
      <c r="L137" s="3" t="s">
        <v>16</v>
      </c>
      <c r="M137" s="11" t="s">
        <v>17</v>
      </c>
      <c r="N137" s="11" t="s">
        <v>18</v>
      </c>
      <c r="O137" s="3" t="s">
        <v>19</v>
      </c>
      <c r="P137" s="11" t="s">
        <v>20</v>
      </c>
      <c r="Q137" s="11" t="s">
        <v>21</v>
      </c>
      <c r="R137" s="3" t="s">
        <v>22</v>
      </c>
      <c r="S137" s="11" t="s">
        <v>23</v>
      </c>
      <c r="T137" s="3" t="s">
        <v>24</v>
      </c>
      <c r="U137" s="12" t="s">
        <v>25</v>
      </c>
      <c r="V137" s="12" t="s">
        <v>26</v>
      </c>
      <c r="W137" s="12" t="s">
        <v>27</v>
      </c>
      <c r="X137" s="13" t="s">
        <v>28</v>
      </c>
      <c r="Y137" s="14" t="s">
        <v>29</v>
      </c>
      <c r="Z137" s="14" t="s">
        <v>30</v>
      </c>
      <c r="AA137" s="14" t="s">
        <v>31</v>
      </c>
      <c r="AB137" s="14" t="s">
        <v>32</v>
      </c>
      <c r="AC137" s="14" t="s">
        <v>33</v>
      </c>
      <c r="AD137" s="14" t="s">
        <v>34</v>
      </c>
      <c r="AE137" s="6"/>
      <c r="AF137" s="7"/>
      <c r="AG137" s="7"/>
    </row>
    <row r="138">
      <c r="A138" s="15">
        <v>46302</v>
      </c>
      <c r="B138" s="18" t="s">
        <v>67</v>
      </c>
      <c r="C138" s="17" t="s">
        <v>60</v>
      </c>
      <c r="D138" s="64">
        <f t="shared" ref="D138:D139" si="134">E138+F138+G138</f>
      </c>
      <c r="E138" s="17">
        <v>1000</v>
      </c>
      <c r="F138" s="17">
        <v>955.89</v>
      </c>
      <c r="G138" s="17">
        <v>0</v>
      </c>
      <c r="H138" s="17">
        <v>3</v>
      </c>
      <c r="I138" s="17">
        <v>7764.320000000007</v>
      </c>
      <c r="J138" s="65">
        <f t="shared" ref="J138:J164" si="3">I138/D138</f>
      </c>
      <c r="K138" s="66">
        <f t="shared" ref="K138:K164" si="36">Z138/Y138</f>
      </c>
      <c r="L138" s="67">
        <f t="shared" ref="L138:L164" si="80">D138/AA138</f>
      </c>
      <c r="M138" s="66">
        <f t="shared" ref="M138:M164" si="47">AB138/AA138</f>
      </c>
      <c r="N138" s="66">
        <f t="shared" ref="N138:N164" si="172">AC138/AA138</f>
      </c>
      <c r="O138" s="67">
        <f t="shared" ref="O138:O164" si="14">D138/AC138</f>
      </c>
      <c r="P138" s="66">
        <f t="shared" ref="P138:P164" si="58">AD138/AC138</f>
      </c>
      <c r="Q138" s="66">
        <f t="shared" ref="Q138:Q164" si="91">H138/AD138</f>
      </c>
      <c r="R138" s="67">
        <f t="shared" ref="R138:R164" si="183">D138/H138</f>
      </c>
      <c r="S138" s="68">
        <f t="shared" ref="S138:S164" si="25">I138/H138</f>
      </c>
      <c r="T138" s="67">
        <f t="shared" ref="T138:T164" si="69">D138/X138</f>
      </c>
      <c r="U138" s="69">
        <f t="shared" ref="U138:U164" si="102">AE138*1000/D138</f>
      </c>
      <c r="V138" s="70" t="s">
        <v>37</v>
      </c>
      <c r="W138" s="71" t="s">
        <v>50</v>
      </c>
      <c r="X138" s="73">
        <v>3</v>
      </c>
      <c r="Y138" s="64">
        <v>12714</v>
      </c>
      <c r="Z138" s="64">
        <v>628</v>
      </c>
      <c r="AA138" s="64">
        <v>976</v>
      </c>
      <c r="AB138" s="64">
        <v>173</v>
      </c>
      <c r="AC138" s="17">
        <v>33</v>
      </c>
      <c r="AD138" s="17">
        <v>3</v>
      </c>
      <c r="AE138" s="17">
        <v>30</v>
      </c>
      <c r="AF138" s="32"/>
      <c r="AG138" s="7"/>
    </row>
    <row r="139">
      <c r="A139" s="15"/>
      <c r="B139" s="18" t="s">
        <v>68</v>
      </c>
      <c r="C139" s="17" t="s">
        <v>60</v>
      </c>
      <c r="D139" s="64">
        <f t="shared" si="134"/>
      </c>
      <c r="E139" s="17">
        <v>1000</v>
      </c>
      <c r="F139" s="17">
        <v>797.48</v>
      </c>
      <c r="G139" s="17">
        <v>0</v>
      </c>
      <c r="H139" s="17">
        <v>2</v>
      </c>
      <c r="I139" s="17">
        <v>4995</v>
      </c>
      <c r="J139" s="65">
        <f t="shared" si="3"/>
      </c>
      <c r="K139" s="66">
        <f t="shared" si="36"/>
      </c>
      <c r="L139" s="67">
        <f t="shared" si="80"/>
      </c>
      <c r="M139" s="66">
        <f t="shared" si="47"/>
      </c>
      <c r="N139" s="66">
        <f t="shared" si="172"/>
      </c>
      <c r="O139" s="67">
        <f t="shared" si="14"/>
      </c>
      <c r="P139" s="66">
        <f t="shared" si="58"/>
      </c>
      <c r="Q139" s="66">
        <f t="shared" si="91"/>
      </c>
      <c r="R139" s="67">
        <f t="shared" si="183"/>
      </c>
      <c r="S139" s="68">
        <f t="shared" si="25"/>
      </c>
      <c r="T139" s="67">
        <f t="shared" si="69"/>
      </c>
      <c r="U139" s="69">
        <f t="shared" si="102"/>
      </c>
      <c r="V139" s="70" t="s">
        <v>37</v>
      </c>
      <c r="W139" s="71" t="s">
        <v>50</v>
      </c>
      <c r="X139" s="73">
        <v>1</v>
      </c>
      <c r="Y139" s="64">
        <v>4664</v>
      </c>
      <c r="Z139" s="64">
        <v>391</v>
      </c>
      <c r="AA139" s="64">
        <v>450</v>
      </c>
      <c r="AB139" s="64">
        <v>92</v>
      </c>
      <c r="AC139" s="17">
        <v>24</v>
      </c>
      <c r="AD139" s="17">
        <v>2</v>
      </c>
      <c r="AE139" s="17">
        <v>20</v>
      </c>
      <c r="AF139" s="32"/>
      <c r="AG139" s="7"/>
    </row>
    <row r="140">
      <c r="A140" s="15"/>
      <c r="B140" s="75" t="s">
        <v>42</v>
      </c>
      <c r="C140" s="75"/>
      <c r="D140" s="75">
        <f>SUM(D138:D139)</f>
      </c>
      <c r="E140" s="75">
        <f>SUM(E138:E139)</f>
      </c>
      <c r="F140" s="75">
        <f>SUM(F138:F139)</f>
      </c>
      <c r="G140" s="75">
        <f>SUM(G138:G139)</f>
      </c>
      <c r="H140" s="75">
        <f>SUM(H138:H139)</f>
      </c>
      <c r="I140" s="75">
        <f>SUM(I138:I139)</f>
      </c>
      <c r="J140" s="76">
        <f t="shared" si="3"/>
      </c>
      <c r="K140" s="77">
        <f t="shared" si="36"/>
      </c>
      <c r="L140" s="78">
        <f t="shared" si="80"/>
      </c>
      <c r="M140" s="77">
        <f t="shared" si="47"/>
      </c>
      <c r="N140" s="77">
        <f t="shared" si="172"/>
      </c>
      <c r="O140" s="78">
        <f t="shared" si="14"/>
      </c>
      <c r="P140" s="77">
        <f t="shared" si="58"/>
      </c>
      <c r="Q140" s="77">
        <f t="shared" si="91"/>
      </c>
      <c r="R140" s="78">
        <f t="shared" si="183"/>
      </c>
      <c r="S140" s="79">
        <f t="shared" si="25"/>
      </c>
      <c r="T140" s="78">
        <f t="shared" si="69"/>
      </c>
      <c r="U140" s="80">
        <f t="shared" si="102"/>
      </c>
      <c r="V140" s="80"/>
      <c r="W140" s="80"/>
      <c r="X140" s="81">
        <f>SUM(X138:X139)</f>
      </c>
      <c r="Y140" s="82">
        <f>SUM(Y138:Y139)</f>
      </c>
      <c r="Z140" s="82">
        <f>SUM(Z138:Z139)</f>
      </c>
      <c r="AA140" s="82">
        <f>SUM(AA138:AA139)</f>
      </c>
      <c r="AB140" s="82">
        <f>SUM(AB138:AB139)</f>
      </c>
      <c r="AC140" s="82">
        <f>SUM(AC138:AC139)</f>
      </c>
      <c r="AD140" s="82">
        <f>SUM(AD138:AD139)</f>
      </c>
      <c r="AE140" s="82">
        <f>SUM(AE138:AE139)</f>
      </c>
      <c r="AF140" s="32"/>
      <c r="AG140" s="7"/>
    </row>
    <row r="141">
      <c r="A141" s="15"/>
      <c r="B141" s="18" t="s">
        <v>64</v>
      </c>
      <c r="C141" s="17" t="s">
        <v>61</v>
      </c>
      <c r="D141" s="64">
        <f t="shared" ref="D141:D145" si="135">E141+F141+G141</f>
      </c>
      <c r="E141" s="17">
        <v>2202.52</v>
      </c>
      <c r="F141" s="17">
        <v>1029.77</v>
      </c>
      <c r="G141" s="17">
        <v>0</v>
      </c>
      <c r="H141" s="17">
        <v>4</v>
      </c>
      <c r="I141" s="17">
        <v>4249.5599999999995</v>
      </c>
      <c r="J141" s="65">
        <f t="shared" si="3"/>
      </c>
      <c r="K141" s="66">
        <f t="shared" si="36"/>
      </c>
      <c r="L141" s="67">
        <f t="shared" si="80"/>
      </c>
      <c r="M141" s="66">
        <f t="shared" si="47"/>
      </c>
      <c r="N141" s="66">
        <f t="shared" si="172"/>
      </c>
      <c r="O141" s="67">
        <f t="shared" si="14"/>
      </c>
      <c r="P141" s="66">
        <f t="shared" si="58"/>
      </c>
      <c r="Q141" s="66">
        <f t="shared" si="91"/>
      </c>
      <c r="R141" s="67">
        <f t="shared" si="183"/>
      </c>
      <c r="S141" s="68">
        <f t="shared" si="25"/>
      </c>
      <c r="T141" s="67">
        <f t="shared" si="69"/>
      </c>
      <c r="U141" s="69">
        <f t="shared" si="102"/>
      </c>
      <c r="V141" s="70" t="s">
        <v>37</v>
      </c>
      <c r="W141" s="71" t="s">
        <v>38</v>
      </c>
      <c r="X141" s="17">
        <v>4</v>
      </c>
      <c r="Y141" s="64">
        <v>13646</v>
      </c>
      <c r="Z141" s="64">
        <v>1167</v>
      </c>
      <c r="AA141" s="64">
        <v>1557</v>
      </c>
      <c r="AB141" s="64">
        <v>224</v>
      </c>
      <c r="AC141" s="17">
        <v>42</v>
      </c>
      <c r="AD141" s="17">
        <v>4</v>
      </c>
      <c r="AE141" s="17">
        <v>31</v>
      </c>
      <c r="AF141" s="32"/>
      <c r="AG141" s="7"/>
    </row>
    <row r="142">
      <c r="A142" s="15"/>
      <c r="B142" s="18" t="s">
        <v>65</v>
      </c>
      <c r="C142" s="17" t="s">
        <v>61</v>
      </c>
      <c r="D142" s="64">
        <f t="shared" si="135"/>
      </c>
      <c r="E142" s="17">
        <v>1500</v>
      </c>
      <c r="F142" s="17">
        <v>1008.65</v>
      </c>
      <c r="G142" s="17">
        <v>0</v>
      </c>
      <c r="H142" s="17">
        <v>4</v>
      </c>
      <c r="I142" s="17">
        <v>8773.980000000001</v>
      </c>
      <c r="J142" s="65">
        <f t="shared" si="3"/>
      </c>
      <c r="K142" s="66">
        <f t="shared" si="36"/>
      </c>
      <c r="L142" s="67">
        <f t="shared" si="80"/>
      </c>
      <c r="M142" s="66">
        <f t="shared" si="47"/>
      </c>
      <c r="N142" s="66">
        <f t="shared" si="172"/>
      </c>
      <c r="O142" s="67">
        <f t="shared" si="14"/>
      </c>
      <c r="P142" s="66">
        <f t="shared" si="58"/>
      </c>
      <c r="Q142" s="66">
        <f t="shared" si="91"/>
      </c>
      <c r="R142" s="67">
        <f t="shared" si="183"/>
      </c>
      <c r="S142" s="68">
        <f t="shared" si="25"/>
      </c>
      <c r="T142" s="67">
        <f t="shared" si="69"/>
      </c>
      <c r="U142" s="69">
        <f t="shared" si="102"/>
      </c>
      <c r="V142" s="70" t="s">
        <v>37</v>
      </c>
      <c r="W142" s="71" t="s">
        <v>62</v>
      </c>
      <c r="X142" s="73">
        <v>4</v>
      </c>
      <c r="Y142" s="64">
        <v>13246</v>
      </c>
      <c r="Z142" s="64">
        <v>264</v>
      </c>
      <c r="AA142" s="64">
        <v>276</v>
      </c>
      <c r="AB142" s="64">
        <v>67</v>
      </c>
      <c r="AC142" s="64">
        <v>49</v>
      </c>
      <c r="AD142" s="17">
        <v>5</v>
      </c>
      <c r="AE142" s="17">
        <v>14</v>
      </c>
      <c r="AF142" s="32"/>
      <c r="AG142" s="7"/>
    </row>
    <row r="143">
      <c r="A143" s="15"/>
      <c r="B143" s="18" t="s">
        <v>35</v>
      </c>
      <c r="C143" s="17" t="s">
        <v>61</v>
      </c>
      <c r="D143" s="64">
        <f t="shared" si="135"/>
      </c>
      <c r="E143" s="17">
        <v>1128.3500000000001</v>
      </c>
      <c r="F143" s="17">
        <v>461.82</v>
      </c>
      <c r="G143" s="17">
        <v>0</v>
      </c>
      <c r="H143" s="17">
        <v>1</v>
      </c>
      <c r="I143" s="17">
        <v>737.6399999999994</v>
      </c>
      <c r="J143" s="65">
        <f t="shared" si="3"/>
      </c>
      <c r="K143" s="66">
        <f t="shared" si="36"/>
      </c>
      <c r="L143" s="67">
        <f t="shared" si="80"/>
      </c>
      <c r="M143" s="66">
        <f t="shared" si="47"/>
      </c>
      <c r="N143" s="66">
        <f t="shared" si="172"/>
      </c>
      <c r="O143" s="67">
        <f t="shared" si="14"/>
      </c>
      <c r="P143" s="66">
        <f t="shared" si="58"/>
      </c>
      <c r="Q143" s="66">
        <f t="shared" si="91"/>
      </c>
      <c r="R143" s="67">
        <f t="shared" si="183"/>
      </c>
      <c r="S143" s="68">
        <f t="shared" si="25"/>
      </c>
      <c r="T143" s="67">
        <f t="shared" si="69"/>
      </c>
      <c r="U143" s="69">
        <f t="shared" si="102"/>
      </c>
      <c r="V143" s="70" t="s">
        <v>37</v>
      </c>
      <c r="W143" s="71" t="s">
        <v>62</v>
      </c>
      <c r="X143" s="73">
        <v>1</v>
      </c>
      <c r="Y143" s="64">
        <v>6168</v>
      </c>
      <c r="Z143" s="64">
        <v>135</v>
      </c>
      <c r="AA143" s="64">
        <v>139</v>
      </c>
      <c r="AB143" s="64">
        <v>27</v>
      </c>
      <c r="AC143" s="64">
        <v>24</v>
      </c>
      <c r="AD143" s="17">
        <v>1</v>
      </c>
      <c r="AE143" s="17">
        <v>7</v>
      </c>
      <c r="AF143" s="32"/>
      <c r="AG143" s="7"/>
    </row>
    <row r="144">
      <c r="A144" s="15"/>
      <c r="B144" s="18" t="s">
        <v>39</v>
      </c>
      <c r="C144" s="17" t="s">
        <v>61</v>
      </c>
      <c r="D144" s="64">
        <f t="shared" si="135"/>
      </c>
      <c r="E144" s="17">
        <v>1871.65</v>
      </c>
      <c r="F144" s="17">
        <v>1043.87</v>
      </c>
      <c r="G144" s="17">
        <v>0</v>
      </c>
      <c r="H144" s="17">
        <v>1</v>
      </c>
      <c r="I144" s="17">
        <v>2602.800000000001</v>
      </c>
      <c r="J144" s="65">
        <f t="shared" si="3"/>
      </c>
      <c r="K144" s="66">
        <f t="shared" si="36"/>
      </c>
      <c r="L144" s="67">
        <f t="shared" si="80"/>
      </c>
      <c r="M144" s="66">
        <f t="shared" si="47"/>
      </c>
      <c r="N144" s="66">
        <f t="shared" si="172"/>
      </c>
      <c r="O144" s="67">
        <f t="shared" si="14"/>
      </c>
      <c r="P144" s="66">
        <f t="shared" si="58"/>
      </c>
      <c r="Q144" s="66">
        <f t="shared" si="91"/>
      </c>
      <c r="R144" s="67">
        <f t="shared" si="183"/>
      </c>
      <c r="S144" s="68">
        <f t="shared" si="25"/>
      </c>
      <c r="T144" s="67">
        <f t="shared" si="69"/>
      </c>
      <c r="U144" s="69">
        <f t="shared" si="102"/>
      </c>
      <c r="V144" s="70" t="s">
        <v>37</v>
      </c>
      <c r="W144" s="71" t="s">
        <v>62</v>
      </c>
      <c r="X144" s="74">
        <v>1</v>
      </c>
      <c r="Y144" s="64">
        <v>13723</v>
      </c>
      <c r="Z144" s="64">
        <v>675</v>
      </c>
      <c r="AA144" s="64">
        <v>866</v>
      </c>
      <c r="AB144" s="64">
        <v>198</v>
      </c>
      <c r="AC144" s="64">
        <v>61</v>
      </c>
      <c r="AD144" s="17">
        <v>1</v>
      </c>
      <c r="AE144" s="17">
        <v>35</v>
      </c>
      <c r="AF144" s="32"/>
      <c r="AG144" s="7"/>
    </row>
    <row r="145">
      <c r="A145" s="15"/>
      <c r="B145" s="18" t="s">
        <v>40</v>
      </c>
      <c r="C145" s="17" t="s">
        <v>61</v>
      </c>
      <c r="D145" s="64">
        <f t="shared" si="135"/>
      </c>
      <c r="E145" s="17">
        <v>1995.31</v>
      </c>
      <c r="F145" s="17">
        <v>979.53</v>
      </c>
      <c r="G145" s="17">
        <v>0</v>
      </c>
      <c r="H145" s="17">
        <v>2</v>
      </c>
      <c r="I145" s="17">
        <v>13396.920000000004</v>
      </c>
      <c r="J145" s="65">
        <f t="shared" si="3"/>
      </c>
      <c r="K145" s="66">
        <f t="shared" si="36"/>
      </c>
      <c r="L145" s="67">
        <f t="shared" si="80"/>
      </c>
      <c r="M145" s="66">
        <f t="shared" si="47"/>
      </c>
      <c r="N145" s="66">
        <f t="shared" si="172"/>
      </c>
      <c r="O145" s="67">
        <f t="shared" si="14"/>
      </c>
      <c r="P145" s="66">
        <f t="shared" si="58"/>
      </c>
      <c r="Q145" s="66">
        <f t="shared" si="91"/>
      </c>
      <c r="R145" s="67">
        <f t="shared" si="183"/>
      </c>
      <c r="S145" s="68">
        <f t="shared" si="25"/>
      </c>
      <c r="T145" s="67">
        <f t="shared" si="69"/>
      </c>
      <c r="U145" s="69">
        <f t="shared" si="102"/>
      </c>
      <c r="V145" s="70" t="s">
        <v>37</v>
      </c>
      <c r="W145" s="71" t="s">
        <v>62</v>
      </c>
      <c r="X145" s="73">
        <v>1</v>
      </c>
      <c r="Y145" s="64">
        <v>16526</v>
      </c>
      <c r="Z145" s="64">
        <v>262</v>
      </c>
      <c r="AA145" s="64">
        <v>274</v>
      </c>
      <c r="AB145" s="64">
        <v>58</v>
      </c>
      <c r="AC145" s="64">
        <v>47</v>
      </c>
      <c r="AD145" s="17">
        <v>2</v>
      </c>
      <c r="AE145" s="17">
        <v>22</v>
      </c>
      <c r="AF145" s="32"/>
      <c r="AG145" s="7"/>
    </row>
    <row r="146">
      <c r="A146" s="15"/>
      <c r="B146" s="75" t="s">
        <v>42</v>
      </c>
      <c r="C146" s="75"/>
      <c r="D146" s="75">
        <f>SUM(D141:D145)</f>
      </c>
      <c r="E146" s="75">
        <f>SUM(E141:E145)</f>
      </c>
      <c r="F146" s="75">
        <f>SUM(F141:F145)</f>
      </c>
      <c r="G146" s="75">
        <f>SUM(G141:G145)</f>
      </c>
      <c r="H146" s="75">
        <f>SUM(H141:H145)</f>
      </c>
      <c r="I146" s="75">
        <f>SUM(I141:I145)</f>
      </c>
      <c r="J146" s="76">
        <f t="shared" si="3"/>
      </c>
      <c r="K146" s="77">
        <f t="shared" si="36"/>
      </c>
      <c r="L146" s="78">
        <f t="shared" si="80"/>
      </c>
      <c r="M146" s="77">
        <f t="shared" si="47"/>
      </c>
      <c r="N146" s="77">
        <f t="shared" si="172"/>
      </c>
      <c r="O146" s="78">
        <f t="shared" si="14"/>
      </c>
      <c r="P146" s="77">
        <f t="shared" si="58"/>
      </c>
      <c r="Q146" s="77">
        <f t="shared" si="91"/>
      </c>
      <c r="R146" s="78">
        <f t="shared" si="183"/>
      </c>
      <c r="S146" s="79">
        <f t="shared" si="25"/>
      </c>
      <c r="T146" s="78">
        <f t="shared" si="69"/>
      </c>
      <c r="U146" s="80">
        <f t="shared" si="102"/>
      </c>
      <c r="V146" s="80"/>
      <c r="W146" s="80"/>
      <c r="X146" s="90">
        <f>SUM(X141:X145)</f>
      </c>
      <c r="Y146" s="75">
        <f>SUM(Y141:Y145)</f>
      </c>
      <c r="Z146" s="75">
        <f>SUM(Z141:Z145)</f>
      </c>
      <c r="AA146" s="75">
        <f>SUM(AA141:AA145)</f>
      </c>
      <c r="AB146" s="75">
        <f>SUM(AB141:AB145)</f>
      </c>
      <c r="AC146" s="75">
        <f>SUM(AC141:AC145)</f>
      </c>
      <c r="AD146" s="75">
        <f>SUM(AD141:AD145)</f>
      </c>
      <c r="AE146" s="75">
        <f>SUM(AE141:AE145)</f>
      </c>
      <c r="AF146" s="7"/>
      <c r="AG146" s="7"/>
    </row>
    <row r="147">
      <c r="A147" s="15"/>
      <c r="B147" s="18" t="s">
        <v>41</v>
      </c>
      <c r="C147" s="17" t="s">
        <v>36</v>
      </c>
      <c r="D147" s="64">
        <f t="shared" ref="D147:D151" si="136">E147+F147+G147</f>
      </c>
      <c r="E147" s="64">
        <v>1716.8000000000002</v>
      </c>
      <c r="F147" s="64">
        <v>1020.47</v>
      </c>
      <c r="G147" s="17">
        <v>0</v>
      </c>
      <c r="H147" s="17">
        <v>0</v>
      </c>
      <c r="I147" s="17">
        <v>0</v>
      </c>
      <c r="J147" s="65">
        <f t="shared" si="3"/>
      </c>
      <c r="K147" s="66">
        <f t="shared" si="36"/>
      </c>
      <c r="L147" s="67">
        <f t="shared" si="80"/>
      </c>
      <c r="M147" s="66">
        <f t="shared" si="47"/>
      </c>
      <c r="N147" s="66">
        <f t="shared" si="172"/>
      </c>
      <c r="O147" s="67">
        <f t="shared" si="14"/>
      </c>
      <c r="P147" s="66">
        <f t="shared" si="58"/>
      </c>
      <c r="Q147" s="66">
        <f t="shared" si="91"/>
      </c>
      <c r="R147" s="67">
        <f t="shared" si="183"/>
      </c>
      <c r="S147" s="68">
        <f t="shared" si="25"/>
      </c>
      <c r="T147" s="67">
        <f t="shared" si="69"/>
      </c>
      <c r="U147" s="69">
        <f t="shared" si="102"/>
      </c>
      <c r="V147" s="70" t="s">
        <v>37</v>
      </c>
      <c r="W147" s="71" t="s">
        <v>62</v>
      </c>
      <c r="X147" s="91">
        <v>0</v>
      </c>
      <c r="Y147" s="17">
        <v>14394</v>
      </c>
      <c r="Z147" s="17">
        <v>295</v>
      </c>
      <c r="AA147" s="64">
        <v>298</v>
      </c>
      <c r="AB147" s="17">
        <v>40</v>
      </c>
      <c r="AC147" s="17">
        <v>41</v>
      </c>
      <c r="AD147" s="17">
        <v>0</v>
      </c>
      <c r="AE147" s="17">
        <v>8</v>
      </c>
      <c r="AF147" s="32"/>
      <c r="AG147" s="7"/>
    </row>
    <row r="148">
      <c r="A148" s="15"/>
      <c r="B148" s="18" t="s">
        <v>41</v>
      </c>
      <c r="C148" s="17" t="s">
        <v>36</v>
      </c>
      <c r="D148" s="64">
        <f t="shared" si="136"/>
      </c>
      <c r="E148" s="17">
        <v>490.46000000000004</v>
      </c>
      <c r="F148" s="17">
        <v>771.8</v>
      </c>
      <c r="G148" s="17">
        <v>0</v>
      </c>
      <c r="H148" s="17">
        <v>2</v>
      </c>
      <c r="I148" s="17">
        <v>2926.6800000000003</v>
      </c>
      <c r="J148" s="65">
        <f t="shared" si="3"/>
      </c>
      <c r="K148" s="66">
        <f t="shared" si="36"/>
      </c>
      <c r="L148" s="67">
        <f t="shared" si="80"/>
      </c>
      <c r="M148" s="66">
        <f t="shared" si="47"/>
      </c>
      <c r="N148" s="66">
        <f t="shared" si="172"/>
      </c>
      <c r="O148" s="67">
        <f t="shared" si="14"/>
      </c>
      <c r="P148" s="66">
        <f t="shared" si="58"/>
      </c>
      <c r="Q148" s="66">
        <f t="shared" si="91"/>
      </c>
      <c r="R148" s="67">
        <f t="shared" si="183"/>
      </c>
      <c r="S148" s="68">
        <f t="shared" si="25"/>
      </c>
      <c r="T148" s="67">
        <f t="shared" si="69"/>
      </c>
      <c r="U148" s="69">
        <f t="shared" si="102"/>
      </c>
      <c r="V148" s="70" t="s">
        <v>37</v>
      </c>
      <c r="W148" s="71" t="s">
        <v>62</v>
      </c>
      <c r="X148" s="91">
        <v>1</v>
      </c>
      <c r="Y148" s="64">
        <v>4670</v>
      </c>
      <c r="Z148" s="64">
        <v>109</v>
      </c>
      <c r="AA148" s="64">
        <v>125</v>
      </c>
      <c r="AB148" s="64">
        <v>8</v>
      </c>
      <c r="AC148" s="64">
        <v>5</v>
      </c>
      <c r="AD148" s="17">
        <v>2</v>
      </c>
      <c r="AE148" s="17">
        <v>3</v>
      </c>
      <c r="AF148" s="32"/>
      <c r="AG148" s="7"/>
    </row>
    <row r="149">
      <c r="A149" s="15"/>
      <c r="B149" s="18" t="s">
        <v>45</v>
      </c>
      <c r="C149" s="17" t="s">
        <v>36</v>
      </c>
      <c r="D149" s="64">
        <f t="shared" si="136"/>
      </c>
      <c r="E149" s="17">
        <v>1969.4</v>
      </c>
      <c r="F149" s="17">
        <v>505.2</v>
      </c>
      <c r="G149" s="17">
        <v>0</v>
      </c>
      <c r="H149" s="17">
        <v>2</v>
      </c>
      <c r="I149" s="64">
        <v>15257.880000000001</v>
      </c>
      <c r="J149" s="65">
        <f t="shared" si="3"/>
      </c>
      <c r="K149" s="66">
        <f t="shared" si="36"/>
      </c>
      <c r="L149" s="67">
        <f t="shared" si="80"/>
      </c>
      <c r="M149" s="66">
        <f t="shared" si="47"/>
      </c>
      <c r="N149" s="66">
        <f t="shared" si="172"/>
      </c>
      <c r="O149" s="67">
        <f t="shared" si="14"/>
      </c>
      <c r="P149" s="66">
        <f t="shared" si="58"/>
      </c>
      <c r="Q149" s="66">
        <f t="shared" si="91"/>
      </c>
      <c r="R149" s="67">
        <f t="shared" si="183"/>
      </c>
      <c r="S149" s="68">
        <f t="shared" si="25"/>
      </c>
      <c r="T149" s="67">
        <f t="shared" si="69"/>
      </c>
      <c r="U149" s="69">
        <f t="shared" si="102"/>
      </c>
      <c r="V149" s="70" t="s">
        <v>37</v>
      </c>
      <c r="W149" s="71" t="s">
        <v>62</v>
      </c>
      <c r="X149" s="91">
        <v>1</v>
      </c>
      <c r="Y149" s="17">
        <v>16620</v>
      </c>
      <c r="Z149" s="17">
        <v>609</v>
      </c>
      <c r="AA149" s="17">
        <v>723</v>
      </c>
      <c r="AB149" s="17">
        <v>72</v>
      </c>
      <c r="AC149" s="17">
        <v>60</v>
      </c>
      <c r="AD149" s="17">
        <v>3</v>
      </c>
      <c r="AE149" s="17">
        <v>22</v>
      </c>
      <c r="AF149" s="32"/>
      <c r="AG149" s="7"/>
    </row>
    <row r="150">
      <c r="A150" s="15"/>
      <c r="B150" s="18" t="s">
        <v>46</v>
      </c>
      <c r="C150" s="17" t="s">
        <v>36</v>
      </c>
      <c r="D150" s="64">
        <f t="shared" si="136"/>
      </c>
      <c r="E150" s="64">
        <v>2994.5</v>
      </c>
      <c r="F150" s="17">
        <v>1418.33</v>
      </c>
      <c r="G150" s="17">
        <v>0</v>
      </c>
      <c r="H150" s="17">
        <v>4</v>
      </c>
      <c r="I150" s="17">
        <v>12302.759999999995</v>
      </c>
      <c r="J150" s="65">
        <f t="shared" si="3"/>
      </c>
      <c r="K150" s="66">
        <f t="shared" si="36"/>
      </c>
      <c r="L150" s="67">
        <f t="shared" si="80"/>
      </c>
      <c r="M150" s="66">
        <f t="shared" si="47"/>
      </c>
      <c r="N150" s="66">
        <f t="shared" si="172"/>
      </c>
      <c r="O150" s="67">
        <f t="shared" si="14"/>
      </c>
      <c r="P150" s="66">
        <f t="shared" si="58"/>
      </c>
      <c r="Q150" s="66">
        <f t="shared" si="91"/>
      </c>
      <c r="R150" s="67">
        <f t="shared" si="183"/>
      </c>
      <c r="S150" s="68">
        <f t="shared" si="25"/>
      </c>
      <c r="T150" s="67">
        <f t="shared" si="69"/>
      </c>
      <c r="U150" s="69">
        <f t="shared" si="102"/>
      </c>
      <c r="V150" s="70" t="s">
        <v>37</v>
      </c>
      <c r="W150" s="71" t="s">
        <v>62</v>
      </c>
      <c r="X150" s="91">
        <v>0</v>
      </c>
      <c r="Y150" s="17">
        <v>20699</v>
      </c>
      <c r="Z150" s="17">
        <v>673</v>
      </c>
      <c r="AA150" s="17">
        <v>727</v>
      </c>
      <c r="AB150" s="17">
        <v>141</v>
      </c>
      <c r="AC150" s="17">
        <v>87</v>
      </c>
      <c r="AD150" s="17">
        <v>6</v>
      </c>
      <c r="AE150" s="17">
        <v>34</v>
      </c>
      <c r="AF150" s="32"/>
      <c r="AG150" s="7"/>
    </row>
    <row r="151">
      <c r="A151" s="15"/>
      <c r="B151" s="18" t="s">
        <v>47</v>
      </c>
      <c r="C151" s="17" t="s">
        <v>36</v>
      </c>
      <c r="D151" s="64">
        <f t="shared" si="136"/>
      </c>
      <c r="E151" s="64">
        <v>2998.96</v>
      </c>
      <c r="F151" s="17">
        <v>1026.67</v>
      </c>
      <c r="G151" s="17">
        <v>0</v>
      </c>
      <c r="H151" s="17">
        <v>1</v>
      </c>
      <c r="I151" s="17">
        <v>2161.800000000003</v>
      </c>
      <c r="J151" s="65">
        <f t="shared" si="3"/>
      </c>
      <c r="K151" s="66">
        <f t="shared" si="36"/>
      </c>
      <c r="L151" s="67">
        <f t="shared" si="80"/>
      </c>
      <c r="M151" s="66">
        <f t="shared" si="47"/>
      </c>
      <c r="N151" s="66">
        <f t="shared" si="172"/>
      </c>
      <c r="O151" s="67">
        <f t="shared" si="14"/>
      </c>
      <c r="P151" s="66">
        <f t="shared" si="58"/>
      </c>
      <c r="Q151" s="66">
        <f t="shared" si="91"/>
      </c>
      <c r="R151" s="67">
        <f t="shared" si="183"/>
      </c>
      <c r="S151" s="68">
        <f t="shared" si="25"/>
      </c>
      <c r="T151" s="67">
        <f t="shared" si="69"/>
      </c>
      <c r="U151" s="69">
        <f t="shared" si="102"/>
      </c>
      <c r="V151" s="70" t="s">
        <v>37</v>
      </c>
      <c r="W151" s="71" t="s">
        <v>63</v>
      </c>
      <c r="X151" s="91">
        <v>1</v>
      </c>
      <c r="Y151" s="17">
        <v>14768</v>
      </c>
      <c r="Z151" s="17">
        <v>477</v>
      </c>
      <c r="AA151" s="17">
        <v>508</v>
      </c>
      <c r="AB151" s="17">
        <v>100</v>
      </c>
      <c r="AC151" s="17">
        <v>56</v>
      </c>
      <c r="AD151" s="17">
        <v>1</v>
      </c>
      <c r="AE151" s="17">
        <v>31</v>
      </c>
      <c r="AF151" s="32"/>
      <c r="AG151" s="7"/>
    </row>
    <row r="152">
      <c r="A152" s="15"/>
      <c r="B152" s="75" t="s">
        <v>42</v>
      </c>
      <c r="C152" s="75"/>
      <c r="D152" s="75">
        <f>SUM(D147:D151)</f>
      </c>
      <c r="E152" s="75">
        <f>SUM(E147:E151)</f>
      </c>
      <c r="F152" s="75">
        <f>SUM(F147:F151)</f>
      </c>
      <c r="G152" s="75">
        <f>SUM(G147:G151)</f>
      </c>
      <c r="H152" s="75">
        <f>SUM(H147:H151)</f>
      </c>
      <c r="I152" s="75">
        <f>SUM(I147:I151)</f>
      </c>
      <c r="J152" s="76">
        <f t="shared" si="3"/>
      </c>
      <c r="K152" s="77">
        <f t="shared" si="36"/>
      </c>
      <c r="L152" s="78">
        <f t="shared" si="80"/>
      </c>
      <c r="M152" s="77">
        <f t="shared" si="47"/>
      </c>
      <c r="N152" s="77">
        <f t="shared" si="172"/>
      </c>
      <c r="O152" s="78">
        <f t="shared" si="14"/>
      </c>
      <c r="P152" s="77">
        <f t="shared" si="58"/>
      </c>
      <c r="Q152" s="77">
        <f t="shared" si="91"/>
      </c>
      <c r="R152" s="78">
        <f t="shared" si="183"/>
      </c>
      <c r="S152" s="79">
        <f t="shared" si="25"/>
      </c>
      <c r="T152" s="78">
        <f t="shared" si="69"/>
      </c>
      <c r="U152" s="80">
        <f t="shared" si="102"/>
      </c>
      <c r="V152" s="80"/>
      <c r="W152" s="80"/>
      <c r="X152" s="90">
        <f>SUM(X147:X151)</f>
      </c>
      <c r="Y152" s="82">
        <f>SUM(Y147:Y151)</f>
      </c>
      <c r="Z152" s="82">
        <f>SUM(Z147:Z151)</f>
      </c>
      <c r="AA152" s="82">
        <f>SUM(AA147:AA151)</f>
      </c>
      <c r="AB152" s="82">
        <f>SUM(AB147:AB151)</f>
      </c>
      <c r="AC152" s="82">
        <f>SUM(AC147:AC151)</f>
      </c>
      <c r="AD152" s="82">
        <f>SUM(AD147:AD151)</f>
      </c>
      <c r="AE152" s="82">
        <f>SUM(AE147:AE151)</f>
      </c>
      <c r="AF152" s="7"/>
      <c r="AG152" s="7"/>
    </row>
    <row r="153">
      <c r="A153" s="15"/>
      <c r="B153" s="63" t="s">
        <v>48</v>
      </c>
      <c r="C153" s="17" t="s">
        <v>66</v>
      </c>
      <c r="D153" s="64">
        <f t="shared" ref="D153:D154" si="137">E153+F153+G153</f>
      </c>
      <c r="E153" s="17">
        <v>2311.83</v>
      </c>
      <c r="F153" s="17">
        <v>949.3</v>
      </c>
      <c r="G153" s="17">
        <v>0</v>
      </c>
      <c r="H153" s="17">
        <v>0</v>
      </c>
      <c r="I153" s="17">
        <v>0</v>
      </c>
      <c r="J153" s="65">
        <f t="shared" si="3"/>
      </c>
      <c r="K153" s="66">
        <f t="shared" si="36"/>
      </c>
      <c r="L153" s="67">
        <f t="shared" si="80"/>
      </c>
      <c r="M153" s="66">
        <f t="shared" si="47"/>
      </c>
      <c r="N153" s="66">
        <f t="shared" si="172"/>
      </c>
      <c r="O153" s="67">
        <f t="shared" si="14"/>
      </c>
      <c r="P153" s="66">
        <f t="shared" si="58"/>
      </c>
      <c r="Q153" s="66">
        <f t="shared" si="91"/>
      </c>
      <c r="R153" s="67">
        <f t="shared" si="183"/>
      </c>
      <c r="S153" s="68">
        <f t="shared" si="25"/>
      </c>
      <c r="T153" s="67">
        <f t="shared" si="69"/>
      </c>
      <c r="U153" s="69">
        <f t="shared" si="102"/>
      </c>
      <c r="V153" s="70" t="s">
        <v>37</v>
      </c>
      <c r="W153" s="71" t="s">
        <v>50</v>
      </c>
      <c r="X153" s="92">
        <v>0</v>
      </c>
      <c r="Y153" s="17">
        <v>15251</v>
      </c>
      <c r="Z153" s="17">
        <v>258</v>
      </c>
      <c r="AA153" s="64">
        <v>274</v>
      </c>
      <c r="AB153" s="17">
        <v>71</v>
      </c>
      <c r="AC153" s="17">
        <v>46</v>
      </c>
      <c r="AD153" s="17">
        <v>3</v>
      </c>
      <c r="AE153" s="17">
        <v>10</v>
      </c>
      <c r="AF153" s="32"/>
      <c r="AG153" s="7"/>
    </row>
    <row r="154">
      <c r="A154" s="15"/>
      <c r="B154" s="72" t="s">
        <v>51</v>
      </c>
      <c r="C154" s="17" t="s">
        <v>66</v>
      </c>
      <c r="D154" s="64">
        <f t="shared" si="137"/>
      </c>
      <c r="E154" s="64">
        <v>2026.9</v>
      </c>
      <c r="F154" s="17">
        <v>1001.51</v>
      </c>
      <c r="G154" s="17">
        <v>0</v>
      </c>
      <c r="H154" s="17">
        <v>1</v>
      </c>
      <c r="I154" s="17">
        <v>4433.400000000009</v>
      </c>
      <c r="J154" s="65">
        <f t="shared" si="3"/>
      </c>
      <c r="K154" s="66">
        <f t="shared" si="36"/>
      </c>
      <c r="L154" s="67">
        <f t="shared" si="80"/>
      </c>
      <c r="M154" s="66">
        <f t="shared" si="47"/>
      </c>
      <c r="N154" s="66">
        <f t="shared" si="172"/>
      </c>
      <c r="O154" s="67">
        <f t="shared" si="14"/>
      </c>
      <c r="P154" s="66">
        <f t="shared" si="58"/>
      </c>
      <c r="Q154" s="66">
        <f t="shared" si="91"/>
      </c>
      <c r="R154" s="67">
        <f t="shared" si="183"/>
      </c>
      <c r="S154" s="68">
        <f t="shared" si="25"/>
      </c>
      <c r="T154" s="67">
        <f t="shared" si="69"/>
      </c>
      <c r="U154" s="69">
        <f t="shared" si="102"/>
      </c>
      <c r="V154" s="70" t="s">
        <v>37</v>
      </c>
      <c r="W154" s="71" t="s">
        <v>50</v>
      </c>
      <c r="X154" s="91">
        <v>1</v>
      </c>
      <c r="Y154" s="64">
        <v>15522</v>
      </c>
      <c r="Z154" s="64">
        <v>309</v>
      </c>
      <c r="AA154" s="64">
        <v>325</v>
      </c>
      <c r="AB154" s="64">
        <v>52</v>
      </c>
      <c r="AC154" s="64">
        <v>53</v>
      </c>
      <c r="AD154" s="17">
        <v>2</v>
      </c>
      <c r="AE154" s="17">
        <v>15</v>
      </c>
      <c r="AF154" s="7"/>
      <c r="AG154" s="7"/>
    </row>
    <row r="155">
      <c r="A155" s="15"/>
      <c r="B155" s="75" t="s">
        <v>42</v>
      </c>
      <c r="C155" s="75"/>
      <c r="D155" s="75">
        <f>SUM(D153:D154)</f>
      </c>
      <c r="E155" s="75">
        <f>SUM(E153:E154)</f>
      </c>
      <c r="F155" s="75">
        <f>SUM(F153:F154)</f>
      </c>
      <c r="G155" s="75">
        <f>SUM(G153:G154)</f>
      </c>
      <c r="H155" s="75">
        <f>SUM(H153:H154)</f>
      </c>
      <c r="I155" s="75">
        <f>SUM(I153:I154)</f>
      </c>
      <c r="J155" s="76">
        <f t="shared" si="3"/>
      </c>
      <c r="K155" s="77">
        <f t="shared" si="36"/>
      </c>
      <c r="L155" s="78">
        <f t="shared" si="80"/>
      </c>
      <c r="M155" s="77">
        <f t="shared" si="47"/>
      </c>
      <c r="N155" s="77">
        <f t="shared" si="172"/>
      </c>
      <c r="O155" s="78">
        <f t="shared" si="14"/>
      </c>
      <c r="P155" s="77">
        <f t="shared" si="58"/>
      </c>
      <c r="Q155" s="77">
        <f t="shared" si="91"/>
      </c>
      <c r="R155" s="78">
        <f t="shared" si="183"/>
      </c>
      <c r="S155" s="79">
        <f t="shared" si="25"/>
      </c>
      <c r="T155" s="78">
        <f t="shared" si="69"/>
      </c>
      <c r="U155" s="80">
        <f t="shared" si="102"/>
      </c>
      <c r="V155" s="80"/>
      <c r="W155" s="80"/>
      <c r="X155" s="90">
        <f>SUM(X153:X154)</f>
      </c>
      <c r="Y155" s="75">
        <f>SUM(Y153:Y154)</f>
      </c>
      <c r="Z155" s="75">
        <f>SUM(Z153:Z154)</f>
      </c>
      <c r="AA155" s="75">
        <f>SUM(AA153:AA154)</f>
      </c>
      <c r="AB155" s="75">
        <f>SUM(AB153:AB154)</f>
      </c>
      <c r="AC155" s="75">
        <f>SUM(AC153:AC154)</f>
      </c>
      <c r="AD155" s="75">
        <f>SUM(AD153:AD154)</f>
      </c>
      <c r="AE155" s="75">
        <f>SUM(AE153:AE154)</f>
      </c>
      <c r="AF155" s="7"/>
      <c r="AG155" s="7"/>
    </row>
    <row r="156">
      <c r="A156" s="15"/>
      <c r="B156" s="63" t="s">
        <v>52</v>
      </c>
      <c r="C156" s="17" t="s">
        <v>55</v>
      </c>
      <c r="D156" s="64">
        <f t="shared" ref="D156:D159" si="138">E156+F156+G156</f>
      </c>
      <c r="E156" s="17">
        <v>2062.91</v>
      </c>
      <c r="F156" s="17">
        <v>1006.33</v>
      </c>
      <c r="G156" s="17">
        <v>0</v>
      </c>
      <c r="H156" s="17">
        <v>4</v>
      </c>
      <c r="I156" s="17">
        <v>12665.040000000008</v>
      </c>
      <c r="J156" s="65">
        <f t="shared" si="3"/>
      </c>
      <c r="K156" s="66">
        <f t="shared" si="36"/>
      </c>
      <c r="L156" s="67">
        <f t="shared" si="80"/>
      </c>
      <c r="M156" s="66">
        <f t="shared" si="47"/>
      </c>
      <c r="N156" s="66">
        <f t="shared" si="172"/>
      </c>
      <c r="O156" s="67">
        <f t="shared" si="14"/>
      </c>
      <c r="P156" s="66">
        <f t="shared" si="58"/>
      </c>
      <c r="Q156" s="66">
        <f t="shared" si="91"/>
      </c>
      <c r="R156" s="67">
        <f t="shared" si="183"/>
      </c>
      <c r="S156" s="68">
        <f t="shared" si="25"/>
      </c>
      <c r="T156" s="67">
        <f t="shared" si="69"/>
      </c>
      <c r="U156" s="69">
        <f t="shared" si="102"/>
      </c>
      <c r="V156" s="70" t="s">
        <v>37</v>
      </c>
      <c r="W156" s="71" t="s">
        <v>50</v>
      </c>
      <c r="X156" s="91">
        <v>4</v>
      </c>
      <c r="Y156" s="64">
        <v>16942</v>
      </c>
      <c r="Z156" s="64">
        <v>713</v>
      </c>
      <c r="AA156" s="64">
        <v>786</v>
      </c>
      <c r="AB156" s="64">
        <v>163</v>
      </c>
      <c r="AC156" s="64">
        <v>55</v>
      </c>
      <c r="AD156" s="17">
        <v>4</v>
      </c>
      <c r="AE156" s="17">
        <v>37</v>
      </c>
      <c r="AF156" s="7"/>
      <c r="AG156" s="7"/>
    </row>
    <row r="157">
      <c r="A157" s="15"/>
      <c r="B157" s="72" t="s">
        <v>53</v>
      </c>
      <c r="C157" s="17" t="s">
        <v>55</v>
      </c>
      <c r="D157" s="64">
        <f t="shared" si="138"/>
      </c>
      <c r="E157" s="17">
        <v>2432.8</v>
      </c>
      <c r="F157" s="17">
        <v>1341.7</v>
      </c>
      <c r="G157" s="17">
        <v>0</v>
      </c>
      <c r="H157" s="17">
        <v>3</v>
      </c>
      <c r="I157" s="17">
        <v>4877.5199999999895</v>
      </c>
      <c r="J157" s="65">
        <f t="shared" si="3"/>
      </c>
      <c r="K157" s="66">
        <f t="shared" si="36"/>
      </c>
      <c r="L157" s="67">
        <f t="shared" si="80"/>
      </c>
      <c r="M157" s="66">
        <f t="shared" si="47"/>
      </c>
      <c r="N157" s="66">
        <f t="shared" si="172"/>
      </c>
      <c r="O157" s="67">
        <f t="shared" si="14"/>
      </c>
      <c r="P157" s="66">
        <f t="shared" si="58"/>
      </c>
      <c r="Q157" s="66">
        <f t="shared" si="91"/>
      </c>
      <c r="R157" s="67">
        <f t="shared" si="183"/>
      </c>
      <c r="S157" s="68">
        <f t="shared" si="25"/>
      </c>
      <c r="T157" s="67">
        <f t="shared" si="69"/>
      </c>
      <c r="U157" s="69">
        <f t="shared" si="102"/>
      </c>
      <c r="V157" s="70" t="s">
        <v>37</v>
      </c>
      <c r="W157" s="71" t="s">
        <v>50</v>
      </c>
      <c r="X157" s="91">
        <v>3</v>
      </c>
      <c r="Y157" s="64">
        <v>22070</v>
      </c>
      <c r="Z157" s="64">
        <v>605</v>
      </c>
      <c r="AA157" s="64">
        <v>657</v>
      </c>
      <c r="AB157" s="64">
        <v>75</v>
      </c>
      <c r="AC157" s="64">
        <v>80</v>
      </c>
      <c r="AD157" s="17">
        <v>4</v>
      </c>
      <c r="AE157" s="17">
        <v>18</v>
      </c>
      <c r="AF157" s="7"/>
      <c r="AG157" s="7"/>
    </row>
    <row r="158">
      <c r="A158" s="15"/>
      <c r="B158" s="72" t="s">
        <v>54</v>
      </c>
      <c r="C158" s="17" t="s">
        <v>55</v>
      </c>
      <c r="D158" s="64">
        <f t="shared" si="138"/>
      </c>
      <c r="E158" s="17">
        <v>3314.96</v>
      </c>
      <c r="F158" s="17">
        <v>1034.16</v>
      </c>
      <c r="G158" s="17">
        <v>0</v>
      </c>
      <c r="H158" s="17">
        <v>1</v>
      </c>
      <c r="I158" s="17">
        <v>2485.0800000000017</v>
      </c>
      <c r="J158" s="65">
        <f t="shared" si="3"/>
      </c>
      <c r="K158" s="66">
        <f t="shared" si="36"/>
      </c>
      <c r="L158" s="67">
        <f t="shared" si="80"/>
      </c>
      <c r="M158" s="66">
        <f t="shared" si="47"/>
      </c>
      <c r="N158" s="66">
        <f t="shared" si="172"/>
      </c>
      <c r="O158" s="67">
        <f t="shared" si="14"/>
      </c>
      <c r="P158" s="66">
        <f t="shared" si="58"/>
      </c>
      <c r="Q158" s="66">
        <f t="shared" si="91"/>
      </c>
      <c r="R158" s="67">
        <f t="shared" si="183"/>
      </c>
      <c r="S158" s="68">
        <f t="shared" si="25"/>
      </c>
      <c r="T158" s="67">
        <f t="shared" si="69"/>
      </c>
      <c r="U158" s="69">
        <f t="shared" si="102"/>
      </c>
      <c r="V158" s="70" t="s">
        <v>37</v>
      </c>
      <c r="W158" s="71" t="s">
        <v>50</v>
      </c>
      <c r="X158" s="91">
        <v>1</v>
      </c>
      <c r="Y158" s="64">
        <v>21043</v>
      </c>
      <c r="Z158" s="64">
        <v>698</v>
      </c>
      <c r="AA158" s="64">
        <v>741</v>
      </c>
      <c r="AB158" s="64">
        <v>180</v>
      </c>
      <c r="AC158" s="64">
        <v>80</v>
      </c>
      <c r="AD158" s="17">
        <v>2</v>
      </c>
      <c r="AE158" s="17">
        <v>30</v>
      </c>
      <c r="AF158" s="7"/>
      <c r="AG158" s="7"/>
    </row>
    <row r="159">
      <c r="A159" s="15"/>
      <c r="B159" s="17" t="s">
        <v>56</v>
      </c>
      <c r="C159" s="17" t="s">
        <v>55</v>
      </c>
      <c r="D159" s="64">
        <f t="shared" si="138"/>
      </c>
      <c r="E159" s="17">
        <v>832.77</v>
      </c>
      <c r="F159" s="17">
        <v>1000</v>
      </c>
      <c r="G159" s="17">
        <v>0</v>
      </c>
      <c r="H159" s="17">
        <v>0</v>
      </c>
      <c r="I159" s="17">
        <v>0</v>
      </c>
      <c r="J159" s="65">
        <f t="shared" si="3"/>
      </c>
      <c r="K159" s="66">
        <f t="shared" si="36"/>
      </c>
      <c r="L159" s="67">
        <f t="shared" si="80"/>
      </c>
      <c r="M159" s="66">
        <f t="shared" si="47"/>
      </c>
      <c r="N159" s="66">
        <f t="shared" si="172"/>
      </c>
      <c r="O159" s="67">
        <f t="shared" si="14"/>
      </c>
      <c r="P159" s="66">
        <f t="shared" si="58"/>
      </c>
      <c r="Q159" s="66">
        <f t="shared" si="91"/>
      </c>
      <c r="R159" s="67">
        <f t="shared" si="183"/>
      </c>
      <c r="S159" s="68">
        <f t="shared" si="25"/>
      </c>
      <c r="T159" s="67">
        <f t="shared" si="69"/>
      </c>
      <c r="U159" s="69">
        <f t="shared" si="102"/>
      </c>
      <c r="V159" s="70" t="s">
        <v>37</v>
      </c>
      <c r="W159" s="71" t="s">
        <v>50</v>
      </c>
      <c r="X159" s="93">
        <v>0</v>
      </c>
      <c r="Y159" s="64">
        <v>10633</v>
      </c>
      <c r="Z159" s="64">
        <v>168</v>
      </c>
      <c r="AA159" s="64">
        <v>162</v>
      </c>
      <c r="AB159" s="64">
        <v>24</v>
      </c>
      <c r="AC159" s="64">
        <v>27</v>
      </c>
      <c r="AD159" s="17">
        <v>0</v>
      </c>
      <c r="AE159" s="17">
        <v>12</v>
      </c>
      <c r="AF159" s="7"/>
      <c r="AG159" s="7"/>
    </row>
    <row r="160">
      <c r="A160" s="15"/>
      <c r="B160" s="75" t="s">
        <v>42</v>
      </c>
      <c r="C160" s="75"/>
      <c r="D160" s="75">
        <f>SUM(D156:D159)</f>
      </c>
      <c r="E160" s="75">
        <f>SUM(E156:E159)</f>
      </c>
      <c r="F160" s="75">
        <f>SUM(F156:F159)</f>
      </c>
      <c r="G160" s="75">
        <f>SUM(G156:G159)</f>
      </c>
      <c r="H160" s="75">
        <f>SUM(H156:H159)</f>
      </c>
      <c r="I160" s="75">
        <f>SUM(I156:I159)</f>
      </c>
      <c r="J160" s="76">
        <f t="shared" si="3"/>
      </c>
      <c r="K160" s="77">
        <f t="shared" si="36"/>
      </c>
      <c r="L160" s="78">
        <f t="shared" si="80"/>
      </c>
      <c r="M160" s="77">
        <f t="shared" si="47"/>
      </c>
      <c r="N160" s="77">
        <f t="shared" si="172"/>
      </c>
      <c r="O160" s="78">
        <f t="shared" si="14"/>
      </c>
      <c r="P160" s="77">
        <f t="shared" si="58"/>
      </c>
      <c r="Q160" s="77">
        <f t="shared" si="91"/>
      </c>
      <c r="R160" s="78">
        <f t="shared" si="183"/>
      </c>
      <c r="S160" s="79">
        <f t="shared" si="25"/>
      </c>
      <c r="T160" s="78">
        <f t="shared" si="69"/>
      </c>
      <c r="U160" s="80">
        <f t="shared" si="102"/>
      </c>
      <c r="V160" s="80"/>
      <c r="W160" s="80"/>
      <c r="X160" s="90">
        <f>SUM(X156:X159)</f>
      </c>
      <c r="Y160" s="75">
        <f>SUM(Y156:Y159)</f>
      </c>
      <c r="Z160" s="75">
        <f>SUM(Z156:Z159)</f>
      </c>
      <c r="AA160" s="75">
        <f>SUM(AA156:AA159)</f>
      </c>
      <c r="AB160" s="75">
        <f>SUM(AB156:AB159)</f>
      </c>
      <c r="AC160" s="75">
        <f>SUM(AC156:AC159)</f>
      </c>
      <c r="AD160" s="75">
        <f>SUM(AD156:AD159)</f>
      </c>
      <c r="AE160" s="75">
        <f>SUM(AE156:AE159)</f>
      </c>
      <c r="AF160" s="7"/>
      <c r="AG160" s="7"/>
    </row>
    <row r="161">
      <c r="A161" s="15"/>
      <c r="B161" s="64" t="s">
        <v>57</v>
      </c>
      <c r="C161" s="17" t="s">
        <v>49</v>
      </c>
      <c r="D161" s="64">
        <f t="shared" ref="D161:D162" si="139">E161+F161+G161</f>
      </c>
      <c r="E161" s="17">
        <v>2114.9</v>
      </c>
      <c r="F161" s="17">
        <v>1000</v>
      </c>
      <c r="G161" s="17">
        <v>0</v>
      </c>
      <c r="H161" s="17">
        <v>2</v>
      </c>
      <c r="I161" s="17">
        <v>3164.399999999994</v>
      </c>
      <c r="J161" s="65">
        <f t="shared" si="3"/>
      </c>
      <c r="K161" s="66">
        <f t="shared" si="36"/>
      </c>
      <c r="L161" s="67">
        <f t="shared" si="80"/>
      </c>
      <c r="M161" s="66">
        <f t="shared" si="47"/>
      </c>
      <c r="N161" s="66">
        <f t="shared" si="172"/>
      </c>
      <c r="O161" s="67">
        <f t="shared" si="14"/>
      </c>
      <c r="P161" s="66">
        <f t="shared" si="58"/>
      </c>
      <c r="Q161" s="66">
        <f t="shared" si="91"/>
      </c>
      <c r="R161" s="67">
        <f t="shared" si="183"/>
      </c>
      <c r="S161" s="68">
        <f t="shared" si="25"/>
      </c>
      <c r="T161" s="67">
        <f t="shared" si="69"/>
      </c>
      <c r="U161" s="69">
        <f t="shared" si="102"/>
      </c>
      <c r="V161" s="70" t="s">
        <v>37</v>
      </c>
      <c r="W161" s="71" t="s">
        <v>50</v>
      </c>
      <c r="X161" s="92">
        <v>1</v>
      </c>
      <c r="Y161" s="64">
        <v>16886</v>
      </c>
      <c r="Z161" s="64">
        <v>710</v>
      </c>
      <c r="AA161" s="64">
        <v>749</v>
      </c>
      <c r="AB161" s="64">
        <v>103</v>
      </c>
      <c r="AC161" s="17">
        <v>67</v>
      </c>
      <c r="AD161" s="17">
        <v>2</v>
      </c>
      <c r="AE161" s="17">
        <v>15</v>
      </c>
      <c r="AF161" s="7"/>
      <c r="AG161" s="7"/>
    </row>
    <row r="162">
      <c r="A162" s="15"/>
      <c r="B162" s="17" t="s">
        <v>58</v>
      </c>
      <c r="C162" s="17" t="s">
        <v>49</v>
      </c>
      <c r="D162" s="64">
        <f t="shared" si="139"/>
      </c>
      <c r="E162" s="17">
        <v>1551.59</v>
      </c>
      <c r="F162" s="17">
        <v>556</v>
      </c>
      <c r="G162" s="17">
        <v>0</v>
      </c>
      <c r="H162" s="17">
        <v>1</v>
      </c>
      <c r="I162" s="17">
        <v>4838.640000000014</v>
      </c>
      <c r="J162" s="65">
        <f t="shared" si="3"/>
      </c>
      <c r="K162" s="66">
        <f t="shared" si="36"/>
      </c>
      <c r="L162" s="67">
        <f t="shared" si="80"/>
      </c>
      <c r="M162" s="66">
        <f t="shared" si="47"/>
      </c>
      <c r="N162" s="66">
        <f t="shared" si="172"/>
      </c>
      <c r="O162" s="67">
        <f t="shared" si="14"/>
      </c>
      <c r="P162" s="66">
        <f t="shared" si="58"/>
      </c>
      <c r="Q162" s="66">
        <f t="shared" si="91"/>
      </c>
      <c r="R162" s="67">
        <f t="shared" si="183"/>
      </c>
      <c r="S162" s="68">
        <f t="shared" si="25"/>
      </c>
      <c r="T162" s="67">
        <f t="shared" si="69"/>
      </c>
      <c r="U162" s="69">
        <f t="shared" si="102"/>
      </c>
      <c r="V162" s="70" t="s">
        <v>37</v>
      </c>
      <c r="W162" s="71" t="s">
        <v>50</v>
      </c>
      <c r="X162" s="91">
        <v>1</v>
      </c>
      <c r="Y162" s="64">
        <v>13081</v>
      </c>
      <c r="Z162" s="64">
        <v>335</v>
      </c>
      <c r="AA162" s="64">
        <v>338</v>
      </c>
      <c r="AB162" s="64">
        <v>32</v>
      </c>
      <c r="AC162" s="64">
        <v>37</v>
      </c>
      <c r="AD162" s="17">
        <v>2</v>
      </c>
      <c r="AE162" s="17">
        <v>8</v>
      </c>
      <c r="AF162" s="7"/>
      <c r="AG162" s="7"/>
    </row>
    <row r="163">
      <c r="A163" s="15"/>
      <c r="B163" s="75" t="s">
        <v>42</v>
      </c>
      <c r="C163" s="75"/>
      <c r="D163" s="75">
        <f>SUM(D161:D162)</f>
      </c>
      <c r="E163" s="75">
        <f>SUM(E161:E162)</f>
      </c>
      <c r="F163" s="75">
        <f>SUM(F161:F162)</f>
      </c>
      <c r="G163" s="75">
        <f>SUM(G161:G162)</f>
      </c>
      <c r="H163" s="75">
        <f>SUM(H161:H162)</f>
      </c>
      <c r="I163" s="75">
        <f>SUM(I161:I162)</f>
      </c>
      <c r="J163" s="76">
        <f t="shared" si="3"/>
      </c>
      <c r="K163" s="77">
        <f t="shared" si="36"/>
      </c>
      <c r="L163" s="78">
        <f t="shared" si="80"/>
      </c>
      <c r="M163" s="77">
        <f t="shared" si="47"/>
      </c>
      <c r="N163" s="77">
        <f t="shared" si="172"/>
      </c>
      <c r="O163" s="78">
        <f t="shared" si="14"/>
      </c>
      <c r="P163" s="77">
        <f t="shared" si="58"/>
      </c>
      <c r="Q163" s="77">
        <f t="shared" si="91"/>
      </c>
      <c r="R163" s="78">
        <f t="shared" si="183"/>
      </c>
      <c r="S163" s="79">
        <f t="shared" si="25"/>
      </c>
      <c r="T163" s="78">
        <f t="shared" si="69"/>
      </c>
      <c r="U163" s="80">
        <f t="shared" si="102"/>
      </c>
      <c r="V163" s="80"/>
      <c r="W163" s="80"/>
      <c r="X163" s="90">
        <f>SUM(X161:X162)</f>
      </c>
      <c r="Y163" s="82">
        <f>SUM(Y161:Y162)</f>
      </c>
      <c r="Z163" s="82">
        <f>SUM(Z161:Z162)</f>
      </c>
      <c r="AA163" s="82">
        <f>SUM(AA161:AA162)</f>
      </c>
      <c r="AB163" s="82">
        <f>SUM(AB161:AB162)</f>
      </c>
      <c r="AC163" s="82">
        <f>SUM(AC161:AC162)</f>
      </c>
      <c r="AD163" s="82">
        <f>SUM(AD161:AD162)</f>
      </c>
      <c r="AE163" s="82">
        <f>AE161+AE162</f>
      </c>
      <c r="AF163" s="7"/>
      <c r="AG163" s="7"/>
    </row>
    <row r="164">
      <c r="A164" s="15"/>
      <c r="B164" s="94" t="s">
        <v>59</v>
      </c>
      <c r="C164" s="94"/>
      <c r="D164" s="55">
        <f>D163+D160+D155+D152+D146+D140</f>
      </c>
      <c r="E164" s="55">
        <f>E163+E160+E155+E152+E146+E140</f>
      </c>
      <c r="F164" s="55">
        <f>F163+F160+F155+F152+F146+F140</f>
      </c>
      <c r="G164" s="55">
        <f>G163+G160+G155+G152+G146+G140</f>
      </c>
      <c r="H164" s="55">
        <f>H163+H160+H155+H152+H146+H140</f>
      </c>
      <c r="I164" s="55">
        <f>I163+I160+I155+I152+I146+I140</f>
      </c>
      <c r="J164" s="55">
        <f t="shared" si="3"/>
      </c>
      <c r="K164" s="86">
        <f t="shared" si="36"/>
      </c>
      <c r="L164" s="55">
        <f t="shared" si="80"/>
      </c>
      <c r="M164" s="86">
        <f t="shared" si="47"/>
      </c>
      <c r="N164" s="86">
        <f t="shared" si="172"/>
      </c>
      <c r="O164" s="55">
        <f t="shared" si="14"/>
      </c>
      <c r="P164" s="86">
        <f t="shared" si="58"/>
      </c>
      <c r="Q164" s="86">
        <f t="shared" si="91"/>
      </c>
      <c r="R164" s="55">
        <f t="shared" si="183"/>
      </c>
      <c r="S164" s="87">
        <f t="shared" si="25"/>
      </c>
      <c r="T164" s="55">
        <f t="shared" si="69"/>
      </c>
      <c r="U164" s="88">
        <f t="shared" si="102"/>
      </c>
      <c r="V164" s="88"/>
      <c r="W164" s="88"/>
      <c r="X164" s="55">
        <f>X163+X160+X155+X152+X146+X140</f>
      </c>
      <c r="Y164" s="55">
        <f>Y163+Y160+Y155+Y152+Y146+Y140</f>
      </c>
      <c r="Z164" s="55">
        <f>Z163+Z160+Z155+Z152+Z146+Z140</f>
      </c>
      <c r="AA164" s="55">
        <f>AA163+AA160+AA155+AA152+AA146+AA140</f>
      </c>
      <c r="AB164" s="55">
        <f>AB163+AB160+AB155+AB152+AB146+AB140</f>
      </c>
      <c r="AC164" s="55">
        <f>AC163+AC160+AC155+AC152+AC146+AC140</f>
      </c>
      <c r="AD164" s="55">
        <f>AD163+AD160+AD155+AD152+AD146+AD140</f>
      </c>
      <c r="AE164" s="55">
        <f>AE163+AE160+AE155+AE152+AE146+AE140</f>
      </c>
      <c r="AF164" s="7"/>
      <c r="AG164" s="7"/>
    </row>
    <row r="165">
      <c r="A165" s="1" t="s">
        <v>1</v>
      </c>
      <c r="B165" s="1"/>
      <c r="C165" s="1"/>
      <c r="D165" s="2" t="s">
        <v>2</v>
      </c>
      <c r="E165" s="2"/>
      <c r="F165" s="2"/>
      <c r="G165" s="2"/>
      <c r="H165" s="2"/>
      <c r="I165" s="2"/>
      <c r="J165" s="2"/>
      <c r="K165" s="3" t="s">
        <v>3</v>
      </c>
      <c r="L165" s="3"/>
      <c r="M165" s="3"/>
      <c r="N165" s="3"/>
      <c r="O165" s="3"/>
      <c r="P165" s="3"/>
      <c r="Q165" s="3"/>
      <c r="R165" s="3"/>
      <c r="S165" s="3"/>
      <c r="T165" s="3"/>
      <c r="U165" s="4"/>
      <c r="V165" s="4"/>
      <c r="W165" s="4"/>
      <c r="X165" s="5"/>
      <c r="Y165" s="5"/>
      <c r="Z165" s="5"/>
      <c r="AA165" s="5"/>
      <c r="AB165" s="5"/>
      <c r="AC165" s="5"/>
      <c r="AD165" s="5"/>
      <c r="AE165" s="6" t="s">
        <v>4</v>
      </c>
      <c r="AF165" s="7"/>
      <c r="AG165" s="7"/>
    </row>
    <row r="166">
      <c r="A166" s="1" t="s">
        <v>5</v>
      </c>
      <c r="B166" s="1" t="s">
        <v>6</v>
      </c>
      <c r="C166" s="1" t="s">
        <v>7</v>
      </c>
      <c r="D166" s="2" t="s">
        <v>8</v>
      </c>
      <c r="E166" s="8" t="s">
        <v>9</v>
      </c>
      <c r="F166" s="8" t="s">
        <v>10</v>
      </c>
      <c r="G166" s="9" t="s">
        <v>11</v>
      </c>
      <c r="H166" s="10" t="s">
        <v>12</v>
      </c>
      <c r="I166" s="2" t="s">
        <v>13</v>
      </c>
      <c r="J166" s="8" t="s">
        <v>14</v>
      </c>
      <c r="K166" s="3" t="s">
        <v>15</v>
      </c>
      <c r="L166" s="3" t="s">
        <v>16</v>
      </c>
      <c r="M166" s="11" t="s">
        <v>17</v>
      </c>
      <c r="N166" s="11" t="s">
        <v>18</v>
      </c>
      <c r="O166" s="3" t="s">
        <v>19</v>
      </c>
      <c r="P166" s="11" t="s">
        <v>20</v>
      </c>
      <c r="Q166" s="11" t="s">
        <v>21</v>
      </c>
      <c r="R166" s="3" t="s">
        <v>22</v>
      </c>
      <c r="S166" s="11" t="s">
        <v>23</v>
      </c>
      <c r="T166" s="3" t="s">
        <v>24</v>
      </c>
      <c r="U166" s="12" t="s">
        <v>25</v>
      </c>
      <c r="V166" s="12" t="s">
        <v>26</v>
      </c>
      <c r="W166" s="12" t="s">
        <v>27</v>
      </c>
      <c r="X166" s="13" t="s">
        <v>28</v>
      </c>
      <c r="Y166" s="14" t="s">
        <v>29</v>
      </c>
      <c r="Z166" s="14" t="s">
        <v>30</v>
      </c>
      <c r="AA166" s="14" t="s">
        <v>31</v>
      </c>
      <c r="AB166" s="14" t="s">
        <v>32</v>
      </c>
      <c r="AC166" s="14" t="s">
        <v>33</v>
      </c>
      <c r="AD166" s="14" t="s">
        <v>34</v>
      </c>
      <c r="AE166" s="6"/>
      <c r="AF166" s="7"/>
      <c r="AG166" s="7"/>
    </row>
    <row r="167">
      <c r="A167" s="15">
        <v>46303</v>
      </c>
      <c r="B167" s="18" t="s">
        <v>67</v>
      </c>
      <c r="C167" s="17" t="s">
        <v>49</v>
      </c>
      <c r="D167" s="64">
        <f t="shared" ref="D167:D168" si="140">E167+F167+G167</f>
      </c>
      <c r="E167" s="17">
        <v>2750.9</v>
      </c>
      <c r="F167" s="17">
        <v>1000</v>
      </c>
      <c r="G167" s="17">
        <v>0</v>
      </c>
      <c r="H167" s="17">
        <v>0</v>
      </c>
      <c r="I167" s="17">
        <v>0</v>
      </c>
      <c r="J167" s="65">
        <f t="shared" ref="J167:J193" si="4">I167/D167</f>
      </c>
      <c r="K167" s="66">
        <f t="shared" ref="K167:K193" si="37">Z167/Y167</f>
      </c>
      <c r="L167" s="67">
        <f t="shared" ref="L167:L193" si="81">D167/AA167</f>
      </c>
      <c r="M167" s="66">
        <f t="shared" ref="M167:M193" si="48">AB167/AA167</f>
      </c>
      <c r="N167" s="66">
        <f t="shared" ref="N167:N193" si="173">AC167/AA167</f>
      </c>
      <c r="O167" s="67">
        <f t="shared" ref="O167:O193" si="15">D167/AC167</f>
      </c>
      <c r="P167" s="66">
        <f t="shared" ref="P167:P193" si="59">AD167/AC167</f>
      </c>
      <c r="Q167" s="66">
        <f t="shared" ref="Q167:Q193" si="92">H167/AD167</f>
      </c>
      <c r="R167" s="67">
        <f t="shared" ref="R167:R193" si="184">D167/H167</f>
      </c>
      <c r="S167" s="68">
        <f t="shared" ref="S167:S193" si="26">I167/H167</f>
      </c>
      <c r="T167" s="67">
        <f t="shared" ref="T167:T193" si="70">D167/X167</f>
      </c>
      <c r="U167" s="69">
        <f t="shared" ref="U167:U193" si="103">AE167*1000/D167</f>
      </c>
      <c r="V167" s="70" t="s">
        <v>37</v>
      </c>
      <c r="W167" s="71" t="s">
        <v>50</v>
      </c>
      <c r="X167" s="91">
        <v>0</v>
      </c>
      <c r="Y167" s="64">
        <v>22100</v>
      </c>
      <c r="Z167" s="64">
        <v>680</v>
      </c>
      <c r="AA167" s="64">
        <v>739</v>
      </c>
      <c r="AB167" s="64">
        <v>86</v>
      </c>
      <c r="AC167" s="17">
        <v>72</v>
      </c>
      <c r="AD167" s="17">
        <v>0</v>
      </c>
      <c r="AE167" s="17">
        <v>31</v>
      </c>
      <c r="AF167" s="32"/>
      <c r="AG167" s="7"/>
    </row>
    <row r="168">
      <c r="A168" s="15"/>
      <c r="B168" s="18" t="s">
        <v>68</v>
      </c>
      <c r="C168" s="17" t="s">
        <v>49</v>
      </c>
      <c r="D168" s="64">
        <f t="shared" si="140"/>
      </c>
      <c r="E168" s="17">
        <v>249.1</v>
      </c>
      <c r="F168" s="17">
        <v>0</v>
      </c>
      <c r="G168" s="17">
        <v>0</v>
      </c>
      <c r="H168" s="17">
        <v>0</v>
      </c>
      <c r="I168" s="17">
        <v>0</v>
      </c>
      <c r="J168" s="65">
        <f t="shared" si="4"/>
      </c>
      <c r="K168" s="66">
        <f t="shared" si="37"/>
      </c>
      <c r="L168" s="67">
        <f t="shared" si="81"/>
      </c>
      <c r="M168" s="66">
        <f t="shared" si="48"/>
      </c>
      <c r="N168" s="66">
        <f t="shared" si="173"/>
      </c>
      <c r="O168" s="67">
        <f t="shared" si="15"/>
      </c>
      <c r="P168" s="66">
        <f t="shared" si="59"/>
      </c>
      <c r="Q168" s="66">
        <f t="shared" si="92"/>
      </c>
      <c r="R168" s="67">
        <f t="shared" si="184"/>
      </c>
      <c r="S168" s="68">
        <f t="shared" si="26"/>
      </c>
      <c r="T168" s="67">
        <f t="shared" si="70"/>
      </c>
      <c r="U168" s="69">
        <f t="shared" si="103"/>
      </c>
      <c r="V168" s="70" t="s">
        <v>37</v>
      </c>
      <c r="W168" s="71" t="s">
        <v>50</v>
      </c>
      <c r="X168" s="91">
        <v>0</v>
      </c>
      <c r="Y168" s="64">
        <v>1894</v>
      </c>
      <c r="Z168" s="64">
        <v>80</v>
      </c>
      <c r="AA168" s="64">
        <v>107</v>
      </c>
      <c r="AB168" s="64">
        <v>24</v>
      </c>
      <c r="AC168" s="17">
        <v>6</v>
      </c>
      <c r="AD168" s="17">
        <v>0</v>
      </c>
      <c r="AE168" s="17">
        <v>4</v>
      </c>
      <c r="AF168" s="32"/>
      <c r="AG168" s="7"/>
    </row>
    <row r="169">
      <c r="A169" s="15"/>
      <c r="B169" s="75" t="s">
        <v>42</v>
      </c>
      <c r="C169" s="75"/>
      <c r="D169" s="75">
        <f>SUM(D167:D168)</f>
      </c>
      <c r="E169" s="75">
        <f>SUM(E167:E168)</f>
      </c>
      <c r="F169" s="75">
        <f>SUM(F167:F168)</f>
      </c>
      <c r="G169" s="75">
        <f>SUM(G167:G168)</f>
      </c>
      <c r="H169" s="75">
        <f>SUM(H167:H168)</f>
      </c>
      <c r="I169" s="75">
        <f>SUM(I167:I168)</f>
      </c>
      <c r="J169" s="76">
        <f t="shared" si="4"/>
      </c>
      <c r="K169" s="77">
        <f t="shared" si="37"/>
      </c>
      <c r="L169" s="78">
        <f t="shared" si="81"/>
      </c>
      <c r="M169" s="77">
        <f t="shared" si="48"/>
      </c>
      <c r="N169" s="77">
        <f t="shared" si="173"/>
      </c>
      <c r="O169" s="78">
        <f t="shared" si="15"/>
      </c>
      <c r="P169" s="77">
        <f t="shared" si="59"/>
      </c>
      <c r="Q169" s="77">
        <f t="shared" si="92"/>
      </c>
      <c r="R169" s="78">
        <f t="shared" si="184"/>
      </c>
      <c r="S169" s="79">
        <f t="shared" si="26"/>
      </c>
      <c r="T169" s="78">
        <f t="shared" si="70"/>
      </c>
      <c r="U169" s="80">
        <f t="shared" si="103"/>
      </c>
      <c r="V169" s="80"/>
      <c r="W169" s="80"/>
      <c r="X169" s="90">
        <f>SUM(X167:X168)</f>
      </c>
      <c r="Y169" s="82">
        <f>SUM(Y167:Y168)</f>
      </c>
      <c r="Z169" s="82">
        <f>SUM(Z167:Z168)</f>
      </c>
      <c r="AA169" s="82">
        <f>SUM(AA167:AA168)</f>
      </c>
      <c r="AB169" s="82">
        <f>SUM(AB167:AB168)</f>
      </c>
      <c r="AC169" s="82">
        <f>SUM(AC167:AC168)</f>
      </c>
      <c r="AD169" s="82">
        <f>SUM(AD167:AD168)</f>
      </c>
      <c r="AE169" s="82">
        <f>SUM(AE167:AE168)</f>
      </c>
      <c r="AF169" s="32"/>
      <c r="AG169" s="7"/>
    </row>
    <row r="170">
      <c r="A170" s="15"/>
      <c r="B170" s="18" t="s">
        <v>64</v>
      </c>
      <c r="C170" s="17" t="s">
        <v>36</v>
      </c>
      <c r="D170" s="64">
        <f t="shared" ref="D170:D174" si="141">E170+F170+G170</f>
      </c>
      <c r="E170" s="17">
        <v>1952.79</v>
      </c>
      <c r="F170" s="17">
        <v>1002.71</v>
      </c>
      <c r="G170" s="17">
        <v>0</v>
      </c>
      <c r="H170" s="17">
        <v>1</v>
      </c>
      <c r="I170" s="17">
        <v>4951.8</v>
      </c>
      <c r="J170" s="65">
        <f t="shared" si="4"/>
      </c>
      <c r="K170" s="66">
        <f t="shared" si="37"/>
      </c>
      <c r="L170" s="67">
        <f t="shared" si="81"/>
      </c>
      <c r="M170" s="66">
        <f t="shared" si="48"/>
      </c>
      <c r="N170" s="66">
        <f t="shared" si="173"/>
      </c>
      <c r="O170" s="67">
        <f t="shared" si="15"/>
      </c>
      <c r="P170" s="66">
        <f t="shared" si="59"/>
      </c>
      <c r="Q170" s="66">
        <f t="shared" si="92"/>
      </c>
      <c r="R170" s="67">
        <f t="shared" si="184"/>
      </c>
      <c r="S170" s="68">
        <f t="shared" si="26"/>
      </c>
      <c r="T170" s="67">
        <f t="shared" si="70"/>
      </c>
      <c r="U170" s="69">
        <f t="shared" si="103"/>
      </c>
      <c r="V170" s="70" t="s">
        <v>37</v>
      </c>
      <c r="W170" s="71" t="s">
        <v>69</v>
      </c>
      <c r="X170" s="17">
        <v>1</v>
      </c>
      <c r="Y170" s="64">
        <v>12955</v>
      </c>
      <c r="Z170" s="64">
        <v>958</v>
      </c>
      <c r="AA170" s="64">
        <v>1059</v>
      </c>
      <c r="AB170" s="64">
        <v>149</v>
      </c>
      <c r="AC170" s="17">
        <v>43</v>
      </c>
      <c r="AD170" s="17">
        <v>3</v>
      </c>
      <c r="AE170" s="17">
        <v>22</v>
      </c>
      <c r="AF170" s="32"/>
      <c r="AG170" s="7"/>
    </row>
    <row r="171">
      <c r="A171" s="15"/>
      <c r="B171" s="18" t="s">
        <v>65</v>
      </c>
      <c r="C171" s="17" t="s">
        <v>36</v>
      </c>
      <c r="D171" s="64">
        <f t="shared" si="141"/>
      </c>
      <c r="E171" s="17">
        <v>1727.63</v>
      </c>
      <c r="F171" s="17">
        <v>1011.48</v>
      </c>
      <c r="G171" s="17">
        <v>0</v>
      </c>
      <c r="H171" s="17">
        <v>1</v>
      </c>
      <c r="I171" s="17">
        <v>11933.760000000002</v>
      </c>
      <c r="J171" s="65">
        <f t="shared" si="4"/>
      </c>
      <c r="K171" s="66">
        <f t="shared" si="37"/>
      </c>
      <c r="L171" s="67">
        <f t="shared" si="81"/>
      </c>
      <c r="M171" s="66">
        <f t="shared" si="48"/>
      </c>
      <c r="N171" s="66">
        <f t="shared" si="173"/>
      </c>
      <c r="O171" s="67">
        <f t="shared" si="15"/>
      </c>
      <c r="P171" s="66">
        <f t="shared" si="59"/>
      </c>
      <c r="Q171" s="66">
        <f t="shared" si="92"/>
      </c>
      <c r="R171" s="67">
        <f t="shared" si="184"/>
      </c>
      <c r="S171" s="68">
        <f t="shared" si="26"/>
      </c>
      <c r="T171" s="67">
        <f t="shared" si="70"/>
      </c>
      <c r="U171" s="69">
        <f t="shared" si="103"/>
      </c>
      <c r="V171" s="70" t="s">
        <v>37</v>
      </c>
      <c r="W171" s="71" t="s">
        <v>69</v>
      </c>
      <c r="X171" s="73">
        <v>1</v>
      </c>
      <c r="Y171" s="64">
        <v>10387</v>
      </c>
      <c r="Z171" s="64">
        <v>512</v>
      </c>
      <c r="AA171" s="64">
        <v>577</v>
      </c>
      <c r="AB171" s="64">
        <v>89</v>
      </c>
      <c r="AC171" s="64">
        <v>38</v>
      </c>
      <c r="AD171" s="17">
        <v>2</v>
      </c>
      <c r="AE171" s="17">
        <v>25</v>
      </c>
      <c r="AF171" s="32"/>
      <c r="AG171" s="7"/>
    </row>
    <row r="172">
      <c r="A172" s="15"/>
      <c r="B172" s="18" t="s">
        <v>35</v>
      </c>
      <c r="C172" s="17" t="s">
        <v>36</v>
      </c>
      <c r="D172" s="64">
        <f t="shared" si="141"/>
      </c>
      <c r="E172" s="17">
        <v>3220.24</v>
      </c>
      <c r="F172" s="17">
        <v>985.81</v>
      </c>
      <c r="G172" s="17">
        <v>0</v>
      </c>
      <c r="H172" s="17">
        <v>2</v>
      </c>
      <c r="I172" s="17">
        <v>3168.239999999998</v>
      </c>
      <c r="J172" s="65">
        <f t="shared" si="4"/>
      </c>
      <c r="K172" s="66">
        <f t="shared" si="37"/>
      </c>
      <c r="L172" s="67">
        <f t="shared" si="81"/>
      </c>
      <c r="M172" s="66">
        <f t="shared" si="48"/>
      </c>
      <c r="N172" s="66">
        <f t="shared" si="173"/>
      </c>
      <c r="O172" s="67">
        <f t="shared" si="15"/>
      </c>
      <c r="P172" s="66">
        <f t="shared" si="59"/>
      </c>
      <c r="Q172" s="66">
        <f t="shared" si="92"/>
      </c>
      <c r="R172" s="67">
        <f t="shared" si="184"/>
      </c>
      <c r="S172" s="68">
        <f t="shared" si="26"/>
      </c>
      <c r="T172" s="67">
        <f t="shared" si="70"/>
      </c>
      <c r="U172" s="69">
        <f t="shared" si="103"/>
      </c>
      <c r="V172" s="70" t="s">
        <v>37</v>
      </c>
      <c r="W172" s="71" t="s">
        <v>69</v>
      </c>
      <c r="X172" s="73">
        <v>1</v>
      </c>
      <c r="Y172" s="64">
        <v>12113</v>
      </c>
      <c r="Z172" s="64">
        <v>506</v>
      </c>
      <c r="AA172" s="64">
        <v>569</v>
      </c>
      <c r="AB172" s="64">
        <v>145</v>
      </c>
      <c r="AC172" s="64">
        <v>71</v>
      </c>
      <c r="AD172" s="17">
        <v>3</v>
      </c>
      <c r="AE172" s="17">
        <v>28</v>
      </c>
      <c r="AF172" s="32"/>
      <c r="AG172" s="7"/>
    </row>
    <row r="173">
      <c r="A173" s="15"/>
      <c r="B173" s="18" t="s">
        <v>39</v>
      </c>
      <c r="C173" s="17" t="s">
        <v>36</v>
      </c>
      <c r="D173" s="64">
        <f t="shared" si="141"/>
      </c>
      <c r="E173" s="17">
        <v>1571.13</v>
      </c>
      <c r="F173" s="17">
        <v>1000</v>
      </c>
      <c r="G173" s="17">
        <v>0</v>
      </c>
      <c r="H173" s="17">
        <v>1</v>
      </c>
      <c r="I173" s="17">
        <v>561.6000000000022</v>
      </c>
      <c r="J173" s="65">
        <f t="shared" si="4"/>
      </c>
      <c r="K173" s="66">
        <f t="shared" si="37"/>
      </c>
      <c r="L173" s="67">
        <f t="shared" si="81"/>
      </c>
      <c r="M173" s="66">
        <f t="shared" si="48"/>
      </c>
      <c r="N173" s="66">
        <f t="shared" si="173"/>
      </c>
      <c r="O173" s="67">
        <f t="shared" si="15"/>
      </c>
      <c r="P173" s="66">
        <f t="shared" si="59"/>
      </c>
      <c r="Q173" s="66">
        <f t="shared" si="92"/>
      </c>
      <c r="R173" s="67">
        <f t="shared" si="184"/>
      </c>
      <c r="S173" s="68">
        <f t="shared" si="26"/>
      </c>
      <c r="T173" s="67">
        <f t="shared" si="70"/>
      </c>
      <c r="U173" s="69">
        <f t="shared" si="103"/>
      </c>
      <c r="V173" s="70" t="s">
        <v>37</v>
      </c>
      <c r="W173" s="71" t="s">
        <v>69</v>
      </c>
      <c r="X173" s="74">
        <v>0</v>
      </c>
      <c r="Y173" s="64">
        <v>7555</v>
      </c>
      <c r="Z173" s="64">
        <v>380</v>
      </c>
      <c r="AA173" s="64">
        <v>424</v>
      </c>
      <c r="AB173" s="64">
        <v>135</v>
      </c>
      <c r="AC173" s="64">
        <v>48</v>
      </c>
      <c r="AD173" s="17">
        <v>4</v>
      </c>
      <c r="AE173" s="17">
        <v>25</v>
      </c>
      <c r="AF173" s="32"/>
      <c r="AG173" s="7"/>
    </row>
    <row r="174">
      <c r="A174" s="15"/>
      <c r="B174" s="18" t="s">
        <v>40</v>
      </c>
      <c r="C174" s="17" t="s">
        <v>36</v>
      </c>
      <c r="D174" s="64">
        <f t="shared" si="141"/>
      </c>
      <c r="E174" s="17">
        <v>1958.7800000000002</v>
      </c>
      <c r="F174" s="17">
        <v>931.24</v>
      </c>
      <c r="G174" s="17">
        <v>0</v>
      </c>
      <c r="H174" s="17">
        <v>5</v>
      </c>
      <c r="I174" s="17">
        <v>13174.439999999995</v>
      </c>
      <c r="J174" s="65">
        <f t="shared" si="4"/>
      </c>
      <c r="K174" s="66">
        <f t="shared" si="37"/>
      </c>
      <c r="L174" s="67">
        <f t="shared" si="81"/>
      </c>
      <c r="M174" s="66">
        <f t="shared" si="48"/>
      </c>
      <c r="N174" s="66">
        <f t="shared" si="173"/>
      </c>
      <c r="O174" s="67">
        <f t="shared" si="15"/>
      </c>
      <c r="P174" s="66">
        <f t="shared" si="59"/>
      </c>
      <c r="Q174" s="66">
        <f t="shared" si="92"/>
      </c>
      <c r="R174" s="67">
        <f t="shared" si="184"/>
      </c>
      <c r="S174" s="68">
        <f t="shared" si="26"/>
      </c>
      <c r="T174" s="67">
        <f t="shared" si="70"/>
      </c>
      <c r="U174" s="69">
        <f t="shared" si="103"/>
      </c>
      <c r="V174" s="70" t="s">
        <v>37</v>
      </c>
      <c r="W174" s="71" t="s">
        <v>69</v>
      </c>
      <c r="X174" s="73">
        <v>4</v>
      </c>
      <c r="Y174" s="64">
        <v>6951</v>
      </c>
      <c r="Z174" s="64">
        <v>477</v>
      </c>
      <c r="AA174" s="64">
        <v>536</v>
      </c>
      <c r="AB174" s="64">
        <v>180</v>
      </c>
      <c r="AC174" s="64">
        <v>31</v>
      </c>
      <c r="AD174" s="17">
        <v>6</v>
      </c>
      <c r="AE174" s="17">
        <v>16</v>
      </c>
      <c r="AF174" s="32"/>
      <c r="AG174" s="7"/>
    </row>
    <row r="175">
      <c r="A175" s="15"/>
      <c r="B175" s="75" t="s">
        <v>42</v>
      </c>
      <c r="C175" s="75"/>
      <c r="D175" s="75">
        <f>SUM(D170:D174)</f>
      </c>
      <c r="E175" s="75">
        <f>SUM(E170:E174)</f>
      </c>
      <c r="F175" s="75">
        <f>SUM(F170:F174)</f>
      </c>
      <c r="G175" s="75">
        <f>SUM(G170:G174)</f>
      </c>
      <c r="H175" s="75">
        <f>SUM(H170:H174)</f>
      </c>
      <c r="I175" s="75">
        <f>SUM(I170:I174)</f>
      </c>
      <c r="J175" s="76">
        <f t="shared" si="4"/>
      </c>
      <c r="K175" s="77">
        <f t="shared" si="37"/>
      </c>
      <c r="L175" s="78">
        <f t="shared" si="81"/>
      </c>
      <c r="M175" s="77">
        <f t="shared" si="48"/>
      </c>
      <c r="N175" s="77">
        <f t="shared" si="173"/>
      </c>
      <c r="O175" s="78">
        <f t="shared" si="15"/>
      </c>
      <c r="P175" s="77">
        <f t="shared" si="59"/>
      </c>
      <c r="Q175" s="77">
        <f t="shared" si="92"/>
      </c>
      <c r="R175" s="78">
        <f t="shared" si="184"/>
      </c>
      <c r="S175" s="79">
        <f t="shared" si="26"/>
      </c>
      <c r="T175" s="78">
        <f t="shared" si="70"/>
      </c>
      <c r="U175" s="80">
        <f t="shared" si="103"/>
      </c>
      <c r="V175" s="80"/>
      <c r="W175" s="80"/>
      <c r="X175" s="90">
        <f>SUM(X170:X174)</f>
      </c>
      <c r="Y175" s="75">
        <f>SUM(Y170:Y174)</f>
      </c>
      <c r="Z175" s="75">
        <f>SUM(Z170:Z174)</f>
      </c>
      <c r="AA175" s="75">
        <f>SUM(AA170:AA174)</f>
      </c>
      <c r="AB175" s="75">
        <f>SUM(AB170:AB174)</f>
      </c>
      <c r="AC175" s="75">
        <f>SUM(AC170:AC174)</f>
      </c>
      <c r="AD175" s="75">
        <f>SUM(AD170:AD174)</f>
      </c>
      <c r="AE175" s="75">
        <f>SUM(AE170:AE174)</f>
      </c>
      <c r="AF175" s="7"/>
      <c r="AG175" s="7"/>
    </row>
    <row r="176">
      <c r="A176" s="15"/>
      <c r="B176" s="18" t="s">
        <v>41</v>
      </c>
      <c r="C176" s="17" t="s">
        <v>61</v>
      </c>
      <c r="D176" s="64">
        <f t="shared" ref="D176:D180" si="142">E176+F176+G176</f>
      </c>
      <c r="E176" s="64">
        <v>1977.5099999999998</v>
      </c>
      <c r="F176" s="64">
        <v>969.61</v>
      </c>
      <c r="G176" s="17">
        <v>0</v>
      </c>
      <c r="H176" s="17">
        <v>1</v>
      </c>
      <c r="I176" s="17">
        <v>1216.0800000000017</v>
      </c>
      <c r="J176" s="65">
        <f t="shared" si="4"/>
      </c>
      <c r="K176" s="66">
        <f t="shared" si="37"/>
      </c>
      <c r="L176" s="67">
        <f t="shared" si="81"/>
      </c>
      <c r="M176" s="66">
        <f t="shared" si="48"/>
      </c>
      <c r="N176" s="66">
        <f t="shared" si="173"/>
      </c>
      <c r="O176" s="67">
        <f t="shared" si="15"/>
      </c>
      <c r="P176" s="66">
        <f t="shared" si="59"/>
      </c>
      <c r="Q176" s="66">
        <f t="shared" si="92"/>
      </c>
      <c r="R176" s="67">
        <f t="shared" si="184"/>
      </c>
      <c r="S176" s="68">
        <f t="shared" si="26"/>
      </c>
      <c r="T176" s="67">
        <f t="shared" si="70"/>
      </c>
      <c r="U176" s="69">
        <f t="shared" si="103"/>
      </c>
      <c r="V176" s="70" t="s">
        <v>37</v>
      </c>
      <c r="W176" s="71" t="s">
        <v>69</v>
      </c>
      <c r="X176" s="91">
        <v>1</v>
      </c>
      <c r="Y176" s="17">
        <v>7177</v>
      </c>
      <c r="Z176" s="17">
        <v>149</v>
      </c>
      <c r="AA176" s="64">
        <v>153</v>
      </c>
      <c r="AB176" s="17">
        <v>48</v>
      </c>
      <c r="AC176" s="17">
        <v>47</v>
      </c>
      <c r="AD176" s="17">
        <v>1</v>
      </c>
      <c r="AE176" s="17">
        <v>12</v>
      </c>
      <c r="AF176" s="32"/>
      <c r="AG176" s="7"/>
    </row>
    <row r="177">
      <c r="A177" s="15"/>
      <c r="B177" s="18" t="s">
        <v>41</v>
      </c>
      <c r="C177" s="17" t="s">
        <v>61</v>
      </c>
      <c r="D177" s="64">
        <f t="shared" si="142"/>
      </c>
      <c r="E177" s="17">
        <v>3061.75</v>
      </c>
      <c r="F177" s="17">
        <v>990.59</v>
      </c>
      <c r="G177" s="17">
        <v>0</v>
      </c>
      <c r="H177" s="17">
        <v>1</v>
      </c>
      <c r="I177" s="17">
        <v>942.8400000000038</v>
      </c>
      <c r="J177" s="65">
        <f t="shared" si="4"/>
      </c>
      <c r="K177" s="66">
        <f t="shared" si="37"/>
      </c>
      <c r="L177" s="67">
        <f t="shared" si="81"/>
      </c>
      <c r="M177" s="66">
        <f t="shared" si="48"/>
      </c>
      <c r="N177" s="66">
        <f t="shared" si="173"/>
      </c>
      <c r="O177" s="67">
        <f t="shared" si="15"/>
      </c>
      <c r="P177" s="66">
        <f t="shared" si="59"/>
      </c>
      <c r="Q177" s="66">
        <f t="shared" si="92"/>
      </c>
      <c r="R177" s="67">
        <f t="shared" si="184"/>
      </c>
      <c r="S177" s="68">
        <f t="shared" si="26"/>
      </c>
      <c r="T177" s="67">
        <f t="shared" si="70"/>
      </c>
      <c r="U177" s="69">
        <f t="shared" si="103"/>
      </c>
      <c r="V177" s="70" t="s">
        <v>37</v>
      </c>
      <c r="W177" s="71" t="s">
        <v>69</v>
      </c>
      <c r="X177" s="91">
        <v>1</v>
      </c>
      <c r="Y177" s="64">
        <v>14125</v>
      </c>
      <c r="Z177" s="64">
        <v>559</v>
      </c>
      <c r="AA177" s="64">
        <v>625</v>
      </c>
      <c r="AB177" s="64">
        <v>164</v>
      </c>
      <c r="AC177" s="64">
        <v>56</v>
      </c>
      <c r="AD177" s="17">
        <v>3</v>
      </c>
      <c r="AE177" s="17">
        <v>31</v>
      </c>
      <c r="AF177" s="32"/>
      <c r="AG177" s="7"/>
    </row>
    <row r="178">
      <c r="A178" s="15"/>
      <c r="B178" s="18" t="s">
        <v>45</v>
      </c>
      <c r="C178" s="17" t="s">
        <v>61</v>
      </c>
      <c r="D178" s="64">
        <f t="shared" si="142"/>
      </c>
      <c r="E178" s="17">
        <v>1874.8600000000001</v>
      </c>
      <c r="F178" s="17">
        <v>1108.56</v>
      </c>
      <c r="G178" s="17">
        <v>0</v>
      </c>
      <c r="H178" s="17">
        <v>1</v>
      </c>
      <c r="I178" s="64">
        <v>1943.0400000000009</v>
      </c>
      <c r="J178" s="65">
        <f t="shared" si="4"/>
      </c>
      <c r="K178" s="66">
        <f t="shared" si="37"/>
      </c>
      <c r="L178" s="67">
        <f t="shared" si="81"/>
      </c>
      <c r="M178" s="66">
        <f t="shared" si="48"/>
      </c>
      <c r="N178" s="66">
        <f t="shared" si="173"/>
      </c>
      <c r="O178" s="67">
        <f t="shared" si="15"/>
      </c>
      <c r="P178" s="66">
        <f t="shared" si="59"/>
      </c>
      <c r="Q178" s="66">
        <f t="shared" si="92"/>
      </c>
      <c r="R178" s="67">
        <f t="shared" si="184"/>
      </c>
      <c r="S178" s="68">
        <f t="shared" si="26"/>
      </c>
      <c r="T178" s="67">
        <f t="shared" si="70"/>
      </c>
      <c r="U178" s="69">
        <f t="shared" si="103"/>
      </c>
      <c r="V178" s="70" t="s">
        <v>37</v>
      </c>
      <c r="W178" s="71" t="s">
        <v>69</v>
      </c>
      <c r="X178" s="91">
        <v>0</v>
      </c>
      <c r="Y178" s="17">
        <v>9099</v>
      </c>
      <c r="Z178" s="17">
        <v>271</v>
      </c>
      <c r="AA178" s="17">
        <v>296</v>
      </c>
      <c r="AB178" s="17">
        <v>66</v>
      </c>
      <c r="AC178" s="17">
        <v>49</v>
      </c>
      <c r="AD178" s="17">
        <v>2</v>
      </c>
      <c r="AE178" s="17">
        <v>18</v>
      </c>
      <c r="AF178" s="32"/>
      <c r="AG178" s="7"/>
    </row>
    <row r="179">
      <c r="A179" s="15"/>
      <c r="B179" s="18" t="s">
        <v>46</v>
      </c>
      <c r="C179" s="17" t="s">
        <v>61</v>
      </c>
      <c r="D179" s="64">
        <f t="shared" si="142"/>
      </c>
      <c r="E179" s="64">
        <v>545.33</v>
      </c>
      <c r="F179" s="17">
        <v>838.83</v>
      </c>
      <c r="G179" s="17">
        <v>0</v>
      </c>
      <c r="H179" s="17">
        <v>3</v>
      </c>
      <c r="I179" s="17">
        <v>12229.36</v>
      </c>
      <c r="J179" s="65">
        <f t="shared" si="4"/>
      </c>
      <c r="K179" s="66">
        <f t="shared" si="37"/>
      </c>
      <c r="L179" s="67">
        <f t="shared" si="81"/>
      </c>
      <c r="M179" s="66">
        <f t="shared" si="48"/>
      </c>
      <c r="N179" s="66">
        <f t="shared" si="173"/>
      </c>
      <c r="O179" s="67">
        <f t="shared" si="15"/>
      </c>
      <c r="P179" s="66">
        <f t="shared" si="59"/>
      </c>
      <c r="Q179" s="66">
        <f t="shared" si="92"/>
      </c>
      <c r="R179" s="67">
        <f t="shared" si="184"/>
      </c>
      <c r="S179" s="68">
        <f t="shared" si="26"/>
      </c>
      <c r="T179" s="67">
        <f t="shared" si="70"/>
      </c>
      <c r="U179" s="69">
        <f t="shared" si="103"/>
      </c>
      <c r="V179" s="70" t="s">
        <v>37</v>
      </c>
      <c r="W179" s="71" t="s">
        <v>69</v>
      </c>
      <c r="X179" s="91">
        <v>3</v>
      </c>
      <c r="Y179" s="17">
        <v>6700</v>
      </c>
      <c r="Z179" s="17">
        <v>183</v>
      </c>
      <c r="AA179" s="17">
        <v>211</v>
      </c>
      <c r="AB179" s="17">
        <v>57</v>
      </c>
      <c r="AC179" s="17">
        <v>14</v>
      </c>
      <c r="AD179" s="17">
        <v>6</v>
      </c>
      <c r="AE179" s="17">
        <v>9</v>
      </c>
      <c r="AF179" s="32"/>
      <c r="AG179" s="7"/>
    </row>
    <row r="180">
      <c r="A180" s="15"/>
      <c r="B180" s="18" t="s">
        <v>47</v>
      </c>
      <c r="C180" s="17" t="s">
        <v>61</v>
      </c>
      <c r="D180" s="64">
        <f t="shared" si="142"/>
      </c>
      <c r="E180" s="64">
        <v>2499.27</v>
      </c>
      <c r="F180" s="17">
        <v>1097.58</v>
      </c>
      <c r="G180" s="17">
        <v>0</v>
      </c>
      <c r="H180" s="17">
        <v>1</v>
      </c>
      <c r="I180" s="17">
        <v>3669.8399999999965</v>
      </c>
      <c r="J180" s="65">
        <f t="shared" si="4"/>
      </c>
      <c r="K180" s="66">
        <f t="shared" si="37"/>
      </c>
      <c r="L180" s="67">
        <f t="shared" si="81"/>
      </c>
      <c r="M180" s="66">
        <f t="shared" si="48"/>
      </c>
      <c r="N180" s="66">
        <f t="shared" si="173"/>
      </c>
      <c r="O180" s="67">
        <f t="shared" si="15"/>
      </c>
      <c r="P180" s="66">
        <f t="shared" si="59"/>
      </c>
      <c r="Q180" s="66">
        <f t="shared" si="92"/>
      </c>
      <c r="R180" s="67">
        <f t="shared" si="184"/>
      </c>
      <c r="S180" s="68">
        <f t="shared" si="26"/>
      </c>
      <c r="T180" s="67">
        <f t="shared" si="70"/>
      </c>
      <c r="U180" s="69">
        <f t="shared" si="103"/>
      </c>
      <c r="V180" s="70" t="s">
        <v>37</v>
      </c>
      <c r="W180" s="71" t="s">
        <v>69</v>
      </c>
      <c r="X180" s="91">
        <v>1</v>
      </c>
      <c r="Y180" s="17">
        <v>9184</v>
      </c>
      <c r="Z180" s="17">
        <v>387</v>
      </c>
      <c r="AA180" s="17">
        <v>417</v>
      </c>
      <c r="AB180" s="17">
        <v>95</v>
      </c>
      <c r="AC180" s="17">
        <v>38</v>
      </c>
      <c r="AD180" s="17">
        <v>1</v>
      </c>
      <c r="AE180" s="17">
        <v>29</v>
      </c>
      <c r="AF180" s="32"/>
      <c r="AG180" s="7"/>
    </row>
    <row r="181">
      <c r="A181" s="15"/>
      <c r="B181" s="75" t="s">
        <v>42</v>
      </c>
      <c r="C181" s="75"/>
      <c r="D181" s="75">
        <f>SUM(D176:D180)</f>
      </c>
      <c r="E181" s="75">
        <f>SUM(E176:E180)</f>
      </c>
      <c r="F181" s="75">
        <f>SUM(F176:F180)</f>
      </c>
      <c r="G181" s="75">
        <f>SUM(G176:G180)</f>
      </c>
      <c r="H181" s="75">
        <f>SUM(H176:H180)</f>
      </c>
      <c r="I181" s="75">
        <f>SUM(I176:I180)</f>
      </c>
      <c r="J181" s="76">
        <f t="shared" si="4"/>
      </c>
      <c r="K181" s="77">
        <f t="shared" si="37"/>
      </c>
      <c r="L181" s="78">
        <f t="shared" si="81"/>
      </c>
      <c r="M181" s="77">
        <f t="shared" si="48"/>
      </c>
      <c r="N181" s="77">
        <f t="shared" si="173"/>
      </c>
      <c r="O181" s="78">
        <f t="shared" si="15"/>
      </c>
      <c r="P181" s="77">
        <f t="shared" si="59"/>
      </c>
      <c r="Q181" s="77">
        <f t="shared" si="92"/>
      </c>
      <c r="R181" s="78">
        <f t="shared" si="184"/>
      </c>
      <c r="S181" s="79">
        <f t="shared" si="26"/>
      </c>
      <c r="T181" s="78">
        <f t="shared" si="70"/>
      </c>
      <c r="U181" s="80">
        <f t="shared" si="103"/>
      </c>
      <c r="V181" s="80"/>
      <c r="W181" s="80"/>
      <c r="X181" s="90">
        <f>SUM(X176:X180)</f>
      </c>
      <c r="Y181" s="82">
        <f>SUM(Y176:Y180)</f>
      </c>
      <c r="Z181" s="82">
        <f>SUM(Z176:Z180)</f>
      </c>
      <c r="AA181" s="82">
        <f>SUM(AA176:AA180)</f>
      </c>
      <c r="AB181" s="82">
        <f>SUM(AB176:AB180)</f>
      </c>
      <c r="AC181" s="82">
        <f>SUM(AC176:AC180)</f>
      </c>
      <c r="AD181" s="82">
        <f>SUM(AD176:AD180)</f>
      </c>
      <c r="AE181" s="82">
        <f>SUM(AE176:AE180)</f>
      </c>
      <c r="AF181" s="7"/>
      <c r="AG181" s="7"/>
    </row>
    <row r="182">
      <c r="A182" s="15"/>
      <c r="B182" s="63" t="s">
        <v>48</v>
      </c>
      <c r="C182" s="17" t="s">
        <v>66</v>
      </c>
      <c r="D182" s="64">
        <f t="shared" ref="D182:D183" si="143">E182+F182+G182</f>
      </c>
      <c r="E182" s="17">
        <v>1044.28</v>
      </c>
      <c r="F182" s="17">
        <v>892.89</v>
      </c>
      <c r="G182" s="17">
        <v>0</v>
      </c>
      <c r="H182" s="17">
        <v>0</v>
      </c>
      <c r="I182" s="17">
        <v>0</v>
      </c>
      <c r="J182" s="65">
        <f t="shared" si="4"/>
      </c>
      <c r="K182" s="66">
        <f t="shared" si="37"/>
      </c>
      <c r="L182" s="67">
        <f t="shared" si="81"/>
      </c>
      <c r="M182" s="66">
        <f t="shared" si="48"/>
      </c>
      <c r="N182" s="66">
        <f t="shared" si="173"/>
      </c>
      <c r="O182" s="67">
        <f t="shared" si="15"/>
      </c>
      <c r="P182" s="66">
        <f t="shared" si="59"/>
      </c>
      <c r="Q182" s="66">
        <f t="shared" si="92"/>
      </c>
      <c r="R182" s="67">
        <f t="shared" si="184"/>
      </c>
      <c r="S182" s="68">
        <f t="shared" si="26"/>
      </c>
      <c r="T182" s="67">
        <f t="shared" si="70"/>
      </c>
      <c r="U182" s="69">
        <f t="shared" si="103"/>
      </c>
      <c r="V182" s="70" t="s">
        <v>37</v>
      </c>
      <c r="W182" s="71" t="s">
        <v>50</v>
      </c>
      <c r="X182" s="92">
        <v>0</v>
      </c>
      <c r="Y182" s="17">
        <v>6944</v>
      </c>
      <c r="Z182" s="17">
        <v>187</v>
      </c>
      <c r="AA182" s="64">
        <v>228</v>
      </c>
      <c r="AB182" s="17">
        <v>40</v>
      </c>
      <c r="AC182" s="17">
        <v>36</v>
      </c>
      <c r="AD182" s="17">
        <v>2</v>
      </c>
      <c r="AE182" s="17">
        <v>11</v>
      </c>
      <c r="AF182" s="32"/>
      <c r="AG182" s="7"/>
    </row>
    <row r="183">
      <c r="A183" s="15"/>
      <c r="B183" s="72" t="s">
        <v>51</v>
      </c>
      <c r="C183" s="17" t="s">
        <v>66</v>
      </c>
      <c r="D183" s="64">
        <f t="shared" si="143"/>
      </c>
      <c r="E183" s="64">
        <v>283.63</v>
      </c>
      <c r="F183" s="17">
        <v>833.3</v>
      </c>
      <c r="G183" s="17">
        <v>0</v>
      </c>
      <c r="H183" s="17">
        <v>0</v>
      </c>
      <c r="I183" s="17">
        <v>0</v>
      </c>
      <c r="J183" s="65">
        <f t="shared" si="4"/>
      </c>
      <c r="K183" s="66">
        <f t="shared" si="37"/>
      </c>
      <c r="L183" s="67">
        <f t="shared" si="81"/>
      </c>
      <c r="M183" s="66">
        <f t="shared" si="48"/>
      </c>
      <c r="N183" s="66">
        <f t="shared" si="173"/>
      </c>
      <c r="O183" s="67">
        <f t="shared" si="15"/>
      </c>
      <c r="P183" s="66">
        <f t="shared" si="59"/>
      </c>
      <c r="Q183" s="66">
        <f t="shared" si="92"/>
      </c>
      <c r="R183" s="67">
        <f t="shared" si="184"/>
      </c>
      <c r="S183" s="68">
        <f t="shared" si="26"/>
      </c>
      <c r="T183" s="67">
        <f t="shared" si="70"/>
      </c>
      <c r="U183" s="69">
        <f t="shared" si="103"/>
      </c>
      <c r="V183" s="70" t="s">
        <v>37</v>
      </c>
      <c r="W183" s="71" t="s">
        <v>50</v>
      </c>
      <c r="X183" s="91">
        <v>0</v>
      </c>
      <c r="Y183" s="64">
        <v>7002</v>
      </c>
      <c r="Z183" s="64">
        <v>243</v>
      </c>
      <c r="AA183" s="64">
        <v>338</v>
      </c>
      <c r="AB183" s="64">
        <v>47</v>
      </c>
      <c r="AC183" s="64">
        <v>18</v>
      </c>
      <c r="AD183" s="17">
        <v>0</v>
      </c>
      <c r="AE183" s="17">
        <v>14</v>
      </c>
      <c r="AF183" s="7"/>
      <c r="AG183" s="7"/>
    </row>
    <row r="184">
      <c r="A184" s="15"/>
      <c r="B184" s="75" t="s">
        <v>42</v>
      </c>
      <c r="C184" s="75"/>
      <c r="D184" s="75">
        <f>SUM(D182:D183)</f>
      </c>
      <c r="E184" s="75">
        <f>SUM(E182:E183)</f>
      </c>
      <c r="F184" s="75">
        <f>SUM(F182:F183)</f>
      </c>
      <c r="G184" s="75">
        <f>SUM(G182:G183)</f>
      </c>
      <c r="H184" s="75">
        <f>SUM(H182:H183)</f>
      </c>
      <c r="I184" s="75">
        <f>SUM(I182:I183)</f>
      </c>
      <c r="J184" s="76">
        <f t="shared" si="4"/>
      </c>
      <c r="K184" s="77">
        <f t="shared" si="37"/>
      </c>
      <c r="L184" s="78">
        <f t="shared" si="81"/>
      </c>
      <c r="M184" s="77">
        <f t="shared" si="48"/>
      </c>
      <c r="N184" s="77">
        <f t="shared" si="173"/>
      </c>
      <c r="O184" s="78">
        <f t="shared" si="15"/>
      </c>
      <c r="P184" s="77">
        <f t="shared" si="59"/>
      </c>
      <c r="Q184" s="77">
        <f t="shared" si="92"/>
      </c>
      <c r="R184" s="78">
        <f t="shared" si="184"/>
      </c>
      <c r="S184" s="79">
        <f t="shared" si="26"/>
      </c>
      <c r="T184" s="78">
        <f t="shared" si="70"/>
      </c>
      <c r="U184" s="80">
        <f t="shared" si="103"/>
      </c>
      <c r="V184" s="80"/>
      <c r="W184" s="80"/>
      <c r="X184" s="90">
        <f>SUM(X182:X183)</f>
      </c>
      <c r="Y184" s="75">
        <f>SUM(Y182:Y183)</f>
      </c>
      <c r="Z184" s="75">
        <f>SUM(Z182:Z183)</f>
      </c>
      <c r="AA184" s="75">
        <f>SUM(AA182:AA183)</f>
      </c>
      <c r="AB184" s="75">
        <f>SUM(AB182:AB183)</f>
      </c>
      <c r="AC184" s="75">
        <f>SUM(AC182:AC183)</f>
      </c>
      <c r="AD184" s="75">
        <f>SUM(AD182:AD183)</f>
      </c>
      <c r="AE184" s="75">
        <f>SUM(AE182:AE183)</f>
      </c>
      <c r="AF184" s="7"/>
      <c r="AG184" s="7"/>
    </row>
    <row r="185">
      <c r="A185" s="15"/>
      <c r="B185" s="63" t="s">
        <v>52</v>
      </c>
      <c r="C185" s="17" t="s">
        <v>44</v>
      </c>
      <c r="D185" s="64">
        <f t="shared" ref="D185:D188" si="144">E185+F185+G185</f>
      </c>
      <c r="E185" s="17">
        <v>1205.35</v>
      </c>
      <c r="F185" s="17">
        <v>1245.5</v>
      </c>
      <c r="G185" s="17">
        <v>0</v>
      </c>
      <c r="H185" s="17">
        <v>2</v>
      </c>
      <c r="I185" s="17">
        <v>4374</v>
      </c>
      <c r="J185" s="65">
        <f t="shared" si="4"/>
      </c>
      <c r="K185" s="66">
        <f t="shared" si="37"/>
      </c>
      <c r="L185" s="67">
        <f t="shared" si="81"/>
      </c>
      <c r="M185" s="66">
        <f t="shared" si="48"/>
      </c>
      <c r="N185" s="66">
        <f t="shared" si="173"/>
      </c>
      <c r="O185" s="67">
        <f t="shared" si="15"/>
      </c>
      <c r="P185" s="66">
        <f t="shared" si="59"/>
      </c>
      <c r="Q185" s="66">
        <f t="shared" si="92"/>
      </c>
      <c r="R185" s="67">
        <f t="shared" si="184"/>
      </c>
      <c r="S185" s="68">
        <f t="shared" si="26"/>
      </c>
      <c r="T185" s="67">
        <f t="shared" si="70"/>
      </c>
      <c r="U185" s="69">
        <f t="shared" si="103"/>
      </c>
      <c r="V185" s="70" t="s">
        <v>37</v>
      </c>
      <c r="W185" s="71" t="s">
        <v>50</v>
      </c>
      <c r="X185" s="91">
        <v>2</v>
      </c>
      <c r="Y185" s="64">
        <v>8432</v>
      </c>
      <c r="Z185" s="64">
        <v>815</v>
      </c>
      <c r="AA185" s="64">
        <v>1098</v>
      </c>
      <c r="AB185" s="64">
        <v>287</v>
      </c>
      <c r="AC185" s="64">
        <v>25</v>
      </c>
      <c r="AD185" s="17">
        <v>3</v>
      </c>
      <c r="AE185" s="17">
        <v>25</v>
      </c>
      <c r="AF185" s="7"/>
      <c r="AG185" s="7"/>
    </row>
    <row r="186">
      <c r="A186" s="15"/>
      <c r="B186" s="72" t="s">
        <v>53</v>
      </c>
      <c r="C186" s="17" t="s">
        <v>44</v>
      </c>
      <c r="D186" s="64">
        <f t="shared" si="144"/>
      </c>
      <c r="E186" s="17">
        <v>437.36</v>
      </c>
      <c r="F186" s="17">
        <v>1056.09</v>
      </c>
      <c r="G186" s="17">
        <v>0</v>
      </c>
      <c r="H186" s="17">
        <v>0</v>
      </c>
      <c r="I186" s="17">
        <v>0</v>
      </c>
      <c r="J186" s="65">
        <f t="shared" si="4"/>
      </c>
      <c r="K186" s="66">
        <f t="shared" si="37"/>
      </c>
      <c r="L186" s="67">
        <f t="shared" si="81"/>
      </c>
      <c r="M186" s="66">
        <f t="shared" si="48"/>
      </c>
      <c r="N186" s="66">
        <f t="shared" si="173"/>
      </c>
      <c r="O186" s="67">
        <f t="shared" si="15"/>
      </c>
      <c r="P186" s="66">
        <f t="shared" si="59"/>
      </c>
      <c r="Q186" s="66">
        <f t="shared" si="92"/>
      </c>
      <c r="R186" s="67">
        <f t="shared" si="184"/>
      </c>
      <c r="S186" s="68">
        <f t="shared" si="26"/>
      </c>
      <c r="T186" s="67">
        <f t="shared" si="70"/>
      </c>
      <c r="U186" s="69">
        <f t="shared" si="103"/>
      </c>
      <c r="V186" s="70" t="s">
        <v>37</v>
      </c>
      <c r="W186" s="71" t="s">
        <v>50</v>
      </c>
      <c r="X186" s="91">
        <v>0</v>
      </c>
      <c r="Y186" s="64">
        <v>6882</v>
      </c>
      <c r="Z186" s="64">
        <v>187</v>
      </c>
      <c r="AA186" s="64">
        <v>241</v>
      </c>
      <c r="AB186" s="64">
        <v>54</v>
      </c>
      <c r="AC186" s="64">
        <v>19</v>
      </c>
      <c r="AD186" s="17">
        <v>0</v>
      </c>
      <c r="AE186" s="17">
        <v>7</v>
      </c>
      <c r="AF186" s="7"/>
      <c r="AG186" s="7"/>
    </row>
    <row r="187">
      <c r="A187" s="15"/>
      <c r="B187" s="72" t="s">
        <v>54</v>
      </c>
      <c r="C187" s="17" t="s">
        <v>44</v>
      </c>
      <c r="D187" s="64">
        <f t="shared" si="144"/>
      </c>
      <c r="E187" s="17">
        <v>1560.2</v>
      </c>
      <c r="F187" s="17">
        <v>1017.67</v>
      </c>
      <c r="G187" s="17">
        <v>0</v>
      </c>
      <c r="H187" s="17">
        <v>1</v>
      </c>
      <c r="I187" s="17">
        <v>466.5599999999977</v>
      </c>
      <c r="J187" s="65">
        <f t="shared" si="4"/>
      </c>
      <c r="K187" s="66">
        <f t="shared" si="37"/>
      </c>
      <c r="L187" s="67">
        <f t="shared" si="81"/>
      </c>
      <c r="M187" s="66">
        <f t="shared" si="48"/>
      </c>
      <c r="N187" s="66">
        <f t="shared" si="173"/>
      </c>
      <c r="O187" s="67">
        <f t="shared" si="15"/>
      </c>
      <c r="P187" s="66">
        <f t="shared" si="59"/>
      </c>
      <c r="Q187" s="66">
        <f t="shared" si="92"/>
      </c>
      <c r="R187" s="67">
        <f t="shared" si="184"/>
      </c>
      <c r="S187" s="68">
        <f t="shared" si="26"/>
      </c>
      <c r="T187" s="67">
        <f t="shared" si="70"/>
      </c>
      <c r="U187" s="69">
        <f t="shared" si="103"/>
      </c>
      <c r="V187" s="70" t="s">
        <v>37</v>
      </c>
      <c r="W187" s="71" t="s">
        <v>50</v>
      </c>
      <c r="X187" s="91">
        <v>1</v>
      </c>
      <c r="Y187" s="64">
        <v>13902</v>
      </c>
      <c r="Z187" s="64">
        <v>415</v>
      </c>
      <c r="AA187" s="64">
        <v>463</v>
      </c>
      <c r="AB187" s="64">
        <v>112</v>
      </c>
      <c r="AC187" s="64">
        <v>70</v>
      </c>
      <c r="AD187" s="17">
        <v>2</v>
      </c>
      <c r="AE187" s="17">
        <v>21</v>
      </c>
      <c r="AF187" s="7"/>
      <c r="AG187" s="7"/>
    </row>
    <row r="188">
      <c r="A188" s="15"/>
      <c r="B188" s="17" t="s">
        <v>56</v>
      </c>
      <c r="C188" s="17" t="s">
        <v>44</v>
      </c>
      <c r="D188" s="64">
        <f t="shared" si="144"/>
      </c>
      <c r="E188" s="17">
        <v>634.81</v>
      </c>
      <c r="F188" s="17">
        <v>1008.9</v>
      </c>
      <c r="G188" s="17">
        <v>0</v>
      </c>
      <c r="H188" s="17">
        <v>0</v>
      </c>
      <c r="I188" s="17">
        <v>0</v>
      </c>
      <c r="J188" s="65">
        <f t="shared" si="4"/>
      </c>
      <c r="K188" s="66">
        <f t="shared" si="37"/>
      </c>
      <c r="L188" s="67">
        <f t="shared" si="81"/>
      </c>
      <c r="M188" s="66">
        <f t="shared" si="48"/>
      </c>
      <c r="N188" s="66">
        <f t="shared" si="173"/>
      </c>
      <c r="O188" s="67">
        <f t="shared" si="15"/>
      </c>
      <c r="P188" s="66">
        <f t="shared" si="59"/>
      </c>
      <c r="Q188" s="66">
        <f t="shared" si="92"/>
      </c>
      <c r="R188" s="67">
        <f t="shared" si="184"/>
      </c>
      <c r="S188" s="68">
        <f t="shared" si="26"/>
      </c>
      <c r="T188" s="67">
        <f t="shared" si="70"/>
      </c>
      <c r="U188" s="69">
        <f t="shared" si="103"/>
      </c>
      <c r="V188" s="70" t="s">
        <v>37</v>
      </c>
      <c r="W188" s="71" t="s">
        <v>50</v>
      </c>
      <c r="X188" s="93">
        <v>0</v>
      </c>
      <c r="Y188" s="64">
        <v>7368</v>
      </c>
      <c r="Z188" s="64">
        <v>213</v>
      </c>
      <c r="AA188" s="64">
        <v>301</v>
      </c>
      <c r="AB188" s="64">
        <v>45</v>
      </c>
      <c r="AC188" s="64">
        <v>33</v>
      </c>
      <c r="AD188" s="17">
        <v>2</v>
      </c>
      <c r="AE188" s="17">
        <v>15</v>
      </c>
      <c r="AF188" s="7"/>
      <c r="AG188" s="7"/>
    </row>
    <row r="189">
      <c r="A189" s="15"/>
      <c r="B189" s="75" t="s">
        <v>42</v>
      </c>
      <c r="C189" s="75"/>
      <c r="D189" s="75">
        <f>SUM(D185:D188)</f>
      </c>
      <c r="E189" s="75">
        <f>SUM(E185:E188)</f>
      </c>
      <c r="F189" s="75">
        <f>SUM(F185:F188)</f>
      </c>
      <c r="G189" s="75">
        <f>SUM(G185:G188)</f>
      </c>
      <c r="H189" s="75">
        <f>SUM(H185:H188)</f>
      </c>
      <c r="I189" s="75">
        <f>SUM(I185:I188)</f>
      </c>
      <c r="J189" s="76">
        <f t="shared" si="4"/>
      </c>
      <c r="K189" s="77">
        <f t="shared" si="37"/>
      </c>
      <c r="L189" s="78">
        <f t="shared" si="81"/>
      </c>
      <c r="M189" s="77">
        <f t="shared" si="48"/>
      </c>
      <c r="N189" s="77">
        <f t="shared" si="173"/>
      </c>
      <c r="O189" s="78">
        <f t="shared" si="15"/>
      </c>
      <c r="P189" s="77">
        <f t="shared" si="59"/>
      </c>
      <c r="Q189" s="77">
        <f t="shared" si="92"/>
      </c>
      <c r="R189" s="78">
        <f t="shared" si="184"/>
      </c>
      <c r="S189" s="79">
        <f t="shared" si="26"/>
      </c>
      <c r="T189" s="78">
        <f t="shared" si="70"/>
      </c>
      <c r="U189" s="80">
        <f t="shared" si="103"/>
      </c>
      <c r="V189" s="80"/>
      <c r="W189" s="80"/>
      <c r="X189" s="90">
        <f>SUM(X185:X188)</f>
      </c>
      <c r="Y189" s="75">
        <f>SUM(Y185:Y188)</f>
      </c>
      <c r="Z189" s="75">
        <f>SUM(Z185:Z188)</f>
      </c>
      <c r="AA189" s="75">
        <f>SUM(AA185:AA188)</f>
      </c>
      <c r="AB189" s="75">
        <f>SUM(AB185:AB188)</f>
      </c>
      <c r="AC189" s="75">
        <f>SUM(AC185:AC188)</f>
      </c>
      <c r="AD189" s="75">
        <f>SUM(AD185:AD188)</f>
      </c>
      <c r="AE189" s="75">
        <f>SUM(AE185:AE188)</f>
      </c>
      <c r="AF189" s="7"/>
      <c r="AG189" s="7"/>
    </row>
    <row r="190">
      <c r="A190" s="15"/>
      <c r="B190" s="64" t="s">
        <v>57</v>
      </c>
      <c r="C190" s="17" t="s">
        <v>55</v>
      </c>
      <c r="D190" s="64">
        <f t="shared" ref="D190:D191" si="145">E190+F190+G190</f>
      </c>
      <c r="E190" s="17">
        <v>1530.92</v>
      </c>
      <c r="F190" s="17">
        <v>1009.74</v>
      </c>
      <c r="G190" s="17">
        <v>0</v>
      </c>
      <c r="H190" s="17">
        <v>1</v>
      </c>
      <c r="I190" s="17">
        <v>4557</v>
      </c>
      <c r="J190" s="65">
        <f t="shared" si="4"/>
      </c>
      <c r="K190" s="66">
        <f t="shared" si="37"/>
      </c>
      <c r="L190" s="67">
        <f t="shared" si="81"/>
      </c>
      <c r="M190" s="66">
        <f t="shared" si="48"/>
      </c>
      <c r="N190" s="66">
        <f t="shared" si="173"/>
      </c>
      <c r="O190" s="67">
        <f t="shared" si="15"/>
      </c>
      <c r="P190" s="66">
        <f t="shared" si="59"/>
      </c>
      <c r="Q190" s="66">
        <f t="shared" si="92"/>
      </c>
      <c r="R190" s="67">
        <f t="shared" si="184"/>
      </c>
      <c r="S190" s="68">
        <f t="shared" si="26"/>
      </c>
      <c r="T190" s="67">
        <f t="shared" si="70"/>
      </c>
      <c r="U190" s="69">
        <f t="shared" si="103"/>
      </c>
      <c r="V190" s="70" t="s">
        <v>37</v>
      </c>
      <c r="W190" s="71" t="s">
        <v>50</v>
      </c>
      <c r="X190" s="92">
        <v>1</v>
      </c>
      <c r="Y190" s="64">
        <v>7879</v>
      </c>
      <c r="Z190" s="64">
        <v>506</v>
      </c>
      <c r="AA190" s="64">
        <v>570</v>
      </c>
      <c r="AB190" s="64">
        <v>139</v>
      </c>
      <c r="AC190" s="17">
        <v>42</v>
      </c>
      <c r="AD190" s="17">
        <v>2</v>
      </c>
      <c r="AE190" s="17">
        <v>26</v>
      </c>
      <c r="AF190" s="7"/>
      <c r="AG190" s="7"/>
    </row>
    <row r="191">
      <c r="A191" s="15"/>
      <c r="B191" s="17" t="s">
        <v>58</v>
      </c>
      <c r="C191" s="17" t="s">
        <v>55</v>
      </c>
      <c r="D191" s="64">
        <f t="shared" si="145"/>
      </c>
      <c r="E191" s="17">
        <v>855.93</v>
      </c>
      <c r="F191" s="17">
        <v>1290.46</v>
      </c>
      <c r="G191" s="17">
        <v>0</v>
      </c>
      <c r="H191" s="17">
        <v>2</v>
      </c>
      <c r="I191" s="17">
        <v>1682.6399999999994</v>
      </c>
      <c r="J191" s="65">
        <f t="shared" si="4"/>
      </c>
      <c r="K191" s="66">
        <f t="shared" si="37"/>
      </c>
      <c r="L191" s="67">
        <f t="shared" si="81"/>
      </c>
      <c r="M191" s="66">
        <f t="shared" si="48"/>
      </c>
      <c r="N191" s="66">
        <f t="shared" si="173"/>
      </c>
      <c r="O191" s="67">
        <f t="shared" si="15"/>
      </c>
      <c r="P191" s="66">
        <f t="shared" si="59"/>
      </c>
      <c r="Q191" s="66">
        <f t="shared" si="92"/>
      </c>
      <c r="R191" s="67">
        <f t="shared" si="184"/>
      </c>
      <c r="S191" s="68">
        <f t="shared" si="26"/>
      </c>
      <c r="T191" s="67">
        <f t="shared" si="70"/>
      </c>
      <c r="U191" s="69">
        <f t="shared" si="103"/>
      </c>
      <c r="V191" s="70" t="s">
        <v>37</v>
      </c>
      <c r="W191" s="71" t="s">
        <v>50</v>
      </c>
      <c r="X191" s="91">
        <v>1</v>
      </c>
      <c r="Y191" s="64">
        <v>10110</v>
      </c>
      <c r="Z191" s="64">
        <v>526</v>
      </c>
      <c r="AA191" s="64">
        <v>660</v>
      </c>
      <c r="AB191" s="64">
        <v>137</v>
      </c>
      <c r="AC191" s="64">
        <v>48</v>
      </c>
      <c r="AD191" s="17">
        <v>3</v>
      </c>
      <c r="AE191" s="17">
        <v>21</v>
      </c>
      <c r="AF191" s="7"/>
      <c r="AG191" s="7"/>
    </row>
    <row r="192">
      <c r="A192" s="15"/>
      <c r="B192" s="75" t="s">
        <v>42</v>
      </c>
      <c r="C192" s="75"/>
      <c r="D192" s="75">
        <f>SUM(D190:D191)</f>
      </c>
      <c r="E192" s="95">
        <v>736.05</v>
      </c>
      <c r="F192" s="75">
        <f>SUM(F190:F191)</f>
      </c>
      <c r="G192" s="75">
        <f>SUM(G190:G191)</f>
      </c>
      <c r="H192" s="75">
        <f>SUM(H190:H191)</f>
      </c>
      <c r="I192" s="75">
        <f>SUM(I190:I191)</f>
      </c>
      <c r="J192" s="76">
        <f t="shared" si="4"/>
      </c>
      <c r="K192" s="77">
        <f t="shared" si="37"/>
      </c>
      <c r="L192" s="78">
        <f t="shared" si="81"/>
      </c>
      <c r="M192" s="77">
        <f t="shared" si="48"/>
      </c>
      <c r="N192" s="77">
        <f t="shared" si="173"/>
      </c>
      <c r="O192" s="78">
        <f t="shared" si="15"/>
      </c>
      <c r="P192" s="77">
        <f t="shared" si="59"/>
      </c>
      <c r="Q192" s="77">
        <f t="shared" si="92"/>
      </c>
      <c r="R192" s="78">
        <f t="shared" si="184"/>
      </c>
      <c r="S192" s="79">
        <f t="shared" si="26"/>
      </c>
      <c r="T192" s="78">
        <f t="shared" si="70"/>
      </c>
      <c r="U192" s="80">
        <f t="shared" si="103"/>
      </c>
      <c r="V192" s="80"/>
      <c r="W192" s="80"/>
      <c r="X192" s="90">
        <f>SUM(X190:X191)</f>
      </c>
      <c r="Y192" s="82">
        <f>SUM(Y190:Y191)</f>
      </c>
      <c r="Z192" s="82">
        <f>SUM(Z190:Z191)</f>
      </c>
      <c r="AA192" s="82">
        <f>SUM(AA190:AA191)</f>
      </c>
      <c r="AB192" s="82">
        <f>SUM(AB190:AB191)</f>
      </c>
      <c r="AC192" s="82">
        <f>SUM(AC190:AC191)</f>
      </c>
      <c r="AD192" s="82">
        <f>SUM(AD190:AD191)</f>
      </c>
      <c r="AE192" s="82">
        <f>AE190+AE191</f>
      </c>
      <c r="AF192" s="7"/>
      <c r="AG192" s="7"/>
    </row>
    <row r="193">
      <c r="A193" s="15"/>
      <c r="B193" s="85" t="s">
        <v>59</v>
      </c>
      <c r="C193" s="85"/>
      <c r="D193" s="55">
        <f>D192+D189+D184+D181+D175+D169</f>
      </c>
      <c r="E193" s="55">
        <f>E192+E189+E184+E181+E175+E169</f>
      </c>
      <c r="F193" s="55">
        <f>F192+F189+F184+F181+F175+F169</f>
      </c>
      <c r="G193" s="55">
        <f>G192+G189+G184+G181+G175+G169</f>
      </c>
      <c r="H193" s="55">
        <f>H192+H189+H184+H181+H175+H169</f>
      </c>
      <c r="I193" s="55">
        <f>I192+I189+I184+I181+I175+I169</f>
      </c>
      <c r="J193" s="55">
        <f t="shared" si="4"/>
      </c>
      <c r="K193" s="86">
        <f t="shared" si="37"/>
      </c>
      <c r="L193" s="55">
        <f t="shared" si="81"/>
      </c>
      <c r="M193" s="86">
        <f t="shared" si="48"/>
      </c>
      <c r="N193" s="86">
        <f t="shared" si="173"/>
      </c>
      <c r="O193" s="55">
        <f t="shared" si="15"/>
      </c>
      <c r="P193" s="86">
        <f t="shared" si="59"/>
      </c>
      <c r="Q193" s="86">
        <f t="shared" si="92"/>
      </c>
      <c r="R193" s="55">
        <f t="shared" si="184"/>
      </c>
      <c r="S193" s="87">
        <f t="shared" si="26"/>
      </c>
      <c r="T193" s="55">
        <f t="shared" si="70"/>
      </c>
      <c r="U193" s="88">
        <f t="shared" si="103"/>
      </c>
      <c r="V193" s="88"/>
      <c r="W193" s="88"/>
      <c r="X193" s="55">
        <f>X192+X189+X184+X181+X175+X169</f>
      </c>
      <c r="Y193" s="55">
        <f>Y192+Y189+Y184+Y181+Y175+Y169</f>
      </c>
      <c r="Z193" s="55">
        <f>Z192+Z189+Z184+Z181+Z175+Z169</f>
      </c>
      <c r="AA193" s="55">
        <f>AA192+AA189+AA184+AA181+AA175+AA169</f>
      </c>
      <c r="AB193" s="55">
        <f>AB192+AB189+AB184+AB181+AB175+AB169</f>
      </c>
      <c r="AC193" s="55">
        <f>AC192+AC189+AC184+AC181+AC175+AC169</f>
      </c>
      <c r="AD193" s="55">
        <f>AD192+AD189+AD184+AD181+AD175+AD169</f>
      </c>
      <c r="AE193" s="55">
        <f>AE192+AE189+AE184+AE181+AE175+AE169</f>
      </c>
      <c r="AF193" s="7"/>
      <c r="AG193" s="7"/>
    </row>
    <row r="194">
      <c r="A194" s="1" t="s">
        <v>1</v>
      </c>
      <c r="B194" s="1"/>
      <c r="C194" s="1"/>
      <c r="D194" s="2" t="s">
        <v>2</v>
      </c>
      <c r="E194" s="2"/>
      <c r="F194" s="2"/>
      <c r="G194" s="2"/>
      <c r="H194" s="2"/>
      <c r="I194" s="2"/>
      <c r="J194" s="2"/>
      <c r="K194" s="3" t="s">
        <v>3</v>
      </c>
      <c r="L194" s="3"/>
      <c r="M194" s="3"/>
      <c r="N194" s="3"/>
      <c r="O194" s="3"/>
      <c r="P194" s="3"/>
      <c r="Q194" s="3"/>
      <c r="R194" s="3"/>
      <c r="S194" s="3"/>
      <c r="T194" s="3"/>
      <c r="U194" s="4"/>
      <c r="V194" s="4"/>
      <c r="W194" s="4"/>
      <c r="X194" s="5"/>
      <c r="Y194" s="5"/>
      <c r="Z194" s="5"/>
      <c r="AA194" s="5"/>
      <c r="AB194" s="5"/>
      <c r="AC194" s="5"/>
      <c r="AD194" s="5"/>
      <c r="AE194" s="6" t="s">
        <v>4</v>
      </c>
      <c r="AF194" s="7"/>
      <c r="AG194" s="7"/>
    </row>
    <row r="195">
      <c r="A195" s="1" t="s">
        <v>5</v>
      </c>
      <c r="B195" s="1" t="s">
        <v>6</v>
      </c>
      <c r="C195" s="1" t="s">
        <v>7</v>
      </c>
      <c r="D195" s="2" t="s">
        <v>8</v>
      </c>
      <c r="E195" s="8" t="s">
        <v>9</v>
      </c>
      <c r="F195" s="8" t="s">
        <v>10</v>
      </c>
      <c r="G195" s="9" t="s">
        <v>11</v>
      </c>
      <c r="H195" s="10" t="s">
        <v>12</v>
      </c>
      <c r="I195" s="2" t="s">
        <v>13</v>
      </c>
      <c r="J195" s="8" t="s">
        <v>14</v>
      </c>
      <c r="K195" s="3" t="s">
        <v>15</v>
      </c>
      <c r="L195" s="3" t="s">
        <v>16</v>
      </c>
      <c r="M195" s="11" t="s">
        <v>17</v>
      </c>
      <c r="N195" s="11" t="s">
        <v>18</v>
      </c>
      <c r="O195" s="3" t="s">
        <v>19</v>
      </c>
      <c r="P195" s="11" t="s">
        <v>20</v>
      </c>
      <c r="Q195" s="11" t="s">
        <v>21</v>
      </c>
      <c r="R195" s="3" t="s">
        <v>22</v>
      </c>
      <c r="S195" s="11" t="s">
        <v>23</v>
      </c>
      <c r="T195" s="3" t="s">
        <v>24</v>
      </c>
      <c r="U195" s="12" t="s">
        <v>25</v>
      </c>
      <c r="V195" s="12" t="s">
        <v>26</v>
      </c>
      <c r="W195" s="12" t="s">
        <v>27</v>
      </c>
      <c r="X195" s="13" t="s">
        <v>28</v>
      </c>
      <c r="Y195" s="14" t="s">
        <v>29</v>
      </c>
      <c r="Z195" s="14" t="s">
        <v>30</v>
      </c>
      <c r="AA195" s="14" t="s">
        <v>31</v>
      </c>
      <c r="AB195" s="14" t="s">
        <v>32</v>
      </c>
      <c r="AC195" s="14" t="s">
        <v>33</v>
      </c>
      <c r="AD195" s="14" t="s">
        <v>34</v>
      </c>
      <c r="AE195" s="6"/>
      <c r="AF195" s="7"/>
      <c r="AG195" s="7"/>
    </row>
    <row customHeight="true" ht="18.452380952380953" r="196">
      <c r="A196" s="15">
        <v>46304</v>
      </c>
      <c r="B196" s="18" t="s">
        <v>67</v>
      </c>
      <c r="C196" s="17" t="s">
        <v>55</v>
      </c>
      <c r="D196" s="64">
        <f t="shared" ref="D196:D197" si="146">E196+F196+G196</f>
      </c>
      <c r="E196" s="17">
        <v>581.81</v>
      </c>
      <c r="F196" s="17">
        <v>985.88</v>
      </c>
      <c r="G196" s="17">
        <v>0</v>
      </c>
      <c r="H196" s="17">
        <v>1</v>
      </c>
      <c r="I196" s="17">
        <v>466.5599999999977</v>
      </c>
      <c r="J196" s="65">
        <f t="shared" ref="J196:J222" si="5">I196/D196</f>
      </c>
      <c r="K196" s="66">
        <f t="shared" ref="K196:K222" si="38">Z196/Y196</f>
      </c>
      <c r="L196" s="67">
        <f t="shared" ref="L196:L222" si="82">D196/AA196</f>
      </c>
      <c r="M196" s="66">
        <f t="shared" ref="M196:M222" si="49">AB196/AA196</f>
      </c>
      <c r="N196" s="66">
        <f t="shared" ref="N196:N222" si="174">AC196/AA196</f>
      </c>
      <c r="O196" s="67">
        <f t="shared" ref="O196:O222" si="16">D196/AC196</f>
      </c>
      <c r="P196" s="66">
        <f t="shared" ref="P196:P222" si="60">AD196/AC196</f>
      </c>
      <c r="Q196" s="66">
        <f t="shared" ref="Q196:Q222" si="93">H196/AD196</f>
      </c>
      <c r="R196" s="67">
        <f t="shared" ref="R196:R222" si="185">D196/H196</f>
      </c>
      <c r="S196" s="68">
        <f t="shared" ref="S196:S222" si="27">I196/H196</f>
      </c>
      <c r="T196" s="67">
        <f t="shared" ref="T196:T222" si="71">D196/X196</f>
      </c>
      <c r="U196" s="69">
        <f t="shared" ref="U196:U222" si="104">AE196*1000/D196</f>
      </c>
      <c r="V196" s="70" t="s">
        <v>37</v>
      </c>
      <c r="W196" s="71" t="s">
        <v>50</v>
      </c>
      <c r="X196" s="91">
        <v>1</v>
      </c>
      <c r="Y196" s="64">
        <v>7307</v>
      </c>
      <c r="Z196" s="64">
        <v>519</v>
      </c>
      <c r="AA196" s="64">
        <v>702</v>
      </c>
      <c r="AB196" s="64">
        <v>87</v>
      </c>
      <c r="AC196" s="17">
        <v>35</v>
      </c>
      <c r="AD196" s="17">
        <v>1</v>
      </c>
      <c r="AE196" s="17">
        <v>15</v>
      </c>
      <c r="AF196" s="32"/>
      <c r="AG196" s="7"/>
    </row>
    <row customHeight="true" ht="18.452380952380953" r="197">
      <c r="A197" s="15"/>
      <c r="B197" s="96" t="s">
        <v>68</v>
      </c>
      <c r="C197" s="97" t="s">
        <v>55</v>
      </c>
      <c r="D197" s="98">
        <f t="shared" si="146"/>
      </c>
      <c r="E197" s="17">
        <v>1745.4499999999998</v>
      </c>
      <c r="F197" s="17">
        <v>0</v>
      </c>
      <c r="G197" s="17">
        <v>0</v>
      </c>
      <c r="H197" s="17">
        <v>3</v>
      </c>
      <c r="I197" s="17">
        <v>6885.360000000001</v>
      </c>
      <c r="J197" s="65">
        <f t="shared" si="5"/>
      </c>
      <c r="K197" s="66">
        <f t="shared" si="38"/>
      </c>
      <c r="L197" s="67">
        <f t="shared" si="82"/>
      </c>
      <c r="M197" s="66">
        <f t="shared" si="49"/>
      </c>
      <c r="N197" s="66">
        <f t="shared" si="174"/>
      </c>
      <c r="O197" s="67">
        <f t="shared" si="16"/>
      </c>
      <c r="P197" s="66">
        <f t="shared" si="60"/>
      </c>
      <c r="Q197" s="66">
        <f t="shared" si="93"/>
      </c>
      <c r="R197" s="67">
        <f t="shared" si="185"/>
      </c>
      <c r="S197" s="68">
        <f t="shared" si="27"/>
      </c>
      <c r="T197" s="67">
        <f t="shared" si="71"/>
      </c>
      <c r="U197" s="69">
        <f t="shared" si="104"/>
      </c>
      <c r="V197" s="70" t="s">
        <v>37</v>
      </c>
      <c r="W197" s="71" t="s">
        <v>50</v>
      </c>
      <c r="X197" s="91">
        <v>2</v>
      </c>
      <c r="Y197" s="64">
        <v>5023</v>
      </c>
      <c r="Z197" s="64">
        <v>271</v>
      </c>
      <c r="AA197" s="64">
        <v>278</v>
      </c>
      <c r="AB197" s="64">
        <v>69</v>
      </c>
      <c r="AC197" s="17">
        <v>22</v>
      </c>
      <c r="AD197" s="17">
        <v>4</v>
      </c>
      <c r="AE197" s="17">
        <v>7</v>
      </c>
      <c r="AF197" s="32"/>
      <c r="AG197" s="7"/>
    </row>
    <row customHeight="true" ht="18.452380952380953" r="198">
      <c r="A198" s="15"/>
      <c r="B198" s="75" t="s">
        <v>42</v>
      </c>
      <c r="C198" s="75"/>
      <c r="D198" s="75">
        <f>SUM(D196:D197)</f>
      </c>
      <c r="E198" s="75">
        <f>SUM(E196:E197)</f>
      </c>
      <c r="F198" s="75">
        <f>SUM(F196:F197)</f>
      </c>
      <c r="G198" s="75">
        <f>SUM(G196:G197)</f>
      </c>
      <c r="H198" s="75">
        <f>SUM(H196:H197)</f>
      </c>
      <c r="I198" s="75">
        <f>SUM(I196:I197)</f>
      </c>
      <c r="J198" s="76">
        <f t="shared" si="5"/>
      </c>
      <c r="K198" s="77">
        <f t="shared" si="38"/>
      </c>
      <c r="L198" s="78">
        <f t="shared" si="82"/>
      </c>
      <c r="M198" s="77">
        <f t="shared" si="49"/>
      </c>
      <c r="N198" s="77">
        <f t="shared" si="174"/>
      </c>
      <c r="O198" s="78">
        <f t="shared" si="16"/>
      </c>
      <c r="P198" s="77">
        <f t="shared" si="60"/>
      </c>
      <c r="Q198" s="77">
        <f t="shared" si="93"/>
      </c>
      <c r="R198" s="78">
        <f t="shared" si="185"/>
      </c>
      <c r="S198" s="79">
        <f t="shared" si="27"/>
      </c>
      <c r="T198" s="78">
        <f t="shared" si="71"/>
      </c>
      <c r="U198" s="80">
        <f t="shared" si="104"/>
      </c>
      <c r="V198" s="80"/>
      <c r="W198" s="80"/>
      <c r="X198" s="90">
        <f>SUM(X196:X197)</f>
      </c>
      <c r="Y198" s="82">
        <f>SUM(Y196:Y197)</f>
      </c>
      <c r="Z198" s="82">
        <f>SUM(Z196:Z197)</f>
      </c>
      <c r="AA198" s="82">
        <f>SUM(AA196:AA197)</f>
      </c>
      <c r="AB198" s="82">
        <f>SUM(AB196:AB197)</f>
      </c>
      <c r="AC198" s="82">
        <f>SUM(AC196:AC197)</f>
      </c>
      <c r="AD198" s="82">
        <f>SUM(AD196:AD197)</f>
      </c>
      <c r="AE198" s="82">
        <f>SUM(AE196:AE197)</f>
      </c>
      <c r="AF198" s="32"/>
      <c r="AG198" s="7"/>
    </row>
    <row r="199">
      <c r="A199" s="15"/>
      <c r="B199" s="18" t="s">
        <v>64</v>
      </c>
      <c r="C199" s="17" t="s">
        <v>36</v>
      </c>
      <c r="D199" s="64">
        <f t="shared" ref="D199:D202" si="147">E199+F199+G199</f>
      </c>
      <c r="E199" s="17">
        <v>2005.3400000000001</v>
      </c>
      <c r="F199" s="17">
        <v>1014.12</v>
      </c>
      <c r="G199" s="17">
        <v>0</v>
      </c>
      <c r="H199" s="17">
        <v>2</v>
      </c>
      <c r="I199" s="17">
        <v>1563.96</v>
      </c>
      <c r="J199" s="65">
        <f t="shared" si="5"/>
      </c>
      <c r="K199" s="66">
        <f t="shared" si="38"/>
      </c>
      <c r="L199" s="67">
        <f t="shared" si="82"/>
      </c>
      <c r="M199" s="66">
        <f t="shared" si="49"/>
      </c>
      <c r="N199" s="66">
        <f t="shared" si="174"/>
      </c>
      <c r="O199" s="67">
        <f t="shared" si="16"/>
      </c>
      <c r="P199" s="66">
        <f t="shared" si="60"/>
      </c>
      <c r="Q199" s="66">
        <f t="shared" si="93"/>
      </c>
      <c r="R199" s="67">
        <f t="shared" si="185"/>
      </c>
      <c r="S199" s="68">
        <f t="shared" si="27"/>
      </c>
      <c r="T199" s="67">
        <f t="shared" si="71"/>
      </c>
      <c r="U199" s="69">
        <f t="shared" si="104"/>
      </c>
      <c r="V199" s="70" t="s">
        <v>37</v>
      </c>
      <c r="W199" s="71" t="s">
        <v>69</v>
      </c>
      <c r="X199" s="17">
        <v>2</v>
      </c>
      <c r="Y199" s="64">
        <v>12728</v>
      </c>
      <c r="Z199" s="64">
        <v>966</v>
      </c>
      <c r="AA199" s="64">
        <v>1309</v>
      </c>
      <c r="AB199" s="64">
        <v>243</v>
      </c>
      <c r="AC199" s="17">
        <v>50</v>
      </c>
      <c r="AD199" s="17">
        <v>3</v>
      </c>
      <c r="AE199" s="17">
        <v>38</v>
      </c>
      <c r="AF199" s="32"/>
      <c r="AG199" s="7"/>
    </row>
    <row r="200">
      <c r="A200" s="15"/>
      <c r="B200" s="18" t="s">
        <v>65</v>
      </c>
      <c r="C200" s="17" t="s">
        <v>36</v>
      </c>
      <c r="D200" s="64">
        <f t="shared" si="147"/>
      </c>
      <c r="E200" s="17">
        <v>2022.4</v>
      </c>
      <c r="F200" s="17">
        <v>990.5</v>
      </c>
      <c r="G200" s="17">
        <v>0</v>
      </c>
      <c r="H200" s="17">
        <v>0</v>
      </c>
      <c r="I200" s="17">
        <v>0</v>
      </c>
      <c r="J200" s="65">
        <f t="shared" si="5"/>
      </c>
      <c r="K200" s="66">
        <f t="shared" si="38"/>
      </c>
      <c r="L200" s="67">
        <f t="shared" si="82"/>
      </c>
      <c r="M200" s="66">
        <f t="shared" si="49"/>
      </c>
      <c r="N200" s="66">
        <f t="shared" si="174"/>
      </c>
      <c r="O200" s="67">
        <f t="shared" si="16"/>
      </c>
      <c r="P200" s="66">
        <f t="shared" si="60"/>
      </c>
      <c r="Q200" s="66">
        <f t="shared" si="93"/>
      </c>
      <c r="R200" s="67">
        <f t="shared" si="185"/>
      </c>
      <c r="S200" s="68">
        <f t="shared" si="27"/>
      </c>
      <c r="T200" s="67">
        <f t="shared" si="71"/>
      </c>
      <c r="U200" s="69">
        <f t="shared" si="104"/>
      </c>
      <c r="V200" s="70" t="s">
        <v>37</v>
      </c>
      <c r="W200" s="71" t="s">
        <v>69</v>
      </c>
      <c r="X200" s="73">
        <v>0</v>
      </c>
      <c r="Y200" s="64">
        <v>11470</v>
      </c>
      <c r="Z200" s="64">
        <v>407</v>
      </c>
      <c r="AA200" s="64">
        <v>482</v>
      </c>
      <c r="AB200" s="64">
        <v>113</v>
      </c>
      <c r="AC200" s="64">
        <v>35</v>
      </c>
      <c r="AD200" s="17">
        <v>3</v>
      </c>
      <c r="AE200" s="17">
        <v>22</v>
      </c>
      <c r="AF200" s="32"/>
      <c r="AG200" s="7"/>
    </row>
    <row r="201">
      <c r="A201" s="15"/>
      <c r="B201" s="18" t="s">
        <v>35</v>
      </c>
      <c r="C201" s="17" t="s">
        <v>36</v>
      </c>
      <c r="D201" s="64">
        <f t="shared" si="147"/>
      </c>
      <c r="E201" s="17">
        <v>1955.99</v>
      </c>
      <c r="F201" s="17">
        <v>990.97</v>
      </c>
      <c r="G201" s="17">
        <v>0</v>
      </c>
      <c r="H201" s="17">
        <v>1</v>
      </c>
      <c r="I201" s="17">
        <v>2462.3999999999996</v>
      </c>
      <c r="J201" s="65">
        <f t="shared" si="5"/>
      </c>
      <c r="K201" s="66">
        <f t="shared" si="38"/>
      </c>
      <c r="L201" s="67">
        <f t="shared" si="82"/>
      </c>
      <c r="M201" s="66">
        <f t="shared" si="49"/>
      </c>
      <c r="N201" s="66">
        <f t="shared" si="174"/>
      </c>
      <c r="O201" s="67">
        <f t="shared" si="16"/>
      </c>
      <c r="P201" s="66">
        <f t="shared" si="60"/>
      </c>
      <c r="Q201" s="66">
        <f t="shared" si="93"/>
      </c>
      <c r="R201" s="67">
        <f t="shared" si="185"/>
      </c>
      <c r="S201" s="68">
        <f t="shared" si="27"/>
      </c>
      <c r="T201" s="67">
        <f t="shared" si="71"/>
      </c>
      <c r="U201" s="69">
        <f t="shared" si="104"/>
      </c>
      <c r="V201" s="70" t="s">
        <v>37</v>
      </c>
      <c r="W201" s="71" t="s">
        <v>69</v>
      </c>
      <c r="X201" s="73">
        <v>1</v>
      </c>
      <c r="Y201" s="64">
        <v>9587</v>
      </c>
      <c r="Z201" s="64">
        <v>516</v>
      </c>
      <c r="AA201" s="64">
        <v>630</v>
      </c>
      <c r="AB201" s="64">
        <v>165</v>
      </c>
      <c r="AC201" s="64">
        <v>54</v>
      </c>
      <c r="AD201" s="17">
        <v>4</v>
      </c>
      <c r="AE201" s="17">
        <v>26</v>
      </c>
      <c r="AF201" s="32"/>
      <c r="AG201" s="7"/>
    </row>
    <row r="202">
      <c r="A202" s="15"/>
      <c r="B202" s="18" t="s">
        <v>39</v>
      </c>
      <c r="C202" s="17" t="s">
        <v>36</v>
      </c>
      <c r="D202" s="64">
        <f t="shared" si="147"/>
      </c>
      <c r="E202" s="17">
        <v>2042.39</v>
      </c>
      <c r="F202" s="17">
        <v>684.56</v>
      </c>
      <c r="G202" s="17">
        <v>0</v>
      </c>
      <c r="H202" s="17">
        <v>2</v>
      </c>
      <c r="I202" s="17">
        <v>5246.64</v>
      </c>
      <c r="J202" s="65">
        <f t="shared" si="5"/>
      </c>
      <c r="K202" s="66">
        <f t="shared" si="38"/>
      </c>
      <c r="L202" s="67">
        <f t="shared" si="82"/>
      </c>
      <c r="M202" s="66">
        <f t="shared" si="49"/>
      </c>
      <c r="N202" s="66">
        <f t="shared" si="174"/>
      </c>
      <c r="O202" s="67">
        <f t="shared" si="16"/>
      </c>
      <c r="P202" s="66">
        <f t="shared" si="60"/>
      </c>
      <c r="Q202" s="66">
        <f t="shared" si="93"/>
      </c>
      <c r="R202" s="67">
        <f t="shared" si="185"/>
      </c>
      <c r="S202" s="68">
        <f t="shared" si="27"/>
      </c>
      <c r="T202" s="67">
        <f t="shared" si="71"/>
      </c>
      <c r="U202" s="69">
        <f t="shared" si="104"/>
      </c>
      <c r="V202" s="70" t="s">
        <v>37</v>
      </c>
      <c r="W202" s="71" t="s">
        <v>69</v>
      </c>
      <c r="X202" s="74">
        <v>1</v>
      </c>
      <c r="Y202" s="64">
        <v>7426</v>
      </c>
      <c r="Z202" s="64">
        <v>254</v>
      </c>
      <c r="AA202" s="64">
        <v>315</v>
      </c>
      <c r="AB202" s="64">
        <v>60</v>
      </c>
      <c r="AC202" s="64">
        <v>45</v>
      </c>
      <c r="AD202" s="17">
        <v>6</v>
      </c>
      <c r="AE202" s="17">
        <v>18</v>
      </c>
      <c r="AF202" s="32"/>
      <c r="AG202" s="7"/>
    </row>
    <row r="203">
      <c r="A203" s="15"/>
      <c r="B203" s="75" t="s">
        <v>42</v>
      </c>
      <c r="C203" s="75"/>
      <c r="D203" s="75">
        <f>SUM(D199:D202)</f>
      </c>
      <c r="E203" s="75">
        <f>SUM(E199:E202)</f>
      </c>
      <c r="F203" s="75">
        <f>SUM(F199:F202)</f>
      </c>
      <c r="G203" s="75">
        <f>SUM(G199:G202)</f>
      </c>
      <c r="H203" s="75">
        <f>SUM(H199:H202)</f>
      </c>
      <c r="I203" s="75">
        <f>SUM(I199:I202)</f>
      </c>
      <c r="J203" s="76">
        <f t="shared" si="5"/>
      </c>
      <c r="K203" s="77">
        <f t="shared" si="38"/>
      </c>
      <c r="L203" s="78">
        <f t="shared" si="82"/>
      </c>
      <c r="M203" s="77">
        <f t="shared" si="49"/>
      </c>
      <c r="N203" s="77">
        <f t="shared" si="174"/>
      </c>
      <c r="O203" s="78">
        <f t="shared" si="16"/>
      </c>
      <c r="P203" s="77">
        <f t="shared" si="60"/>
      </c>
      <c r="Q203" s="77">
        <f t="shared" si="93"/>
      </c>
      <c r="R203" s="78">
        <f t="shared" si="185"/>
      </c>
      <c r="S203" s="79">
        <f t="shared" si="27"/>
      </c>
      <c r="T203" s="78">
        <f t="shared" si="71"/>
      </c>
      <c r="U203" s="80">
        <f t="shared" si="104"/>
      </c>
      <c r="V203" s="80"/>
      <c r="W203" s="80"/>
      <c r="X203" s="90">
        <f>SUM(X199:X202)</f>
      </c>
      <c r="Y203" s="75">
        <f>SUM(Y199:Y202)</f>
      </c>
      <c r="Z203" s="75">
        <f>SUM(Z199:Z202)</f>
      </c>
      <c r="AA203" s="75">
        <f>SUM(AA199:AA202)</f>
      </c>
      <c r="AB203" s="75">
        <f>SUM(AB199:AB202)</f>
      </c>
      <c r="AC203" s="75">
        <f>SUM(AC199:AC202)</f>
      </c>
      <c r="AD203" s="75">
        <f>SUM(AD199:AD202)</f>
      </c>
      <c r="AE203" s="75">
        <f>SUM(AE199:AE202)</f>
      </c>
      <c r="AF203" s="7"/>
      <c r="AG203" s="7"/>
    </row>
    <row r="204">
      <c r="A204" s="15"/>
      <c r="B204" s="18" t="s">
        <v>40</v>
      </c>
      <c r="C204" s="17" t="s">
        <v>61</v>
      </c>
      <c r="D204" s="64">
        <f t="shared" ref="D204:D207" si="148">E204+F204+G204</f>
      </c>
      <c r="E204" s="64">
        <v>1497.38</v>
      </c>
      <c r="F204" s="64">
        <v>1270.11</v>
      </c>
      <c r="G204" s="17">
        <v>0</v>
      </c>
      <c r="H204" s="17">
        <v>2</v>
      </c>
      <c r="I204" s="17">
        <v>4791.84</v>
      </c>
      <c r="J204" s="65">
        <f t="shared" si="5"/>
      </c>
      <c r="K204" s="66">
        <f t="shared" si="38"/>
      </c>
      <c r="L204" s="67">
        <f t="shared" si="82"/>
      </c>
      <c r="M204" s="66">
        <f t="shared" si="49"/>
      </c>
      <c r="N204" s="66">
        <f t="shared" si="174"/>
      </c>
      <c r="O204" s="67">
        <f t="shared" si="16"/>
      </c>
      <c r="P204" s="66">
        <f t="shared" si="60"/>
      </c>
      <c r="Q204" s="66">
        <f t="shared" si="93"/>
      </c>
      <c r="R204" s="67">
        <f t="shared" si="185"/>
      </c>
      <c r="S204" s="68">
        <f t="shared" si="27"/>
      </c>
      <c r="T204" s="67">
        <f t="shared" si="71"/>
      </c>
      <c r="U204" s="69">
        <f t="shared" si="104"/>
      </c>
      <c r="V204" s="70" t="s">
        <v>37</v>
      </c>
      <c r="W204" s="71" t="s">
        <v>69</v>
      </c>
      <c r="X204" s="91">
        <v>2</v>
      </c>
      <c r="Y204" s="17">
        <v>10262</v>
      </c>
      <c r="Z204" s="17">
        <v>422</v>
      </c>
      <c r="AA204" s="64">
        <v>622</v>
      </c>
      <c r="AB204" s="17">
        <v>161</v>
      </c>
      <c r="AC204" s="17">
        <v>46</v>
      </c>
      <c r="AD204" s="17">
        <v>4</v>
      </c>
      <c r="AE204" s="17">
        <v>17</v>
      </c>
      <c r="AF204" s="32"/>
      <c r="AG204" s="7"/>
    </row>
    <row r="205">
      <c r="A205" s="15"/>
      <c r="B205" s="18" t="s">
        <v>41</v>
      </c>
      <c r="C205" s="17" t="s">
        <v>61</v>
      </c>
      <c r="D205" s="64">
        <f t="shared" si="148"/>
      </c>
      <c r="E205" s="17">
        <v>1497.8</v>
      </c>
      <c r="F205" s="17">
        <v>1063.86</v>
      </c>
      <c r="G205" s="17">
        <v>0</v>
      </c>
      <c r="H205" s="17">
        <v>3</v>
      </c>
      <c r="I205" s="17">
        <v>4262.759999999998</v>
      </c>
      <c r="J205" s="65">
        <f t="shared" si="5"/>
      </c>
      <c r="K205" s="66">
        <f t="shared" si="38"/>
      </c>
      <c r="L205" s="67">
        <f t="shared" si="82"/>
      </c>
      <c r="M205" s="66">
        <f t="shared" si="49"/>
      </c>
      <c r="N205" s="66">
        <f t="shared" si="174"/>
      </c>
      <c r="O205" s="67">
        <f t="shared" si="16"/>
      </c>
      <c r="P205" s="66">
        <f t="shared" si="60"/>
      </c>
      <c r="Q205" s="66">
        <f t="shared" si="93"/>
      </c>
      <c r="R205" s="67">
        <f t="shared" si="185"/>
      </c>
      <c r="S205" s="68">
        <f t="shared" si="27"/>
      </c>
      <c r="T205" s="67">
        <f t="shared" si="71"/>
      </c>
      <c r="U205" s="69">
        <f t="shared" si="104"/>
      </c>
      <c r="V205" s="70" t="s">
        <v>37</v>
      </c>
      <c r="W205" s="71" t="s">
        <v>69</v>
      </c>
      <c r="X205" s="91">
        <v>3</v>
      </c>
      <c r="Y205" s="64">
        <v>8559</v>
      </c>
      <c r="Z205" s="64">
        <v>290</v>
      </c>
      <c r="AA205" s="64">
        <v>361</v>
      </c>
      <c r="AB205" s="64">
        <v>83</v>
      </c>
      <c r="AC205" s="64">
        <v>56</v>
      </c>
      <c r="AD205" s="17">
        <v>5</v>
      </c>
      <c r="AE205" s="17">
        <v>23</v>
      </c>
      <c r="AF205" s="32"/>
      <c r="AG205" s="7"/>
    </row>
    <row r="206">
      <c r="A206" s="15"/>
      <c r="B206" s="50" t="s">
        <v>43</v>
      </c>
      <c r="C206" s="17" t="s">
        <v>61</v>
      </c>
      <c r="D206" s="64">
        <f t="shared" si="148"/>
      </c>
      <c r="E206" s="17">
        <v>1506.44</v>
      </c>
      <c r="F206" s="17">
        <v>907.92</v>
      </c>
      <c r="G206" s="17">
        <v>0</v>
      </c>
      <c r="H206" s="17">
        <v>4</v>
      </c>
      <c r="I206" s="64">
        <v>4560.720000000001</v>
      </c>
      <c r="J206" s="65">
        <f t="shared" si="5"/>
      </c>
      <c r="K206" s="66">
        <f t="shared" si="38"/>
      </c>
      <c r="L206" s="67">
        <f t="shared" si="82"/>
      </c>
      <c r="M206" s="66">
        <f t="shared" si="49"/>
      </c>
      <c r="N206" s="66">
        <f t="shared" si="174"/>
      </c>
      <c r="O206" s="67">
        <f t="shared" si="16"/>
      </c>
      <c r="P206" s="66">
        <f t="shared" si="60"/>
      </c>
      <c r="Q206" s="66">
        <f t="shared" si="93"/>
      </c>
      <c r="R206" s="67">
        <f t="shared" si="185"/>
      </c>
      <c r="S206" s="68">
        <f t="shared" si="27"/>
      </c>
      <c r="T206" s="67">
        <f t="shared" si="71"/>
      </c>
      <c r="U206" s="69">
        <f t="shared" si="104"/>
      </c>
      <c r="V206" s="70" t="s">
        <v>37</v>
      </c>
      <c r="W206" s="71" t="s">
        <v>69</v>
      </c>
      <c r="X206" s="91">
        <v>2</v>
      </c>
      <c r="Y206" s="17">
        <v>11090</v>
      </c>
      <c r="Z206" s="17">
        <v>191</v>
      </c>
      <c r="AA206" s="17">
        <v>203</v>
      </c>
      <c r="AB206" s="17">
        <v>56</v>
      </c>
      <c r="AC206" s="17">
        <v>49</v>
      </c>
      <c r="AD206" s="17">
        <v>5</v>
      </c>
      <c r="AE206" s="17">
        <v>15</v>
      </c>
      <c r="AF206" s="32"/>
      <c r="AG206" s="7"/>
    </row>
    <row r="207">
      <c r="A207" s="15"/>
      <c r="B207" s="18" t="s">
        <v>45</v>
      </c>
      <c r="C207" s="17" t="s">
        <v>61</v>
      </c>
      <c r="D207" s="64">
        <f t="shared" si="148"/>
      </c>
      <c r="E207" s="64">
        <v>1500</v>
      </c>
      <c r="F207" s="17">
        <v>997.6</v>
      </c>
      <c r="G207" s="17">
        <v>0</v>
      </c>
      <c r="H207" s="17">
        <v>5</v>
      </c>
      <c r="I207" s="17">
        <v>7442.52</v>
      </c>
      <c r="J207" s="65">
        <f t="shared" si="5"/>
      </c>
      <c r="K207" s="66">
        <f t="shared" si="38"/>
      </c>
      <c r="L207" s="67">
        <f t="shared" si="82"/>
      </c>
      <c r="M207" s="66">
        <f t="shared" si="49"/>
      </c>
      <c r="N207" s="66">
        <f t="shared" si="174"/>
      </c>
      <c r="O207" s="67">
        <f t="shared" si="16"/>
      </c>
      <c r="P207" s="66">
        <f t="shared" si="60"/>
      </c>
      <c r="Q207" s="66">
        <f t="shared" si="93"/>
      </c>
      <c r="R207" s="67">
        <f t="shared" si="185"/>
      </c>
      <c r="S207" s="68">
        <f t="shared" si="27"/>
      </c>
      <c r="T207" s="67">
        <f t="shared" si="71"/>
      </c>
      <c r="U207" s="69">
        <f t="shared" si="104"/>
      </c>
      <c r="V207" s="70" t="s">
        <v>37</v>
      </c>
      <c r="W207" s="71" t="s">
        <v>69</v>
      </c>
      <c r="X207" s="91">
        <v>5</v>
      </c>
      <c r="Y207" s="17">
        <v>9325</v>
      </c>
      <c r="Z207" s="17">
        <v>174</v>
      </c>
      <c r="AA207" s="17">
        <v>181</v>
      </c>
      <c r="AB207" s="17">
        <v>49</v>
      </c>
      <c r="AC207" s="17">
        <v>43</v>
      </c>
      <c r="AD207" s="17">
        <v>8</v>
      </c>
      <c r="AE207" s="17">
        <v>19</v>
      </c>
      <c r="AF207" s="32"/>
      <c r="AG207" s="7"/>
    </row>
    <row r="208">
      <c r="A208" s="15"/>
      <c r="B208" s="75" t="s">
        <v>42</v>
      </c>
      <c r="C208" s="75"/>
      <c r="D208" s="75">
        <f>SUM(D204:D207)</f>
      </c>
      <c r="E208" s="75">
        <f>SUM(E204:E207)</f>
      </c>
      <c r="F208" s="75">
        <f>SUM(F204:F207)</f>
      </c>
      <c r="G208" s="75">
        <f>SUM(G204:G207)</f>
      </c>
      <c r="H208" s="75">
        <f>SUM(H204:H207)</f>
      </c>
      <c r="I208" s="75">
        <f>SUM(I204:I207)</f>
      </c>
      <c r="J208" s="76">
        <f t="shared" si="5"/>
      </c>
      <c r="K208" s="77">
        <f t="shared" si="38"/>
      </c>
      <c r="L208" s="78">
        <f t="shared" si="82"/>
      </c>
      <c r="M208" s="77">
        <f t="shared" si="49"/>
      </c>
      <c r="N208" s="77">
        <f t="shared" si="174"/>
      </c>
      <c r="O208" s="78">
        <f t="shared" si="16"/>
      </c>
      <c r="P208" s="77">
        <f t="shared" si="60"/>
      </c>
      <c r="Q208" s="77">
        <f t="shared" si="93"/>
      </c>
      <c r="R208" s="78">
        <f t="shared" si="185"/>
      </c>
      <c r="S208" s="79">
        <f t="shared" si="27"/>
      </c>
      <c r="T208" s="78">
        <f t="shared" si="71"/>
      </c>
      <c r="U208" s="80">
        <f t="shared" si="104"/>
      </c>
      <c r="V208" s="80"/>
      <c r="W208" s="80"/>
      <c r="X208" s="90">
        <f>SUM(X204:X207)</f>
      </c>
      <c r="Y208" s="82">
        <f>SUM(Y204:Y207)</f>
      </c>
      <c r="Z208" s="82">
        <f>SUM(Z204:Z207)</f>
      </c>
      <c r="AA208" s="82">
        <f>SUM(AA204:AA207)</f>
      </c>
      <c r="AB208" s="82">
        <f>SUM(AB204:AB207)</f>
      </c>
      <c r="AC208" s="82">
        <f>SUM(AC204:AC207)</f>
      </c>
      <c r="AD208" s="82">
        <f>SUM(AD204:AD207)</f>
      </c>
      <c r="AE208" s="82">
        <f>SUM(AE204:AE207)</f>
      </c>
      <c r="AF208" s="7"/>
      <c r="AG208" s="7"/>
    </row>
    <row customHeight="true" ht="18.452380952380953" r="209">
      <c r="A209" s="15"/>
      <c r="B209" s="18" t="s">
        <v>46</v>
      </c>
      <c r="C209" s="17" t="s">
        <v>55</v>
      </c>
      <c r="D209" s="64">
        <f t="shared" ref="D209:D212" si="149">E209+F209+G209</f>
      </c>
      <c r="E209" s="64">
        <v>1461.12</v>
      </c>
      <c r="F209" s="64">
        <v>1499.08</v>
      </c>
      <c r="G209" s="17">
        <v>0</v>
      </c>
      <c r="H209" s="17">
        <v>1</v>
      </c>
      <c r="I209" s="17">
        <v>1571.4000000000015</v>
      </c>
      <c r="J209" s="65">
        <f t="shared" si="5"/>
      </c>
      <c r="K209" s="66">
        <f t="shared" si="38"/>
      </c>
      <c r="L209" s="67">
        <f t="shared" si="82"/>
      </c>
      <c r="M209" s="66">
        <f t="shared" si="49"/>
      </c>
      <c r="N209" s="66">
        <f t="shared" si="174"/>
      </c>
      <c r="O209" s="67">
        <f t="shared" si="16"/>
      </c>
      <c r="P209" s="66">
        <f t="shared" si="60"/>
      </c>
      <c r="Q209" s="66">
        <f t="shared" si="93"/>
      </c>
      <c r="R209" s="67">
        <f t="shared" si="185"/>
      </c>
      <c r="S209" s="68">
        <f t="shared" si="27"/>
      </c>
      <c r="T209" s="67">
        <f t="shared" si="71"/>
      </c>
      <c r="U209" s="69">
        <f t="shared" si="104"/>
      </c>
      <c r="V209" s="70" t="s">
        <v>37</v>
      </c>
      <c r="W209" s="71" t="s">
        <v>69</v>
      </c>
      <c r="X209" s="91">
        <v>0</v>
      </c>
      <c r="Y209" s="17">
        <v>15577</v>
      </c>
      <c r="Z209" s="17">
        <v>314</v>
      </c>
      <c r="AA209" s="64">
        <v>404</v>
      </c>
      <c r="AB209" s="17">
        <v>94</v>
      </c>
      <c r="AC209" s="17">
        <v>57</v>
      </c>
      <c r="AD209" s="17">
        <v>3</v>
      </c>
      <c r="AE209" s="17">
        <v>19</v>
      </c>
      <c r="AF209" s="32"/>
      <c r="AG209" s="7"/>
    </row>
    <row customHeight="true" ht="18.452380952380953" r="210">
      <c r="A210" s="15"/>
      <c r="B210" s="18" t="s">
        <v>47</v>
      </c>
      <c r="C210" s="17" t="s">
        <v>55</v>
      </c>
      <c r="D210" s="64">
        <f t="shared" si="149"/>
      </c>
      <c r="E210" s="17">
        <v>997.99</v>
      </c>
      <c r="F210" s="17">
        <v>1464.52</v>
      </c>
      <c r="G210" s="17">
        <v>0</v>
      </c>
      <c r="H210" s="17">
        <v>0</v>
      </c>
      <c r="I210" s="17">
        <v>0</v>
      </c>
      <c r="J210" s="65">
        <f t="shared" si="5"/>
      </c>
      <c r="K210" s="66">
        <f t="shared" si="38"/>
      </c>
      <c r="L210" s="67">
        <f t="shared" si="82"/>
      </c>
      <c r="M210" s="66">
        <f t="shared" si="49"/>
      </c>
      <c r="N210" s="66">
        <f t="shared" si="174"/>
      </c>
      <c r="O210" s="67">
        <f t="shared" si="16"/>
      </c>
      <c r="P210" s="66">
        <f t="shared" si="60"/>
      </c>
      <c r="Q210" s="66">
        <f t="shared" si="93"/>
      </c>
      <c r="R210" s="67">
        <f t="shared" si="185"/>
      </c>
      <c r="S210" s="68">
        <f t="shared" si="27"/>
      </c>
      <c r="T210" s="67">
        <f t="shared" si="71"/>
      </c>
      <c r="U210" s="69">
        <f t="shared" si="104"/>
      </c>
      <c r="V210" s="70" t="s">
        <v>37</v>
      </c>
      <c r="W210" s="71" t="s">
        <v>69</v>
      </c>
      <c r="X210" s="91">
        <v>0</v>
      </c>
      <c r="Y210" s="64">
        <v>10246</v>
      </c>
      <c r="Z210" s="64">
        <v>305</v>
      </c>
      <c r="AA210" s="64">
        <v>352</v>
      </c>
      <c r="AB210" s="64">
        <v>48</v>
      </c>
      <c r="AC210" s="64">
        <v>32</v>
      </c>
      <c r="AD210" s="17">
        <v>0</v>
      </c>
      <c r="AE210" s="17">
        <v>12</v>
      </c>
      <c r="AF210" s="32"/>
      <c r="AG210" s="7"/>
    </row>
    <row r="211">
      <c r="A211" s="15"/>
      <c r="B211" s="63" t="s">
        <v>48</v>
      </c>
      <c r="C211" s="17" t="s">
        <v>55</v>
      </c>
      <c r="D211" s="64">
        <f t="shared" si="149"/>
      </c>
      <c r="E211" s="17">
        <v>1909.49</v>
      </c>
      <c r="F211" s="17">
        <v>507.68</v>
      </c>
      <c r="G211" s="17">
        <v>0</v>
      </c>
      <c r="H211" s="17">
        <v>2</v>
      </c>
      <c r="I211" s="64">
        <v>8699.999999999996</v>
      </c>
      <c r="J211" s="65">
        <f t="shared" si="5"/>
      </c>
      <c r="K211" s="66">
        <f t="shared" si="38"/>
      </c>
      <c r="L211" s="67">
        <f t="shared" si="82"/>
      </c>
      <c r="M211" s="66">
        <f t="shared" si="49"/>
      </c>
      <c r="N211" s="66">
        <f t="shared" si="174"/>
      </c>
      <c r="O211" s="67">
        <f t="shared" si="16"/>
      </c>
      <c r="P211" s="66">
        <f t="shared" si="60"/>
      </c>
      <c r="Q211" s="66">
        <f t="shared" si="93"/>
      </c>
      <c r="R211" s="67">
        <f t="shared" si="185"/>
      </c>
      <c r="S211" s="68">
        <f t="shared" si="27"/>
      </c>
      <c r="T211" s="67">
        <f t="shared" si="71"/>
      </c>
      <c r="U211" s="69">
        <f t="shared" si="104"/>
      </c>
      <c r="V211" s="70" t="s">
        <v>37</v>
      </c>
      <c r="W211" s="71" t="s">
        <v>50</v>
      </c>
      <c r="X211" s="91">
        <v>2</v>
      </c>
      <c r="Y211" s="17">
        <v>7890</v>
      </c>
      <c r="Z211" s="17">
        <v>222</v>
      </c>
      <c r="AA211" s="17">
        <v>231</v>
      </c>
      <c r="AB211" s="17">
        <v>60</v>
      </c>
      <c r="AC211" s="17">
        <v>45</v>
      </c>
      <c r="AD211" s="17">
        <v>2</v>
      </c>
      <c r="AE211" s="17">
        <v>13</v>
      </c>
      <c r="AF211" s="32"/>
      <c r="AG211" s="7"/>
    </row>
    <row r="212">
      <c r="A212" s="15"/>
      <c r="B212" s="72" t="s">
        <v>51</v>
      </c>
      <c r="C212" s="97" t="s">
        <v>55</v>
      </c>
      <c r="D212" s="64">
        <f t="shared" si="149"/>
      </c>
      <c r="E212" s="64">
        <v>2109.09</v>
      </c>
      <c r="F212" s="17">
        <v>1474.57</v>
      </c>
      <c r="G212" s="17">
        <v>0</v>
      </c>
      <c r="H212" s="17">
        <v>3</v>
      </c>
      <c r="I212" s="17">
        <v>1961.2799999999988</v>
      </c>
      <c r="J212" s="65">
        <f t="shared" si="5"/>
      </c>
      <c r="K212" s="66">
        <f t="shared" si="38"/>
      </c>
      <c r="L212" s="67">
        <f t="shared" si="82"/>
      </c>
      <c r="M212" s="66">
        <f t="shared" si="49"/>
      </c>
      <c r="N212" s="66">
        <f t="shared" si="174"/>
      </c>
      <c r="O212" s="67">
        <f t="shared" si="16"/>
      </c>
      <c r="P212" s="66">
        <f t="shared" si="60"/>
      </c>
      <c r="Q212" s="66">
        <f t="shared" si="93"/>
      </c>
      <c r="R212" s="67">
        <f t="shared" si="185"/>
      </c>
      <c r="S212" s="68">
        <f t="shared" si="27"/>
      </c>
      <c r="T212" s="67">
        <f t="shared" si="71"/>
      </c>
      <c r="U212" s="69">
        <f t="shared" si="104"/>
      </c>
      <c r="V212" s="70" t="s">
        <v>37</v>
      </c>
      <c r="W212" s="71" t="s">
        <v>50</v>
      </c>
      <c r="X212" s="91">
        <v>2</v>
      </c>
      <c r="Y212" s="17">
        <v>13252</v>
      </c>
      <c r="Z212" s="17">
        <v>577</v>
      </c>
      <c r="AA212" s="17">
        <v>699</v>
      </c>
      <c r="AB212" s="17">
        <v>161</v>
      </c>
      <c r="AC212" s="17">
        <v>60</v>
      </c>
      <c r="AD212" s="17">
        <v>4</v>
      </c>
      <c r="AE212" s="17">
        <v>29</v>
      </c>
      <c r="AF212" s="7"/>
      <c r="AG212" s="7"/>
    </row>
    <row r="213">
      <c r="A213" s="15"/>
      <c r="B213" s="75" t="s">
        <v>42</v>
      </c>
      <c r="C213" s="75"/>
      <c r="D213" s="75">
        <f>SUM(D209:D212)</f>
      </c>
      <c r="E213" s="75">
        <f>SUM(E209:E212)</f>
      </c>
      <c r="F213" s="75">
        <f>SUM(F209:F212)</f>
      </c>
      <c r="G213" s="75">
        <f>SUM(G209:G212)</f>
      </c>
      <c r="H213" s="75">
        <f>SUM(H209:H212)</f>
      </c>
      <c r="I213" s="75">
        <f>SUM(I209:I212)</f>
      </c>
      <c r="J213" s="76">
        <f t="shared" si="5"/>
      </c>
      <c r="K213" s="77">
        <f t="shared" si="38"/>
      </c>
      <c r="L213" s="78">
        <f t="shared" si="82"/>
      </c>
      <c r="M213" s="77">
        <f t="shared" si="49"/>
      </c>
      <c r="N213" s="77">
        <f t="shared" si="174"/>
      </c>
      <c r="O213" s="78">
        <f t="shared" si="16"/>
      </c>
      <c r="P213" s="77">
        <f t="shared" si="60"/>
      </c>
      <c r="Q213" s="77">
        <f t="shared" si="93"/>
      </c>
      <c r="R213" s="78">
        <f t="shared" si="185"/>
      </c>
      <c r="S213" s="79">
        <f t="shared" si="27"/>
      </c>
      <c r="T213" s="78">
        <f t="shared" si="71"/>
      </c>
      <c r="U213" s="80">
        <f t="shared" si="104"/>
      </c>
      <c r="V213" s="80"/>
      <c r="W213" s="80"/>
      <c r="X213" s="90">
        <f>SUM(X209:X212)</f>
      </c>
      <c r="Y213" s="82">
        <f>SUM(Y209:Y212)</f>
      </c>
      <c r="Z213" s="82">
        <f>SUM(Z209:Z212)</f>
      </c>
      <c r="AA213" s="82">
        <f>SUM(AA209:AA212)</f>
      </c>
      <c r="AB213" s="82">
        <f>SUM(AB209:AB212)</f>
      </c>
      <c r="AC213" s="82">
        <f>SUM(AC209:AC212)</f>
      </c>
      <c r="AD213" s="82">
        <f>SUM(AD209:AD212)</f>
      </c>
      <c r="AE213" s="82">
        <f>SUM(AE209:AE212)</f>
      </c>
      <c r="AF213" s="7"/>
      <c r="AG213" s="7"/>
    </row>
    <row r="214">
      <c r="A214" s="15"/>
      <c r="B214" s="63" t="s">
        <v>52</v>
      </c>
      <c r="C214" s="17" t="s">
        <v>44</v>
      </c>
      <c r="D214" s="64">
        <f t="shared" ref="D214:D217" si="150">E214+F214+G214</f>
      </c>
      <c r="E214" s="17">
        <v>1522.31</v>
      </c>
      <c r="F214" s="17">
        <v>796.51</v>
      </c>
      <c r="G214" s="17">
        <v>0</v>
      </c>
      <c r="H214" s="17">
        <v>3</v>
      </c>
      <c r="I214" s="17">
        <v>3806.4000000000015</v>
      </c>
      <c r="J214" s="65">
        <f t="shared" si="5"/>
      </c>
      <c r="K214" s="66">
        <f t="shared" si="38"/>
      </c>
      <c r="L214" s="67">
        <f t="shared" si="82"/>
      </c>
      <c r="M214" s="66">
        <f t="shared" si="49"/>
      </c>
      <c r="N214" s="66">
        <f t="shared" si="174"/>
      </c>
      <c r="O214" s="67">
        <f t="shared" si="16"/>
      </c>
      <c r="P214" s="66">
        <f t="shared" si="60"/>
      </c>
      <c r="Q214" s="66">
        <f t="shared" si="93"/>
      </c>
      <c r="R214" s="67">
        <f t="shared" si="185"/>
      </c>
      <c r="S214" s="68">
        <f t="shared" si="27"/>
      </c>
      <c r="T214" s="67">
        <f t="shared" si="71"/>
      </c>
      <c r="U214" s="69">
        <f t="shared" si="104"/>
      </c>
      <c r="V214" s="70" t="s">
        <v>37</v>
      </c>
      <c r="W214" s="71" t="s">
        <v>50</v>
      </c>
      <c r="X214" s="91">
        <v>2</v>
      </c>
      <c r="Y214" s="64">
        <v>9506</v>
      </c>
      <c r="Z214" s="64">
        <v>239</v>
      </c>
      <c r="AA214" s="64">
        <v>270</v>
      </c>
      <c r="AB214" s="64">
        <v>49</v>
      </c>
      <c r="AC214" s="64">
        <v>48</v>
      </c>
      <c r="AD214" s="17">
        <v>3</v>
      </c>
      <c r="AE214" s="17">
        <v>9</v>
      </c>
      <c r="AF214" s="7"/>
      <c r="AG214" s="7"/>
    </row>
    <row r="215">
      <c r="A215" s="15"/>
      <c r="B215" s="72" t="s">
        <v>53</v>
      </c>
      <c r="C215" s="17" t="s">
        <v>44</v>
      </c>
      <c r="D215" s="64">
        <f t="shared" si="150"/>
      </c>
      <c r="E215" s="17">
        <v>0</v>
      </c>
      <c r="F215" s="17">
        <v>740.52</v>
      </c>
      <c r="G215" s="17">
        <v>0</v>
      </c>
      <c r="H215" s="17">
        <v>2</v>
      </c>
      <c r="I215" s="17">
        <v>2862.5999999999985</v>
      </c>
      <c r="J215" s="65">
        <f t="shared" si="5"/>
      </c>
      <c r="K215" s="66">
        <f t="shared" si="38"/>
      </c>
      <c r="L215" s="67">
        <f t="shared" si="82"/>
      </c>
      <c r="M215" s="66">
        <f t="shared" si="49"/>
      </c>
      <c r="N215" s="66">
        <f t="shared" si="174"/>
      </c>
      <c r="O215" s="67">
        <f t="shared" si="16"/>
      </c>
      <c r="P215" s="66">
        <f t="shared" si="60"/>
      </c>
      <c r="Q215" s="66">
        <f t="shared" si="93"/>
      </c>
      <c r="R215" s="67">
        <f t="shared" si="185"/>
      </c>
      <c r="S215" s="68">
        <f t="shared" si="27"/>
      </c>
      <c r="T215" s="67">
        <f t="shared" si="71"/>
      </c>
      <c r="U215" s="69">
        <f t="shared" si="104"/>
      </c>
      <c r="V215" s="70" t="s">
        <v>37</v>
      </c>
      <c r="W215" s="71" t="s">
        <v>50</v>
      </c>
      <c r="X215" s="91">
        <v>2</v>
      </c>
      <c r="Y215" s="64">
        <v>5113</v>
      </c>
      <c r="Z215" s="64">
        <v>326</v>
      </c>
      <c r="AA215" s="64">
        <v>443</v>
      </c>
      <c r="AB215" s="64">
        <v>53</v>
      </c>
      <c r="AC215" s="64">
        <v>22</v>
      </c>
      <c r="AD215" s="17">
        <v>2</v>
      </c>
      <c r="AE215" s="17">
        <v>6</v>
      </c>
      <c r="AF215" s="7"/>
      <c r="AG215" s="7"/>
    </row>
    <row r="216">
      <c r="A216" s="15"/>
      <c r="B216" s="72" t="s">
        <v>54</v>
      </c>
      <c r="C216" s="17" t="s">
        <v>44</v>
      </c>
      <c r="D216" s="64">
        <f t="shared" si="150"/>
      </c>
      <c r="E216" s="17">
        <v>1500</v>
      </c>
      <c r="F216" s="17">
        <v>1466.12</v>
      </c>
      <c r="G216" s="17">
        <v>0</v>
      </c>
      <c r="H216" s="17">
        <v>0</v>
      </c>
      <c r="I216" s="17">
        <v>0</v>
      </c>
      <c r="J216" s="65">
        <f t="shared" si="5"/>
      </c>
      <c r="K216" s="66">
        <f t="shared" si="38"/>
      </c>
      <c r="L216" s="67">
        <f t="shared" si="82"/>
      </c>
      <c r="M216" s="66">
        <f t="shared" si="49"/>
      </c>
      <c r="N216" s="66">
        <f t="shared" si="174"/>
      </c>
      <c r="O216" s="67">
        <f t="shared" si="16"/>
      </c>
      <c r="P216" s="66">
        <f t="shared" si="60"/>
      </c>
      <c r="Q216" s="66">
        <f t="shared" si="93"/>
      </c>
      <c r="R216" s="67">
        <f t="shared" si="185"/>
      </c>
      <c r="S216" s="68">
        <f t="shared" si="27"/>
      </c>
      <c r="T216" s="67">
        <f t="shared" si="71"/>
      </c>
      <c r="U216" s="69">
        <f t="shared" si="104"/>
      </c>
      <c r="V216" s="70" t="s">
        <v>37</v>
      </c>
      <c r="W216" s="71" t="s">
        <v>50</v>
      </c>
      <c r="X216" s="91">
        <v>0</v>
      </c>
      <c r="Y216" s="64">
        <v>19589</v>
      </c>
      <c r="Z216" s="64">
        <v>400</v>
      </c>
      <c r="AA216" s="64">
        <v>475</v>
      </c>
      <c r="AB216" s="64">
        <v>53</v>
      </c>
      <c r="AC216" s="64">
        <v>54</v>
      </c>
      <c r="AD216" s="17">
        <v>1</v>
      </c>
      <c r="AE216" s="17">
        <v>9</v>
      </c>
      <c r="AF216" s="7"/>
      <c r="AG216" s="7"/>
    </row>
    <row r="217">
      <c r="A217" s="15"/>
      <c r="B217" s="17" t="s">
        <v>56</v>
      </c>
      <c r="C217" s="17" t="s">
        <v>44</v>
      </c>
      <c r="D217" s="64">
        <f t="shared" si="150"/>
      </c>
      <c r="E217" s="17">
        <v>1442.69</v>
      </c>
      <c r="F217" s="17">
        <v>1540.47</v>
      </c>
      <c r="G217" s="17">
        <v>0</v>
      </c>
      <c r="H217" s="17">
        <v>4</v>
      </c>
      <c r="I217" s="17">
        <v>13593.120000000003</v>
      </c>
      <c r="J217" s="65">
        <f t="shared" si="5"/>
      </c>
      <c r="K217" s="66">
        <f t="shared" si="38"/>
      </c>
      <c r="L217" s="67">
        <f t="shared" si="82"/>
      </c>
      <c r="M217" s="66">
        <f t="shared" si="49"/>
      </c>
      <c r="N217" s="66">
        <f t="shared" si="174"/>
      </c>
      <c r="O217" s="67">
        <f t="shared" si="16"/>
      </c>
      <c r="P217" s="66">
        <f t="shared" si="60"/>
      </c>
      <c r="Q217" s="66">
        <f t="shared" si="93"/>
      </c>
      <c r="R217" s="67">
        <f t="shared" si="185"/>
      </c>
      <c r="S217" s="68">
        <f t="shared" si="27"/>
      </c>
      <c r="T217" s="67">
        <f t="shared" si="71"/>
      </c>
      <c r="U217" s="69">
        <f t="shared" si="104"/>
      </c>
      <c r="V217" s="70" t="s">
        <v>37</v>
      </c>
      <c r="W217" s="71" t="s">
        <v>50</v>
      </c>
      <c r="X217" s="93">
        <v>2</v>
      </c>
      <c r="Y217" s="64">
        <v>16819</v>
      </c>
      <c r="Z217" s="64">
        <v>463</v>
      </c>
      <c r="AA217" s="64">
        <v>542</v>
      </c>
      <c r="AB217" s="64">
        <v>92</v>
      </c>
      <c r="AC217" s="64">
        <v>61</v>
      </c>
      <c r="AD217" s="17">
        <v>6</v>
      </c>
      <c r="AE217" s="17">
        <v>22</v>
      </c>
      <c r="AF217" s="7"/>
      <c r="AG217" s="7"/>
    </row>
    <row r="218">
      <c r="A218" s="15"/>
      <c r="B218" s="75" t="s">
        <v>42</v>
      </c>
      <c r="C218" s="75"/>
      <c r="D218" s="75">
        <f>SUM(D214:D217)</f>
      </c>
      <c r="E218" s="75">
        <f>SUM(E214:E217)</f>
      </c>
      <c r="F218" s="75">
        <f>SUM(F214:F217)</f>
      </c>
      <c r="G218" s="75">
        <f>SUM(G214:G217)</f>
      </c>
      <c r="H218" s="75">
        <f>SUM(H214:H217)</f>
      </c>
      <c r="I218" s="75">
        <f>SUM(I214:I217)</f>
      </c>
      <c r="J218" s="76">
        <f t="shared" si="5"/>
      </c>
      <c r="K218" s="77">
        <f t="shared" si="38"/>
      </c>
      <c r="L218" s="78">
        <f t="shared" si="82"/>
      </c>
      <c r="M218" s="77">
        <f t="shared" si="49"/>
      </c>
      <c r="N218" s="77">
        <f t="shared" si="174"/>
      </c>
      <c r="O218" s="78">
        <f t="shared" si="16"/>
      </c>
      <c r="P218" s="77">
        <f t="shared" si="60"/>
      </c>
      <c r="Q218" s="77">
        <f t="shared" si="93"/>
      </c>
      <c r="R218" s="78">
        <f t="shared" si="185"/>
      </c>
      <c r="S218" s="79">
        <f t="shared" si="27"/>
      </c>
      <c r="T218" s="78">
        <f t="shared" si="71"/>
      </c>
      <c r="U218" s="80">
        <f t="shared" si="104"/>
      </c>
      <c r="V218" s="80"/>
      <c r="W218" s="80"/>
      <c r="X218" s="90">
        <f>SUM(X214:X217)</f>
      </c>
      <c r="Y218" s="75">
        <f>SUM(Y214:Y217)</f>
      </c>
      <c r="Z218" s="75">
        <f>SUM(Z214:Z217)</f>
      </c>
      <c r="AA218" s="75">
        <f>SUM(AA214:AA217)</f>
      </c>
      <c r="AB218" s="75">
        <f>SUM(AB214:AB217)</f>
      </c>
      <c r="AC218" s="75">
        <f>SUM(AC214:AC217)</f>
      </c>
      <c r="AD218" s="75">
        <f>SUM(AD214:AD217)</f>
      </c>
      <c r="AE218" s="75">
        <f>SUM(AE214:AE217)</f>
      </c>
      <c r="AF218" s="7"/>
      <c r="AG218" s="7"/>
    </row>
    <row r="219">
      <c r="A219" s="15"/>
      <c r="B219" s="64" t="s">
        <v>57</v>
      </c>
      <c r="C219" s="17" t="s">
        <v>49</v>
      </c>
      <c r="D219" s="64">
        <f t="shared" ref="D219:D220" si="151">E219+F219+G219</f>
      </c>
      <c r="E219" s="17">
        <v>1984.35</v>
      </c>
      <c r="F219" s="17">
        <v>1969.9</v>
      </c>
      <c r="G219" s="17">
        <v>0</v>
      </c>
      <c r="H219" s="17">
        <v>3</v>
      </c>
      <c r="I219" s="17">
        <v>7151.080000000005</v>
      </c>
      <c r="J219" s="65">
        <f t="shared" si="5"/>
      </c>
      <c r="K219" s="66">
        <f t="shared" si="38"/>
      </c>
      <c r="L219" s="67">
        <f t="shared" si="82"/>
      </c>
      <c r="M219" s="66">
        <f t="shared" si="49"/>
      </c>
      <c r="N219" s="66">
        <f t="shared" si="174"/>
      </c>
      <c r="O219" s="67">
        <f t="shared" si="16"/>
      </c>
      <c r="P219" s="66">
        <f t="shared" si="60"/>
      </c>
      <c r="Q219" s="66">
        <f t="shared" si="93"/>
      </c>
      <c r="R219" s="67">
        <f t="shared" si="185"/>
      </c>
      <c r="S219" s="68">
        <f t="shared" si="27"/>
      </c>
      <c r="T219" s="67">
        <f t="shared" si="71"/>
      </c>
      <c r="U219" s="69">
        <f t="shared" si="104"/>
      </c>
      <c r="V219" s="70" t="s">
        <v>37</v>
      </c>
      <c r="W219" s="71" t="s">
        <v>50</v>
      </c>
      <c r="X219" s="92">
        <v>4</v>
      </c>
      <c r="Y219" s="64">
        <v>23537</v>
      </c>
      <c r="Z219" s="64">
        <v>586</v>
      </c>
      <c r="AA219" s="64">
        <v>630</v>
      </c>
      <c r="AB219" s="64">
        <v>85</v>
      </c>
      <c r="AC219" s="17">
        <v>73</v>
      </c>
      <c r="AD219" s="17">
        <v>3</v>
      </c>
      <c r="AE219" s="17">
        <v>20</v>
      </c>
      <c r="AF219" s="7"/>
      <c r="AG219" s="7"/>
    </row>
    <row r="220">
      <c r="A220" s="15"/>
      <c r="B220" s="17" t="s">
        <v>58</v>
      </c>
      <c r="C220" s="17" t="s">
        <v>49</v>
      </c>
      <c r="D220" s="64">
        <f t="shared" si="151"/>
      </c>
      <c r="E220" s="17">
        <v>1998.67</v>
      </c>
      <c r="F220" s="17">
        <v>1485.56</v>
      </c>
      <c r="G220" s="17">
        <v>0</v>
      </c>
      <c r="H220" s="17">
        <v>2</v>
      </c>
      <c r="I220" s="17">
        <v>9446.640000000003</v>
      </c>
      <c r="J220" s="65">
        <f t="shared" si="5"/>
      </c>
      <c r="K220" s="66">
        <f t="shared" si="38"/>
      </c>
      <c r="L220" s="67">
        <f t="shared" si="82"/>
      </c>
      <c r="M220" s="66">
        <f t="shared" si="49"/>
      </c>
      <c r="N220" s="66">
        <f t="shared" si="174"/>
      </c>
      <c r="O220" s="67">
        <f t="shared" si="16"/>
      </c>
      <c r="P220" s="66">
        <f t="shared" si="60"/>
      </c>
      <c r="Q220" s="66">
        <f t="shared" si="93"/>
      </c>
      <c r="R220" s="67">
        <f t="shared" si="185"/>
      </c>
      <c r="S220" s="68">
        <f t="shared" si="27"/>
      </c>
      <c r="T220" s="67">
        <f t="shared" si="71"/>
      </c>
      <c r="U220" s="69">
        <f t="shared" si="104"/>
      </c>
      <c r="V220" s="70" t="s">
        <v>37</v>
      </c>
      <c r="W220" s="71" t="s">
        <v>50</v>
      </c>
      <c r="X220" s="91">
        <v>2</v>
      </c>
      <c r="Y220" s="64">
        <v>23049</v>
      </c>
      <c r="Z220" s="64">
        <v>449</v>
      </c>
      <c r="AA220" s="64">
        <v>480</v>
      </c>
      <c r="AB220" s="64">
        <v>64</v>
      </c>
      <c r="AC220" s="64">
        <v>70</v>
      </c>
      <c r="AD220" s="17">
        <v>4</v>
      </c>
      <c r="AE220" s="17">
        <v>18</v>
      </c>
      <c r="AF220" s="7"/>
      <c r="AG220" s="7"/>
    </row>
    <row r="221">
      <c r="A221" s="15"/>
      <c r="B221" s="75" t="s">
        <v>42</v>
      </c>
      <c r="C221" s="75"/>
      <c r="D221" s="75">
        <f>SUM(D219:D220)</f>
      </c>
      <c r="E221" s="75">
        <f>SUM(E219:E220)</f>
      </c>
      <c r="F221" s="75">
        <f>SUM(F219:F220)</f>
      </c>
      <c r="G221" s="75">
        <f>SUM(G219:G220)</f>
      </c>
      <c r="H221" s="75">
        <f>SUM(H219:H220)</f>
      </c>
      <c r="I221" s="75">
        <f>SUM(I219:I220)</f>
      </c>
      <c r="J221" s="76">
        <f t="shared" si="5"/>
      </c>
      <c r="K221" s="77">
        <f t="shared" si="38"/>
      </c>
      <c r="L221" s="78">
        <f t="shared" si="82"/>
      </c>
      <c r="M221" s="77">
        <f t="shared" si="49"/>
      </c>
      <c r="N221" s="77">
        <f t="shared" si="174"/>
      </c>
      <c r="O221" s="78">
        <f t="shared" si="16"/>
      </c>
      <c r="P221" s="77">
        <f t="shared" si="60"/>
      </c>
      <c r="Q221" s="77">
        <f t="shared" si="93"/>
      </c>
      <c r="R221" s="78">
        <f t="shared" si="185"/>
      </c>
      <c r="S221" s="79">
        <f t="shared" si="27"/>
      </c>
      <c r="T221" s="78">
        <f t="shared" si="71"/>
      </c>
      <c r="U221" s="80">
        <f t="shared" si="104"/>
      </c>
      <c r="V221" s="80"/>
      <c r="W221" s="80"/>
      <c r="X221" s="90">
        <f>SUM(X219:X220)</f>
      </c>
      <c r="Y221" s="82">
        <f>SUM(Y219:Y220)</f>
      </c>
      <c r="Z221" s="82">
        <f>SUM(Z219:Z220)</f>
      </c>
      <c r="AA221" s="82">
        <f>SUM(AA219:AA220)</f>
      </c>
      <c r="AB221" s="82">
        <f>SUM(AB219:AB220)</f>
      </c>
      <c r="AC221" s="82">
        <f>SUM(AC219:AC220)</f>
      </c>
      <c r="AD221" s="82">
        <f>SUM(AD219:AD220)</f>
      </c>
      <c r="AE221" s="82">
        <f>SUM(AE219:AE220)</f>
      </c>
      <c r="AF221" s="7"/>
      <c r="AG221" s="7"/>
    </row>
    <row r="222">
      <c r="A222" s="15"/>
      <c r="B222" s="85" t="s">
        <v>59</v>
      </c>
      <c r="C222" s="85"/>
      <c r="D222" s="55">
        <f>D198+D203+D208+D213+D218+D221</f>
      </c>
      <c r="E222" s="55">
        <f>E198+E203+E208+E213+E218+E221</f>
      </c>
      <c r="F222" s="55">
        <f>F198+F203+F208+F213+F218+F221</f>
      </c>
      <c r="G222" s="55">
        <f>G198+G203+G208+G213+G218+G221</f>
      </c>
      <c r="H222" s="55">
        <f>H198+H203+H208+H213+H218+H221</f>
      </c>
      <c r="I222" s="55">
        <f>I198+I203+I208+I213+I218+I221</f>
      </c>
      <c r="J222" s="55">
        <f t="shared" si="5"/>
      </c>
      <c r="K222" s="86">
        <f t="shared" si="38"/>
      </c>
      <c r="L222" s="55">
        <f t="shared" si="82"/>
      </c>
      <c r="M222" s="86">
        <f t="shared" si="49"/>
      </c>
      <c r="N222" s="86">
        <f t="shared" si="174"/>
      </c>
      <c r="O222" s="55">
        <f t="shared" si="16"/>
      </c>
      <c r="P222" s="86">
        <f t="shared" si="60"/>
      </c>
      <c r="Q222" s="86">
        <f t="shared" si="93"/>
      </c>
      <c r="R222" s="55">
        <f t="shared" si="185"/>
      </c>
      <c r="S222" s="87">
        <f t="shared" si="27"/>
      </c>
      <c r="T222" s="55">
        <f t="shared" si="71"/>
      </c>
      <c r="U222" s="88">
        <f t="shared" si="104"/>
      </c>
      <c r="V222" s="88"/>
      <c r="W222" s="88"/>
      <c r="X222" s="55">
        <f>X198+X203+X208+X213+X218+X221</f>
      </c>
      <c r="Y222" s="55">
        <f>Y198+Y203+Y208+Y213+Y218+Y221</f>
      </c>
      <c r="Z222" s="55">
        <f>Z198+Z203+Z208+Z213+Z218+Z221</f>
      </c>
      <c r="AA222" s="55">
        <f>AA198+AA203+AA208+AA213+AA218+AA221</f>
      </c>
      <c r="AB222" s="55">
        <f>AB198+AB203+AB208+AB213+AB218+AB221</f>
      </c>
      <c r="AC222" s="55">
        <f>AC198+AC203+AC208+AC213+AC218+AC221</f>
      </c>
      <c r="AD222" s="55">
        <f>AD198+AD203+AD208+AD213+AD218+AD221</f>
      </c>
      <c r="AE222" s="55">
        <f>AE198+AE203+AE208+AE213+AE218+AE221</f>
      </c>
      <c r="AF222" s="7"/>
      <c r="AG222" s="7"/>
    </row>
    <row r="223">
      <c r="A223" s="1" t="s">
        <v>1</v>
      </c>
      <c r="B223" s="1"/>
      <c r="C223" s="1"/>
      <c r="D223" s="2" t="s">
        <v>2</v>
      </c>
      <c r="E223" s="2"/>
      <c r="F223" s="2"/>
      <c r="G223" s="2"/>
      <c r="H223" s="2"/>
      <c r="I223" s="2"/>
      <c r="J223" s="2"/>
      <c r="K223" s="3" t="s">
        <v>3</v>
      </c>
      <c r="L223" s="3"/>
      <c r="M223" s="3"/>
      <c r="N223" s="3"/>
      <c r="O223" s="3"/>
      <c r="P223" s="3"/>
      <c r="Q223" s="3"/>
      <c r="R223" s="3"/>
      <c r="S223" s="3"/>
      <c r="T223" s="3"/>
      <c r="U223" s="4"/>
      <c r="V223" s="4"/>
      <c r="W223" s="4"/>
      <c r="X223" s="5"/>
      <c r="Y223" s="5"/>
      <c r="Z223" s="5"/>
      <c r="AA223" s="5"/>
      <c r="AB223" s="5"/>
      <c r="AC223" s="5"/>
      <c r="AD223" s="5"/>
      <c r="AE223" s="6" t="s">
        <v>4</v>
      </c>
      <c r="AF223" s="7"/>
      <c r="AG223" s="7"/>
    </row>
    <row r="224">
      <c r="A224" s="1" t="s">
        <v>5</v>
      </c>
      <c r="B224" s="1" t="s">
        <v>6</v>
      </c>
      <c r="C224" s="1" t="s">
        <v>7</v>
      </c>
      <c r="D224" s="2" t="s">
        <v>8</v>
      </c>
      <c r="E224" s="8" t="s">
        <v>9</v>
      </c>
      <c r="F224" s="8" t="s">
        <v>10</v>
      </c>
      <c r="G224" s="9" t="s">
        <v>11</v>
      </c>
      <c r="H224" s="10" t="s">
        <v>12</v>
      </c>
      <c r="I224" s="2" t="s">
        <v>13</v>
      </c>
      <c r="J224" s="8" t="s">
        <v>14</v>
      </c>
      <c r="K224" s="3" t="s">
        <v>15</v>
      </c>
      <c r="L224" s="3" t="s">
        <v>16</v>
      </c>
      <c r="M224" s="11" t="s">
        <v>17</v>
      </c>
      <c r="N224" s="11" t="s">
        <v>18</v>
      </c>
      <c r="O224" s="3" t="s">
        <v>19</v>
      </c>
      <c r="P224" s="11" t="s">
        <v>20</v>
      </c>
      <c r="Q224" s="11" t="s">
        <v>21</v>
      </c>
      <c r="R224" s="3" t="s">
        <v>22</v>
      </c>
      <c r="S224" s="11" t="s">
        <v>23</v>
      </c>
      <c r="T224" s="3" t="s">
        <v>24</v>
      </c>
      <c r="U224" s="12" t="s">
        <v>25</v>
      </c>
      <c r="V224" s="12" t="s">
        <v>26</v>
      </c>
      <c r="W224" s="12" t="s">
        <v>27</v>
      </c>
      <c r="X224" s="13" t="s">
        <v>28</v>
      </c>
      <c r="Y224" s="14" t="s">
        <v>29</v>
      </c>
      <c r="Z224" s="14" t="s">
        <v>30</v>
      </c>
      <c r="AA224" s="14" t="s">
        <v>31</v>
      </c>
      <c r="AB224" s="14" t="s">
        <v>32</v>
      </c>
      <c r="AC224" s="14" t="s">
        <v>33</v>
      </c>
      <c r="AD224" s="14" t="s">
        <v>34</v>
      </c>
      <c r="AE224" s="6"/>
      <c r="AF224" s="7"/>
      <c r="AG224" s="7"/>
    </row>
    <row r="225">
      <c r="A225" s="15">
        <v>46305</v>
      </c>
      <c r="B225" s="18" t="s">
        <v>67</v>
      </c>
      <c r="C225" s="17" t="s">
        <v>49</v>
      </c>
      <c r="D225" s="64">
        <f t="shared" ref="D225:D226" si="152">E225+F225+G225</f>
      </c>
      <c r="E225" s="17">
        <v>986.59</v>
      </c>
      <c r="F225" s="17">
        <v>1000</v>
      </c>
      <c r="G225" s="17">
        <v>0</v>
      </c>
      <c r="H225" s="17">
        <v>1</v>
      </c>
      <c r="I225" s="17">
        <v>3669.84</v>
      </c>
      <c r="J225" s="65">
        <f t="shared" ref="J225:J251" si="6">I225/D225</f>
      </c>
      <c r="K225" s="66">
        <f t="shared" ref="K225:K251" si="39">Z225/Y225</f>
      </c>
      <c r="L225" s="67">
        <f t="shared" ref="L225:L251" si="83">D225/AA225</f>
      </c>
      <c r="M225" s="66">
        <f t="shared" ref="M225:M251" si="50">AB225/AA225</f>
      </c>
      <c r="N225" s="66">
        <f t="shared" ref="N225:N251" si="175">AC225/AA225</f>
      </c>
      <c r="O225" s="67">
        <f t="shared" ref="O225:O251" si="17">D225/AC225</f>
      </c>
      <c r="P225" s="66">
        <f t="shared" ref="P225:P251" si="61">AD225/AC225</f>
      </c>
      <c r="Q225" s="66">
        <f t="shared" ref="Q225:Q251" si="94">H225/AD225</f>
      </c>
      <c r="R225" s="67">
        <f t="shared" ref="R225:R251" si="186">D225/H225</f>
      </c>
      <c r="S225" s="68">
        <f t="shared" ref="S225:S251" si="28">I225/H225</f>
      </c>
      <c r="T225" s="67">
        <f t="shared" ref="T225:T251" si="72">D225/X225</f>
      </c>
      <c r="U225" s="69">
        <f t="shared" ref="U225:U251" si="105">AE225*1000/D225</f>
      </c>
      <c r="V225" s="70" t="s">
        <v>37</v>
      </c>
      <c r="W225" s="71" t="s">
        <v>50</v>
      </c>
      <c r="X225" s="91">
        <v>1</v>
      </c>
      <c r="Y225" s="64">
        <v>12005</v>
      </c>
      <c r="Z225" s="64">
        <v>594</v>
      </c>
      <c r="AA225" s="64">
        <v>682</v>
      </c>
      <c r="AB225" s="64">
        <v>75</v>
      </c>
      <c r="AC225" s="17">
        <v>31</v>
      </c>
      <c r="AD225" s="17">
        <v>2</v>
      </c>
      <c r="AE225" s="17">
        <v>14</v>
      </c>
      <c r="AF225" s="32"/>
      <c r="AG225" s="7"/>
    </row>
    <row r="226">
      <c r="A226" s="15"/>
      <c r="B226" s="96" t="s">
        <v>68</v>
      </c>
      <c r="C226" s="17" t="s">
        <v>49</v>
      </c>
      <c r="D226" s="98">
        <f t="shared" si="152"/>
      </c>
      <c r="E226" s="17">
        <v>1978.2</v>
      </c>
      <c r="F226" s="17">
        <v>0</v>
      </c>
      <c r="G226" s="17">
        <v>0</v>
      </c>
      <c r="H226" s="17">
        <v>3</v>
      </c>
      <c r="I226" s="17">
        <v>7605.960000000001</v>
      </c>
      <c r="J226" s="65">
        <f t="shared" si="6"/>
      </c>
      <c r="K226" s="66">
        <f t="shared" si="39"/>
      </c>
      <c r="L226" s="67">
        <f t="shared" si="83"/>
      </c>
      <c r="M226" s="66">
        <f t="shared" si="50"/>
      </c>
      <c r="N226" s="66">
        <f t="shared" si="175"/>
      </c>
      <c r="O226" s="67">
        <f t="shared" si="17"/>
      </c>
      <c r="P226" s="66">
        <f t="shared" si="61"/>
      </c>
      <c r="Q226" s="66">
        <f t="shared" si="94"/>
      </c>
      <c r="R226" s="67">
        <f t="shared" si="186"/>
      </c>
      <c r="S226" s="68">
        <f t="shared" si="28"/>
      </c>
      <c r="T226" s="67">
        <f t="shared" si="72"/>
      </c>
      <c r="U226" s="69">
        <f t="shared" si="105"/>
      </c>
      <c r="V226" s="70" t="s">
        <v>37</v>
      </c>
      <c r="W226" s="71" t="s">
        <v>50</v>
      </c>
      <c r="X226" s="91">
        <v>3</v>
      </c>
      <c r="Y226" s="64">
        <v>6874</v>
      </c>
      <c r="Z226" s="64">
        <v>400</v>
      </c>
      <c r="AA226" s="64">
        <v>453</v>
      </c>
      <c r="AB226" s="64">
        <v>97</v>
      </c>
      <c r="AC226" s="17">
        <v>24</v>
      </c>
      <c r="AD226" s="17">
        <v>4</v>
      </c>
      <c r="AE226" s="17">
        <v>11</v>
      </c>
      <c r="AF226" s="32"/>
      <c r="AG226" s="7"/>
    </row>
    <row r="227">
      <c r="A227" s="15"/>
      <c r="B227" s="75" t="s">
        <v>42</v>
      </c>
      <c r="C227" s="75"/>
      <c r="D227" s="75">
        <f>SUM(D225:D226)</f>
      </c>
      <c r="E227" s="75">
        <f>SUM(E225:E226)</f>
      </c>
      <c r="F227" s="75">
        <f>SUM(F225:F226)</f>
      </c>
      <c r="G227" s="75">
        <f>SUM(G225:G226)</f>
      </c>
      <c r="H227" s="75">
        <f>SUM(H225:H226)</f>
      </c>
      <c r="I227" s="75">
        <f>SUM(I225:I226)</f>
      </c>
      <c r="J227" s="76">
        <f t="shared" si="6"/>
      </c>
      <c r="K227" s="77">
        <f t="shared" si="39"/>
      </c>
      <c r="L227" s="78">
        <f t="shared" si="83"/>
      </c>
      <c r="M227" s="77">
        <f t="shared" si="50"/>
      </c>
      <c r="N227" s="77">
        <f t="shared" si="175"/>
      </c>
      <c r="O227" s="78">
        <f t="shared" si="17"/>
      </c>
      <c r="P227" s="77">
        <f t="shared" si="61"/>
      </c>
      <c r="Q227" s="77">
        <f t="shared" si="94"/>
      </c>
      <c r="R227" s="78">
        <f t="shared" si="186"/>
      </c>
      <c r="S227" s="79">
        <f t="shared" si="28"/>
      </c>
      <c r="T227" s="78">
        <f t="shared" si="72"/>
      </c>
      <c r="U227" s="80">
        <f t="shared" si="105"/>
      </c>
      <c r="V227" s="80"/>
      <c r="W227" s="80"/>
      <c r="X227" s="90">
        <f>SUM(X225:X226)</f>
      </c>
      <c r="Y227" s="82">
        <f>SUM(Y225:Y226)</f>
      </c>
      <c r="Z227" s="82">
        <f>SUM(Z225:Z226)</f>
      </c>
      <c r="AA227" s="82">
        <f>SUM(AA225:AA226)</f>
      </c>
      <c r="AB227" s="82">
        <f>SUM(AB225:AB226)</f>
      </c>
      <c r="AC227" s="82">
        <f>SUM(AC225:AC226)</f>
      </c>
      <c r="AD227" s="82">
        <f>SUM(AD225:AD226)</f>
      </c>
      <c r="AE227" s="82">
        <f>SUM(AE225:AE226)</f>
      </c>
      <c r="AF227" s="32"/>
      <c r="AG227" s="7"/>
    </row>
    <row r="228">
      <c r="A228" s="15"/>
      <c r="B228" s="18" t="s">
        <v>64</v>
      </c>
      <c r="C228" s="17" t="s">
        <v>61</v>
      </c>
      <c r="D228" s="64">
        <f t="shared" ref="D228:D232" si="153">E228+F228+G228</f>
      </c>
      <c r="E228" s="17">
        <v>2025.9099999999999</v>
      </c>
      <c r="F228" s="17">
        <v>1000</v>
      </c>
      <c r="G228" s="17">
        <v>0</v>
      </c>
      <c r="H228" s="17">
        <v>0</v>
      </c>
      <c r="I228" s="17">
        <v>0</v>
      </c>
      <c r="J228" s="65">
        <f t="shared" si="6"/>
      </c>
      <c r="K228" s="66">
        <f t="shared" si="39"/>
      </c>
      <c r="L228" s="67">
        <f t="shared" si="83"/>
      </c>
      <c r="M228" s="66">
        <f t="shared" si="50"/>
      </c>
      <c r="N228" s="66">
        <f t="shared" si="175"/>
      </c>
      <c r="O228" s="67">
        <f t="shared" si="17"/>
      </c>
      <c r="P228" s="66">
        <f t="shared" si="61"/>
      </c>
      <c r="Q228" s="66">
        <f t="shared" si="94"/>
      </c>
      <c r="R228" s="67">
        <f t="shared" si="186"/>
      </c>
      <c r="S228" s="68">
        <f t="shared" si="28"/>
      </c>
      <c r="T228" s="67">
        <f t="shared" si="72"/>
      </c>
      <c r="U228" s="69">
        <f t="shared" si="105"/>
      </c>
      <c r="V228" s="70" t="s">
        <v>37</v>
      </c>
      <c r="W228" s="71" t="s">
        <v>70</v>
      </c>
      <c r="X228" s="17">
        <v>0</v>
      </c>
      <c r="Y228" s="64">
        <v>11558</v>
      </c>
      <c r="Z228" s="64">
        <v>1094</v>
      </c>
      <c r="AA228" s="64">
        <v>1315</v>
      </c>
      <c r="AB228" s="64">
        <v>194</v>
      </c>
      <c r="AC228" s="17">
        <v>52</v>
      </c>
      <c r="AD228" s="17">
        <v>1</v>
      </c>
      <c r="AE228" s="17">
        <v>29</v>
      </c>
      <c r="AF228" s="32"/>
      <c r="AG228" s="7"/>
    </row>
    <row r="229">
      <c r="A229" s="15"/>
      <c r="B229" s="18" t="s">
        <v>65</v>
      </c>
      <c r="C229" s="17" t="s">
        <v>61</v>
      </c>
      <c r="D229" s="64">
        <f t="shared" si="153"/>
      </c>
      <c r="E229" s="17">
        <v>2029.62</v>
      </c>
      <c r="F229" s="17">
        <v>1054.41</v>
      </c>
      <c r="G229" s="17">
        <v>0</v>
      </c>
      <c r="H229" s="17">
        <v>2</v>
      </c>
      <c r="I229" s="17">
        <v>6993.719999999999</v>
      </c>
      <c r="J229" s="65">
        <f t="shared" si="6"/>
      </c>
      <c r="K229" s="66">
        <f t="shared" si="39"/>
      </c>
      <c r="L229" s="67">
        <f t="shared" si="83"/>
      </c>
      <c r="M229" s="66">
        <f t="shared" si="50"/>
      </c>
      <c r="N229" s="66">
        <f t="shared" si="175"/>
      </c>
      <c r="O229" s="67">
        <f t="shared" si="17"/>
      </c>
      <c r="P229" s="66">
        <f t="shared" si="61"/>
      </c>
      <c r="Q229" s="66">
        <f t="shared" si="94"/>
      </c>
      <c r="R229" s="67">
        <f t="shared" si="186"/>
      </c>
      <c r="S229" s="68">
        <f t="shared" si="28"/>
      </c>
      <c r="T229" s="67">
        <f t="shared" si="72"/>
      </c>
      <c r="U229" s="69">
        <f t="shared" si="105"/>
      </c>
      <c r="V229" s="70" t="s">
        <v>37</v>
      </c>
      <c r="W229" s="71" t="s">
        <v>70</v>
      </c>
      <c r="X229" s="73">
        <v>1</v>
      </c>
      <c r="Y229" s="64">
        <v>13599</v>
      </c>
      <c r="Z229" s="64">
        <v>637</v>
      </c>
      <c r="AA229" s="64">
        <v>732</v>
      </c>
      <c r="AB229" s="64">
        <v>97</v>
      </c>
      <c r="AC229" s="64">
        <v>54</v>
      </c>
      <c r="AD229" s="17">
        <v>2</v>
      </c>
      <c r="AE229" s="17">
        <v>21</v>
      </c>
      <c r="AF229" s="32"/>
      <c r="AG229" s="7"/>
    </row>
    <row r="230">
      <c r="A230" s="15"/>
      <c r="B230" s="18" t="s">
        <v>35</v>
      </c>
      <c r="C230" s="17" t="s">
        <v>61</v>
      </c>
      <c r="D230" s="64">
        <f t="shared" si="153"/>
      </c>
      <c r="E230" s="17">
        <v>2427.43</v>
      </c>
      <c r="F230" s="17">
        <v>955.81</v>
      </c>
      <c r="G230" s="17">
        <v>0</v>
      </c>
      <c r="H230" s="17">
        <v>2</v>
      </c>
      <c r="I230" s="17">
        <v>3405.119999999999</v>
      </c>
      <c r="J230" s="65">
        <f t="shared" si="6"/>
      </c>
      <c r="K230" s="66">
        <f t="shared" si="39"/>
      </c>
      <c r="L230" s="67">
        <f t="shared" si="83"/>
      </c>
      <c r="M230" s="66">
        <f t="shared" si="50"/>
      </c>
      <c r="N230" s="66">
        <f t="shared" si="175"/>
      </c>
      <c r="O230" s="67">
        <f t="shared" si="17"/>
      </c>
      <c r="P230" s="66">
        <f t="shared" si="61"/>
      </c>
      <c r="Q230" s="66">
        <f t="shared" si="94"/>
      </c>
      <c r="R230" s="67">
        <f t="shared" si="186"/>
      </c>
      <c r="S230" s="68">
        <f t="shared" si="28"/>
      </c>
      <c r="T230" s="67">
        <f t="shared" si="72"/>
      </c>
      <c r="U230" s="69">
        <f t="shared" si="105"/>
      </c>
      <c r="V230" s="70" t="s">
        <v>37</v>
      </c>
      <c r="W230" s="71" t="s">
        <v>70</v>
      </c>
      <c r="X230" s="73">
        <v>2</v>
      </c>
      <c r="Y230" s="64">
        <v>12183</v>
      </c>
      <c r="Z230" s="64">
        <v>369</v>
      </c>
      <c r="AA230" s="64">
        <v>428</v>
      </c>
      <c r="AB230" s="64">
        <v>112</v>
      </c>
      <c r="AC230" s="64">
        <v>79</v>
      </c>
      <c r="AD230" s="17">
        <v>2</v>
      </c>
      <c r="AE230" s="17">
        <v>18</v>
      </c>
      <c r="AF230" s="32"/>
      <c r="AG230" s="7"/>
    </row>
    <row r="231">
      <c r="A231" s="15"/>
      <c r="B231" s="18" t="s">
        <v>39</v>
      </c>
      <c r="C231" s="17" t="s">
        <v>61</v>
      </c>
      <c r="D231" s="64">
        <f t="shared" si="153"/>
      </c>
      <c r="E231" s="17">
        <v>2559.96</v>
      </c>
      <c r="F231" s="17">
        <v>568.42</v>
      </c>
      <c r="G231" s="17">
        <v>0</v>
      </c>
      <c r="H231" s="17">
        <v>5</v>
      </c>
      <c r="I231" s="17">
        <v>19197.6</v>
      </c>
      <c r="J231" s="65">
        <f t="shared" si="6"/>
      </c>
      <c r="K231" s="66">
        <f t="shared" si="39"/>
      </c>
      <c r="L231" s="67">
        <f t="shared" si="83"/>
      </c>
      <c r="M231" s="66">
        <f t="shared" si="50"/>
      </c>
      <c r="N231" s="66">
        <f t="shared" si="175"/>
      </c>
      <c r="O231" s="67">
        <f t="shared" si="17"/>
      </c>
      <c r="P231" s="66">
        <f t="shared" si="61"/>
      </c>
      <c r="Q231" s="66">
        <f t="shared" si="94"/>
      </c>
      <c r="R231" s="67">
        <f t="shared" si="186"/>
      </c>
      <c r="S231" s="68">
        <f t="shared" si="28"/>
      </c>
      <c r="T231" s="67">
        <f t="shared" si="72"/>
      </c>
      <c r="U231" s="69">
        <f t="shared" si="105"/>
      </c>
      <c r="V231" s="70" t="s">
        <v>37</v>
      </c>
      <c r="W231" s="71" t="s">
        <v>70</v>
      </c>
      <c r="X231" s="74">
        <v>5</v>
      </c>
      <c r="Y231" s="64">
        <v>10928</v>
      </c>
      <c r="Z231" s="64">
        <v>209</v>
      </c>
      <c r="AA231" s="64">
        <v>211</v>
      </c>
      <c r="AB231" s="64">
        <v>76</v>
      </c>
      <c r="AC231" s="64">
        <v>88</v>
      </c>
      <c r="AD231" s="17">
        <v>5</v>
      </c>
      <c r="AE231" s="17">
        <v>33</v>
      </c>
      <c r="AF231" s="32"/>
      <c r="AG231" s="7"/>
    </row>
    <row customHeight="true" ht="18.452380952380953" r="232">
      <c r="A232" s="15"/>
      <c r="B232" s="18" t="s">
        <v>40</v>
      </c>
      <c r="C232" s="17" t="s">
        <v>61</v>
      </c>
      <c r="D232" s="64">
        <f t="shared" si="153"/>
      </c>
      <c r="E232" s="17">
        <v>3422.54</v>
      </c>
      <c r="F232" s="17">
        <v>921.36</v>
      </c>
      <c r="G232" s="17">
        <v>0</v>
      </c>
      <c r="H232" s="17">
        <v>2</v>
      </c>
      <c r="I232" s="17">
        <v>2585.1600000000035</v>
      </c>
      <c r="J232" s="65">
        <f t="shared" si="6"/>
      </c>
      <c r="K232" s="66">
        <f t="shared" si="39"/>
      </c>
      <c r="L232" s="67">
        <f t="shared" si="83"/>
      </c>
      <c r="M232" s="66">
        <f t="shared" si="50"/>
      </c>
      <c r="N232" s="66">
        <f t="shared" si="175"/>
      </c>
      <c r="O232" s="67">
        <f t="shared" si="17"/>
      </c>
      <c r="P232" s="66">
        <f t="shared" si="61"/>
      </c>
      <c r="Q232" s="66">
        <f t="shared" si="94"/>
      </c>
      <c r="R232" s="67">
        <f t="shared" si="186"/>
      </c>
      <c r="S232" s="68">
        <f t="shared" si="28"/>
      </c>
      <c r="T232" s="67">
        <f t="shared" si="72"/>
      </c>
      <c r="U232" s="69">
        <f t="shared" si="105"/>
      </c>
      <c r="V232" s="70" t="s">
        <v>37</v>
      </c>
      <c r="W232" s="71" t="s">
        <v>70</v>
      </c>
      <c r="X232" s="74">
        <v>1</v>
      </c>
      <c r="Y232" s="64">
        <v>15037</v>
      </c>
      <c r="Z232" s="64">
        <v>409</v>
      </c>
      <c r="AA232" s="64">
        <v>462</v>
      </c>
      <c r="AB232" s="64">
        <v>131</v>
      </c>
      <c r="AC232" s="64">
        <v>81</v>
      </c>
      <c r="AD232" s="17">
        <v>2</v>
      </c>
      <c r="AE232" s="17">
        <v>29</v>
      </c>
      <c r="AF232" s="32"/>
      <c r="AG232" s="7"/>
    </row>
    <row r="233">
      <c r="A233" s="15"/>
      <c r="B233" s="75" t="s">
        <v>42</v>
      </c>
      <c r="C233" s="75"/>
      <c r="D233" s="75">
        <f>SUM(D228:D232)</f>
      </c>
      <c r="E233" s="75">
        <f>SUM(E228:E232)</f>
      </c>
      <c r="F233" s="75">
        <f>SUM(F228:F232)</f>
      </c>
      <c r="G233" s="75">
        <f>SUM(G228:G232)</f>
      </c>
      <c r="H233" s="75">
        <f>SUM(H228:H232)</f>
      </c>
      <c r="I233" s="75">
        <f>SUM(I228:I232)</f>
      </c>
      <c r="J233" s="76">
        <f t="shared" si="6"/>
      </c>
      <c r="K233" s="77">
        <f t="shared" si="39"/>
      </c>
      <c r="L233" s="78">
        <f t="shared" si="83"/>
      </c>
      <c r="M233" s="77">
        <f t="shared" si="50"/>
      </c>
      <c r="N233" s="77">
        <f t="shared" si="175"/>
      </c>
      <c r="O233" s="78">
        <f t="shared" si="17"/>
      </c>
      <c r="P233" s="77">
        <f t="shared" si="61"/>
      </c>
      <c r="Q233" s="77">
        <f t="shared" si="94"/>
      </c>
      <c r="R233" s="78">
        <f t="shared" si="186"/>
      </c>
      <c r="S233" s="79">
        <f t="shared" si="28"/>
      </c>
      <c r="T233" s="78">
        <f t="shared" si="72"/>
      </c>
      <c r="U233" s="80">
        <f t="shared" si="105"/>
      </c>
      <c r="V233" s="80"/>
      <c r="W233" s="80"/>
      <c r="X233" s="90">
        <f>SUM(X228:X232)</f>
      </c>
      <c r="Y233" s="75">
        <f>SUM(Y228:Y232)</f>
      </c>
      <c r="Z233" s="75">
        <f>SUM(Z228:Z232)</f>
      </c>
      <c r="AA233" s="75">
        <f>SUM(AA228:AA232)</f>
      </c>
      <c r="AB233" s="75">
        <f>SUM(AB228:AB232)</f>
      </c>
      <c r="AC233" s="75">
        <f>SUM(AC228:AC232)</f>
      </c>
      <c r="AD233" s="75">
        <f>SUM(AD228:AD232)</f>
      </c>
      <c r="AE233" s="75">
        <f>SUM(AE228:AE232)</f>
      </c>
      <c r="AF233" s="7"/>
      <c r="AG233" s="7"/>
    </row>
    <row r="234">
      <c r="A234" s="15"/>
      <c r="B234" s="18" t="s">
        <v>41</v>
      </c>
      <c r="C234" s="17" t="s">
        <v>44</v>
      </c>
      <c r="D234" s="64">
        <f t="shared" ref="D234:D237" si="154">E234+F234+G234</f>
      </c>
      <c r="E234" s="64">
        <v>2544.26</v>
      </c>
      <c r="F234" s="64">
        <v>519.39</v>
      </c>
      <c r="G234" s="17">
        <v>0</v>
      </c>
      <c r="H234" s="17">
        <v>3</v>
      </c>
      <c r="I234" s="17">
        <v>5519.519999999997</v>
      </c>
      <c r="J234" s="65">
        <f t="shared" si="6"/>
      </c>
      <c r="K234" s="66">
        <f t="shared" si="39"/>
      </c>
      <c r="L234" s="67">
        <f t="shared" si="83"/>
      </c>
      <c r="M234" s="66">
        <f t="shared" si="50"/>
      </c>
      <c r="N234" s="66">
        <f t="shared" si="175"/>
      </c>
      <c r="O234" s="67">
        <f t="shared" si="17"/>
      </c>
      <c r="P234" s="66">
        <f t="shared" si="61"/>
      </c>
      <c r="Q234" s="66">
        <f t="shared" si="94"/>
      </c>
      <c r="R234" s="67">
        <f t="shared" si="186"/>
      </c>
      <c r="S234" s="68">
        <f t="shared" si="28"/>
      </c>
      <c r="T234" s="67">
        <f t="shared" si="72"/>
      </c>
      <c r="U234" s="69">
        <f t="shared" si="105"/>
      </c>
      <c r="V234" s="70" t="s">
        <v>37</v>
      </c>
      <c r="W234" s="71" t="s">
        <v>70</v>
      </c>
      <c r="X234" s="91">
        <v>1</v>
      </c>
      <c r="Y234" s="17">
        <v>10970</v>
      </c>
      <c r="Z234" s="17">
        <v>158</v>
      </c>
      <c r="AA234" s="64">
        <v>156</v>
      </c>
      <c r="AB234" s="17">
        <v>44</v>
      </c>
      <c r="AC234" s="17">
        <v>63</v>
      </c>
      <c r="AD234" s="17">
        <v>3</v>
      </c>
      <c r="AE234" s="17">
        <v>9</v>
      </c>
      <c r="AF234" s="32"/>
      <c r="AG234" s="7"/>
    </row>
    <row r="235">
      <c r="A235" s="15"/>
      <c r="B235" s="50" t="s">
        <v>43</v>
      </c>
      <c r="C235" s="17" t="s">
        <v>44</v>
      </c>
      <c r="D235" s="64">
        <f t="shared" si="154"/>
      </c>
      <c r="E235" s="17">
        <v>2017.73</v>
      </c>
      <c r="F235" s="17">
        <v>844.38</v>
      </c>
      <c r="G235" s="17">
        <v>0</v>
      </c>
      <c r="H235" s="17">
        <v>1</v>
      </c>
      <c r="I235" s="17">
        <v>5993.639999999999</v>
      </c>
      <c r="J235" s="65">
        <f t="shared" si="6"/>
      </c>
      <c r="K235" s="66">
        <f t="shared" si="39"/>
      </c>
      <c r="L235" s="67">
        <f t="shared" si="83"/>
      </c>
      <c r="M235" s="66">
        <f t="shared" si="50"/>
      </c>
      <c r="N235" s="66">
        <f t="shared" si="175"/>
      </c>
      <c r="O235" s="67">
        <f t="shared" si="17"/>
      </c>
      <c r="P235" s="66">
        <f t="shared" si="61"/>
      </c>
      <c r="Q235" s="66">
        <f t="shared" si="94"/>
      </c>
      <c r="R235" s="67">
        <f t="shared" si="186"/>
      </c>
      <c r="S235" s="68">
        <f t="shared" si="28"/>
      </c>
      <c r="T235" s="67">
        <f t="shared" si="72"/>
      </c>
      <c r="U235" s="69">
        <f t="shared" si="105"/>
      </c>
      <c r="V235" s="70" t="s">
        <v>37</v>
      </c>
      <c r="W235" s="71" t="s">
        <v>70</v>
      </c>
      <c r="X235" s="91">
        <v>1</v>
      </c>
      <c r="Y235" s="64">
        <v>12946</v>
      </c>
      <c r="Z235" s="64">
        <v>139</v>
      </c>
      <c r="AA235" s="64">
        <v>132</v>
      </c>
      <c r="AB235" s="64">
        <v>41</v>
      </c>
      <c r="AC235" s="64">
        <v>50</v>
      </c>
      <c r="AD235" s="17">
        <v>2</v>
      </c>
      <c r="AE235" s="17">
        <v>11</v>
      </c>
      <c r="AF235" s="32"/>
      <c r="AG235" s="7"/>
    </row>
    <row r="236">
      <c r="A236" s="15"/>
      <c r="B236" s="18" t="s">
        <v>45</v>
      </c>
      <c r="C236" s="17" t="s">
        <v>44</v>
      </c>
      <c r="D236" s="64">
        <f t="shared" si="154"/>
      </c>
      <c r="E236" s="17">
        <v>1941.15</v>
      </c>
      <c r="F236" s="17">
        <v>949.6</v>
      </c>
      <c r="G236" s="17">
        <v>0</v>
      </c>
      <c r="H236" s="17">
        <v>2</v>
      </c>
      <c r="I236" s="64">
        <v>3599.279999999999</v>
      </c>
      <c r="J236" s="65">
        <f t="shared" si="6"/>
      </c>
      <c r="K236" s="66">
        <f t="shared" si="39"/>
      </c>
      <c r="L236" s="67">
        <f t="shared" si="83"/>
      </c>
      <c r="M236" s="66">
        <f t="shared" si="50"/>
      </c>
      <c r="N236" s="66">
        <f t="shared" si="175"/>
      </c>
      <c r="O236" s="67">
        <f t="shared" si="17"/>
      </c>
      <c r="P236" s="66">
        <f t="shared" si="61"/>
      </c>
      <c r="Q236" s="66">
        <f t="shared" si="94"/>
      </c>
      <c r="R236" s="67">
        <f t="shared" si="186"/>
      </c>
      <c r="S236" s="68">
        <f t="shared" si="28"/>
      </c>
      <c r="T236" s="67">
        <f t="shared" si="72"/>
      </c>
      <c r="U236" s="69">
        <f t="shared" si="105"/>
      </c>
      <c r="V236" s="70" t="s">
        <v>37</v>
      </c>
      <c r="W236" s="71" t="s">
        <v>70</v>
      </c>
      <c r="X236" s="91">
        <v>2</v>
      </c>
      <c r="Y236" s="17">
        <v>13180</v>
      </c>
      <c r="Z236" s="17">
        <v>394</v>
      </c>
      <c r="AA236" s="17">
        <v>511</v>
      </c>
      <c r="AB236" s="17">
        <v>159</v>
      </c>
      <c r="AC236" s="17">
        <v>38</v>
      </c>
      <c r="AD236" s="17">
        <v>5</v>
      </c>
      <c r="AE236" s="17">
        <v>19</v>
      </c>
      <c r="AF236" s="32"/>
      <c r="AG236" s="7"/>
    </row>
    <row r="237">
      <c r="A237" s="15"/>
      <c r="B237" s="50" t="s">
        <v>46</v>
      </c>
      <c r="C237" s="17" t="s">
        <v>44</v>
      </c>
      <c r="D237" s="64">
        <f t="shared" si="154"/>
      </c>
      <c r="E237" s="64">
        <v>1981.58</v>
      </c>
      <c r="F237" s="17">
        <v>567.26</v>
      </c>
      <c r="G237" s="17">
        <v>0</v>
      </c>
      <c r="H237" s="17">
        <v>4</v>
      </c>
      <c r="I237" s="17">
        <v>2793.3600000000006</v>
      </c>
      <c r="J237" s="65">
        <f t="shared" si="6"/>
      </c>
      <c r="K237" s="66">
        <f t="shared" si="39"/>
      </c>
      <c r="L237" s="67">
        <f t="shared" si="83"/>
      </c>
      <c r="M237" s="66">
        <f t="shared" si="50"/>
      </c>
      <c r="N237" s="66">
        <f t="shared" si="175"/>
      </c>
      <c r="O237" s="67">
        <f t="shared" si="17"/>
      </c>
      <c r="P237" s="66">
        <f t="shared" si="61"/>
      </c>
      <c r="Q237" s="66">
        <f t="shared" si="94"/>
      </c>
      <c r="R237" s="67">
        <f t="shared" si="186"/>
      </c>
      <c r="S237" s="68">
        <f t="shared" si="28"/>
      </c>
      <c r="T237" s="67">
        <f t="shared" si="72"/>
      </c>
      <c r="U237" s="69">
        <f t="shared" si="105"/>
      </c>
      <c r="V237" s="70" t="s">
        <v>37</v>
      </c>
      <c r="W237" s="71" t="s">
        <v>70</v>
      </c>
      <c r="X237" s="91">
        <v>2</v>
      </c>
      <c r="Y237" s="17">
        <v>10021</v>
      </c>
      <c r="Z237" s="17">
        <v>211</v>
      </c>
      <c r="AA237" s="17">
        <v>249</v>
      </c>
      <c r="AB237" s="17">
        <v>53</v>
      </c>
      <c r="AC237" s="17">
        <v>42</v>
      </c>
      <c r="AD237" s="17">
        <v>4</v>
      </c>
      <c r="AE237" s="17">
        <v>11</v>
      </c>
      <c r="AF237" s="32"/>
      <c r="AG237" s="7"/>
    </row>
    <row r="238">
      <c r="A238" s="15"/>
      <c r="B238" s="75" t="s">
        <v>42</v>
      </c>
      <c r="C238" s="75"/>
      <c r="D238" s="75">
        <f>SUM(D234:D237)</f>
      </c>
      <c r="E238" s="75">
        <f>SUM(E234:E237)</f>
      </c>
      <c r="F238" s="75">
        <f>SUM(F234:F237)</f>
      </c>
      <c r="G238" s="75">
        <f>SUM(G234:G237)</f>
      </c>
      <c r="H238" s="75">
        <f>SUM(H234:H237)</f>
      </c>
      <c r="I238" s="75">
        <f>SUM(I234:I237)</f>
      </c>
      <c r="J238" s="76">
        <f t="shared" si="6"/>
      </c>
      <c r="K238" s="77">
        <f t="shared" si="39"/>
      </c>
      <c r="L238" s="78">
        <f t="shared" si="83"/>
      </c>
      <c r="M238" s="77">
        <f t="shared" si="50"/>
      </c>
      <c r="N238" s="77">
        <f t="shared" si="175"/>
      </c>
      <c r="O238" s="78">
        <f t="shared" si="17"/>
      </c>
      <c r="P238" s="77">
        <f t="shared" si="61"/>
      </c>
      <c r="Q238" s="77">
        <f t="shared" si="94"/>
      </c>
      <c r="R238" s="78">
        <f t="shared" si="186"/>
      </c>
      <c r="S238" s="79">
        <f t="shared" si="28"/>
      </c>
      <c r="T238" s="78">
        <f t="shared" si="72"/>
      </c>
      <c r="U238" s="80">
        <f t="shared" si="105"/>
      </c>
      <c r="V238" s="80"/>
      <c r="W238" s="80"/>
      <c r="X238" s="90">
        <f>SUM(X234:X237)</f>
      </c>
      <c r="Y238" s="82">
        <f>SUM(Y234:Y237)</f>
      </c>
      <c r="Z238" s="82">
        <f>SUM(Z234:Z237)</f>
      </c>
      <c r="AA238" s="82">
        <f>SUM(AA234:AA237)</f>
      </c>
      <c r="AB238" s="82">
        <f>SUM(AB234:AB237)</f>
      </c>
      <c r="AC238" s="82">
        <f>SUM(AC234:AC237)</f>
      </c>
      <c r="AD238" s="82">
        <f>SUM(AD234:AD237)</f>
      </c>
      <c r="AE238" s="82">
        <f>SUM(AE234:AE237)</f>
      </c>
      <c r="AF238" s="7"/>
      <c r="AG238" s="7"/>
    </row>
    <row r="239">
      <c r="A239" s="15"/>
      <c r="B239" s="18" t="s">
        <v>47</v>
      </c>
      <c r="C239" s="17" t="s">
        <v>36</v>
      </c>
      <c r="D239" s="64">
        <f t="shared" ref="D239:D243" si="155">E239+F239+G239</f>
      </c>
      <c r="E239" s="64">
        <v>2564.17</v>
      </c>
      <c r="F239" s="64">
        <v>1398.33</v>
      </c>
      <c r="G239" s="17">
        <v>0</v>
      </c>
      <c r="H239" s="17">
        <v>1</v>
      </c>
      <c r="I239" s="17">
        <v>494.6400000000067</v>
      </c>
      <c r="J239" s="65">
        <f t="shared" si="6"/>
      </c>
      <c r="K239" s="66">
        <f t="shared" si="39"/>
      </c>
      <c r="L239" s="67">
        <f t="shared" si="83"/>
      </c>
      <c r="M239" s="66">
        <f t="shared" si="50"/>
      </c>
      <c r="N239" s="66">
        <f t="shared" si="175"/>
      </c>
      <c r="O239" s="67">
        <f t="shared" si="17"/>
      </c>
      <c r="P239" s="66">
        <f t="shared" si="61"/>
      </c>
      <c r="Q239" s="66">
        <f t="shared" si="94"/>
      </c>
      <c r="R239" s="67">
        <f t="shared" si="186"/>
      </c>
      <c r="S239" s="68">
        <f t="shared" si="28"/>
      </c>
      <c r="T239" s="67">
        <f t="shared" si="72"/>
      </c>
      <c r="U239" s="69">
        <f t="shared" si="105"/>
      </c>
      <c r="V239" s="70" t="s">
        <v>37</v>
      </c>
      <c r="W239" s="71" t="s">
        <v>70</v>
      </c>
      <c r="X239" s="91">
        <v>1</v>
      </c>
      <c r="Y239" s="17">
        <v>21136</v>
      </c>
      <c r="Z239" s="17">
        <v>783</v>
      </c>
      <c r="AA239" s="64">
        <v>1050</v>
      </c>
      <c r="AB239" s="17">
        <v>204</v>
      </c>
      <c r="AC239" s="17">
        <v>59</v>
      </c>
      <c r="AD239" s="17">
        <v>1</v>
      </c>
      <c r="AE239" s="17">
        <v>23</v>
      </c>
      <c r="AF239" s="32"/>
      <c r="AG239" s="7"/>
    </row>
    <row r="240">
      <c r="A240" s="15"/>
      <c r="B240" s="63" t="s">
        <v>48</v>
      </c>
      <c r="C240" s="17" t="s">
        <v>36</v>
      </c>
      <c r="D240" s="64">
        <f t="shared" si="155"/>
      </c>
      <c r="E240" s="17">
        <v>1997.42</v>
      </c>
      <c r="F240" s="17">
        <v>994.71</v>
      </c>
      <c r="G240" s="17">
        <v>0</v>
      </c>
      <c r="H240" s="17">
        <v>2</v>
      </c>
      <c r="I240" s="17">
        <v>5111.040000000001</v>
      </c>
      <c r="J240" s="65">
        <f t="shared" si="6"/>
      </c>
      <c r="K240" s="66">
        <f t="shared" si="39"/>
      </c>
      <c r="L240" s="67">
        <f t="shared" si="83"/>
      </c>
      <c r="M240" s="66">
        <f t="shared" si="50"/>
      </c>
      <c r="N240" s="66">
        <f t="shared" si="175"/>
      </c>
      <c r="O240" s="67">
        <f t="shared" si="17"/>
      </c>
      <c r="P240" s="66">
        <f t="shared" si="61"/>
      </c>
      <c r="Q240" s="66">
        <f t="shared" si="94"/>
      </c>
      <c r="R240" s="67">
        <f t="shared" si="186"/>
      </c>
      <c r="S240" s="68">
        <f t="shared" si="28"/>
      </c>
      <c r="T240" s="67">
        <f t="shared" si="72"/>
      </c>
      <c r="U240" s="69">
        <f t="shared" si="105"/>
      </c>
      <c r="V240" s="70" t="s">
        <v>37</v>
      </c>
      <c r="W240" s="71" t="s">
        <v>50</v>
      </c>
      <c r="X240" s="91">
        <v>2</v>
      </c>
      <c r="Y240" s="64">
        <v>16782</v>
      </c>
      <c r="Z240" s="64">
        <v>661</v>
      </c>
      <c r="AA240" s="64">
        <v>969</v>
      </c>
      <c r="AB240" s="64">
        <v>207</v>
      </c>
      <c r="AC240" s="64">
        <v>50</v>
      </c>
      <c r="AD240" s="17">
        <v>3</v>
      </c>
      <c r="AE240" s="17">
        <v>16</v>
      </c>
      <c r="AF240" s="32"/>
      <c r="AG240" s="7"/>
    </row>
    <row r="241">
      <c r="A241" s="15"/>
      <c r="B241" s="72" t="s">
        <v>51</v>
      </c>
      <c r="C241" s="17" t="s">
        <v>36</v>
      </c>
      <c r="D241" s="64">
        <f t="shared" si="155"/>
      </c>
      <c r="E241" s="17">
        <v>1764.94</v>
      </c>
      <c r="F241" s="17">
        <v>733.65</v>
      </c>
      <c r="G241" s="17">
        <v>0</v>
      </c>
      <c r="H241" s="17">
        <v>0</v>
      </c>
      <c r="I241" s="17">
        <v>0</v>
      </c>
      <c r="J241" s="65">
        <f t="shared" si="6"/>
      </c>
      <c r="K241" s="66">
        <f t="shared" si="39"/>
      </c>
      <c r="L241" s="67">
        <f t="shared" si="83"/>
      </c>
      <c r="M241" s="66">
        <f t="shared" si="50"/>
      </c>
      <c r="N241" s="66">
        <f t="shared" si="175"/>
      </c>
      <c r="O241" s="67">
        <f t="shared" si="17"/>
      </c>
      <c r="P241" s="66">
        <f t="shared" si="61"/>
      </c>
      <c r="Q241" s="66">
        <f t="shared" si="94"/>
      </c>
      <c r="R241" s="67">
        <f t="shared" si="186"/>
      </c>
      <c r="S241" s="68">
        <f t="shared" si="28"/>
      </c>
      <c r="T241" s="67">
        <f t="shared" si="72"/>
      </c>
      <c r="U241" s="69">
        <f t="shared" si="105"/>
      </c>
      <c r="V241" s="70" t="s">
        <v>37</v>
      </c>
      <c r="W241" s="71" t="s">
        <v>50</v>
      </c>
      <c r="X241" s="91">
        <v>0</v>
      </c>
      <c r="Y241" s="17">
        <v>16499</v>
      </c>
      <c r="Z241" s="17">
        <v>291</v>
      </c>
      <c r="AA241" s="17">
        <v>352</v>
      </c>
      <c r="AB241" s="17">
        <v>47</v>
      </c>
      <c r="AC241" s="17">
        <v>53</v>
      </c>
      <c r="AD241" s="17">
        <v>2</v>
      </c>
      <c r="AE241" s="17">
        <v>13</v>
      </c>
      <c r="AF241" s="32"/>
      <c r="AG241" s="7"/>
    </row>
    <row r="242">
      <c r="A242" s="15"/>
      <c r="B242" s="63" t="s">
        <v>52</v>
      </c>
      <c r="C242" s="17" t="s">
        <v>36</v>
      </c>
      <c r="D242" s="64">
        <f t="shared" si="155"/>
      </c>
      <c r="E242" s="64">
        <v>2047.9</v>
      </c>
      <c r="F242" s="17">
        <v>737.39</v>
      </c>
      <c r="G242" s="17">
        <v>0</v>
      </c>
      <c r="H242" s="17">
        <v>3</v>
      </c>
      <c r="I242" s="17">
        <v>8655.600000000006</v>
      </c>
      <c r="J242" s="65">
        <f t="shared" si="6"/>
      </c>
      <c r="K242" s="66">
        <f t="shared" si="39"/>
      </c>
      <c r="L242" s="67">
        <f t="shared" si="83"/>
      </c>
      <c r="M242" s="66">
        <f t="shared" si="50"/>
      </c>
      <c r="N242" s="66">
        <f t="shared" si="175"/>
      </c>
      <c r="O242" s="67">
        <f t="shared" si="17"/>
      </c>
      <c r="P242" s="66">
        <f t="shared" si="61"/>
      </c>
      <c r="Q242" s="66">
        <f t="shared" si="94"/>
      </c>
      <c r="R242" s="67">
        <f t="shared" si="186"/>
      </c>
      <c r="S242" s="68">
        <f t="shared" si="28"/>
      </c>
      <c r="T242" s="67">
        <f t="shared" si="72"/>
      </c>
      <c r="U242" s="69">
        <f t="shared" si="105"/>
      </c>
      <c r="V242" s="70" t="s">
        <v>37</v>
      </c>
      <c r="W242" s="71" t="s">
        <v>50</v>
      </c>
      <c r="X242" s="91">
        <v>3</v>
      </c>
      <c r="Y242" s="17">
        <v>17233</v>
      </c>
      <c r="Z242" s="17">
        <v>564</v>
      </c>
      <c r="AA242" s="17">
        <v>759</v>
      </c>
      <c r="AB242" s="17">
        <v>210</v>
      </c>
      <c r="AC242" s="17">
        <v>45</v>
      </c>
      <c r="AD242" s="17">
        <v>5</v>
      </c>
      <c r="AE242" s="17">
        <v>33</v>
      </c>
      <c r="AF242" s="7"/>
      <c r="AG242" s="7"/>
    </row>
    <row customHeight="true" ht="18.452380952380953" r="243">
      <c r="A243" s="15"/>
      <c r="B243" s="72" t="s">
        <v>53</v>
      </c>
      <c r="C243" s="17" t="s">
        <v>36</v>
      </c>
      <c r="D243" s="64">
        <f t="shared" si="155"/>
      </c>
      <c r="E243" s="64">
        <v>1995.8899999999999</v>
      </c>
      <c r="F243" s="17">
        <v>447.89</v>
      </c>
      <c r="G243" s="17">
        <v>0</v>
      </c>
      <c r="H243" s="17">
        <v>1</v>
      </c>
      <c r="I243" s="17">
        <v>2207.449999999997</v>
      </c>
      <c r="J243" s="65">
        <f t="shared" si="6"/>
      </c>
      <c r="K243" s="66">
        <f t="shared" si="39"/>
      </c>
      <c r="L243" s="67">
        <f t="shared" si="83"/>
      </c>
      <c r="M243" s="66">
        <f t="shared" si="50"/>
      </c>
      <c r="N243" s="66">
        <f t="shared" si="175"/>
      </c>
      <c r="O243" s="67">
        <f t="shared" si="17"/>
      </c>
      <c r="P243" s="66">
        <f t="shared" si="61"/>
      </c>
      <c r="Q243" s="66">
        <f t="shared" si="94"/>
      </c>
      <c r="R243" s="67">
        <f t="shared" si="186"/>
      </c>
      <c r="S243" s="68">
        <f t="shared" si="28"/>
      </c>
      <c r="T243" s="67">
        <f t="shared" si="72"/>
      </c>
      <c r="U243" s="69">
        <f t="shared" si="105"/>
      </c>
      <c r="V243" s="70" t="s">
        <v>37</v>
      </c>
      <c r="W243" s="71" t="s">
        <v>50</v>
      </c>
      <c r="X243" s="91">
        <v>1</v>
      </c>
      <c r="Y243" s="17">
        <v>21875</v>
      </c>
      <c r="Z243" s="17">
        <v>180</v>
      </c>
      <c r="AA243" s="17">
        <v>188</v>
      </c>
      <c r="AB243" s="17">
        <v>44</v>
      </c>
      <c r="AC243" s="17">
        <v>48</v>
      </c>
      <c r="AD243" s="17">
        <v>1</v>
      </c>
      <c r="AE243" s="17">
        <v>12</v>
      </c>
      <c r="AF243" s="7"/>
      <c r="AG243" s="7"/>
    </row>
    <row r="244">
      <c r="A244" s="15"/>
      <c r="B244" s="75" t="s">
        <v>42</v>
      </c>
      <c r="C244" s="75"/>
      <c r="D244" s="75">
        <f>SUM(D239:D243)</f>
      </c>
      <c r="E244" s="75">
        <f>SUM(E239:E243)</f>
      </c>
      <c r="F244" s="75">
        <f>SUM(F239:F243)</f>
      </c>
      <c r="G244" s="75">
        <f>SUM(G239:G243)</f>
      </c>
      <c r="H244" s="75">
        <f>SUM(H239:H243)</f>
      </c>
      <c r="I244" s="75">
        <f>SUM(I239:I243)</f>
      </c>
      <c r="J244" s="76">
        <f t="shared" si="6"/>
      </c>
      <c r="K244" s="77">
        <f t="shared" si="39"/>
      </c>
      <c r="L244" s="78">
        <f t="shared" si="83"/>
      </c>
      <c r="M244" s="77">
        <f t="shared" si="50"/>
      </c>
      <c r="N244" s="77">
        <f t="shared" si="175"/>
      </c>
      <c r="O244" s="78">
        <f t="shared" si="17"/>
      </c>
      <c r="P244" s="77">
        <f t="shared" si="61"/>
      </c>
      <c r="Q244" s="77">
        <f t="shared" si="94"/>
      </c>
      <c r="R244" s="78">
        <f t="shared" si="186"/>
      </c>
      <c r="S244" s="79">
        <f t="shared" si="28"/>
      </c>
      <c r="T244" s="78">
        <f t="shared" si="72"/>
      </c>
      <c r="U244" s="80">
        <f t="shared" si="105"/>
      </c>
      <c r="V244" s="80"/>
      <c r="W244" s="80"/>
      <c r="X244" s="90">
        <f>SUM(X239:X243)</f>
      </c>
      <c r="Y244" s="82">
        <f>SUM(Y239:Y243)</f>
      </c>
      <c r="Z244" s="82">
        <f>SUM(Z239:Z243)</f>
      </c>
      <c r="AA244" s="82">
        <f>SUM(AA239:AA243)</f>
      </c>
      <c r="AB244" s="82">
        <f>SUM(AB239:AB243)</f>
      </c>
      <c r="AC244" s="82">
        <f>SUM(AC239:AC243)</f>
      </c>
      <c r="AD244" s="82">
        <f>SUM(AD239:AD243)</f>
      </c>
      <c r="AE244" s="82">
        <f>SUM(AE239:AE243)</f>
      </c>
      <c r="AF244" s="7"/>
      <c r="AG244" s="7"/>
    </row>
    <row r="245">
      <c r="A245" s="15"/>
      <c r="B245" s="72" t="s">
        <v>54</v>
      </c>
      <c r="C245" s="17" t="s">
        <v>66</v>
      </c>
      <c r="D245" s="64">
        <f t="shared" ref="D245:D246" si="156">E245+F245+G245</f>
      </c>
      <c r="E245" s="17">
        <v>2526</v>
      </c>
      <c r="F245" s="17">
        <v>968.88</v>
      </c>
      <c r="G245" s="17">
        <v>0</v>
      </c>
      <c r="H245" s="17">
        <v>1</v>
      </c>
      <c r="I245" s="17">
        <v>3006.3600000000006</v>
      </c>
      <c r="J245" s="65">
        <f t="shared" si="6"/>
      </c>
      <c r="K245" s="66">
        <f t="shared" si="39"/>
      </c>
      <c r="L245" s="67">
        <f t="shared" si="83"/>
      </c>
      <c r="M245" s="66">
        <f t="shared" si="50"/>
      </c>
      <c r="N245" s="66">
        <f t="shared" si="175"/>
      </c>
      <c r="O245" s="67">
        <f t="shared" si="17"/>
      </c>
      <c r="P245" s="66">
        <f t="shared" si="61"/>
      </c>
      <c r="Q245" s="66">
        <f t="shared" si="94"/>
      </c>
      <c r="R245" s="67">
        <f t="shared" si="186"/>
      </c>
      <c r="S245" s="68">
        <f t="shared" si="28"/>
      </c>
      <c r="T245" s="67">
        <f t="shared" si="72"/>
      </c>
      <c r="U245" s="69">
        <f t="shared" si="105"/>
      </c>
      <c r="V245" s="70" t="s">
        <v>37</v>
      </c>
      <c r="W245" s="71" t="s">
        <v>50</v>
      </c>
      <c r="X245" s="91">
        <v>1</v>
      </c>
      <c r="Y245" s="64">
        <v>25470</v>
      </c>
      <c r="Z245" s="64">
        <v>463</v>
      </c>
      <c r="AA245" s="64">
        <v>569</v>
      </c>
      <c r="AB245" s="64">
        <v>114</v>
      </c>
      <c r="AC245" s="64">
        <v>71</v>
      </c>
      <c r="AD245" s="17">
        <v>3</v>
      </c>
      <c r="AE245" s="17">
        <v>15</v>
      </c>
      <c r="AF245" s="7"/>
      <c r="AG245" s="7"/>
    </row>
    <row r="246">
      <c r="A246" s="15"/>
      <c r="B246" s="17" t="s">
        <v>56</v>
      </c>
      <c r="C246" s="17" t="s">
        <v>66</v>
      </c>
      <c r="D246" s="64">
        <f t="shared" si="156"/>
      </c>
      <c r="E246" s="17">
        <v>1975.6</v>
      </c>
      <c r="F246" s="17">
        <v>1065.94</v>
      </c>
      <c r="G246" s="17">
        <v>0</v>
      </c>
      <c r="H246" s="17">
        <v>6</v>
      </c>
      <c r="I246" s="17">
        <v>5701.8399999999965</v>
      </c>
      <c r="J246" s="65">
        <f t="shared" si="6"/>
      </c>
      <c r="K246" s="66">
        <f t="shared" si="39"/>
      </c>
      <c r="L246" s="67">
        <f t="shared" si="83"/>
      </c>
      <c r="M246" s="66">
        <f t="shared" si="50"/>
      </c>
      <c r="N246" s="66">
        <f t="shared" si="175"/>
      </c>
      <c r="O246" s="67">
        <f t="shared" si="17"/>
      </c>
      <c r="P246" s="66">
        <f t="shared" si="61"/>
      </c>
      <c r="Q246" s="66">
        <f t="shared" si="94"/>
      </c>
      <c r="R246" s="67">
        <f t="shared" si="186"/>
      </c>
      <c r="S246" s="68">
        <f t="shared" si="28"/>
      </c>
      <c r="T246" s="67">
        <f t="shared" si="72"/>
      </c>
      <c r="U246" s="69">
        <f t="shared" si="105"/>
      </c>
      <c r="V246" s="70" t="s">
        <v>37</v>
      </c>
      <c r="W246" s="71" t="s">
        <v>50</v>
      </c>
      <c r="X246" s="93">
        <v>5</v>
      </c>
      <c r="Y246" s="64">
        <v>17389</v>
      </c>
      <c r="Z246" s="64">
        <v>475</v>
      </c>
      <c r="AA246" s="64">
        <v>711</v>
      </c>
      <c r="AB246" s="64">
        <v>211</v>
      </c>
      <c r="AC246" s="64">
        <v>56</v>
      </c>
      <c r="AD246" s="17">
        <v>8</v>
      </c>
      <c r="AE246" s="17">
        <v>39</v>
      </c>
      <c r="AF246" s="7"/>
      <c r="AG246" s="7"/>
    </row>
    <row r="247">
      <c r="A247" s="15"/>
      <c r="B247" s="75" t="s">
        <v>42</v>
      </c>
      <c r="C247" s="75"/>
      <c r="D247" s="75">
        <f>SUM(D245:D246)</f>
      </c>
      <c r="E247" s="75">
        <f>SUM(E245:E246)</f>
      </c>
      <c r="F247" s="75">
        <f>SUM(F245:F246)</f>
      </c>
      <c r="G247" s="75">
        <f>SUM(G245:G246)</f>
      </c>
      <c r="H247" s="75">
        <f>SUM(H245:H246)</f>
      </c>
      <c r="I247" s="75">
        <f>SUM(I245:I246)</f>
      </c>
      <c r="J247" s="76">
        <f t="shared" si="6"/>
      </c>
      <c r="K247" s="77">
        <f t="shared" si="39"/>
      </c>
      <c r="L247" s="78">
        <f t="shared" si="83"/>
      </c>
      <c r="M247" s="77">
        <f t="shared" si="50"/>
      </c>
      <c r="N247" s="77">
        <f t="shared" si="175"/>
      </c>
      <c r="O247" s="78">
        <f t="shared" si="17"/>
      </c>
      <c r="P247" s="77">
        <f t="shared" si="61"/>
      </c>
      <c r="Q247" s="77">
        <f t="shared" si="94"/>
      </c>
      <c r="R247" s="78">
        <f t="shared" si="186"/>
      </c>
      <c r="S247" s="79">
        <f t="shared" si="28"/>
      </c>
      <c r="T247" s="78">
        <f t="shared" si="72"/>
      </c>
      <c r="U247" s="80">
        <f t="shared" si="105"/>
      </c>
      <c r="V247" s="80"/>
      <c r="W247" s="80"/>
      <c r="X247" s="90">
        <f>SUM(X245:X246)</f>
      </c>
      <c r="Y247" s="75">
        <f>SUM(Y245:Y246)</f>
      </c>
      <c r="Z247" s="75">
        <f>SUM(Z245:Z246)</f>
      </c>
      <c r="AA247" s="75">
        <f>SUM(AA245:AA246)</f>
      </c>
      <c r="AB247" s="75">
        <f>SUM(AB245:AB246)</f>
      </c>
      <c r="AC247" s="75">
        <f>SUM(AC245:AC246)</f>
      </c>
      <c r="AD247" s="75">
        <f>SUM(AD245:AD246)</f>
      </c>
      <c r="AE247" s="75">
        <f>SUM(AE245:AE246)</f>
      </c>
      <c r="AF247" s="7"/>
      <c r="AG247" s="7"/>
    </row>
    <row r="248">
      <c r="A248" s="15"/>
      <c r="B248" s="64" t="s">
        <v>57</v>
      </c>
      <c r="C248" s="17" t="s">
        <v>60</v>
      </c>
      <c r="D248" s="64">
        <f t="shared" ref="D248:D249" si="157">E248+F248+G248</f>
      </c>
      <c r="E248" s="17">
        <v>1513.11</v>
      </c>
      <c r="F248" s="17">
        <v>732.04</v>
      </c>
      <c r="G248" s="17">
        <v>0</v>
      </c>
      <c r="H248" s="17">
        <v>1</v>
      </c>
      <c r="I248" s="17">
        <v>494.6399999999994</v>
      </c>
      <c r="J248" s="65">
        <f t="shared" si="6"/>
      </c>
      <c r="K248" s="66">
        <f t="shared" si="39"/>
      </c>
      <c r="L248" s="67">
        <f t="shared" si="83"/>
      </c>
      <c r="M248" s="66">
        <f t="shared" si="50"/>
      </c>
      <c r="N248" s="66">
        <f t="shared" si="175"/>
      </c>
      <c r="O248" s="67">
        <f t="shared" si="17"/>
      </c>
      <c r="P248" s="66">
        <f t="shared" si="61"/>
      </c>
      <c r="Q248" s="66">
        <f t="shared" si="94"/>
      </c>
      <c r="R248" s="67">
        <f t="shared" si="186"/>
      </c>
      <c r="S248" s="68">
        <f t="shared" si="28"/>
      </c>
      <c r="T248" s="67">
        <f t="shared" si="72"/>
      </c>
      <c r="U248" s="69">
        <f t="shared" si="105"/>
      </c>
      <c r="V248" s="70" t="s">
        <v>37</v>
      </c>
      <c r="W248" s="71" t="s">
        <v>50</v>
      </c>
      <c r="X248" s="92">
        <v>0</v>
      </c>
      <c r="Y248" s="64">
        <v>16629</v>
      </c>
      <c r="Z248" s="64">
        <v>158</v>
      </c>
      <c r="AA248" s="64">
        <v>168</v>
      </c>
      <c r="AB248" s="64">
        <v>50</v>
      </c>
      <c r="AC248" s="17">
        <v>49</v>
      </c>
      <c r="AD248" s="17">
        <v>2</v>
      </c>
      <c r="AE248" s="17">
        <v>16</v>
      </c>
      <c r="AF248" s="7"/>
      <c r="AG248" s="7"/>
    </row>
    <row r="249">
      <c r="A249" s="15"/>
      <c r="B249" s="17" t="s">
        <v>58</v>
      </c>
      <c r="C249" s="17" t="s">
        <v>60</v>
      </c>
      <c r="D249" s="64">
        <f t="shared" si="157"/>
      </c>
      <c r="E249" s="17">
        <v>2910.54</v>
      </c>
      <c r="F249" s="17">
        <v>1069.5</v>
      </c>
      <c r="G249" s="17">
        <v>0</v>
      </c>
      <c r="H249" s="17">
        <v>5</v>
      </c>
      <c r="I249" s="17">
        <v>7114.080000000002</v>
      </c>
      <c r="J249" s="65">
        <f t="shared" si="6"/>
      </c>
      <c r="K249" s="66">
        <f t="shared" si="39"/>
      </c>
      <c r="L249" s="67">
        <f t="shared" si="83"/>
      </c>
      <c r="M249" s="66">
        <f t="shared" si="50"/>
      </c>
      <c r="N249" s="66">
        <f t="shared" si="175"/>
      </c>
      <c r="O249" s="67">
        <f t="shared" si="17"/>
      </c>
      <c r="P249" s="66">
        <f t="shared" si="61"/>
      </c>
      <c r="Q249" s="66">
        <f t="shared" si="94"/>
      </c>
      <c r="R249" s="67">
        <f t="shared" si="186"/>
      </c>
      <c r="S249" s="68">
        <f t="shared" si="28"/>
      </c>
      <c r="T249" s="67">
        <f t="shared" si="72"/>
      </c>
      <c r="U249" s="69">
        <f t="shared" si="105"/>
      </c>
      <c r="V249" s="70" t="s">
        <v>37</v>
      </c>
      <c r="W249" s="71" t="s">
        <v>50</v>
      </c>
      <c r="X249" s="91">
        <v>4</v>
      </c>
      <c r="Y249" s="64">
        <v>19817</v>
      </c>
      <c r="Z249" s="64">
        <v>1110</v>
      </c>
      <c r="AA249" s="64">
        <v>1425</v>
      </c>
      <c r="AB249" s="64">
        <v>202</v>
      </c>
      <c r="AC249" s="64">
        <v>74</v>
      </c>
      <c r="AD249" s="17">
        <v>9</v>
      </c>
      <c r="AE249" s="17">
        <v>32</v>
      </c>
      <c r="AF249" s="7"/>
      <c r="AG249" s="7"/>
    </row>
    <row r="250">
      <c r="A250" s="15"/>
      <c r="B250" s="75" t="s">
        <v>42</v>
      </c>
      <c r="C250" s="75"/>
      <c r="D250" s="75">
        <f>SUM(D248:D249)</f>
      </c>
      <c r="E250" s="75">
        <f>SUM(E248:E249)</f>
      </c>
      <c r="F250" s="75">
        <f>SUM(F248:F249)</f>
      </c>
      <c r="G250" s="75">
        <f>SUM(G248:G249)</f>
      </c>
      <c r="H250" s="75">
        <f>SUM(H248:H249)</f>
      </c>
      <c r="I250" s="75">
        <f>SUM(I248:I249)</f>
      </c>
      <c r="J250" s="76">
        <f t="shared" si="6"/>
      </c>
      <c r="K250" s="77">
        <f t="shared" si="39"/>
      </c>
      <c r="L250" s="78">
        <f t="shared" si="83"/>
      </c>
      <c r="M250" s="77">
        <f t="shared" si="50"/>
      </c>
      <c r="N250" s="77">
        <f t="shared" si="175"/>
      </c>
      <c r="O250" s="78">
        <f t="shared" si="17"/>
      </c>
      <c r="P250" s="77">
        <f t="shared" si="61"/>
      </c>
      <c r="Q250" s="77">
        <f t="shared" si="94"/>
      </c>
      <c r="R250" s="78">
        <f t="shared" si="186"/>
      </c>
      <c r="S250" s="79">
        <f t="shared" si="28"/>
      </c>
      <c r="T250" s="78">
        <f t="shared" si="72"/>
      </c>
      <c r="U250" s="80">
        <f t="shared" si="105"/>
      </c>
      <c r="V250" s="80"/>
      <c r="W250" s="80"/>
      <c r="X250" s="90">
        <f>SUM(X248:X249)</f>
      </c>
      <c r="Y250" s="82">
        <f>SUM(Y248:Y249)</f>
      </c>
      <c r="Z250" s="82">
        <f>SUM(Z248:Z249)</f>
      </c>
      <c r="AA250" s="82">
        <f>SUM(AA248:AA249)</f>
      </c>
      <c r="AB250" s="82">
        <f>SUM(AB248:AB249)</f>
      </c>
      <c r="AC250" s="82">
        <f>SUM(AC248:AC249)</f>
      </c>
      <c r="AD250" s="82">
        <f>SUM(AD248:AD249)</f>
      </c>
      <c r="AE250" s="82">
        <f>SUM(AE248:AE249)</f>
      </c>
      <c r="AF250" s="7"/>
      <c r="AG250" s="7"/>
    </row>
    <row r="251">
      <c r="A251" s="15"/>
      <c r="B251" s="85" t="s">
        <v>59</v>
      </c>
      <c r="C251" s="85"/>
      <c r="D251" s="55">
        <f>D227+D233+D238+D244+D247+D250</f>
      </c>
      <c r="E251" s="55">
        <f>E227+E233+E238+E244+E247+E250</f>
      </c>
      <c r="F251" s="55">
        <f>F227+F233+F238+F244+F247+F250</f>
      </c>
      <c r="G251" s="55">
        <f>G227+G233+G238+G244+G247+G250</f>
      </c>
      <c r="H251" s="55">
        <f>H227+H233+H238+H244+H247+H250</f>
      </c>
      <c r="I251" s="55">
        <f>I227+I233+I238+I244+I247+I250</f>
      </c>
      <c r="J251" s="55">
        <f t="shared" si="6"/>
      </c>
      <c r="K251" s="86">
        <f t="shared" si="39"/>
      </c>
      <c r="L251" s="55">
        <f t="shared" si="83"/>
      </c>
      <c r="M251" s="86">
        <f t="shared" si="50"/>
      </c>
      <c r="N251" s="86">
        <f t="shared" si="175"/>
      </c>
      <c r="O251" s="55">
        <f t="shared" si="17"/>
      </c>
      <c r="P251" s="86">
        <f t="shared" si="61"/>
      </c>
      <c r="Q251" s="86">
        <f t="shared" si="94"/>
      </c>
      <c r="R251" s="55">
        <f t="shared" si="186"/>
      </c>
      <c r="S251" s="87">
        <f t="shared" si="28"/>
      </c>
      <c r="T251" s="55">
        <f t="shared" si="72"/>
      </c>
      <c r="U251" s="88">
        <f t="shared" si="105"/>
      </c>
      <c r="V251" s="88"/>
      <c r="W251" s="88"/>
      <c r="X251" s="55">
        <f>X227+X233+X238+X244+X247+X250</f>
      </c>
      <c r="Y251" s="55">
        <f>Y227+Y233+Y238+Y244+Y247+Y250</f>
      </c>
      <c r="Z251" s="55">
        <f>Z227+Z233+Z238+Z244+Z247+Z250</f>
      </c>
      <c r="AA251" s="55">
        <f>AA227+AA233+AA238+AA244+AA247+AA250</f>
      </c>
      <c r="AB251" s="55">
        <f>AB227+AB233+AB238+AB244+AB247+AB250</f>
      </c>
      <c r="AC251" s="55">
        <f>AC227+AC233+AC238+AC244+AC247+AC250</f>
      </c>
      <c r="AD251" s="55">
        <f>AD227+AD233+AD238+AD244+AD247+AD250</f>
      </c>
      <c r="AE251" s="55">
        <f>AE227+AE233+AE238+AE244+AE247+AE250</f>
      </c>
      <c r="AF251" s="7"/>
      <c r="AG251" s="7"/>
    </row>
    <row r="252">
      <c r="A252" s="1" t="s">
        <v>1</v>
      </c>
      <c r="B252" s="1"/>
      <c r="C252" s="1"/>
      <c r="D252" s="2" t="s">
        <v>2</v>
      </c>
      <c r="E252" s="2"/>
      <c r="F252" s="2"/>
      <c r="G252" s="2"/>
      <c r="H252" s="2"/>
      <c r="I252" s="2"/>
      <c r="J252" s="2"/>
      <c r="K252" s="3" t="s">
        <v>3</v>
      </c>
      <c r="L252" s="3"/>
      <c r="M252" s="3"/>
      <c r="N252" s="3"/>
      <c r="O252" s="3"/>
      <c r="P252" s="3"/>
      <c r="Q252" s="3"/>
      <c r="R252" s="3"/>
      <c r="S252" s="3"/>
      <c r="T252" s="3"/>
      <c r="U252" s="4"/>
      <c r="V252" s="4"/>
      <c r="W252" s="4"/>
      <c r="X252" s="5"/>
      <c r="Y252" s="5"/>
      <c r="Z252" s="5"/>
      <c r="AA252" s="5"/>
      <c r="AB252" s="5"/>
      <c r="AC252" s="5"/>
      <c r="AD252" s="5"/>
      <c r="AE252" s="6" t="s">
        <v>4</v>
      </c>
      <c r="AF252" s="7"/>
      <c r="AG252" s="7"/>
    </row>
    <row r="253">
      <c r="A253" s="1" t="s">
        <v>5</v>
      </c>
      <c r="B253" s="1" t="s">
        <v>6</v>
      </c>
      <c r="C253" s="1" t="s">
        <v>7</v>
      </c>
      <c r="D253" s="2" t="s">
        <v>8</v>
      </c>
      <c r="E253" s="8" t="s">
        <v>9</v>
      </c>
      <c r="F253" s="8" t="s">
        <v>10</v>
      </c>
      <c r="G253" s="9" t="s">
        <v>11</v>
      </c>
      <c r="H253" s="10" t="s">
        <v>12</v>
      </c>
      <c r="I253" s="2" t="s">
        <v>13</v>
      </c>
      <c r="J253" s="8" t="s">
        <v>14</v>
      </c>
      <c r="K253" s="3" t="s">
        <v>15</v>
      </c>
      <c r="L253" s="3" t="s">
        <v>16</v>
      </c>
      <c r="M253" s="11" t="s">
        <v>17</v>
      </c>
      <c r="N253" s="11" t="s">
        <v>18</v>
      </c>
      <c r="O253" s="3" t="s">
        <v>19</v>
      </c>
      <c r="P253" s="11" t="s">
        <v>20</v>
      </c>
      <c r="Q253" s="11" t="s">
        <v>21</v>
      </c>
      <c r="R253" s="3" t="s">
        <v>22</v>
      </c>
      <c r="S253" s="11" t="s">
        <v>23</v>
      </c>
      <c r="T253" s="3" t="s">
        <v>24</v>
      </c>
      <c r="U253" s="12" t="s">
        <v>25</v>
      </c>
      <c r="V253" s="12" t="s">
        <v>26</v>
      </c>
      <c r="W253" s="12" t="s">
        <v>27</v>
      </c>
      <c r="X253" s="13" t="s">
        <v>28</v>
      </c>
      <c r="Y253" s="14" t="s">
        <v>29</v>
      </c>
      <c r="Z253" s="14" t="s">
        <v>30</v>
      </c>
      <c r="AA253" s="14" t="s">
        <v>31</v>
      </c>
      <c r="AB253" s="14" t="s">
        <v>32</v>
      </c>
      <c r="AC253" s="14" t="s">
        <v>33</v>
      </c>
      <c r="AD253" s="14" t="s">
        <v>34</v>
      </c>
      <c r="AE253" s="6"/>
      <c r="AF253" s="7"/>
      <c r="AG253" s="7"/>
    </row>
    <row r="254">
      <c r="A254" s="15">
        <v>46306</v>
      </c>
      <c r="B254" s="18" t="s">
        <v>67</v>
      </c>
      <c r="C254" s="17" t="s">
        <v>60</v>
      </c>
      <c r="D254" s="64">
        <f t="shared" ref="D254:D255" si="158">E254+F254+G254</f>
      </c>
      <c r="E254" s="17">
        <v>1168.74</v>
      </c>
      <c r="F254" s="17">
        <v>968.5</v>
      </c>
      <c r="G254" s="17">
        <v>0</v>
      </c>
      <c r="H254" s="17">
        <v>5</v>
      </c>
      <c r="I254" s="17">
        <v>4693.4400000000005</v>
      </c>
      <c r="J254" s="65">
        <f t="shared" ref="J254:J280" si="7">I254/D254</f>
      </c>
      <c r="K254" s="66">
        <f t="shared" ref="K254:K280" si="40">Z254/Y254</f>
      </c>
      <c r="L254" s="67">
        <f t="shared" ref="L254:L280" si="84">D254/AA254</f>
      </c>
      <c r="M254" s="66">
        <f t="shared" ref="M254:M280" si="51">AB254/AA254</f>
      </c>
      <c r="N254" s="66">
        <f t="shared" ref="N254:N280" si="176">AC254/AA254</f>
      </c>
      <c r="O254" s="67">
        <f t="shared" ref="O254:O280" si="18">D254/AC254</f>
      </c>
      <c r="P254" s="66">
        <f t="shared" ref="P254:P280" si="62">AD254/AC254</f>
      </c>
      <c r="Q254" s="66">
        <f t="shared" ref="Q254:Q280" si="95">H254/AD254</f>
      </c>
      <c r="R254" s="67">
        <f t="shared" ref="R254:R280" si="187">D254/H254</f>
      </c>
      <c r="S254" s="68">
        <f t="shared" ref="S254:S280" si="29">I254/H254</f>
      </c>
      <c r="T254" s="67">
        <f t="shared" ref="T254:T280" si="73">D254/X254</f>
      </c>
      <c r="U254" s="69">
        <f t="shared" ref="U254:U280" si="106">AE254*1000/D254</f>
      </c>
      <c r="V254" s="70" t="s">
        <v>37</v>
      </c>
      <c r="W254" s="71" t="s">
        <v>50</v>
      </c>
      <c r="X254" s="91">
        <v>4</v>
      </c>
      <c r="Y254" s="64">
        <v>9101</v>
      </c>
      <c r="Z254" s="64">
        <v>608</v>
      </c>
      <c r="AA254" s="64">
        <v>854</v>
      </c>
      <c r="AB254" s="64">
        <v>145</v>
      </c>
      <c r="AC254" s="17">
        <v>57</v>
      </c>
      <c r="AD254" s="17">
        <v>8</v>
      </c>
      <c r="AE254" s="17">
        <v>21</v>
      </c>
      <c r="AF254" s="32"/>
      <c r="AG254" s="7"/>
    </row>
    <row r="255">
      <c r="A255" s="15"/>
      <c r="B255" s="96" t="s">
        <v>68</v>
      </c>
      <c r="C255" s="17" t="s">
        <v>60</v>
      </c>
      <c r="D255" s="98">
        <f t="shared" si="158"/>
      </c>
      <c r="E255" s="17">
        <v>1658.61</v>
      </c>
      <c r="F255" s="17">
        <v>0</v>
      </c>
      <c r="G255" s="17">
        <v>0</v>
      </c>
      <c r="H255" s="17">
        <v>2</v>
      </c>
      <c r="I255" s="17">
        <v>4850.52</v>
      </c>
      <c r="J255" s="65">
        <f t="shared" si="7"/>
      </c>
      <c r="K255" s="66">
        <f t="shared" si="40"/>
      </c>
      <c r="L255" s="67">
        <f t="shared" si="84"/>
      </c>
      <c r="M255" s="66">
        <f t="shared" si="51"/>
      </c>
      <c r="N255" s="66">
        <f t="shared" si="176"/>
      </c>
      <c r="O255" s="67">
        <f t="shared" si="18"/>
      </c>
      <c r="P255" s="66">
        <f t="shared" si="62"/>
      </c>
      <c r="Q255" s="66">
        <f t="shared" si="95"/>
      </c>
      <c r="R255" s="67">
        <f t="shared" si="187"/>
      </c>
      <c r="S255" s="68">
        <f t="shared" si="29"/>
      </c>
      <c r="T255" s="67">
        <f t="shared" si="73"/>
      </c>
      <c r="U255" s="69">
        <f t="shared" si="106"/>
      </c>
      <c r="V255" s="70" t="s">
        <v>37</v>
      </c>
      <c r="W255" s="71" t="s">
        <v>50</v>
      </c>
      <c r="X255" s="91">
        <v>1</v>
      </c>
      <c r="Y255" s="64">
        <v>5774</v>
      </c>
      <c r="Z255" s="64">
        <v>489</v>
      </c>
      <c r="AA255" s="64">
        <v>590</v>
      </c>
      <c r="AB255" s="64">
        <v>76</v>
      </c>
      <c r="AC255" s="17">
        <v>19</v>
      </c>
      <c r="AD255" s="17">
        <v>2</v>
      </c>
      <c r="AE255" s="17">
        <v>12</v>
      </c>
      <c r="AF255" s="32"/>
      <c r="AG255" s="7"/>
    </row>
    <row r="256">
      <c r="A256" s="15"/>
      <c r="B256" s="75" t="s">
        <v>42</v>
      </c>
      <c r="C256" s="75"/>
      <c r="D256" s="75">
        <f>SUM(D254:D255)</f>
      </c>
      <c r="E256" s="75">
        <v>999.85</v>
      </c>
      <c r="F256" s="75">
        <f>SUM(F254:F255)</f>
      </c>
      <c r="G256" s="75">
        <f>SUM(G254:G255)</f>
      </c>
      <c r="H256" s="75">
        <f>SUM(H254:H255)</f>
      </c>
      <c r="I256" s="75">
        <f>SUM(I254:I255)</f>
      </c>
      <c r="J256" s="76">
        <f t="shared" si="7"/>
      </c>
      <c r="K256" s="77">
        <f t="shared" si="40"/>
      </c>
      <c r="L256" s="78">
        <f t="shared" si="84"/>
      </c>
      <c r="M256" s="77">
        <f t="shared" si="51"/>
      </c>
      <c r="N256" s="77">
        <f t="shared" si="176"/>
      </c>
      <c r="O256" s="78">
        <f t="shared" si="18"/>
      </c>
      <c r="P256" s="77">
        <f t="shared" si="62"/>
      </c>
      <c r="Q256" s="77">
        <f t="shared" si="95"/>
      </c>
      <c r="R256" s="78">
        <f t="shared" si="187"/>
      </c>
      <c r="S256" s="79">
        <f t="shared" si="29"/>
      </c>
      <c r="T256" s="78">
        <f t="shared" si="73"/>
      </c>
      <c r="U256" s="80">
        <f t="shared" si="106"/>
      </c>
      <c r="V256" s="80"/>
      <c r="W256" s="80"/>
      <c r="X256" s="90">
        <f>SUM(X254:X255)</f>
      </c>
      <c r="Y256" s="82">
        <f>SUM(Y254:Y255)</f>
      </c>
      <c r="Z256" s="82">
        <f>SUM(Z254:Z255)</f>
      </c>
      <c r="AA256" s="82">
        <f>SUM(AA254:AA255)</f>
      </c>
      <c r="AB256" s="82">
        <f>SUM(AB254:AB255)</f>
      </c>
      <c r="AC256" s="82">
        <f>SUM(AC254:AC255)</f>
      </c>
      <c r="AD256" s="82">
        <f>SUM(AD254:AD255)</f>
      </c>
      <c r="AE256" s="82">
        <f>SUM(AE254:AE255)</f>
      </c>
      <c r="AF256" s="32"/>
      <c r="AG256" s="7"/>
    </row>
    <row r="257">
      <c r="A257" s="15"/>
      <c r="B257" s="18" t="s">
        <v>64</v>
      </c>
      <c r="C257" s="17" t="s">
        <v>36</v>
      </c>
      <c r="D257" s="64">
        <f t="shared" ref="D257:D260" si="159">E257+F257+G257</f>
      </c>
      <c r="E257" s="17">
        <v>2000.42</v>
      </c>
      <c r="F257" s="17">
        <v>1008.52</v>
      </c>
      <c r="G257" s="17">
        <v>0</v>
      </c>
      <c r="H257" s="17">
        <v>0</v>
      </c>
      <c r="I257" s="17">
        <v>0</v>
      </c>
      <c r="J257" s="65">
        <f t="shared" si="7"/>
      </c>
      <c r="K257" s="66">
        <f t="shared" si="40"/>
      </c>
      <c r="L257" s="67">
        <f t="shared" si="84"/>
      </c>
      <c r="M257" s="66">
        <f t="shared" si="51"/>
      </c>
      <c r="N257" s="66">
        <f t="shared" si="176"/>
      </c>
      <c r="O257" s="67">
        <f t="shared" si="18"/>
      </c>
      <c r="P257" s="66">
        <f t="shared" si="62"/>
      </c>
      <c r="Q257" s="66">
        <f t="shared" si="95"/>
      </c>
      <c r="R257" s="67">
        <f t="shared" si="187"/>
      </c>
      <c r="S257" s="68">
        <f t="shared" si="29"/>
      </c>
      <c r="T257" s="67">
        <f t="shared" si="73"/>
      </c>
      <c r="U257" s="69">
        <f t="shared" si="106"/>
      </c>
      <c r="V257" s="70" t="s">
        <v>37</v>
      </c>
      <c r="W257" s="71" t="s">
        <v>70</v>
      </c>
      <c r="X257" s="17">
        <v>0</v>
      </c>
      <c r="Y257" s="64">
        <v>11964</v>
      </c>
      <c r="Z257" s="64">
        <v>1061</v>
      </c>
      <c r="AA257" s="64">
        <v>1508</v>
      </c>
      <c r="AB257" s="64">
        <v>247</v>
      </c>
      <c r="AC257" s="17">
        <v>41</v>
      </c>
      <c r="AD257" s="17">
        <v>0</v>
      </c>
      <c r="AE257" s="17">
        <v>27</v>
      </c>
      <c r="AF257" s="32"/>
      <c r="AG257" s="7"/>
    </row>
    <row r="258">
      <c r="A258" s="15"/>
      <c r="B258" s="18" t="s">
        <v>65</v>
      </c>
      <c r="C258" s="17" t="s">
        <v>36</v>
      </c>
      <c r="D258" s="64">
        <f t="shared" si="159"/>
      </c>
      <c r="E258" s="17">
        <v>2130.87</v>
      </c>
      <c r="F258" s="17">
        <v>1022.98</v>
      </c>
      <c r="G258" s="17">
        <v>0</v>
      </c>
      <c r="H258" s="17">
        <v>3</v>
      </c>
      <c r="I258" s="17">
        <v>5526.839999999998</v>
      </c>
      <c r="J258" s="65">
        <f t="shared" si="7"/>
      </c>
      <c r="K258" s="66">
        <f t="shared" si="40"/>
      </c>
      <c r="L258" s="67">
        <f t="shared" si="84"/>
      </c>
      <c r="M258" s="66">
        <f t="shared" si="51"/>
      </c>
      <c r="N258" s="66">
        <f t="shared" si="176"/>
      </c>
      <c r="O258" s="67">
        <f t="shared" si="18"/>
      </c>
      <c r="P258" s="66">
        <f t="shared" si="62"/>
      </c>
      <c r="Q258" s="66">
        <f t="shared" si="95"/>
      </c>
      <c r="R258" s="67">
        <f t="shared" si="187"/>
      </c>
      <c r="S258" s="68">
        <f t="shared" si="29"/>
      </c>
      <c r="T258" s="67">
        <f t="shared" si="73"/>
      </c>
      <c r="U258" s="69">
        <f t="shared" si="106"/>
      </c>
      <c r="V258" s="70" t="s">
        <v>37</v>
      </c>
      <c r="W258" s="71" t="s">
        <v>70</v>
      </c>
      <c r="X258" s="73">
        <v>3</v>
      </c>
      <c r="Y258" s="64">
        <v>12436</v>
      </c>
      <c r="Z258" s="64">
        <v>747</v>
      </c>
      <c r="AA258" s="64">
        <v>798</v>
      </c>
      <c r="AB258" s="64">
        <v>83</v>
      </c>
      <c r="AC258" s="64">
        <v>65</v>
      </c>
      <c r="AD258" s="17">
        <v>4</v>
      </c>
      <c r="AE258" s="17">
        <v>22</v>
      </c>
      <c r="AF258" s="32"/>
      <c r="AG258" s="7"/>
    </row>
    <row r="259">
      <c r="A259" s="15"/>
      <c r="B259" s="18" t="s">
        <v>35</v>
      </c>
      <c r="C259" s="17" t="s">
        <v>36</v>
      </c>
      <c r="D259" s="64">
        <f t="shared" si="159"/>
      </c>
      <c r="E259" s="17">
        <v>1097.89</v>
      </c>
      <c r="F259" s="17">
        <v>1000</v>
      </c>
      <c r="G259" s="17">
        <v>0</v>
      </c>
      <c r="H259" s="17">
        <v>0</v>
      </c>
      <c r="I259" s="17">
        <v>0</v>
      </c>
      <c r="J259" s="65">
        <f t="shared" si="7"/>
      </c>
      <c r="K259" s="66">
        <f t="shared" si="40"/>
      </c>
      <c r="L259" s="67">
        <f t="shared" si="84"/>
      </c>
      <c r="M259" s="66">
        <f t="shared" si="51"/>
      </c>
      <c r="N259" s="66">
        <f t="shared" si="176"/>
      </c>
      <c r="O259" s="67">
        <f t="shared" si="18"/>
      </c>
      <c r="P259" s="66">
        <f t="shared" si="62"/>
      </c>
      <c r="Q259" s="66">
        <f t="shared" si="95"/>
      </c>
      <c r="R259" s="67">
        <f t="shared" si="187"/>
      </c>
      <c r="S259" s="68">
        <f t="shared" si="29"/>
      </c>
      <c r="T259" s="67">
        <f t="shared" si="73"/>
      </c>
      <c r="U259" s="69">
        <f t="shared" si="106"/>
      </c>
      <c r="V259" s="70" t="s">
        <v>37</v>
      </c>
      <c r="W259" s="71" t="s">
        <v>70</v>
      </c>
      <c r="X259" s="73">
        <v>0</v>
      </c>
      <c r="Y259" s="64">
        <v>9536</v>
      </c>
      <c r="Z259" s="64">
        <v>202</v>
      </c>
      <c r="AA259" s="64">
        <v>205</v>
      </c>
      <c r="AB259" s="64">
        <v>41</v>
      </c>
      <c r="AC259" s="64">
        <v>39</v>
      </c>
      <c r="AD259" s="17">
        <v>0</v>
      </c>
      <c r="AE259" s="17">
        <v>8</v>
      </c>
      <c r="AF259" s="32"/>
      <c r="AG259" s="7"/>
    </row>
    <row r="260">
      <c r="A260" s="15"/>
      <c r="B260" s="18" t="s">
        <v>39</v>
      </c>
      <c r="C260" s="17" t="s">
        <v>36</v>
      </c>
      <c r="D260" s="64">
        <f t="shared" si="159"/>
      </c>
      <c r="E260" s="17">
        <v>2233.84</v>
      </c>
      <c r="F260" s="17">
        <v>960.67</v>
      </c>
      <c r="G260" s="17">
        <v>0</v>
      </c>
      <c r="H260" s="17">
        <v>3</v>
      </c>
      <c r="I260" s="17">
        <v>7226.16</v>
      </c>
      <c r="J260" s="65">
        <f t="shared" si="7"/>
      </c>
      <c r="K260" s="66">
        <f t="shared" si="40"/>
      </c>
      <c r="L260" s="67">
        <f t="shared" si="84"/>
      </c>
      <c r="M260" s="66">
        <f t="shared" si="51"/>
      </c>
      <c r="N260" s="66">
        <f t="shared" si="176"/>
      </c>
      <c r="O260" s="67">
        <f t="shared" si="18"/>
      </c>
      <c r="P260" s="66">
        <f t="shared" si="62"/>
      </c>
      <c r="Q260" s="66">
        <f t="shared" si="95"/>
      </c>
      <c r="R260" s="67">
        <f t="shared" si="187"/>
      </c>
      <c r="S260" s="68">
        <f t="shared" si="29"/>
      </c>
      <c r="T260" s="67">
        <f t="shared" si="73"/>
      </c>
      <c r="U260" s="69">
        <f t="shared" si="106"/>
      </c>
      <c r="V260" s="70" t="s">
        <v>37</v>
      </c>
      <c r="W260" s="71" t="s">
        <v>70</v>
      </c>
      <c r="X260" s="74">
        <v>2</v>
      </c>
      <c r="Y260" s="64">
        <v>15870</v>
      </c>
      <c r="Z260" s="64">
        <v>707</v>
      </c>
      <c r="AA260" s="64">
        <v>739</v>
      </c>
      <c r="AB260" s="64">
        <v>71</v>
      </c>
      <c r="AC260" s="64">
        <v>57</v>
      </c>
      <c r="AD260" s="17">
        <v>4</v>
      </c>
      <c r="AE260" s="17">
        <v>16</v>
      </c>
      <c r="AF260" s="32"/>
      <c r="AG260" s="7"/>
    </row>
    <row r="261">
      <c r="A261" s="15"/>
      <c r="B261" s="75" t="s">
        <v>42</v>
      </c>
      <c r="C261" s="75"/>
      <c r="D261" s="75">
        <f>SUM(D257:D260)</f>
      </c>
      <c r="E261" s="75">
        <f>SUM(E257:E260)</f>
      </c>
      <c r="F261" s="75">
        <f>SUM(F257:F260)</f>
      </c>
      <c r="G261" s="75">
        <f>SUM(G257:G260)</f>
      </c>
      <c r="H261" s="75">
        <f>SUM(H257:H260)</f>
      </c>
      <c r="I261" s="75">
        <f>SUM(I257:I260)</f>
      </c>
      <c r="J261" s="76">
        <f t="shared" si="7"/>
      </c>
      <c r="K261" s="77">
        <f t="shared" si="40"/>
      </c>
      <c r="L261" s="78">
        <f t="shared" si="84"/>
      </c>
      <c r="M261" s="77">
        <f t="shared" si="51"/>
      </c>
      <c r="N261" s="77">
        <f t="shared" si="176"/>
      </c>
      <c r="O261" s="78">
        <f t="shared" si="18"/>
      </c>
      <c r="P261" s="77">
        <f t="shared" si="62"/>
      </c>
      <c r="Q261" s="77">
        <f t="shared" si="95"/>
      </c>
      <c r="R261" s="78">
        <f t="shared" si="187"/>
      </c>
      <c r="S261" s="79">
        <f t="shared" si="29"/>
      </c>
      <c r="T261" s="78">
        <f t="shared" si="73"/>
      </c>
      <c r="U261" s="80">
        <f t="shared" si="106"/>
      </c>
      <c r="V261" s="80"/>
      <c r="W261" s="80"/>
      <c r="X261" s="90">
        <f>SUM(X257:X260)</f>
      </c>
      <c r="Y261" s="75">
        <f>SUM(Y257:Y260)</f>
      </c>
      <c r="Z261" s="75">
        <f>SUM(Z257:Z260)</f>
      </c>
      <c r="AA261" s="75">
        <f>SUM(AA257:AA260)</f>
      </c>
      <c r="AB261" s="75">
        <f>SUM(AB257:AB260)</f>
      </c>
      <c r="AC261" s="75">
        <f>SUM(AC257:AC260)</f>
      </c>
      <c r="AD261" s="75">
        <f>SUM(AD257:AD260)</f>
      </c>
      <c r="AE261" s="75">
        <f>SUM(AE257:AE260)</f>
      </c>
      <c r="AF261" s="7"/>
      <c r="AG261" s="7"/>
    </row>
    <row r="262">
      <c r="A262" s="15"/>
      <c r="B262" s="18" t="s">
        <v>40</v>
      </c>
      <c r="C262" s="17" t="s">
        <v>61</v>
      </c>
      <c r="D262" s="64">
        <f t="shared" ref="D262:D265" si="160">E262+F262+G262</f>
      </c>
      <c r="E262" s="64">
        <v>2009.63</v>
      </c>
      <c r="F262" s="64">
        <v>1039.33</v>
      </c>
      <c r="G262" s="17">
        <v>0</v>
      </c>
      <c r="H262" s="17">
        <v>3</v>
      </c>
      <c r="I262" s="17">
        <v>3436.920000000002</v>
      </c>
      <c r="J262" s="65">
        <f t="shared" si="7"/>
      </c>
      <c r="K262" s="66">
        <f t="shared" si="40"/>
      </c>
      <c r="L262" s="67">
        <f t="shared" si="84"/>
      </c>
      <c r="M262" s="66">
        <f t="shared" si="51"/>
      </c>
      <c r="N262" s="66">
        <f t="shared" si="176"/>
      </c>
      <c r="O262" s="67">
        <f t="shared" si="18"/>
      </c>
      <c r="P262" s="66">
        <f t="shared" si="62"/>
      </c>
      <c r="Q262" s="66">
        <f t="shared" si="95"/>
      </c>
      <c r="R262" s="67">
        <f t="shared" si="187"/>
      </c>
      <c r="S262" s="68">
        <f t="shared" si="29"/>
      </c>
      <c r="T262" s="67">
        <f t="shared" si="73"/>
      </c>
      <c r="U262" s="69">
        <f t="shared" si="106"/>
      </c>
      <c r="V262" s="70" t="s">
        <v>37</v>
      </c>
      <c r="W262" s="71" t="s">
        <v>70</v>
      </c>
      <c r="X262" s="91">
        <v>2</v>
      </c>
      <c r="Y262" s="17">
        <v>10487</v>
      </c>
      <c r="Z262" s="17">
        <v>315</v>
      </c>
      <c r="AA262" s="64">
        <v>323</v>
      </c>
      <c r="AB262" s="17">
        <v>43</v>
      </c>
      <c r="AC262" s="17">
        <v>44</v>
      </c>
      <c r="AD262" s="17">
        <v>4</v>
      </c>
      <c r="AE262" s="17">
        <v>13</v>
      </c>
      <c r="AF262" s="32"/>
      <c r="AG262" s="7"/>
    </row>
    <row r="263">
      <c r="A263" s="15"/>
      <c r="B263" s="18" t="s">
        <v>41</v>
      </c>
      <c r="C263" s="17" t="s">
        <v>61</v>
      </c>
      <c r="D263" s="64">
        <f t="shared" si="160"/>
      </c>
      <c r="E263" s="17">
        <v>1984.78</v>
      </c>
      <c r="F263" s="17">
        <v>805.3</v>
      </c>
      <c r="G263" s="17">
        <v>0</v>
      </c>
      <c r="H263" s="17">
        <v>3</v>
      </c>
      <c r="I263" s="17">
        <v>5002.68</v>
      </c>
      <c r="J263" s="65">
        <f t="shared" si="7"/>
      </c>
      <c r="K263" s="66">
        <f t="shared" si="40"/>
      </c>
      <c r="L263" s="67">
        <f t="shared" si="84"/>
      </c>
      <c r="M263" s="66">
        <f t="shared" si="51"/>
      </c>
      <c r="N263" s="66">
        <f t="shared" si="176"/>
      </c>
      <c r="O263" s="67">
        <f t="shared" si="18"/>
      </c>
      <c r="P263" s="66">
        <f t="shared" si="62"/>
      </c>
      <c r="Q263" s="66">
        <f t="shared" si="95"/>
      </c>
      <c r="R263" s="67">
        <f t="shared" si="187"/>
      </c>
      <c r="S263" s="68">
        <f t="shared" si="29"/>
      </c>
      <c r="T263" s="67">
        <f t="shared" si="73"/>
      </c>
      <c r="U263" s="69">
        <f t="shared" si="106"/>
      </c>
      <c r="V263" s="70" t="s">
        <v>37</v>
      </c>
      <c r="W263" s="71" t="s">
        <v>70</v>
      </c>
      <c r="X263" s="91">
        <v>3</v>
      </c>
      <c r="Y263" s="64">
        <v>11270</v>
      </c>
      <c r="Z263" s="64">
        <v>286</v>
      </c>
      <c r="AA263" s="64">
        <v>295</v>
      </c>
      <c r="AB263" s="64">
        <v>48</v>
      </c>
      <c r="AC263" s="64">
        <v>47</v>
      </c>
      <c r="AD263" s="17">
        <v>3</v>
      </c>
      <c r="AE263" s="17">
        <v>14</v>
      </c>
      <c r="AF263" s="32"/>
      <c r="AG263" s="7"/>
    </row>
    <row r="264">
      <c r="A264" s="15"/>
      <c r="B264" s="50" t="s">
        <v>43</v>
      </c>
      <c r="C264" s="17" t="s">
        <v>61</v>
      </c>
      <c r="D264" s="64">
        <f t="shared" si="160"/>
      </c>
      <c r="E264" s="17">
        <v>1783</v>
      </c>
      <c r="F264" s="17">
        <v>1186.55</v>
      </c>
      <c r="G264" s="17">
        <v>0</v>
      </c>
      <c r="H264" s="17">
        <v>2</v>
      </c>
      <c r="I264" s="64">
        <v>6118.200000000001</v>
      </c>
      <c r="J264" s="65">
        <f t="shared" si="7"/>
      </c>
      <c r="K264" s="66">
        <f t="shared" si="40"/>
      </c>
      <c r="L264" s="67">
        <f t="shared" si="84"/>
      </c>
      <c r="M264" s="66">
        <f t="shared" si="51"/>
      </c>
      <c r="N264" s="66">
        <f t="shared" si="176"/>
      </c>
      <c r="O264" s="67">
        <f t="shared" si="18"/>
      </c>
      <c r="P264" s="66">
        <f t="shared" si="62"/>
      </c>
      <c r="Q264" s="66">
        <f t="shared" si="95"/>
      </c>
      <c r="R264" s="67">
        <f t="shared" si="187"/>
      </c>
      <c r="S264" s="68">
        <f t="shared" si="29"/>
      </c>
      <c r="T264" s="67">
        <f t="shared" si="73"/>
      </c>
      <c r="U264" s="69">
        <f t="shared" si="106"/>
      </c>
      <c r="V264" s="70" t="s">
        <v>37</v>
      </c>
      <c r="W264" s="71" t="s">
        <v>70</v>
      </c>
      <c r="X264" s="91">
        <v>1</v>
      </c>
      <c r="Y264" s="17">
        <v>15381</v>
      </c>
      <c r="Z264" s="17">
        <v>216</v>
      </c>
      <c r="AA264" s="17">
        <v>217</v>
      </c>
      <c r="AB264" s="17">
        <v>40</v>
      </c>
      <c r="AC264" s="17">
        <v>37</v>
      </c>
      <c r="AD264" s="17">
        <v>5</v>
      </c>
      <c r="AE264" s="17">
        <v>21</v>
      </c>
      <c r="AF264" s="32"/>
      <c r="AG264" s="7"/>
    </row>
    <row r="265">
      <c r="A265" s="15"/>
      <c r="B265" s="18" t="s">
        <v>45</v>
      </c>
      <c r="C265" s="17" t="s">
        <v>61</v>
      </c>
      <c r="D265" s="64">
        <f t="shared" si="160"/>
      </c>
      <c r="E265" s="17">
        <v>565.3100000000001</v>
      </c>
      <c r="F265" s="17">
        <v>715.77</v>
      </c>
      <c r="G265" s="17">
        <v>0</v>
      </c>
      <c r="H265" s="17">
        <v>1</v>
      </c>
      <c r="I265" s="17">
        <v>1505.6399999999994</v>
      </c>
      <c r="J265" s="65">
        <f t="shared" si="7"/>
      </c>
      <c r="K265" s="66">
        <f t="shared" si="40"/>
      </c>
      <c r="L265" s="67">
        <f t="shared" si="84"/>
      </c>
      <c r="M265" s="66">
        <f t="shared" si="51"/>
      </c>
      <c r="N265" s="66">
        <f t="shared" si="176"/>
      </c>
      <c r="O265" s="67">
        <f t="shared" si="18"/>
      </c>
      <c r="P265" s="66">
        <f t="shared" si="62"/>
      </c>
      <c r="Q265" s="66">
        <f t="shared" si="95"/>
      </c>
      <c r="R265" s="67">
        <f t="shared" si="187"/>
      </c>
      <c r="S265" s="68">
        <f t="shared" si="29"/>
      </c>
      <c r="T265" s="67">
        <f t="shared" si="73"/>
      </c>
      <c r="U265" s="69">
        <f t="shared" si="106"/>
      </c>
      <c r="V265" s="70" t="s">
        <v>37</v>
      </c>
      <c r="W265" s="71" t="s">
        <v>70</v>
      </c>
      <c r="X265" s="91">
        <v>1</v>
      </c>
      <c r="Y265" s="17">
        <v>3990</v>
      </c>
      <c r="Z265" s="17">
        <v>72</v>
      </c>
      <c r="AA265" s="17">
        <v>74</v>
      </c>
      <c r="AB265" s="17">
        <v>17</v>
      </c>
      <c r="AC265" s="17">
        <v>18</v>
      </c>
      <c r="AD265" s="17">
        <v>1</v>
      </c>
      <c r="AE265" s="17">
        <v>7</v>
      </c>
      <c r="AF265" s="32"/>
      <c r="AG265" s="7"/>
    </row>
    <row r="266">
      <c r="A266" s="15"/>
      <c r="B266" s="75" t="s">
        <v>42</v>
      </c>
      <c r="C266" s="75"/>
      <c r="D266" s="75">
        <f>SUM(D262:D265)</f>
      </c>
      <c r="E266" s="75">
        <f>SUM(E262:E265)</f>
      </c>
      <c r="F266" s="75">
        <f>SUM(F262:F265)</f>
      </c>
      <c r="G266" s="75">
        <f>SUM(G262:G265)</f>
      </c>
      <c r="H266" s="75">
        <f>SUM(H262:H265)</f>
      </c>
      <c r="I266" s="75">
        <f>SUM(I262:I265)</f>
      </c>
      <c r="J266" s="76">
        <f t="shared" si="7"/>
      </c>
      <c r="K266" s="77">
        <f t="shared" si="40"/>
      </c>
      <c r="L266" s="78">
        <f t="shared" si="84"/>
      </c>
      <c r="M266" s="77">
        <f t="shared" si="51"/>
      </c>
      <c r="N266" s="77">
        <f t="shared" si="176"/>
      </c>
      <c r="O266" s="78">
        <f t="shared" si="18"/>
      </c>
      <c r="P266" s="77">
        <f t="shared" si="62"/>
      </c>
      <c r="Q266" s="77">
        <f t="shared" si="95"/>
      </c>
      <c r="R266" s="78">
        <f t="shared" si="187"/>
      </c>
      <c r="S266" s="79">
        <f t="shared" si="29"/>
      </c>
      <c r="T266" s="78">
        <f t="shared" si="73"/>
      </c>
      <c r="U266" s="80">
        <f t="shared" si="106"/>
      </c>
      <c r="V266" s="80"/>
      <c r="W266" s="80"/>
      <c r="X266" s="90">
        <f>SUM(X262:X265)</f>
      </c>
      <c r="Y266" s="82">
        <f>SUM(Y262:Y265)</f>
      </c>
      <c r="Z266" s="82">
        <f>SUM(Z262:Z265)</f>
      </c>
      <c r="AA266" s="82">
        <f>SUM(AA262:AA265)</f>
      </c>
      <c r="AB266" s="82">
        <f>SUM(AB262:AB265)</f>
      </c>
      <c r="AC266" s="82">
        <f>SUM(AC262:AC265)</f>
      </c>
      <c r="AD266" s="82">
        <f>SUM(AD262:AD265)</f>
      </c>
      <c r="AE266" s="82">
        <f>SUM(AE262:AE265)</f>
      </c>
      <c r="AF266" s="7"/>
      <c r="AG266" s="7"/>
    </row>
    <row r="267">
      <c r="A267" s="15"/>
      <c r="B267" s="18" t="s">
        <v>46</v>
      </c>
      <c r="C267" s="17" t="s">
        <v>55</v>
      </c>
      <c r="D267" s="64">
        <f t="shared" ref="D267:D270" si="161">E267+F267+G267</f>
      </c>
      <c r="E267" s="64">
        <v>666.91</v>
      </c>
      <c r="F267" s="64">
        <v>118.51</v>
      </c>
      <c r="G267" s="17">
        <v>0</v>
      </c>
      <c r="H267" s="17">
        <v>2</v>
      </c>
      <c r="I267" s="17">
        <v>1553.5599999999977</v>
      </c>
      <c r="J267" s="65">
        <f t="shared" si="7"/>
      </c>
      <c r="K267" s="66">
        <f t="shared" si="40"/>
      </c>
      <c r="L267" s="67">
        <f t="shared" si="84"/>
      </c>
      <c r="M267" s="66">
        <f t="shared" si="51"/>
      </c>
      <c r="N267" s="66">
        <f t="shared" si="176"/>
      </c>
      <c r="O267" s="67">
        <f t="shared" si="18"/>
      </c>
      <c r="P267" s="66">
        <f t="shared" si="62"/>
      </c>
      <c r="Q267" s="66">
        <f t="shared" si="95"/>
      </c>
      <c r="R267" s="67">
        <f t="shared" si="187"/>
      </c>
      <c r="S267" s="68">
        <f t="shared" si="29"/>
      </c>
      <c r="T267" s="67">
        <f t="shared" si="73"/>
      </c>
      <c r="U267" s="69">
        <f t="shared" si="106"/>
      </c>
      <c r="V267" s="70" t="s">
        <v>37</v>
      </c>
      <c r="W267" s="71" t="s">
        <v>70</v>
      </c>
      <c r="X267" s="91">
        <v>0</v>
      </c>
      <c r="Y267" s="17">
        <v>4404</v>
      </c>
      <c r="Z267" s="17">
        <v>126</v>
      </c>
      <c r="AA267" s="64">
        <v>135</v>
      </c>
      <c r="AB267" s="17">
        <v>21</v>
      </c>
      <c r="AC267" s="17">
        <v>18</v>
      </c>
      <c r="AD267" s="17">
        <v>2</v>
      </c>
      <c r="AE267" s="17">
        <v>8</v>
      </c>
      <c r="AF267" s="32"/>
      <c r="AG267" s="7"/>
    </row>
    <row r="268">
      <c r="A268" s="15"/>
      <c r="B268" s="18" t="s">
        <v>47</v>
      </c>
      <c r="C268" s="17" t="s">
        <v>55</v>
      </c>
      <c r="D268" s="64">
        <f t="shared" si="161"/>
      </c>
      <c r="E268" s="17">
        <v>1872.01</v>
      </c>
      <c r="F268" s="17">
        <v>993.88</v>
      </c>
      <c r="G268" s="17">
        <v>0</v>
      </c>
      <c r="H268" s="17">
        <v>1</v>
      </c>
      <c r="I268" s="17">
        <v>1216.0800000000017</v>
      </c>
      <c r="J268" s="65">
        <f t="shared" si="7"/>
      </c>
      <c r="K268" s="66">
        <f t="shared" si="40"/>
      </c>
      <c r="L268" s="67">
        <f t="shared" si="84"/>
      </c>
      <c r="M268" s="66">
        <f t="shared" si="51"/>
      </c>
      <c r="N268" s="66">
        <f t="shared" si="176"/>
      </c>
      <c r="O268" s="67">
        <f t="shared" si="18"/>
      </c>
      <c r="P268" s="66">
        <f t="shared" si="62"/>
      </c>
      <c r="Q268" s="66">
        <f t="shared" si="95"/>
      </c>
      <c r="R268" s="67">
        <f t="shared" si="187"/>
      </c>
      <c r="S268" s="68">
        <f t="shared" si="29"/>
      </c>
      <c r="T268" s="67">
        <f t="shared" si="73"/>
      </c>
      <c r="U268" s="69">
        <f t="shared" si="106"/>
      </c>
      <c r="V268" s="70" t="s">
        <v>37</v>
      </c>
      <c r="W268" s="71" t="s">
        <v>70</v>
      </c>
      <c r="X268" s="91">
        <v>1</v>
      </c>
      <c r="Y268" s="64">
        <v>12556</v>
      </c>
      <c r="Z268" s="64">
        <v>398</v>
      </c>
      <c r="AA268" s="64">
        <v>452</v>
      </c>
      <c r="AB268" s="64">
        <v>57</v>
      </c>
      <c r="AC268" s="64">
        <v>56</v>
      </c>
      <c r="AD268" s="17">
        <v>2</v>
      </c>
      <c r="AE268" s="17">
        <v>14</v>
      </c>
      <c r="AF268" s="32"/>
      <c r="AG268" s="7"/>
    </row>
    <row r="269">
      <c r="A269" s="15"/>
      <c r="B269" s="63" t="s">
        <v>48</v>
      </c>
      <c r="C269" s="17" t="s">
        <v>55</v>
      </c>
      <c r="D269" s="64">
        <f t="shared" si="161"/>
      </c>
      <c r="E269" s="17">
        <v>2130.86</v>
      </c>
      <c r="F269" s="17">
        <v>1181.45</v>
      </c>
      <c r="G269" s="17">
        <v>0</v>
      </c>
      <c r="H269" s="17">
        <v>3</v>
      </c>
      <c r="I269" s="64">
        <v>5362.199999999997</v>
      </c>
      <c r="J269" s="65">
        <f t="shared" si="7"/>
      </c>
      <c r="K269" s="66">
        <f t="shared" si="40"/>
      </c>
      <c r="L269" s="67">
        <f t="shared" si="84"/>
      </c>
      <c r="M269" s="66">
        <f t="shared" si="51"/>
      </c>
      <c r="N269" s="66">
        <f t="shared" si="176"/>
      </c>
      <c r="O269" s="67">
        <f t="shared" si="18"/>
      </c>
      <c r="P269" s="66">
        <f t="shared" si="62"/>
      </c>
      <c r="Q269" s="66">
        <f t="shared" si="95"/>
      </c>
      <c r="R269" s="67">
        <f t="shared" si="187"/>
      </c>
      <c r="S269" s="68">
        <f t="shared" si="29"/>
      </c>
      <c r="T269" s="67">
        <f t="shared" si="73"/>
      </c>
      <c r="U269" s="69">
        <f t="shared" si="106"/>
      </c>
      <c r="V269" s="70" t="s">
        <v>37</v>
      </c>
      <c r="W269" s="71" t="s">
        <v>50</v>
      </c>
      <c r="X269" s="91">
        <v>3</v>
      </c>
      <c r="Y269" s="17">
        <v>13560</v>
      </c>
      <c r="Z269" s="17">
        <v>303</v>
      </c>
      <c r="AA269" s="17">
        <v>303</v>
      </c>
      <c r="AB269" s="17">
        <v>67</v>
      </c>
      <c r="AC269" s="17">
        <v>73</v>
      </c>
      <c r="AD269" s="17">
        <v>3</v>
      </c>
      <c r="AE269" s="17">
        <v>29</v>
      </c>
      <c r="AF269" s="32"/>
      <c r="AG269" s="7"/>
    </row>
    <row r="270">
      <c r="A270" s="15"/>
      <c r="B270" s="72" t="s">
        <v>51</v>
      </c>
      <c r="C270" s="17" t="s">
        <v>55</v>
      </c>
      <c r="D270" s="64">
        <f t="shared" si="161"/>
      </c>
      <c r="E270" s="64">
        <v>1994.65</v>
      </c>
      <c r="F270" s="17">
        <v>1005.25</v>
      </c>
      <c r="G270" s="17">
        <v>0</v>
      </c>
      <c r="H270" s="17">
        <v>6</v>
      </c>
      <c r="I270" s="17">
        <v>12931.920000000006</v>
      </c>
      <c r="J270" s="65">
        <f t="shared" si="7"/>
      </c>
      <c r="K270" s="66">
        <f t="shared" si="40"/>
      </c>
      <c r="L270" s="67">
        <f t="shared" si="84"/>
      </c>
      <c r="M270" s="66">
        <f t="shared" si="51"/>
      </c>
      <c r="N270" s="66">
        <f t="shared" si="176"/>
      </c>
      <c r="O270" s="67">
        <f t="shared" si="18"/>
      </c>
      <c r="P270" s="66">
        <f t="shared" si="62"/>
      </c>
      <c r="Q270" s="66">
        <f t="shared" si="95"/>
      </c>
      <c r="R270" s="67">
        <f t="shared" si="187"/>
      </c>
      <c r="S270" s="68">
        <f t="shared" si="29"/>
      </c>
      <c r="T270" s="67">
        <f t="shared" si="73"/>
      </c>
      <c r="U270" s="69">
        <f t="shared" si="106"/>
      </c>
      <c r="V270" s="70" t="s">
        <v>37</v>
      </c>
      <c r="W270" s="71" t="s">
        <v>50</v>
      </c>
      <c r="X270" s="91">
        <v>5</v>
      </c>
      <c r="Y270" s="17">
        <v>13078</v>
      </c>
      <c r="Z270" s="17">
        <v>246</v>
      </c>
      <c r="AA270" s="17">
        <v>238</v>
      </c>
      <c r="AB270" s="17">
        <v>43</v>
      </c>
      <c r="AC270" s="17">
        <v>59</v>
      </c>
      <c r="AD270" s="17">
        <v>7</v>
      </c>
      <c r="AE270" s="17">
        <v>13</v>
      </c>
      <c r="AF270" s="7"/>
      <c r="AG270" s="7"/>
    </row>
    <row r="271">
      <c r="A271" s="15"/>
      <c r="B271" s="75" t="s">
        <v>42</v>
      </c>
      <c r="C271" s="75"/>
      <c r="D271" s="75">
        <f>SUM(D267:D270)</f>
      </c>
      <c r="E271" s="75">
        <f>SUM(E267:E270)</f>
      </c>
      <c r="F271" s="75">
        <f>SUM(F267:F270)</f>
      </c>
      <c r="G271" s="75">
        <f>SUM(G267:G270)</f>
      </c>
      <c r="H271" s="75">
        <f>SUM(H267:H270)</f>
      </c>
      <c r="I271" s="75">
        <f>SUM(I267:I270)</f>
      </c>
      <c r="J271" s="76">
        <f t="shared" si="7"/>
      </c>
      <c r="K271" s="77">
        <f t="shared" si="40"/>
      </c>
      <c r="L271" s="78">
        <f t="shared" si="84"/>
      </c>
      <c r="M271" s="77">
        <f t="shared" si="51"/>
      </c>
      <c r="N271" s="77">
        <f t="shared" si="176"/>
      </c>
      <c r="O271" s="78">
        <f t="shared" si="18"/>
      </c>
      <c r="P271" s="77">
        <f t="shared" si="62"/>
      </c>
      <c r="Q271" s="77">
        <f t="shared" si="95"/>
      </c>
      <c r="R271" s="78">
        <f t="shared" si="187"/>
      </c>
      <c r="S271" s="79">
        <f t="shared" si="29"/>
      </c>
      <c r="T271" s="78">
        <f t="shared" si="73"/>
      </c>
      <c r="U271" s="80">
        <f t="shared" si="106"/>
      </c>
      <c r="V271" s="80"/>
      <c r="W271" s="80"/>
      <c r="X271" s="90">
        <f>SUM(X267:X270)</f>
      </c>
      <c r="Y271" s="82">
        <f>SUM(Y267:Y270)</f>
      </c>
      <c r="Z271" s="82">
        <f>SUM(Z267:Z270)</f>
      </c>
      <c r="AA271" s="82">
        <f>SUM(AA267:AA270)</f>
      </c>
      <c r="AB271" s="82">
        <f>SUM(AB267:AB270)</f>
      </c>
      <c r="AC271" s="82">
        <f>SUM(AC267:AC270)</f>
      </c>
      <c r="AD271" s="82">
        <f>SUM(AD267:AD270)</f>
      </c>
      <c r="AE271" s="82">
        <f>SUM(AE267:AE270)</f>
      </c>
      <c r="AF271" s="7"/>
      <c r="AG271" s="7"/>
    </row>
    <row r="272">
      <c r="A272" s="15"/>
      <c r="B272" s="63" t="s">
        <v>52</v>
      </c>
      <c r="C272" s="17" t="s">
        <v>49</v>
      </c>
      <c r="D272" s="64">
        <f t="shared" ref="D272:D275" si="162">E272+F272+G272</f>
      </c>
      <c r="E272" s="17">
        <v>1953.62</v>
      </c>
      <c r="F272" s="17">
        <v>993.29</v>
      </c>
      <c r="G272" s="17">
        <v>0</v>
      </c>
      <c r="H272" s="17">
        <v>1</v>
      </c>
      <c r="I272" s="17">
        <v>942.8399999999965</v>
      </c>
      <c r="J272" s="65">
        <f t="shared" si="7"/>
      </c>
      <c r="K272" s="66">
        <f t="shared" si="40"/>
      </c>
      <c r="L272" s="67">
        <f t="shared" si="84"/>
      </c>
      <c r="M272" s="66">
        <f t="shared" si="51"/>
      </c>
      <c r="N272" s="66">
        <f t="shared" si="176"/>
      </c>
      <c r="O272" s="67">
        <f t="shared" si="18"/>
      </c>
      <c r="P272" s="66">
        <f t="shared" si="62"/>
      </c>
      <c r="Q272" s="66">
        <f t="shared" si="95"/>
      </c>
      <c r="R272" s="67">
        <f t="shared" si="187"/>
      </c>
      <c r="S272" s="68">
        <f t="shared" si="29"/>
      </c>
      <c r="T272" s="67">
        <f t="shared" si="73"/>
      </c>
      <c r="U272" s="69">
        <f t="shared" si="106"/>
      </c>
      <c r="V272" s="70" t="s">
        <v>37</v>
      </c>
      <c r="W272" s="71" t="s">
        <v>50</v>
      </c>
      <c r="X272" s="91">
        <v>1</v>
      </c>
      <c r="Y272" s="64">
        <v>15540</v>
      </c>
      <c r="Z272" s="64">
        <v>278</v>
      </c>
      <c r="AA272" s="64">
        <v>270</v>
      </c>
      <c r="AB272" s="64">
        <v>49</v>
      </c>
      <c r="AC272" s="64">
        <v>40</v>
      </c>
      <c r="AD272" s="17">
        <v>3</v>
      </c>
      <c r="AE272" s="17">
        <v>12</v>
      </c>
      <c r="AF272" s="7"/>
      <c r="AG272" s="7"/>
    </row>
    <row r="273">
      <c r="A273" s="15"/>
      <c r="B273" s="72" t="s">
        <v>53</v>
      </c>
      <c r="C273" s="17" t="s">
        <v>49</v>
      </c>
      <c r="D273" s="64">
        <f t="shared" si="162"/>
      </c>
      <c r="E273" s="17">
        <v>541.4399999999999</v>
      </c>
      <c r="F273" s="17">
        <v>786.54</v>
      </c>
      <c r="G273" s="17">
        <v>0</v>
      </c>
      <c r="H273" s="17">
        <v>0</v>
      </c>
      <c r="I273" s="17">
        <v>0</v>
      </c>
      <c r="J273" s="65">
        <f t="shared" si="7"/>
      </c>
      <c r="K273" s="66">
        <f t="shared" si="40"/>
      </c>
      <c r="L273" s="67">
        <f t="shared" si="84"/>
      </c>
      <c r="M273" s="66">
        <f t="shared" si="51"/>
      </c>
      <c r="N273" s="66">
        <f t="shared" si="176"/>
      </c>
      <c r="O273" s="67">
        <f t="shared" si="18"/>
      </c>
      <c r="P273" s="66">
        <f t="shared" si="62"/>
      </c>
      <c r="Q273" s="66">
        <f t="shared" si="95"/>
      </c>
      <c r="R273" s="67">
        <f t="shared" si="187"/>
      </c>
      <c r="S273" s="68">
        <f t="shared" si="29"/>
      </c>
      <c r="T273" s="67">
        <f t="shared" si="73"/>
      </c>
      <c r="U273" s="69">
        <f t="shared" si="106"/>
      </c>
      <c r="V273" s="70" t="s">
        <v>37</v>
      </c>
      <c r="W273" s="71" t="s">
        <v>50</v>
      </c>
      <c r="X273" s="91">
        <v>0</v>
      </c>
      <c r="Y273" s="64">
        <v>6066</v>
      </c>
      <c r="Z273" s="64">
        <v>115</v>
      </c>
      <c r="AA273" s="64">
        <v>111</v>
      </c>
      <c r="AB273" s="64">
        <v>15</v>
      </c>
      <c r="AC273" s="64">
        <v>19</v>
      </c>
      <c r="AD273" s="17">
        <v>1</v>
      </c>
      <c r="AE273" s="17">
        <v>7</v>
      </c>
      <c r="AF273" s="7"/>
      <c r="AG273" s="7"/>
    </row>
    <row r="274">
      <c r="A274" s="15"/>
      <c r="B274" s="72" t="s">
        <v>54</v>
      </c>
      <c r="C274" s="17" t="s">
        <v>49</v>
      </c>
      <c r="D274" s="64">
        <f t="shared" si="162"/>
      </c>
      <c r="E274" s="17">
        <v>1507.42</v>
      </c>
      <c r="F274" s="17">
        <v>706.97</v>
      </c>
      <c r="G274" s="17">
        <v>0</v>
      </c>
      <c r="H274" s="17">
        <v>3</v>
      </c>
      <c r="I274" s="17">
        <v>12354.240000000005</v>
      </c>
      <c r="J274" s="65">
        <f t="shared" si="7"/>
      </c>
      <c r="K274" s="66">
        <f t="shared" si="40"/>
      </c>
      <c r="L274" s="67">
        <f t="shared" si="84"/>
      </c>
      <c r="M274" s="66">
        <f t="shared" si="51"/>
      </c>
      <c r="N274" s="66">
        <f t="shared" si="176"/>
      </c>
      <c r="O274" s="67">
        <f t="shared" si="18"/>
      </c>
      <c r="P274" s="66">
        <f t="shared" si="62"/>
      </c>
      <c r="Q274" s="66">
        <f t="shared" si="95"/>
      </c>
      <c r="R274" s="67">
        <f t="shared" si="187"/>
      </c>
      <c r="S274" s="68">
        <f t="shared" si="29"/>
      </c>
      <c r="T274" s="67">
        <f t="shared" si="73"/>
      </c>
      <c r="U274" s="69">
        <f t="shared" si="106"/>
      </c>
      <c r="V274" s="70" t="s">
        <v>37</v>
      </c>
      <c r="W274" s="71" t="s">
        <v>50</v>
      </c>
      <c r="X274" s="91">
        <v>2</v>
      </c>
      <c r="Y274" s="64">
        <v>14379</v>
      </c>
      <c r="Z274" s="64">
        <v>378</v>
      </c>
      <c r="AA274" s="64">
        <v>402</v>
      </c>
      <c r="AB274" s="64">
        <v>49</v>
      </c>
      <c r="AC274" s="64">
        <v>58</v>
      </c>
      <c r="AD274" s="17">
        <v>4</v>
      </c>
      <c r="AE274" s="17">
        <v>21</v>
      </c>
      <c r="AF274" s="7"/>
      <c r="AG274" s="7"/>
    </row>
    <row r="275">
      <c r="A275" s="15"/>
      <c r="B275" s="17" t="s">
        <v>56</v>
      </c>
      <c r="C275" s="17" t="s">
        <v>49</v>
      </c>
      <c r="D275" s="64">
        <f t="shared" si="162"/>
      </c>
      <c r="E275" s="17">
        <v>2075.3199999999997</v>
      </c>
      <c r="F275" s="17">
        <v>1006.49</v>
      </c>
      <c r="G275" s="17">
        <v>0</v>
      </c>
      <c r="H275" s="17">
        <v>2</v>
      </c>
      <c r="I275" s="17">
        <v>5677.080000000002</v>
      </c>
      <c r="J275" s="65">
        <f t="shared" si="7"/>
      </c>
      <c r="K275" s="66">
        <f t="shared" si="40"/>
      </c>
      <c r="L275" s="67">
        <f t="shared" si="84"/>
      </c>
      <c r="M275" s="66">
        <f t="shared" si="51"/>
      </c>
      <c r="N275" s="66">
        <f t="shared" si="176"/>
      </c>
      <c r="O275" s="67">
        <f t="shared" si="18"/>
      </c>
      <c r="P275" s="66">
        <f t="shared" si="62"/>
      </c>
      <c r="Q275" s="66">
        <f t="shared" si="95"/>
      </c>
      <c r="R275" s="67">
        <f t="shared" si="187"/>
      </c>
      <c r="S275" s="68">
        <f t="shared" si="29"/>
      </c>
      <c r="T275" s="67">
        <f t="shared" si="73"/>
      </c>
      <c r="U275" s="69">
        <f t="shared" si="106"/>
      </c>
      <c r="V275" s="70" t="s">
        <v>37</v>
      </c>
      <c r="W275" s="71" t="s">
        <v>50</v>
      </c>
      <c r="X275" s="93">
        <v>2</v>
      </c>
      <c r="Y275" s="64">
        <v>16156</v>
      </c>
      <c r="Z275" s="64">
        <v>282</v>
      </c>
      <c r="AA275" s="64">
        <v>286</v>
      </c>
      <c r="AB275" s="64">
        <v>46</v>
      </c>
      <c r="AC275" s="64">
        <v>70</v>
      </c>
      <c r="AD275" s="17">
        <v>3</v>
      </c>
      <c r="AE275" s="17">
        <v>13</v>
      </c>
      <c r="AF275" s="7"/>
      <c r="AG275" s="7"/>
    </row>
    <row r="276">
      <c r="A276" s="15"/>
      <c r="B276" s="75" t="s">
        <v>42</v>
      </c>
      <c r="C276" s="75"/>
      <c r="D276" s="75">
        <f>SUM(D272:D275)</f>
      </c>
      <c r="E276" s="75">
        <f>SUM(E272:E275)</f>
      </c>
      <c r="F276" s="75">
        <f>SUM(F272:F275)</f>
      </c>
      <c r="G276" s="75">
        <f>SUM(G272:G275)</f>
      </c>
      <c r="H276" s="75">
        <f>SUM(H272:H275)</f>
      </c>
      <c r="I276" s="75">
        <f>SUM(I272:I275)</f>
      </c>
      <c r="J276" s="76">
        <f t="shared" si="7"/>
      </c>
      <c r="K276" s="77">
        <f t="shared" si="40"/>
      </c>
      <c r="L276" s="78">
        <f t="shared" si="84"/>
      </c>
      <c r="M276" s="77">
        <f t="shared" si="51"/>
      </c>
      <c r="N276" s="77">
        <f t="shared" si="176"/>
      </c>
      <c r="O276" s="78">
        <f t="shared" si="18"/>
      </c>
      <c r="P276" s="77">
        <f t="shared" si="62"/>
      </c>
      <c r="Q276" s="77">
        <f t="shared" si="95"/>
      </c>
      <c r="R276" s="78">
        <f t="shared" si="187"/>
      </c>
      <c r="S276" s="79">
        <f t="shared" si="29"/>
      </c>
      <c r="T276" s="78">
        <f t="shared" si="73"/>
      </c>
      <c r="U276" s="80">
        <f t="shared" si="106"/>
      </c>
      <c r="V276" s="80"/>
      <c r="W276" s="80"/>
      <c r="X276" s="90">
        <f>SUM(X272:X275)</f>
      </c>
      <c r="Y276" s="75">
        <f>SUM(Y272:Y275)</f>
      </c>
      <c r="Z276" s="75">
        <f>SUM(Z272:Z275)</f>
      </c>
      <c r="AA276" s="75">
        <f>SUM(AA272:AA275)</f>
      </c>
      <c r="AB276" s="75">
        <f>SUM(AB272:AB275)</f>
      </c>
      <c r="AC276" s="75">
        <f>SUM(AC272:AC275)</f>
      </c>
      <c r="AD276" s="75">
        <f>SUM(AD272:AD275)</f>
      </c>
      <c r="AE276" s="75">
        <f>SUM(AE272:AE275)</f>
      </c>
      <c r="AF276" s="7"/>
      <c r="AG276" s="7"/>
    </row>
    <row r="277">
      <c r="A277" s="15"/>
      <c r="B277" s="64" t="s">
        <v>57</v>
      </c>
      <c r="C277" s="17" t="s">
        <v>60</v>
      </c>
      <c r="D277" s="64">
        <f t="shared" ref="D277:D278" si="163">E277+F277+G277</f>
      </c>
      <c r="E277" s="17">
        <v>1688.01</v>
      </c>
      <c r="F277" s="17">
        <v>1602.52</v>
      </c>
      <c r="G277" s="17">
        <v>0</v>
      </c>
      <c r="H277" s="17">
        <v>2</v>
      </c>
      <c r="I277" s="17">
        <v>9906.959999999992</v>
      </c>
      <c r="J277" s="65">
        <f t="shared" si="7"/>
      </c>
      <c r="K277" s="66">
        <f t="shared" si="40"/>
      </c>
      <c r="L277" s="67">
        <f t="shared" si="84"/>
      </c>
      <c r="M277" s="66">
        <f t="shared" si="51"/>
      </c>
      <c r="N277" s="66">
        <f t="shared" si="176"/>
      </c>
      <c r="O277" s="67">
        <f t="shared" si="18"/>
      </c>
      <c r="P277" s="66">
        <f t="shared" si="62"/>
      </c>
      <c r="Q277" s="66">
        <f t="shared" si="95"/>
      </c>
      <c r="R277" s="67">
        <f t="shared" si="187"/>
      </c>
      <c r="S277" s="68">
        <f t="shared" si="29"/>
      </c>
      <c r="T277" s="67">
        <f t="shared" si="73"/>
      </c>
      <c r="U277" s="69">
        <f t="shared" si="106"/>
      </c>
      <c r="V277" s="70" t="s">
        <v>37</v>
      </c>
      <c r="W277" s="71" t="s">
        <v>50</v>
      </c>
      <c r="X277" s="92">
        <v>2</v>
      </c>
      <c r="Y277" s="64">
        <v>12837</v>
      </c>
      <c r="Z277" s="64">
        <v>740</v>
      </c>
      <c r="AA277" s="64">
        <v>853</v>
      </c>
      <c r="AB277" s="64">
        <v>65</v>
      </c>
      <c r="AC277" s="17">
        <v>50</v>
      </c>
      <c r="AD277" s="17">
        <v>5</v>
      </c>
      <c r="AE277" s="17">
        <v>20</v>
      </c>
      <c r="AF277" s="7"/>
      <c r="AG277" s="7"/>
    </row>
    <row r="278">
      <c r="A278" s="15"/>
      <c r="B278" s="17" t="s">
        <v>58</v>
      </c>
      <c r="C278" s="17" t="s">
        <v>60</v>
      </c>
      <c r="D278" s="64">
        <f t="shared" si="163"/>
      </c>
      <c r="E278" s="17">
        <v>2345.44</v>
      </c>
      <c r="F278" s="17">
        <v>2487.4</v>
      </c>
      <c r="G278" s="17">
        <v>0</v>
      </c>
      <c r="H278" s="17">
        <v>2</v>
      </c>
      <c r="I278" s="17">
        <v>8387.520000000004</v>
      </c>
      <c r="J278" s="65">
        <f t="shared" si="7"/>
      </c>
      <c r="K278" s="66">
        <f t="shared" si="40"/>
      </c>
      <c r="L278" s="67">
        <f t="shared" si="84"/>
      </c>
      <c r="M278" s="66">
        <f t="shared" si="51"/>
      </c>
      <c r="N278" s="66">
        <f t="shared" si="176"/>
      </c>
      <c r="O278" s="67">
        <f t="shared" si="18"/>
      </c>
      <c r="P278" s="66">
        <f t="shared" si="62"/>
      </c>
      <c r="Q278" s="66">
        <f t="shared" si="95"/>
      </c>
      <c r="R278" s="67">
        <f t="shared" si="187"/>
      </c>
      <c r="S278" s="68">
        <f t="shared" si="29"/>
      </c>
      <c r="T278" s="67">
        <f t="shared" si="73"/>
      </c>
      <c r="U278" s="69">
        <f t="shared" si="106"/>
      </c>
      <c r="V278" s="70" t="s">
        <v>37</v>
      </c>
      <c r="W278" s="71" t="s">
        <v>50</v>
      </c>
      <c r="X278" s="91">
        <v>1</v>
      </c>
      <c r="Y278" s="64">
        <v>16892</v>
      </c>
      <c r="Z278" s="64">
        <v>1188</v>
      </c>
      <c r="AA278" s="64">
        <v>1909</v>
      </c>
      <c r="AB278" s="64">
        <v>396</v>
      </c>
      <c r="AC278" s="64">
        <v>82</v>
      </c>
      <c r="AD278" s="17">
        <v>3</v>
      </c>
      <c r="AE278" s="17">
        <v>46</v>
      </c>
      <c r="AF278" s="7"/>
      <c r="AG278" s="7"/>
    </row>
    <row r="279">
      <c r="A279" s="15"/>
      <c r="B279" s="75" t="s">
        <v>42</v>
      </c>
      <c r="C279" s="75"/>
      <c r="D279" s="75">
        <f>SUM(D277:D278)</f>
      </c>
      <c r="E279" s="75">
        <f>SUM(E277:E278)</f>
      </c>
      <c r="F279" s="75">
        <f>SUM(F277:F278)</f>
      </c>
      <c r="G279" s="75">
        <f>SUM(G277:G278)</f>
      </c>
      <c r="H279" s="75">
        <f>SUM(H277:H278)</f>
      </c>
      <c r="I279" s="75">
        <f>SUM(I277:I278)</f>
      </c>
      <c r="J279" s="76">
        <f t="shared" si="7"/>
      </c>
      <c r="K279" s="77">
        <f t="shared" si="40"/>
      </c>
      <c r="L279" s="78">
        <f t="shared" si="84"/>
      </c>
      <c r="M279" s="77">
        <f t="shared" si="51"/>
      </c>
      <c r="N279" s="77">
        <f t="shared" si="176"/>
      </c>
      <c r="O279" s="78">
        <f t="shared" si="18"/>
      </c>
      <c r="P279" s="77">
        <f t="shared" si="62"/>
      </c>
      <c r="Q279" s="77">
        <f t="shared" si="95"/>
      </c>
      <c r="R279" s="78">
        <f t="shared" si="187"/>
      </c>
      <c r="S279" s="79">
        <f t="shared" si="29"/>
      </c>
      <c r="T279" s="78">
        <f t="shared" si="73"/>
      </c>
      <c r="U279" s="80">
        <f t="shared" si="106"/>
      </c>
      <c r="V279" s="80"/>
      <c r="W279" s="80"/>
      <c r="X279" s="90">
        <f>SUM(X277:X278)</f>
      </c>
      <c r="Y279" s="82">
        <f>SUM(Y277:Y278)</f>
      </c>
      <c r="Z279" s="82">
        <f>SUM(Z277:Z278)</f>
      </c>
      <c r="AA279" s="82">
        <f>SUM(AA277:AA278)</f>
      </c>
      <c r="AB279" s="82">
        <f>SUM(AB277:AB278)</f>
      </c>
      <c r="AC279" s="82">
        <f>SUM(AC277:AC278)</f>
      </c>
      <c r="AD279" s="82">
        <f>SUM(AD277:AD278)</f>
      </c>
      <c r="AE279" s="82">
        <f>SUM(AE277:AE278)</f>
      </c>
      <c r="AF279" s="7"/>
      <c r="AG279" s="7"/>
    </row>
    <row r="280">
      <c r="A280" s="99"/>
      <c r="B280" s="94" t="s">
        <v>59</v>
      </c>
      <c r="C280" s="94"/>
      <c r="D280" s="100">
        <f>D256+D261+D266+D271+D276+D279</f>
      </c>
      <c r="E280" s="100">
        <f>E256+E261+E266+E271+E276+E279</f>
      </c>
      <c r="F280" s="100">
        <f>F256+F261+F266+F271+F276+F279</f>
      </c>
      <c r="G280" s="100">
        <f>G256+G261+G266+G271+G276+G279</f>
      </c>
      <c r="H280" s="100">
        <f>H256+H261+H266+H271+H276+H279</f>
      </c>
      <c r="I280" s="100">
        <f>I256+I261+I266+I271+I276+I279</f>
      </c>
      <c r="J280" s="100">
        <f t="shared" si="7"/>
      </c>
      <c r="K280" s="86">
        <f t="shared" si="40"/>
      </c>
      <c r="L280" s="55">
        <f t="shared" si="84"/>
      </c>
      <c r="M280" s="86">
        <f t="shared" si="51"/>
      </c>
      <c r="N280" s="86">
        <f t="shared" si="176"/>
      </c>
      <c r="O280" s="55">
        <f t="shared" si="18"/>
      </c>
      <c r="P280" s="86">
        <f t="shared" si="62"/>
      </c>
      <c r="Q280" s="86">
        <f t="shared" si="95"/>
      </c>
      <c r="R280" s="55">
        <f t="shared" si="187"/>
      </c>
      <c r="S280" s="87">
        <f t="shared" si="29"/>
      </c>
      <c r="T280" s="55">
        <f t="shared" si="73"/>
      </c>
      <c r="U280" s="88">
        <f t="shared" si="106"/>
      </c>
      <c r="V280" s="88"/>
      <c r="W280" s="88"/>
      <c r="X280" s="55">
        <f>X256+X261+X266+X271+X276+X279</f>
      </c>
      <c r="Y280" s="55">
        <f>Y256+Y261+Y266+Y271+Y276+Y279</f>
      </c>
      <c r="Z280" s="55">
        <f>Z256+Z261+Z266+Z271+Z276+Z279</f>
      </c>
      <c r="AA280" s="55">
        <f>AA256+AA261+AA266+AA271+AA276+AA279</f>
      </c>
      <c r="AB280" s="55">
        <f>AB256+AB261+AB266+AB271+AB276+AB279</f>
      </c>
      <c r="AC280" s="55">
        <f>AC256+AC261+AC266+AC271+AC276+AC279</f>
      </c>
      <c r="AD280" s="55">
        <f>AD256+AD261+AD266+AD271+AD276+AD279</f>
      </c>
      <c r="AE280" s="55">
        <f>AE256+AE261+AE266+AE271+AE276+AE279</f>
      </c>
      <c r="AF280" s="7"/>
      <c r="AG280" s="7"/>
    </row>
    <row r="281">
      <c r="A281" s="1" t="s">
        <v>1</v>
      </c>
      <c r="B281" s="1"/>
      <c r="C281" s="1"/>
      <c r="D281" s="2" t="s">
        <v>2</v>
      </c>
      <c r="E281" s="2"/>
      <c r="F281" s="2"/>
      <c r="G281" s="2"/>
      <c r="H281" s="2"/>
      <c r="I281" s="2"/>
      <c r="J281" s="2"/>
      <c r="K281" s="101" t="s">
        <v>3</v>
      </c>
      <c r="L281" s="3"/>
      <c r="M281" s="3"/>
      <c r="N281" s="3"/>
      <c r="O281" s="3"/>
      <c r="P281" s="3"/>
      <c r="Q281" s="3"/>
      <c r="R281" s="3"/>
      <c r="S281" s="3"/>
      <c r="T281" s="3"/>
      <c r="U281" s="4"/>
      <c r="V281" s="4"/>
      <c r="W281" s="4"/>
      <c r="X281" s="5"/>
      <c r="Y281" s="5"/>
      <c r="Z281" s="5"/>
      <c r="AA281" s="5"/>
      <c r="AB281" s="5"/>
      <c r="AC281" s="5"/>
      <c r="AD281" s="5"/>
      <c r="AE281" s="6" t="s">
        <v>4</v>
      </c>
      <c r="AF281" s="7"/>
      <c r="AG281" s="7"/>
    </row>
    <row r="282">
      <c r="A282" s="1" t="s">
        <v>5</v>
      </c>
      <c r="B282" s="1" t="s">
        <v>6</v>
      </c>
      <c r="C282" s="1" t="s">
        <v>7</v>
      </c>
      <c r="D282" s="102" t="s">
        <v>8</v>
      </c>
      <c r="E282" s="8" t="s">
        <v>9</v>
      </c>
      <c r="F282" s="8" t="s">
        <v>10</v>
      </c>
      <c r="G282" s="9" t="s">
        <v>11</v>
      </c>
      <c r="H282" s="10" t="s">
        <v>12</v>
      </c>
      <c r="I282" s="2" t="s">
        <v>13</v>
      </c>
      <c r="J282" s="8" t="s">
        <v>14</v>
      </c>
      <c r="K282" s="101" t="s">
        <v>15</v>
      </c>
      <c r="L282" s="3" t="s">
        <v>16</v>
      </c>
      <c r="M282" s="11" t="s">
        <v>17</v>
      </c>
      <c r="N282" s="11" t="s">
        <v>18</v>
      </c>
      <c r="O282" s="3" t="s">
        <v>19</v>
      </c>
      <c r="P282" s="11" t="s">
        <v>20</v>
      </c>
      <c r="Q282" s="11" t="s">
        <v>21</v>
      </c>
      <c r="R282" s="3" t="s">
        <v>22</v>
      </c>
      <c r="S282" s="11" t="s">
        <v>23</v>
      </c>
      <c r="T282" s="3" t="s">
        <v>24</v>
      </c>
      <c r="U282" s="12" t="s">
        <v>25</v>
      </c>
      <c r="V282" s="12" t="s">
        <v>26</v>
      </c>
      <c r="W282" s="12" t="s">
        <v>27</v>
      </c>
      <c r="X282" s="13" t="s">
        <v>28</v>
      </c>
      <c r="Y282" s="14" t="s">
        <v>29</v>
      </c>
      <c r="Z282" s="14" t="s">
        <v>30</v>
      </c>
      <c r="AA282" s="14" t="s">
        <v>31</v>
      </c>
      <c r="AB282" s="14" t="s">
        <v>32</v>
      </c>
      <c r="AC282" s="14" t="s">
        <v>33</v>
      </c>
      <c r="AD282" s="14" t="s">
        <v>34</v>
      </c>
      <c r="AE282" s="6"/>
      <c r="AF282" s="7"/>
      <c r="AG282" s="7"/>
    </row>
    <row r="283">
      <c r="A283" s="15">
        <v>46307</v>
      </c>
      <c r="B283" s="18" t="s">
        <v>67</v>
      </c>
      <c r="C283" s="103" t="s">
        <v>60</v>
      </c>
      <c r="D283" s="64">
        <f t="shared" ref="D283:D284" si="164">E283+F283+G283</f>
      </c>
      <c r="E283" s="104">
        <v>2000</v>
      </c>
      <c r="F283" s="17">
        <v>953.74</v>
      </c>
      <c r="G283" s="17">
        <v>0</v>
      </c>
      <c r="H283" s="17">
        <v>1</v>
      </c>
      <c r="I283" s="17">
        <v>1512.3600000000001</v>
      </c>
      <c r="J283" s="65">
        <f t="shared" ref="J283:J297" si="8">I283/D283</f>
      </c>
      <c r="K283" s="105">
        <f t="shared" ref="K283:K297" si="41">Z283/Y283</f>
      </c>
      <c r="L283" s="67">
        <f t="shared" ref="L283:L297" si="85">D283/AA283</f>
      </c>
      <c r="M283" s="66">
        <f t="shared" ref="M283:M297" si="52">AB283/AA283</f>
      </c>
      <c r="N283" s="66">
        <f t="shared" ref="N283:N297" si="177">AC283/AA283</f>
      </c>
      <c r="O283" s="67">
        <f t="shared" ref="O283:O297" si="19">D283/AC283</f>
      </c>
      <c r="P283" s="66">
        <f t="shared" ref="P283:P297" si="63">AD283/AC283</f>
      </c>
      <c r="Q283" s="66">
        <f t="shared" ref="Q283:Q297" si="96">H283/AD283</f>
      </c>
      <c r="R283" s="67">
        <f t="shared" ref="R283:R297" si="188">D283/H283</f>
      </c>
      <c r="S283" s="68">
        <f t="shared" ref="S283:S297" si="30">I283/H283</f>
      </c>
      <c r="T283" s="67">
        <f t="shared" ref="T283:T297" si="74">D283/X283</f>
      </c>
      <c r="U283" s="69">
        <f t="shared" ref="U283:U297" si="107">AE283*1000/D283</f>
      </c>
      <c r="V283" s="70" t="s">
        <v>37</v>
      </c>
      <c r="W283" s="71" t="s">
        <v>50</v>
      </c>
      <c r="X283" s="91">
        <v>1</v>
      </c>
      <c r="Y283" s="64">
        <v>12738</v>
      </c>
      <c r="Z283" s="64">
        <v>767</v>
      </c>
      <c r="AA283" s="64">
        <v>1226</v>
      </c>
      <c r="AB283" s="64">
        <v>178</v>
      </c>
      <c r="AC283" s="17">
        <v>47</v>
      </c>
      <c r="AD283" s="17">
        <v>3</v>
      </c>
      <c r="AE283" s="17">
        <v>20</v>
      </c>
      <c r="AF283" s="32"/>
      <c r="AG283" s="7"/>
    </row>
    <row r="284">
      <c r="A284" s="15"/>
      <c r="B284" s="96" t="s">
        <v>68</v>
      </c>
      <c r="C284" s="103" t="s">
        <v>60</v>
      </c>
      <c r="D284" s="64">
        <f t="shared" si="164"/>
      </c>
      <c r="E284" s="104">
        <v>1000</v>
      </c>
      <c r="F284" s="17">
        <v>0</v>
      </c>
      <c r="G284" s="17">
        <v>0</v>
      </c>
      <c r="H284" s="17">
        <v>1</v>
      </c>
      <c r="I284" s="17">
        <v>2189.0399999999995</v>
      </c>
      <c r="J284" s="65">
        <f t="shared" si="8"/>
      </c>
      <c r="K284" s="105">
        <f t="shared" si="41"/>
      </c>
      <c r="L284" s="67">
        <f t="shared" si="85"/>
      </c>
      <c r="M284" s="66">
        <f t="shared" si="52"/>
      </c>
      <c r="N284" s="66">
        <f t="shared" si="177"/>
      </c>
      <c r="O284" s="67">
        <f t="shared" si="19"/>
      </c>
      <c r="P284" s="66">
        <f t="shared" si="63"/>
      </c>
      <c r="Q284" s="66">
        <f t="shared" si="96"/>
      </c>
      <c r="R284" s="67">
        <f t="shared" si="188"/>
      </c>
      <c r="S284" s="68">
        <f t="shared" si="30"/>
      </c>
      <c r="T284" s="67">
        <f t="shared" si="74"/>
      </c>
      <c r="U284" s="69">
        <f t="shared" si="107"/>
      </c>
      <c r="V284" s="70" t="s">
        <v>37</v>
      </c>
      <c r="W284" s="71" t="s">
        <v>50</v>
      </c>
      <c r="X284" s="91">
        <v>1</v>
      </c>
      <c r="Y284" s="64">
        <v>5683</v>
      </c>
      <c r="Z284" s="64">
        <v>101</v>
      </c>
      <c r="AA284" s="64">
        <v>104</v>
      </c>
      <c r="AB284" s="64">
        <v>33</v>
      </c>
      <c r="AC284" s="17">
        <v>30</v>
      </c>
      <c r="AD284" s="17">
        <v>1</v>
      </c>
      <c r="AE284" s="17">
        <v>6</v>
      </c>
      <c r="AF284" s="32"/>
      <c r="AG284" s="7"/>
    </row>
    <row r="285">
      <c r="A285" s="15"/>
      <c r="B285" s="75" t="s">
        <v>42</v>
      </c>
      <c r="C285" s="75"/>
      <c r="D285" s="106">
        <f>SUM(D283:D284)</f>
      </c>
      <c r="E285" s="107">
        <f>E283+E284</f>
      </c>
      <c r="F285" s="75">
        <f>SUM(F283:F284)</f>
      </c>
      <c r="G285" s="75">
        <f>SUM(G283:G284)</f>
      </c>
      <c r="H285" s="75">
        <f>SUM(H283:H284)</f>
      </c>
      <c r="I285" s="75">
        <f>SUM(I283:I284)</f>
      </c>
      <c r="J285" s="76">
        <f t="shared" si="8"/>
      </c>
      <c r="K285" s="108">
        <f t="shared" si="41"/>
      </c>
      <c r="L285" s="78">
        <f t="shared" si="85"/>
      </c>
      <c r="M285" s="77">
        <f t="shared" si="52"/>
      </c>
      <c r="N285" s="77">
        <f t="shared" si="177"/>
      </c>
      <c r="O285" s="78">
        <f t="shared" si="19"/>
      </c>
      <c r="P285" s="77">
        <f t="shared" si="63"/>
      </c>
      <c r="Q285" s="77">
        <f t="shared" si="96"/>
      </c>
      <c r="R285" s="78">
        <f t="shared" si="188"/>
      </c>
      <c r="S285" s="79">
        <f t="shared" si="30"/>
      </c>
      <c r="T285" s="78">
        <f t="shared" si="74"/>
      </c>
      <c r="U285" s="80">
        <f t="shared" si="107"/>
      </c>
      <c r="V285" s="80"/>
      <c r="W285" s="80"/>
      <c r="X285" s="90">
        <f>SUM(X283:X284)</f>
      </c>
      <c r="Y285" s="82">
        <f>SUM(Y283:Y284)</f>
      </c>
      <c r="Z285" s="82">
        <f>SUM(Z283:Z284)</f>
      </c>
      <c r="AA285" s="82">
        <f>SUM(AA283:AA284)</f>
      </c>
      <c r="AB285" s="82">
        <f>SUM(AB283:AB284)</f>
      </c>
      <c r="AC285" s="82">
        <f>SUM(AC283:AC284)</f>
      </c>
      <c r="AD285" s="82">
        <f>SUM(AD283:AD284)</f>
      </c>
      <c r="AE285" s="82">
        <f>SUM(AE283:AE284)</f>
      </c>
      <c r="AF285" s="32"/>
      <c r="AG285" s="7"/>
    </row>
    <row r="286">
      <c r="A286" s="15"/>
      <c r="B286" s="18" t="s">
        <v>64</v>
      </c>
      <c r="C286" s="17" t="s">
        <v>36</v>
      </c>
      <c r="D286" s="64">
        <f t="shared" ref="D286:D289" si="165">E286+F286+G286</f>
      </c>
      <c r="E286" s="17">
        <v>1983.73</v>
      </c>
      <c r="F286" s="17">
        <v>1046.26</v>
      </c>
      <c r="G286" s="17">
        <v>0</v>
      </c>
      <c r="H286" s="17">
        <v>2</v>
      </c>
      <c r="I286" s="17">
        <v>4786.200000000001</v>
      </c>
      <c r="J286" s="65">
        <f t="shared" si="8"/>
      </c>
      <c r="K286" s="105">
        <f t="shared" si="41"/>
      </c>
      <c r="L286" s="67">
        <f t="shared" si="85"/>
      </c>
      <c r="M286" s="66">
        <f t="shared" si="52"/>
      </c>
      <c r="N286" s="66">
        <f t="shared" si="177"/>
      </c>
      <c r="O286" s="67">
        <f t="shared" si="19"/>
      </c>
      <c r="P286" s="66">
        <f t="shared" si="63"/>
      </c>
      <c r="Q286" s="66">
        <f t="shared" si="96"/>
      </c>
      <c r="R286" s="67">
        <f t="shared" si="188"/>
      </c>
      <c r="S286" s="68">
        <f t="shared" si="30"/>
      </c>
      <c r="T286" s="67">
        <f t="shared" si="74"/>
      </c>
      <c r="U286" s="69">
        <f t="shared" si="107"/>
      </c>
      <c r="V286" s="70" t="s">
        <v>37</v>
      </c>
      <c r="W286" s="71" t="s">
        <v>70</v>
      </c>
      <c r="X286" s="17">
        <v>2</v>
      </c>
      <c r="Y286" s="64">
        <v>13452</v>
      </c>
      <c r="Z286" s="64">
        <v>1269</v>
      </c>
      <c r="AA286" s="64">
        <v>1740</v>
      </c>
      <c r="AB286" s="64">
        <v>212</v>
      </c>
      <c r="AC286" s="17">
        <v>48</v>
      </c>
      <c r="AD286" s="17">
        <v>2</v>
      </c>
      <c r="AE286" s="17">
        <v>19</v>
      </c>
      <c r="AF286" s="32"/>
      <c r="AG286" s="7"/>
    </row>
    <row r="287">
      <c r="A287" s="15"/>
      <c r="B287" s="18" t="s">
        <v>65</v>
      </c>
      <c r="C287" s="17" t="s">
        <v>36</v>
      </c>
      <c r="D287" s="64">
        <f t="shared" si="165"/>
      </c>
      <c r="E287" s="17">
        <v>2016.2699999999998</v>
      </c>
      <c r="F287" s="17">
        <v>960.01</v>
      </c>
      <c r="G287" s="17">
        <v>0</v>
      </c>
      <c r="H287" s="17">
        <v>0</v>
      </c>
      <c r="I287" s="17">
        <v>0</v>
      </c>
      <c r="J287" s="65">
        <f t="shared" si="8"/>
      </c>
      <c r="K287" s="105">
        <f t="shared" si="41"/>
      </c>
      <c r="L287" s="67">
        <f t="shared" si="85"/>
      </c>
      <c r="M287" s="66">
        <f t="shared" si="52"/>
      </c>
      <c r="N287" s="66">
        <f t="shared" si="177"/>
      </c>
      <c r="O287" s="67">
        <f t="shared" si="19"/>
      </c>
      <c r="P287" s="66">
        <f t="shared" si="63"/>
      </c>
      <c r="Q287" s="66">
        <f t="shared" si="96"/>
      </c>
      <c r="R287" s="67">
        <f t="shared" si="188"/>
      </c>
      <c r="S287" s="68">
        <f t="shared" si="30"/>
      </c>
      <c r="T287" s="67">
        <f t="shared" si="74"/>
      </c>
      <c r="U287" s="69">
        <f t="shared" si="107"/>
      </c>
      <c r="V287" s="70" t="s">
        <v>37</v>
      </c>
      <c r="W287" s="71" t="s">
        <v>70</v>
      </c>
      <c r="X287" s="73">
        <v>0</v>
      </c>
      <c r="Y287" s="64">
        <v>12921</v>
      </c>
      <c r="Z287" s="64">
        <v>384</v>
      </c>
      <c r="AA287" s="64">
        <v>408</v>
      </c>
      <c r="AB287" s="64">
        <v>67</v>
      </c>
      <c r="AC287" s="64">
        <v>71</v>
      </c>
      <c r="AD287" s="17">
        <v>0</v>
      </c>
      <c r="AE287" s="17">
        <v>13</v>
      </c>
      <c r="AF287" s="32"/>
      <c r="AG287" s="7"/>
    </row>
    <row r="288">
      <c r="A288" s="15"/>
      <c r="B288" s="18" t="s">
        <v>35</v>
      </c>
      <c r="C288" s="17" t="s">
        <v>36</v>
      </c>
      <c r="D288" s="64">
        <f t="shared" si="165"/>
      </c>
      <c r="E288" s="17">
        <v>1999.99</v>
      </c>
      <c r="F288" s="17">
        <v>1039.99</v>
      </c>
      <c r="G288" s="17">
        <v>0</v>
      </c>
      <c r="H288" s="17">
        <v>1</v>
      </c>
      <c r="I288" s="17">
        <v>1126</v>
      </c>
      <c r="J288" s="65">
        <f t="shared" si="8"/>
      </c>
      <c r="K288" s="105">
        <f t="shared" si="41"/>
      </c>
      <c r="L288" s="67">
        <f t="shared" si="85"/>
      </c>
      <c r="M288" s="66">
        <f t="shared" si="52"/>
      </c>
      <c r="N288" s="66">
        <f t="shared" si="177"/>
      </c>
      <c r="O288" s="67">
        <f t="shared" si="19"/>
      </c>
      <c r="P288" s="66">
        <f t="shared" si="63"/>
      </c>
      <c r="Q288" s="66">
        <f t="shared" si="96"/>
      </c>
      <c r="R288" s="67">
        <f t="shared" si="188"/>
      </c>
      <c r="S288" s="68">
        <f t="shared" si="30"/>
      </c>
      <c r="T288" s="67">
        <f t="shared" si="74"/>
      </c>
      <c r="U288" s="69">
        <f t="shared" si="107"/>
      </c>
      <c r="V288" s="70" t="s">
        <v>37</v>
      </c>
      <c r="W288" s="71" t="s">
        <v>70</v>
      </c>
      <c r="X288" s="73">
        <v>1</v>
      </c>
      <c r="Y288" s="64">
        <v>9785</v>
      </c>
      <c r="Z288" s="64">
        <v>306</v>
      </c>
      <c r="AA288" s="64">
        <v>335</v>
      </c>
      <c r="AB288" s="64">
        <v>71</v>
      </c>
      <c r="AC288" s="64">
        <v>49</v>
      </c>
      <c r="AD288" s="17">
        <v>2</v>
      </c>
      <c r="AE288" s="17">
        <v>22</v>
      </c>
      <c r="AF288" s="32"/>
      <c r="AG288" s="7"/>
    </row>
    <row r="289">
      <c r="A289" s="15"/>
      <c r="B289" s="18" t="s">
        <v>39</v>
      </c>
      <c r="C289" s="17" t="s">
        <v>36</v>
      </c>
      <c r="D289" s="64">
        <f t="shared" si="165"/>
      </c>
      <c r="E289" s="17">
        <v>1182.04</v>
      </c>
      <c r="F289" s="17">
        <v>791.79</v>
      </c>
      <c r="G289" s="17">
        <v>0</v>
      </c>
      <c r="H289" s="17">
        <v>0</v>
      </c>
      <c r="I289" s="17">
        <v>0</v>
      </c>
      <c r="J289" s="65">
        <f t="shared" si="8"/>
      </c>
      <c r="K289" s="105">
        <f t="shared" si="41"/>
      </c>
      <c r="L289" s="67">
        <f t="shared" si="85"/>
      </c>
      <c r="M289" s="66">
        <f t="shared" si="52"/>
      </c>
      <c r="N289" s="66">
        <f t="shared" si="177"/>
      </c>
      <c r="O289" s="67">
        <f t="shared" si="19"/>
      </c>
      <c r="P289" s="66">
        <f t="shared" si="63"/>
      </c>
      <c r="Q289" s="66">
        <f t="shared" si="96"/>
      </c>
      <c r="R289" s="67">
        <f t="shared" si="188"/>
      </c>
      <c r="S289" s="68">
        <f t="shared" si="30"/>
      </c>
      <c r="T289" s="67">
        <f t="shared" si="74"/>
      </c>
      <c r="U289" s="69">
        <f t="shared" si="107"/>
      </c>
      <c r="V289" s="70" t="s">
        <v>37</v>
      </c>
      <c r="W289" s="71" t="s">
        <v>70</v>
      </c>
      <c r="X289" s="74">
        <v>0</v>
      </c>
      <c r="Y289" s="64">
        <v>6255</v>
      </c>
      <c r="Z289" s="64">
        <v>121</v>
      </c>
      <c r="AA289" s="64">
        <v>121</v>
      </c>
      <c r="AB289" s="64">
        <v>24</v>
      </c>
      <c r="AC289" s="64">
        <v>25</v>
      </c>
      <c r="AD289" s="17">
        <v>0</v>
      </c>
      <c r="AE289" s="17">
        <v>7</v>
      </c>
      <c r="AF289" s="32"/>
      <c r="AG289" s="7"/>
    </row>
    <row r="290">
      <c r="A290" s="15"/>
      <c r="B290" s="75" t="s">
        <v>42</v>
      </c>
      <c r="C290" s="75"/>
      <c r="D290" s="75">
        <f>SUM(D286:D289)</f>
      </c>
      <c r="E290" s="75">
        <f>SUM(E286:E289)</f>
      </c>
      <c r="F290" s="75">
        <f>SUM(F286:F289)</f>
      </c>
      <c r="G290" s="75">
        <f>SUM(G286:G289)</f>
      </c>
      <c r="H290" s="75">
        <f>SUM(H286:H289)</f>
      </c>
      <c r="I290" s="75">
        <f>SUM(I286:I289)</f>
      </c>
      <c r="J290" s="76">
        <f t="shared" si="8"/>
      </c>
      <c r="K290" s="108">
        <f t="shared" si="41"/>
      </c>
      <c r="L290" s="78">
        <f t="shared" si="85"/>
      </c>
      <c r="M290" s="77">
        <f t="shared" si="52"/>
      </c>
      <c r="N290" s="77">
        <f t="shared" si="177"/>
      </c>
      <c r="O290" s="78">
        <f t="shared" si="19"/>
      </c>
      <c r="P290" s="77">
        <f t="shared" si="63"/>
      </c>
      <c r="Q290" s="77">
        <f t="shared" si="96"/>
      </c>
      <c r="R290" s="78">
        <f t="shared" si="188"/>
      </c>
      <c r="S290" s="79">
        <f t="shared" si="30"/>
      </c>
      <c r="T290" s="78">
        <f t="shared" si="74"/>
      </c>
      <c r="U290" s="80">
        <f t="shared" si="107"/>
      </c>
      <c r="V290" s="80"/>
      <c r="W290" s="80"/>
      <c r="X290" s="90">
        <f>SUM(X286:X289)</f>
      </c>
      <c r="Y290" s="75">
        <f>SUM(Y286:Y289)</f>
      </c>
      <c r="Z290" s="75">
        <f>SUM(Z286:Z289)</f>
      </c>
      <c r="AA290" s="75">
        <f>SUM(AA286:AA289)</f>
      </c>
      <c r="AB290" s="75">
        <f>SUM(AB286:AB289)</f>
      </c>
      <c r="AC290" s="75">
        <f>SUM(AC286:AC289)</f>
      </c>
      <c r="AD290" s="75">
        <f>SUM(AD286:AD289)</f>
      </c>
      <c r="AE290" s="75">
        <f>SUM(AE286:AE289)</f>
      </c>
      <c r="AF290" s="7"/>
      <c r="AG290" s="7"/>
    </row>
    <row r="291">
      <c r="A291" s="15"/>
      <c r="B291" s="18" t="s">
        <v>40</v>
      </c>
      <c r="C291" s="17" t="s">
        <v>61</v>
      </c>
      <c r="D291" s="64">
        <f t="shared" ref="D291:D294" si="166">E291+F291+G291</f>
      </c>
      <c r="E291" s="64">
        <v>2117.9700000000003</v>
      </c>
      <c r="F291" s="64">
        <v>983.44</v>
      </c>
      <c r="G291" s="17">
        <v>0</v>
      </c>
      <c r="H291" s="17">
        <v>2</v>
      </c>
      <c r="I291" s="17">
        <v>4245.719999999999</v>
      </c>
      <c r="J291" s="65">
        <f t="shared" si="8"/>
      </c>
      <c r="K291" s="105">
        <f t="shared" si="41"/>
      </c>
      <c r="L291" s="67">
        <f t="shared" si="85"/>
      </c>
      <c r="M291" s="66">
        <f t="shared" si="52"/>
      </c>
      <c r="N291" s="66">
        <f t="shared" si="177"/>
      </c>
      <c r="O291" s="67">
        <f t="shared" si="19"/>
      </c>
      <c r="P291" s="66">
        <f t="shared" si="63"/>
      </c>
      <c r="Q291" s="66">
        <f t="shared" si="96"/>
      </c>
      <c r="R291" s="67">
        <f t="shared" si="188"/>
      </c>
      <c r="S291" s="68">
        <f t="shared" si="30"/>
      </c>
      <c r="T291" s="67">
        <f t="shared" si="74"/>
      </c>
      <c r="U291" s="69">
        <f t="shared" si="107"/>
      </c>
      <c r="V291" s="70" t="s">
        <v>37</v>
      </c>
      <c r="W291" s="71" t="s">
        <v>70</v>
      </c>
      <c r="X291" s="91">
        <v>1</v>
      </c>
      <c r="Y291" s="17">
        <v>11038</v>
      </c>
      <c r="Z291" s="17">
        <v>271</v>
      </c>
      <c r="AA291" s="64">
        <v>271</v>
      </c>
      <c r="AB291" s="17">
        <v>62</v>
      </c>
      <c r="AC291" s="17">
        <v>53</v>
      </c>
      <c r="AD291" s="17">
        <v>3</v>
      </c>
      <c r="AE291" s="17">
        <v>22</v>
      </c>
      <c r="AF291" s="32"/>
      <c r="AG291" s="7"/>
    </row>
    <row r="292">
      <c r="A292" s="15"/>
      <c r="B292" s="18" t="s">
        <v>41</v>
      </c>
      <c r="C292" s="17" t="s">
        <v>61</v>
      </c>
      <c r="D292" s="64">
        <f t="shared" si="166"/>
      </c>
      <c r="E292" s="17">
        <v>1985.13</v>
      </c>
      <c r="F292" s="17">
        <v>1024.77</v>
      </c>
      <c r="G292" s="17">
        <v>0</v>
      </c>
      <c r="H292" s="17">
        <v>2</v>
      </c>
      <c r="I292" s="17">
        <v>3635.880000000001</v>
      </c>
      <c r="J292" s="65">
        <f t="shared" si="8"/>
      </c>
      <c r="K292" s="105">
        <f t="shared" si="41"/>
      </c>
      <c r="L292" s="67">
        <f t="shared" si="85"/>
      </c>
      <c r="M292" s="66">
        <f t="shared" si="52"/>
      </c>
      <c r="N292" s="66">
        <f t="shared" si="177"/>
      </c>
      <c r="O292" s="67">
        <f t="shared" si="19"/>
      </c>
      <c r="P292" s="66">
        <f t="shared" si="63"/>
      </c>
      <c r="Q292" s="66">
        <f t="shared" si="96"/>
      </c>
      <c r="R292" s="67">
        <f t="shared" si="188"/>
      </c>
      <c r="S292" s="68">
        <f t="shared" si="30"/>
      </c>
      <c r="T292" s="67">
        <f t="shared" si="74"/>
      </c>
      <c r="U292" s="69">
        <f t="shared" si="107"/>
      </c>
      <c r="V292" s="70" t="s">
        <v>37</v>
      </c>
      <c r="W292" s="71" t="s">
        <v>70</v>
      </c>
      <c r="X292" s="91">
        <v>2</v>
      </c>
      <c r="Y292" s="64">
        <v>10202</v>
      </c>
      <c r="Z292" s="64">
        <v>215</v>
      </c>
      <c r="AA292" s="64">
        <v>227</v>
      </c>
      <c r="AB292" s="64">
        <v>47</v>
      </c>
      <c r="AC292" s="64">
        <v>54</v>
      </c>
      <c r="AD292" s="17">
        <v>2</v>
      </c>
      <c r="AE292" s="17">
        <v>22</v>
      </c>
      <c r="AF292" s="32"/>
      <c r="AG292" s="7"/>
    </row>
    <row r="293">
      <c r="A293" s="15"/>
      <c r="B293" s="50" t="s">
        <v>43</v>
      </c>
      <c r="C293" s="17" t="s">
        <v>61</v>
      </c>
      <c r="D293" s="64">
        <f t="shared" si="166"/>
      </c>
      <c r="E293" s="17">
        <v>1989.28</v>
      </c>
      <c r="F293" s="17">
        <v>1005.99</v>
      </c>
      <c r="G293" s="17">
        <v>0</v>
      </c>
      <c r="H293" s="17">
        <v>1</v>
      </c>
      <c r="I293" s="17">
        <v>3437.0399999999972</v>
      </c>
      <c r="J293" s="65">
        <f t="shared" si="8"/>
      </c>
      <c r="K293" s="105">
        <f t="shared" si="41"/>
      </c>
      <c r="L293" s="67">
        <f t="shared" si="85"/>
      </c>
      <c r="M293" s="66">
        <f t="shared" si="52"/>
      </c>
      <c r="N293" s="66">
        <f t="shared" si="177"/>
      </c>
      <c r="O293" s="67">
        <f t="shared" si="19"/>
      </c>
      <c r="P293" s="66">
        <f t="shared" si="63"/>
      </c>
      <c r="Q293" s="66">
        <f t="shared" si="96"/>
      </c>
      <c r="R293" s="67">
        <f t="shared" si="188"/>
      </c>
      <c r="S293" s="68">
        <f t="shared" si="30"/>
      </c>
      <c r="T293" s="67">
        <f t="shared" si="74"/>
      </c>
      <c r="U293" s="69">
        <f t="shared" si="107"/>
      </c>
      <c r="V293" s="70" t="s">
        <v>37</v>
      </c>
      <c r="W293" s="71" t="s">
        <v>70</v>
      </c>
      <c r="X293" s="91">
        <v>0</v>
      </c>
      <c r="Y293" s="17">
        <v>13214</v>
      </c>
      <c r="Z293" s="17">
        <v>279</v>
      </c>
      <c r="AA293" s="17">
        <v>267</v>
      </c>
      <c r="AB293" s="17">
        <v>42</v>
      </c>
      <c r="AC293" s="17">
        <v>59</v>
      </c>
      <c r="AD293" s="17">
        <v>1</v>
      </c>
      <c r="AE293" s="17">
        <v>14</v>
      </c>
      <c r="AF293" s="32"/>
      <c r="AG293" s="7"/>
    </row>
    <row r="294">
      <c r="A294" s="15"/>
      <c r="B294" s="18" t="s">
        <v>45</v>
      </c>
      <c r="C294" s="17" t="s">
        <v>61</v>
      </c>
      <c r="D294" s="64">
        <f t="shared" si="166"/>
      </c>
      <c r="E294" s="17">
        <v>1513.27</v>
      </c>
      <c r="F294" s="17">
        <v>994.01</v>
      </c>
      <c r="G294" s="17">
        <v>0</v>
      </c>
      <c r="H294" s="17">
        <v>1</v>
      </c>
      <c r="I294" s="17">
        <v>2602.800000000003</v>
      </c>
      <c r="J294" s="65">
        <f t="shared" si="8"/>
      </c>
      <c r="K294" s="105">
        <f t="shared" si="41"/>
      </c>
      <c r="L294" s="67">
        <f t="shared" si="85"/>
      </c>
      <c r="M294" s="66">
        <f t="shared" si="52"/>
      </c>
      <c r="N294" s="66">
        <f t="shared" si="177"/>
      </c>
      <c r="O294" s="67">
        <f t="shared" si="19"/>
      </c>
      <c r="P294" s="66">
        <f t="shared" si="63"/>
      </c>
      <c r="Q294" s="66">
        <f t="shared" si="96"/>
      </c>
      <c r="R294" s="67">
        <f t="shared" si="188"/>
      </c>
      <c r="S294" s="68">
        <f t="shared" si="30"/>
      </c>
      <c r="T294" s="67">
        <f t="shared" si="74"/>
      </c>
      <c r="U294" s="69">
        <f t="shared" si="107"/>
      </c>
      <c r="V294" s="70" t="s">
        <v>37</v>
      </c>
      <c r="W294" s="71" t="s">
        <v>70</v>
      </c>
      <c r="X294" s="91">
        <v>2</v>
      </c>
      <c r="Y294" s="17">
        <v>10923</v>
      </c>
      <c r="Z294" s="17">
        <v>281</v>
      </c>
      <c r="AA294" s="17">
        <v>309</v>
      </c>
      <c r="AB294" s="17">
        <v>53</v>
      </c>
      <c r="AC294" s="17">
        <v>47</v>
      </c>
      <c r="AD294" s="17">
        <v>1</v>
      </c>
      <c r="AE294" s="17">
        <v>14</v>
      </c>
      <c r="AF294" s="32"/>
      <c r="AG294" s="7"/>
    </row>
    <row r="295">
      <c r="A295" s="15"/>
      <c r="B295" s="75" t="s">
        <v>42</v>
      </c>
      <c r="C295" s="75"/>
      <c r="D295" s="75">
        <f>SUM(D291:D294)</f>
      </c>
      <c r="E295" s="75">
        <f>SUM(E291:E294)</f>
      </c>
      <c r="F295" s="75">
        <f>SUM(F291:F294)</f>
      </c>
      <c r="G295" s="75">
        <f>SUM(G291:G294)</f>
      </c>
      <c r="H295" s="75">
        <f>SUM(H291:H294)</f>
      </c>
      <c r="I295" s="75">
        <f>SUM(I291:I294)</f>
      </c>
      <c r="J295" s="76">
        <f t="shared" si="8"/>
      </c>
      <c r="K295" s="108">
        <f t="shared" si="41"/>
      </c>
      <c r="L295" s="78">
        <f t="shared" si="85"/>
      </c>
      <c r="M295" s="77">
        <f t="shared" si="52"/>
      </c>
      <c r="N295" s="77">
        <f t="shared" si="177"/>
      </c>
      <c r="O295" s="78">
        <f t="shared" si="19"/>
      </c>
      <c r="P295" s="77">
        <f t="shared" si="63"/>
      </c>
      <c r="Q295" s="77">
        <f t="shared" si="96"/>
      </c>
      <c r="R295" s="78">
        <f t="shared" si="188"/>
      </c>
      <c r="S295" s="79">
        <f t="shared" si="30"/>
      </c>
      <c r="T295" s="78">
        <f t="shared" si="74"/>
      </c>
      <c r="U295" s="80">
        <f t="shared" si="107"/>
      </c>
      <c r="V295" s="80"/>
      <c r="W295" s="80"/>
      <c r="X295" s="90">
        <f>SUM(X291:X294)</f>
      </c>
      <c r="Y295" s="82">
        <f>SUM(Y291:Y294)</f>
      </c>
      <c r="Z295" s="82">
        <f>SUM(Z291:Z294)</f>
      </c>
      <c r="AA295" s="82">
        <f>SUM(AA291:AA294)</f>
      </c>
      <c r="AB295" s="82">
        <f>SUM(AB291:AB294)</f>
      </c>
      <c r="AC295" s="82">
        <f>SUM(AC291:AC294)</f>
      </c>
      <c r="AD295" s="82">
        <f>SUM(AD291:AD294)</f>
      </c>
      <c r="AE295" s="82">
        <f>SUM(AE291:AE294)</f>
      </c>
      <c r="AF295" s="7"/>
      <c r="AG295" s="7"/>
    </row>
    <row r="296">
      <c r="A296" s="15"/>
      <c r="B296" s="18" t="s">
        <v>46</v>
      </c>
      <c r="C296" s="17" t="s">
        <v>55</v>
      </c>
      <c r="D296" s="64">
        <f t="shared" ref="D296:D297" si="167">E296+F296+G296</f>
      </c>
      <c r="E296" s="64">
        <v>1549.88</v>
      </c>
      <c r="F296" s="64">
        <v>669.88</v>
      </c>
      <c r="G296" s="17">
        <v>0</v>
      </c>
      <c r="H296" s="17">
        <v>0</v>
      </c>
      <c r="I296" s="17">
        <v>0</v>
      </c>
      <c r="J296" s="65">
        <f t="shared" si="8"/>
      </c>
      <c r="K296" s="105">
        <f t="shared" si="41"/>
      </c>
      <c r="L296" s="67">
        <f t="shared" si="85"/>
      </c>
      <c r="M296" s="66">
        <f t="shared" si="52"/>
      </c>
      <c r="N296" s="66">
        <f t="shared" si="177"/>
      </c>
      <c r="O296" s="67">
        <f t="shared" si="19"/>
      </c>
      <c r="P296" s="66">
        <f t="shared" si="63"/>
      </c>
      <c r="Q296" s="66">
        <f t="shared" si="96"/>
      </c>
      <c r="R296" s="67">
        <f t="shared" si="188"/>
      </c>
      <c r="S296" s="68">
        <f t="shared" si="30"/>
      </c>
      <c r="T296" s="67">
        <f t="shared" si="74"/>
      </c>
      <c r="U296" s="69">
        <f t="shared" si="107"/>
      </c>
      <c r="V296" s="70" t="s">
        <v>37</v>
      </c>
      <c r="W296" s="71" t="s">
        <v>70</v>
      </c>
      <c r="X296" s="91">
        <v>0</v>
      </c>
      <c r="Y296" s="17">
        <v>5983</v>
      </c>
      <c r="Z296" s="17">
        <v>129</v>
      </c>
      <c r="AA296" s="64">
        <v>137</v>
      </c>
      <c r="AB296" s="17">
        <v>36</v>
      </c>
      <c r="AC296" s="17">
        <v>38</v>
      </c>
      <c r="AD296" s="17">
        <v>0</v>
      </c>
      <c r="AE296" s="17">
        <v>18</v>
      </c>
      <c r="AF296" s="32"/>
      <c r="AG296" s="7"/>
    </row>
    <row r="297">
      <c r="A297" s="15"/>
      <c r="B297" s="18" t="s">
        <v>47</v>
      </c>
      <c r="C297" s="17" t="s">
        <v>55</v>
      </c>
      <c r="D297" s="64">
        <f t="shared" si="167"/>
      </c>
      <c r="E297" s="17">
        <v>1853.4299999999998</v>
      </c>
      <c r="F297" s="17">
        <v>1237.76</v>
      </c>
      <c r="G297" s="17">
        <v>0</v>
      </c>
      <c r="H297" s="17">
        <v>2</v>
      </c>
      <c r="I297" s="17">
        <v>9509.760000000002</v>
      </c>
      <c r="J297" s="65">
        <f t="shared" si="8"/>
      </c>
      <c r="K297" s="105">
        <f t="shared" si="41"/>
      </c>
      <c r="L297" s="67">
        <f t="shared" si="85"/>
      </c>
      <c r="M297" s="66">
        <f t="shared" si="52"/>
      </c>
      <c r="N297" s="66">
        <f t="shared" si="177"/>
      </c>
      <c r="O297" s="67">
        <f t="shared" si="19"/>
      </c>
      <c r="P297" s="66">
        <f t="shared" si="63"/>
      </c>
      <c r="Q297" s="66">
        <f t="shared" si="96"/>
      </c>
      <c r="R297" s="67">
        <f t="shared" si="188"/>
      </c>
      <c r="S297" s="68">
        <f t="shared" si="30"/>
      </c>
      <c r="T297" s="67">
        <f t="shared" si="74"/>
      </c>
      <c r="U297" s="69">
        <f t="shared" si="107"/>
      </c>
      <c r="V297" s="70" t="s">
        <v>37</v>
      </c>
      <c r="W297" s="71" t="s">
        <v>70</v>
      </c>
      <c r="X297" s="91">
        <v>2</v>
      </c>
      <c r="Y297" s="64">
        <v>8462</v>
      </c>
      <c r="Z297" s="64">
        <v>648</v>
      </c>
      <c r="AA297" s="64">
        <v>1001</v>
      </c>
      <c r="AB297" s="64">
        <v>266</v>
      </c>
      <c r="AC297" s="64">
        <v>36</v>
      </c>
      <c r="AD297" s="17">
        <v>4</v>
      </c>
      <c r="AE297" s="17">
        <v>30</v>
      </c>
      <c r="AF297" s="32"/>
      <c r="AG297" s="7"/>
    </row>
    <row r="298">
      <c r="A298" s="15"/>
      <c r="B298" s="63" t="s">
        <v>48</v>
      </c>
      <c r="C298" s="17" t="s">
        <v>55</v>
      </c>
      <c r="D298" s="64">
        <v>2858.79</v>
      </c>
      <c r="E298" s="17">
        <v>1822.0900000000001</v>
      </c>
      <c r="F298" s="17">
        <v>1036.7</v>
      </c>
      <c r="G298" s="17">
        <v>0</v>
      </c>
      <c r="H298" s="17">
        <v>1</v>
      </c>
      <c r="I298" s="64">
        <v>1327.6800000000003</v>
      </c>
      <c r="J298" s="65">
        <v>0.46442026171911904</v>
      </c>
      <c r="K298" s="66">
        <v>0.029940828402366865</v>
      </c>
      <c r="L298" s="67">
        <v>9.8240206185567</v>
      </c>
      <c r="M298" s="66">
        <v>0.19931271477663232</v>
      </c>
      <c r="N298" s="66">
        <v>0.13402061855670103</v>
      </c>
      <c r="O298" s="67">
        <v>73.30230769230769</v>
      </c>
      <c r="P298" s="66">
        <v>0.02564102564102564</v>
      </c>
      <c r="Q298" s="66">
        <v>1</v>
      </c>
      <c r="R298" s="67">
        <v>2858.79</v>
      </c>
      <c r="S298" s="68">
        <v>1327.6800000000003</v>
      </c>
      <c r="T298" s="67">
        <v>2858.79</v>
      </c>
      <c r="U298" s="69">
        <v>4.197580095075189</v>
      </c>
      <c r="V298" s="70" t="s">
        <v>37</v>
      </c>
      <c r="W298" s="71" t="s">
        <v>50</v>
      </c>
      <c r="X298" s="91">
        <v>1</v>
      </c>
      <c r="Y298" s="17">
        <v>8450</v>
      </c>
      <c r="Z298" s="17">
        <v>253</v>
      </c>
      <c r="AA298" s="17">
        <v>291</v>
      </c>
      <c r="AB298" s="17">
        <v>58</v>
      </c>
      <c r="AC298" s="17">
        <v>39</v>
      </c>
      <c r="AD298" s="17">
        <v>1</v>
      </c>
      <c r="AE298" s="17">
        <v>12</v>
      </c>
      <c r="AF298" s="32"/>
      <c r="AG298" s="7"/>
    </row>
    <row r="299">
      <c r="A299" s="15"/>
      <c r="B299" s="75" t="s">
        <v>42</v>
      </c>
      <c r="C299" s="75"/>
      <c r="D299" s="75">
        <f>SUM(D296:D298)</f>
      </c>
      <c r="E299" s="75">
        <f>SUM(E296:E298)</f>
      </c>
      <c r="F299" s="75">
        <f>SUM(F296:F298)</f>
      </c>
      <c r="G299" s="75">
        <f>SUM(G296:G298)</f>
      </c>
      <c r="H299" s="75">
        <f>SUM(H296:H298)</f>
      </c>
      <c r="I299" s="75">
        <f>SUM(I296:I298)</f>
      </c>
      <c r="J299" s="76">
        <f t="shared" ref="J299:J300" si="9">I299/D299</f>
      </c>
      <c r="K299" s="108">
        <f t="shared" ref="K299:K300" si="42">Z299/Y299</f>
      </c>
      <c r="L299" s="78">
        <f t="shared" ref="L299:L300" si="86">D299/AA299</f>
      </c>
      <c r="M299" s="77">
        <f t="shared" ref="M299:M300" si="53">AB299/AA299</f>
      </c>
      <c r="N299" s="77">
        <f t="shared" ref="N299:N300" si="178">AC299/AA299</f>
      </c>
      <c r="O299" s="78">
        <f t="shared" ref="O299:O300" si="20">D299/AC299</f>
      </c>
      <c r="P299" s="77">
        <f t="shared" ref="P299:P300" si="64">AD299/AC299</f>
      </c>
      <c r="Q299" s="77">
        <f t="shared" ref="Q299:Q300" si="97">H299/AD299</f>
      </c>
      <c r="R299" s="78">
        <f t="shared" ref="R299:R300" si="189">D299/H299</f>
      </c>
      <c r="S299" s="79">
        <f t="shared" ref="S299:S300" si="31">I299/H299</f>
      </c>
      <c r="T299" s="78">
        <f t="shared" ref="T299:T300" si="75">D299/X299</f>
      </c>
      <c r="U299" s="80">
        <f t="shared" ref="U299:U300" si="108">AE299*1000/D299</f>
      </c>
      <c r="V299" s="80"/>
      <c r="W299" s="80"/>
      <c r="X299" s="90">
        <f>SUM(X296:X298)</f>
      </c>
      <c r="Y299" s="82">
        <f>SUM(Y296:Y298)</f>
      </c>
      <c r="Z299" s="82">
        <f>SUM(Z296:Z298)</f>
      </c>
      <c r="AA299" s="82">
        <f>SUM(AA296:AA298)</f>
      </c>
      <c r="AB299" s="82">
        <f>SUM(AB296:AB298)</f>
      </c>
      <c r="AC299" s="82">
        <f>SUM(AC296:AC298)</f>
      </c>
      <c r="AD299" s="82">
        <f>SUM(AD296:AD298)</f>
      </c>
      <c r="AE299" s="82">
        <f>SUM(AE296:AE298)</f>
      </c>
      <c r="AF299" s="7"/>
      <c r="AG299" s="7"/>
    </row>
    <row r="300">
      <c r="A300" s="15"/>
      <c r="B300" s="85" t="s">
        <v>59</v>
      </c>
      <c r="C300" s="85"/>
      <c r="D300" s="55">
        <f>D285+D290+D295+D299</f>
      </c>
      <c r="E300" s="55">
        <f>E285+E290+E295+E299</f>
      </c>
      <c r="F300" s="55">
        <f>F285+F290+F295+F299</f>
      </c>
      <c r="G300" s="55">
        <f>G285+G290+G295+G299</f>
      </c>
      <c r="H300" s="55">
        <f>H285+H290+H295+H299</f>
      </c>
      <c r="I300" s="55">
        <f>I285+I290+I295+I299</f>
      </c>
      <c r="J300" s="55">
        <f t="shared" si="9"/>
      </c>
      <c r="K300" s="109">
        <f t="shared" si="42"/>
      </c>
      <c r="L300" s="55">
        <f t="shared" si="86"/>
      </c>
      <c r="M300" s="86">
        <f t="shared" si="53"/>
      </c>
      <c r="N300" s="86">
        <f t="shared" si="178"/>
      </c>
      <c r="O300" s="55">
        <f t="shared" si="20"/>
      </c>
      <c r="P300" s="86">
        <f t="shared" si="64"/>
      </c>
      <c r="Q300" s="86">
        <f t="shared" si="97"/>
      </c>
      <c r="R300" s="55">
        <f t="shared" si="189"/>
      </c>
      <c r="S300" s="87">
        <f t="shared" si="31"/>
      </c>
      <c r="T300" s="55">
        <f t="shared" si="75"/>
      </c>
      <c r="U300" s="88">
        <f t="shared" si="108"/>
      </c>
      <c r="V300" s="88"/>
      <c r="W300" s="88"/>
      <c r="X300" s="55">
        <f>X285+X290+X295+X299</f>
      </c>
      <c r="Y300" s="55">
        <f>Y285+Y290+Y295+Y299</f>
      </c>
      <c r="Z300" s="55">
        <f>Z285+Z290+Z295+Z299</f>
      </c>
      <c r="AA300" s="55">
        <f>AA285+AA290+AA295+AA299</f>
      </c>
      <c r="AB300" s="55">
        <f>AB285+AB290+AB295+AB299</f>
      </c>
      <c r="AC300" s="55">
        <f>AC285+AC290+AC295+AC299</f>
      </c>
      <c r="AD300" s="55">
        <f>AD285+AD290+AD295+AD299</f>
      </c>
      <c r="AE300" s="55">
        <f>AE285+AE290+AE295+AE299</f>
      </c>
      <c r="AF300" s="7"/>
      <c r="AG300" s="7"/>
    </row>
    <row r="301">
      <c r="A301" s="110"/>
      <c r="B301" s="111"/>
      <c r="C301" s="112"/>
      <c r="D301" s="113"/>
      <c r="E301" s="114">
        <f>E302+E303+E304</f>
      </c>
      <c r="F301" s="115"/>
      <c r="G301" s="113"/>
      <c r="H301" s="116">
        <f>H302-H300</f>
      </c>
      <c r="I301" s="116">
        <f>I302-I300</f>
      </c>
      <c r="J301" s="117"/>
      <c r="K301" s="118"/>
      <c r="L301" s="117"/>
      <c r="M301" s="118"/>
      <c r="N301" s="118"/>
      <c r="O301" s="117"/>
      <c r="P301" s="118"/>
      <c r="Q301" s="118"/>
      <c r="R301" s="117"/>
      <c r="S301" s="119"/>
      <c r="T301" s="113"/>
      <c r="U301" s="113"/>
      <c r="AE301" s="120">
        <f>AE302-AE297-AE290:AE289-AE291:AE290-AE297:AE296-AE300:AE299</f>
      </c>
    </row>
    <row r="302">
      <c r="A302" s="110"/>
      <c r="B302" s="121"/>
      <c r="C302" s="112"/>
      <c r="D302" s="122" t="s">
        <v>71</v>
      </c>
      <c r="E302" s="123">
        <v>0</v>
      </c>
      <c r="F302" s="124"/>
      <c r="G302" s="124"/>
      <c r="H302" s="125">
        <v>14</v>
      </c>
      <c r="I302" s="122">
        <v>34372.48</v>
      </c>
      <c r="J302" s="117"/>
      <c r="K302" s="118"/>
      <c r="L302" s="117"/>
      <c r="M302" s="118"/>
      <c r="N302" s="118"/>
      <c r="O302" s="117"/>
      <c r="P302" s="118"/>
      <c r="Q302" s="118"/>
      <c r="R302" s="117"/>
      <c r="S302" s="119"/>
      <c r="T302" s="113"/>
      <c r="U302" s="113"/>
      <c r="AD302" s="126"/>
      <c r="AE302" s="122">
        <v>30</v>
      </c>
    </row>
    <row r="303">
      <c r="A303" s="110"/>
      <c r="B303" s="121"/>
      <c r="C303" s="112"/>
      <c r="D303" s="122">
        <v>1</v>
      </c>
      <c r="E303" s="123">
        <v>952.06</v>
      </c>
      <c r="F303" s="127"/>
      <c r="G303" s="128"/>
      <c r="H303" s="129"/>
      <c r="I303" s="129"/>
      <c r="J303" s="117"/>
      <c r="K303" s="118"/>
      <c r="L303" s="130"/>
      <c r="M303" s="130"/>
      <c r="N303" s="118"/>
      <c r="O303" s="117"/>
      <c r="P303" s="118"/>
      <c r="Q303" s="118"/>
      <c r="R303" s="117"/>
      <c r="S303" s="119"/>
      <c r="T303" s="117"/>
      <c r="U303" s="131"/>
      <c r="AD303" s="117"/>
      <c r="AE303" s="132"/>
    </row>
    <row r="304">
      <c r="A304" s="110"/>
      <c r="B304" s="133"/>
      <c r="C304" s="112"/>
      <c r="D304" s="122" t="s">
        <v>72</v>
      </c>
      <c r="E304" s="123">
        <v>901.37</v>
      </c>
      <c r="H304" s="117"/>
      <c r="I304" s="117"/>
      <c r="J304" s="117"/>
      <c r="K304" s="118"/>
      <c r="L304" s="130"/>
      <c r="M304" s="130"/>
      <c r="N304" s="118"/>
      <c r="O304" s="117"/>
      <c r="P304" s="118"/>
      <c r="Q304" s="118"/>
      <c r="R304" s="134"/>
      <c r="S304" s="135"/>
      <c r="T304" s="117"/>
      <c r="U304" s="131"/>
      <c r="V304" s="136"/>
      <c r="W304" s="137"/>
      <c r="X304" s="138"/>
      <c r="Y304" s="138"/>
      <c r="Z304" s="138"/>
      <c r="AA304" s="138"/>
      <c r="AB304" s="138"/>
      <c r="AC304" s="138"/>
      <c r="AD304" s="117"/>
      <c r="AE304" s="129"/>
    </row>
    <row r="305">
      <c r="A305" s="112"/>
      <c r="B305" s="112"/>
      <c r="C305" s="112"/>
      <c r="D305" s="117"/>
      <c r="E305" s="139"/>
      <c r="F305" s="117"/>
      <c r="G305" s="117"/>
      <c r="H305" s="117"/>
      <c r="I305" s="117"/>
      <c r="J305" s="117"/>
      <c r="K305" s="118"/>
      <c r="L305" s="117"/>
      <c r="M305" s="118"/>
      <c r="N305" s="118"/>
      <c r="O305" s="117"/>
      <c r="P305" s="118"/>
      <c r="Q305" s="118"/>
      <c r="R305" s="117"/>
      <c r="S305" s="119"/>
      <c r="T305" s="117"/>
      <c r="U305" s="131"/>
      <c r="V305" s="140"/>
      <c r="W305" s="141"/>
      <c r="X305" s="142"/>
      <c r="Y305" s="143"/>
      <c r="Z305" s="144"/>
      <c r="AA305" s="144"/>
      <c r="AB305" s="144"/>
      <c r="AC305" s="145"/>
      <c r="AD305" s="117"/>
      <c r="AE305" s="117"/>
    </row>
    <row r="306">
      <c r="E306" s="112"/>
      <c r="F306" s="112"/>
      <c r="G306" s="112"/>
      <c r="H306" s="112"/>
      <c r="I306" s="112"/>
      <c r="J306" s="112"/>
    </row>
    <row r="307">
      <c r="E307" s="112"/>
      <c r="F307" s="112"/>
      <c r="G307" s="112"/>
      <c r="H307" s="112"/>
      <c r="I307" s="112"/>
      <c r="J307" s="112"/>
    </row>
    <row r="308">
      <c r="E308" s="112"/>
      <c r="F308" s="112"/>
      <c r="G308" s="112"/>
      <c r="H308" s="112"/>
      <c r="I308" s="112"/>
      <c r="J308" s="112"/>
    </row>
    <row r="309">
      <c r="E309" s="112"/>
      <c r="F309" s="112"/>
      <c r="G309" s="112"/>
      <c r="H309" s="112"/>
      <c r="I309" s="112"/>
      <c r="J309" s="112"/>
    </row>
    <row r="310">
      <c r="E310" s="112"/>
      <c r="F310" s="112"/>
      <c r="G310" s="112"/>
      <c r="H310" s="112"/>
      <c r="I310" s="112"/>
      <c r="J310" s="112"/>
    </row>
    <row r="311">
      <c r="E311" s="112"/>
      <c r="F311" s="112"/>
      <c r="G311" s="112"/>
      <c r="H311" s="112"/>
      <c r="I311" s="112"/>
      <c r="J311" s="112"/>
    </row>
    <row r="312">
      <c r="E312" s="112"/>
      <c r="F312" s="112"/>
      <c r="G312" s="112"/>
      <c r="H312" s="112"/>
      <c r="I312" s="112"/>
      <c r="J312" s="112"/>
    </row>
    <row r="313">
      <c r="E313" s="112"/>
      <c r="F313" s="112"/>
      <c r="G313" s="112"/>
      <c r="H313" s="112"/>
      <c r="I313" s="112"/>
      <c r="J313" s="112"/>
    </row>
    <row r="314">
      <c r="E314" s="112"/>
      <c r="F314" s="112"/>
      <c r="G314" s="112"/>
      <c r="H314" s="112"/>
      <c r="I314" s="112"/>
      <c r="J314" s="112"/>
    </row>
    <row r="315">
      <c r="E315" s="112"/>
      <c r="F315" s="112"/>
      <c r="G315" s="112"/>
      <c r="H315" s="112"/>
      <c r="I315" s="112"/>
      <c r="J315" s="112"/>
    </row>
    <row r="316">
      <c r="E316" s="112"/>
      <c r="F316" s="112"/>
      <c r="G316" s="112"/>
      <c r="H316" s="112"/>
      <c r="I316" s="112"/>
      <c r="J316" s="112"/>
    </row>
    <row r="317">
      <c r="E317" s="112"/>
      <c r="F317" s="112"/>
      <c r="G317" s="112"/>
      <c r="H317" s="112"/>
      <c r="I317" s="112"/>
      <c r="J317" s="112"/>
    </row>
    <row r="318">
      <c r="E318" s="112"/>
      <c r="F318" s="112"/>
      <c r="G318" s="112"/>
      <c r="H318" s="112"/>
      <c r="I318" s="112"/>
      <c r="J318" s="112"/>
    </row>
    <row r="319">
      <c r="E319" s="112"/>
      <c r="F319" s="112"/>
      <c r="G319" s="112"/>
      <c r="H319" s="112"/>
      <c r="I319" s="112"/>
      <c r="J319" s="112"/>
    </row>
    <row r="320">
      <c r="E320" s="112"/>
      <c r="F320" s="112"/>
      <c r="G320" s="112"/>
      <c r="H320" s="112"/>
      <c r="I320" s="112"/>
      <c r="J320" s="112"/>
    </row>
    <row r="321">
      <c r="E321" s="112"/>
      <c r="F321" s="112"/>
      <c r="G321" s="112"/>
      <c r="H321" s="112"/>
      <c r="I321" s="112"/>
      <c r="J321" s="112"/>
    </row>
    <row r="322">
      <c r="E322" s="112"/>
      <c r="F322" s="112"/>
      <c r="G322" s="112"/>
      <c r="H322" s="112"/>
      <c r="I322" s="112"/>
      <c r="J322" s="112"/>
    </row>
    <row r="323">
      <c r="E323" s="112"/>
      <c r="F323" s="112"/>
      <c r="G323" s="112"/>
      <c r="H323" s="112"/>
      <c r="I323" s="112"/>
      <c r="J323" s="112"/>
    </row>
    <row r="324">
      <c r="E324" s="112"/>
      <c r="F324" s="112"/>
      <c r="G324" s="112"/>
      <c r="H324" s="112"/>
      <c r="I324" s="112"/>
      <c r="J324" s="112"/>
    </row>
    <row r="325">
      <c r="E325" s="112"/>
      <c r="F325" s="112"/>
      <c r="G325" s="112"/>
      <c r="H325" s="112"/>
      <c r="I325" s="112"/>
      <c r="J325" s="112"/>
    </row>
    <row r="326">
      <c r="E326" s="112"/>
      <c r="F326" s="112"/>
      <c r="G326" s="112"/>
      <c r="H326" s="112"/>
      <c r="I326" s="112"/>
      <c r="J326" s="112"/>
    </row>
    <row r="327">
      <c r="E327" s="112"/>
      <c r="F327" s="112"/>
      <c r="G327" s="112"/>
      <c r="H327" s="112"/>
      <c r="I327" s="112"/>
      <c r="J327" s="112"/>
    </row>
    <row r="328">
      <c r="E328" s="112"/>
      <c r="F328" s="112"/>
      <c r="G328" s="112"/>
      <c r="H328" s="112"/>
      <c r="I328" s="112"/>
      <c r="J328" s="112"/>
    </row>
    <row r="329">
      <c r="E329" s="112"/>
      <c r="F329" s="112"/>
      <c r="G329" s="112"/>
      <c r="H329" s="112"/>
      <c r="I329" s="112"/>
      <c r="J329" s="112"/>
    </row>
    <row r="330">
      <c r="E330" s="112"/>
      <c r="F330" s="112"/>
      <c r="G330" s="112"/>
      <c r="H330" s="112"/>
      <c r="I330" s="112"/>
      <c r="J330" s="112"/>
    </row>
    <row r="331">
      <c r="E331" s="112"/>
      <c r="F331" s="112"/>
      <c r="G331" s="112"/>
      <c r="H331" s="112"/>
      <c r="I331" s="112"/>
      <c r="J331" s="112"/>
    </row>
    <row r="332">
      <c r="E332" s="112"/>
      <c r="F332" s="112"/>
      <c r="G332" s="112"/>
      <c r="H332" s="112"/>
      <c r="I332" s="112"/>
      <c r="J332" s="112"/>
    </row>
    <row r="333">
      <c r="E333" s="112"/>
      <c r="F333" s="112"/>
      <c r="G333" s="112"/>
      <c r="H333" s="112"/>
      <c r="I333" s="112"/>
      <c r="J333" s="112"/>
    </row>
    <row r="334">
      <c r="E334" s="112"/>
      <c r="F334" s="112"/>
      <c r="G334" s="112"/>
      <c r="H334" s="112"/>
      <c r="I334" s="112"/>
      <c r="J334" s="112"/>
    </row>
    <row r="335">
      <c r="E335" s="112"/>
      <c r="F335" s="112"/>
      <c r="G335" s="112"/>
      <c r="H335" s="112"/>
      <c r="I335" s="112"/>
      <c r="J335" s="112"/>
    </row>
    <row r="336">
      <c r="E336" s="112"/>
      <c r="F336" s="112"/>
      <c r="G336" s="112"/>
      <c r="H336" s="112"/>
      <c r="I336" s="112"/>
      <c r="J336" s="112"/>
    </row>
    <row r="337">
      <c r="E337" s="112"/>
      <c r="F337" s="112"/>
      <c r="G337" s="112"/>
      <c r="H337" s="112"/>
      <c r="I337" s="112"/>
      <c r="J337" s="112"/>
    </row>
    <row r="338">
      <c r="E338" s="112"/>
      <c r="F338" s="112"/>
      <c r="G338" s="112"/>
      <c r="H338" s="112"/>
      <c r="I338" s="112"/>
      <c r="J338" s="112"/>
    </row>
    <row r="339">
      <c r="E339" s="112"/>
      <c r="F339" s="112"/>
      <c r="G339" s="112"/>
      <c r="H339" s="112"/>
      <c r="I339" s="112"/>
      <c r="J339" s="112"/>
    </row>
    <row r="340">
      <c r="E340" s="112"/>
      <c r="F340" s="112"/>
      <c r="G340" s="112"/>
      <c r="H340" s="112"/>
      <c r="I340" s="112"/>
      <c r="J340" s="112"/>
    </row>
    <row r="341">
      <c r="E341" s="112"/>
      <c r="F341" s="112"/>
      <c r="G341" s="112"/>
      <c r="H341" s="112"/>
      <c r="I341" s="112"/>
      <c r="J341" s="112"/>
    </row>
    <row r="342">
      <c r="E342" s="112"/>
      <c r="F342" s="112"/>
      <c r="G342" s="112"/>
      <c r="H342" s="112"/>
      <c r="I342" s="112"/>
      <c r="J342" s="112"/>
    </row>
    <row r="343">
      <c r="E343" s="112"/>
      <c r="F343" s="112"/>
      <c r="G343" s="112"/>
      <c r="H343" s="112"/>
      <c r="I343" s="112"/>
      <c r="J343" s="112"/>
    </row>
    <row r="344">
      <c r="E344" s="112"/>
      <c r="F344" s="112"/>
      <c r="G344" s="112"/>
      <c r="H344" s="112"/>
      <c r="I344" s="112"/>
      <c r="J344" s="112"/>
    </row>
    <row r="345">
      <c r="E345" s="112"/>
      <c r="F345" s="112"/>
      <c r="G345" s="112"/>
      <c r="H345" s="112"/>
      <c r="I345" s="112"/>
      <c r="J345" s="112"/>
    </row>
    <row r="346">
      <c r="E346" s="112"/>
      <c r="F346" s="112"/>
      <c r="G346" s="112"/>
      <c r="H346" s="112"/>
      <c r="I346" s="112"/>
      <c r="J346" s="112"/>
    </row>
    <row r="347">
      <c r="E347" s="112"/>
      <c r="F347" s="112"/>
      <c r="G347" s="112"/>
      <c r="H347" s="112"/>
      <c r="I347" s="112"/>
      <c r="J347" s="112"/>
    </row>
    <row r="348">
      <c r="E348" s="112"/>
      <c r="F348" s="112"/>
      <c r="G348" s="112"/>
      <c r="H348" s="112"/>
      <c r="I348" s="112"/>
      <c r="J348" s="112"/>
    </row>
    <row r="349">
      <c r="E349" s="112"/>
      <c r="F349" s="112"/>
      <c r="G349" s="112"/>
      <c r="H349" s="112"/>
      <c r="I349" s="112"/>
      <c r="J349" s="112"/>
    </row>
    <row r="350">
      <c r="E350" s="112"/>
      <c r="F350" s="112"/>
      <c r="G350" s="112"/>
      <c r="H350" s="112"/>
      <c r="I350" s="112"/>
      <c r="J350" s="112"/>
    </row>
    <row r="351">
      <c r="E351" s="112"/>
      <c r="F351" s="112"/>
      <c r="G351" s="112"/>
      <c r="H351" s="112"/>
      <c r="I351" s="112"/>
      <c r="J351" s="112"/>
    </row>
    <row r="352">
      <c r="E352" s="112"/>
      <c r="F352" s="112"/>
      <c r="G352" s="112"/>
      <c r="H352" s="112"/>
      <c r="I352" s="112"/>
      <c r="J352" s="112"/>
    </row>
    <row r="353">
      <c r="E353" s="112"/>
      <c r="F353" s="112"/>
      <c r="G353" s="112"/>
      <c r="H353" s="112"/>
      <c r="I353" s="112"/>
      <c r="J353" s="112"/>
    </row>
    <row r="354">
      <c r="E354" s="112"/>
      <c r="F354" s="112"/>
      <c r="G354" s="112"/>
      <c r="H354" s="112"/>
      <c r="I354" s="112"/>
      <c r="J354" s="112"/>
    </row>
    <row r="355">
      <c r="E355" s="112"/>
      <c r="F355" s="112"/>
      <c r="G355" s="112"/>
      <c r="H355" s="112"/>
      <c r="I355" s="112"/>
      <c r="J355" s="112"/>
    </row>
    <row r="356">
      <c r="E356" s="112"/>
      <c r="F356" s="112"/>
      <c r="G356" s="112"/>
      <c r="H356" s="112"/>
      <c r="I356" s="112"/>
      <c r="J356" s="112"/>
    </row>
    <row r="357">
      <c r="E357" s="112"/>
      <c r="F357" s="112"/>
      <c r="G357" s="112"/>
      <c r="H357" s="112"/>
      <c r="I357" s="112"/>
      <c r="J357" s="112"/>
    </row>
    <row r="358">
      <c r="E358" s="112"/>
      <c r="F358" s="112"/>
      <c r="G358" s="112"/>
      <c r="H358" s="112"/>
      <c r="I358" s="112"/>
      <c r="J358" s="112"/>
    </row>
    <row r="359">
      <c r="E359" s="112"/>
      <c r="F359" s="112"/>
      <c r="G359" s="112"/>
      <c r="H359" s="112"/>
      <c r="I359" s="112"/>
      <c r="J359" s="112"/>
    </row>
    <row r="360">
      <c r="E360" s="112"/>
      <c r="F360" s="112"/>
      <c r="G360" s="112"/>
      <c r="H360" s="112"/>
      <c r="I360" s="112"/>
      <c r="J360" s="112"/>
    </row>
    <row r="361">
      <c r="E361" s="112"/>
      <c r="F361" s="112"/>
      <c r="G361" s="112"/>
      <c r="H361" s="112"/>
      <c r="I361" s="112"/>
      <c r="J361" s="112"/>
    </row>
    <row r="362">
      <c r="E362" s="112"/>
      <c r="F362" s="112"/>
      <c r="G362" s="112"/>
      <c r="H362" s="112"/>
      <c r="I362" s="112"/>
      <c r="J362" s="112"/>
    </row>
    <row r="363">
      <c r="E363" s="112"/>
      <c r="F363" s="112"/>
      <c r="G363" s="112"/>
      <c r="H363" s="112"/>
      <c r="I363" s="112"/>
      <c r="J363" s="112"/>
    </row>
    <row r="364">
      <c r="E364" s="112"/>
      <c r="F364" s="112"/>
      <c r="G364" s="112"/>
      <c r="H364" s="112"/>
      <c r="I364" s="112"/>
      <c r="J364" s="112"/>
    </row>
    <row r="365">
      <c r="E365" s="112"/>
      <c r="F365" s="112"/>
      <c r="G365" s="112"/>
      <c r="H365" s="112"/>
      <c r="I365" s="112"/>
      <c r="J365" s="112"/>
    </row>
    <row r="366">
      <c r="E366" s="112"/>
      <c r="F366" s="112"/>
      <c r="G366" s="112"/>
      <c r="H366" s="112"/>
      <c r="I366" s="112"/>
      <c r="J366" s="112"/>
    </row>
    <row r="367">
      <c r="E367" s="112"/>
      <c r="F367" s="112"/>
      <c r="G367" s="112"/>
      <c r="H367" s="112"/>
      <c r="I367" s="112"/>
      <c r="J367" s="112"/>
    </row>
    <row r="368">
      <c r="E368" s="112"/>
      <c r="F368" s="112"/>
      <c r="G368" s="112"/>
      <c r="H368" s="112"/>
      <c r="I368" s="112"/>
      <c r="J368" s="112"/>
    </row>
    <row r="369">
      <c r="E369" s="112"/>
      <c r="F369" s="112"/>
      <c r="G369" s="112"/>
      <c r="H369" s="112"/>
      <c r="I369" s="112"/>
      <c r="J369" s="112"/>
    </row>
    <row r="370">
      <c r="E370" s="112"/>
      <c r="F370" s="112"/>
      <c r="G370" s="112"/>
      <c r="H370" s="112"/>
      <c r="I370" s="112"/>
      <c r="J370" s="112"/>
    </row>
    <row r="371">
      <c r="E371" s="112"/>
      <c r="F371" s="112"/>
      <c r="G371" s="112"/>
      <c r="H371" s="112"/>
      <c r="I371" s="112"/>
      <c r="J371" s="112"/>
    </row>
    <row r="372">
      <c r="E372" s="112"/>
      <c r="F372" s="112"/>
      <c r="G372" s="112"/>
      <c r="H372" s="112"/>
      <c r="I372" s="112"/>
      <c r="J372" s="112"/>
    </row>
    <row r="373">
      <c r="E373" s="112"/>
      <c r="F373" s="112"/>
      <c r="G373" s="112"/>
      <c r="H373" s="112"/>
      <c r="I373" s="112"/>
      <c r="J373" s="112"/>
    </row>
    <row r="374">
      <c r="E374" s="112"/>
      <c r="F374" s="112"/>
      <c r="G374" s="112"/>
      <c r="H374" s="112"/>
      <c r="I374" s="112"/>
      <c r="J374" s="112"/>
    </row>
    <row r="375">
      <c r="E375" s="112"/>
      <c r="F375" s="112"/>
      <c r="G375" s="112"/>
      <c r="H375" s="112"/>
      <c r="I375" s="112"/>
      <c r="J375" s="112"/>
    </row>
    <row r="376">
      <c r="E376" s="112"/>
      <c r="F376" s="112"/>
      <c r="G376" s="112"/>
      <c r="H376" s="112"/>
      <c r="I376" s="112"/>
      <c r="J376" s="112"/>
    </row>
    <row r="377">
      <c r="E377" s="112"/>
      <c r="F377" s="112"/>
      <c r="G377" s="112"/>
      <c r="H377" s="112"/>
      <c r="I377" s="112"/>
      <c r="J377" s="112"/>
    </row>
    <row r="378">
      <c r="E378" s="112"/>
      <c r="F378" s="112"/>
      <c r="G378" s="112"/>
      <c r="H378" s="112"/>
      <c r="I378" s="112"/>
      <c r="J378" s="112"/>
    </row>
    <row r="379">
      <c r="E379" s="112"/>
      <c r="F379" s="112"/>
      <c r="G379" s="112"/>
      <c r="H379" s="112"/>
      <c r="I379" s="112"/>
      <c r="J379" s="112"/>
    </row>
    <row r="380">
      <c r="E380" s="112"/>
      <c r="F380" s="112"/>
      <c r="G380" s="112"/>
      <c r="H380" s="112"/>
      <c r="I380" s="112"/>
      <c r="J380" s="112"/>
    </row>
    <row r="381">
      <c r="E381" s="112"/>
      <c r="F381" s="112"/>
      <c r="G381" s="112"/>
      <c r="H381" s="112"/>
      <c r="I381" s="112"/>
      <c r="J381" s="112"/>
    </row>
    <row r="382">
      <c r="E382" s="112"/>
      <c r="F382" s="112"/>
      <c r="G382" s="112"/>
      <c r="H382" s="112"/>
      <c r="I382" s="112"/>
      <c r="J382" s="112"/>
    </row>
    <row r="383">
      <c r="E383" s="112"/>
      <c r="F383" s="112"/>
      <c r="G383" s="112"/>
      <c r="H383" s="112"/>
      <c r="I383" s="112"/>
      <c r="J383" s="112"/>
    </row>
    <row r="384">
      <c r="E384" s="112"/>
      <c r="F384" s="112"/>
      <c r="G384" s="112"/>
      <c r="H384" s="112"/>
      <c r="I384" s="112"/>
      <c r="J384" s="112"/>
    </row>
    <row r="385">
      <c r="E385" s="112"/>
      <c r="F385" s="112"/>
      <c r="G385" s="112"/>
      <c r="H385" s="112"/>
      <c r="I385" s="112"/>
      <c r="J385" s="112"/>
    </row>
    <row r="386">
      <c r="E386" s="112"/>
      <c r="F386" s="112"/>
      <c r="G386" s="112"/>
      <c r="H386" s="112"/>
      <c r="I386" s="112"/>
      <c r="J386" s="112"/>
    </row>
    <row r="387">
      <c r="E387" s="112"/>
      <c r="F387" s="112"/>
      <c r="G387" s="112"/>
      <c r="H387" s="112"/>
      <c r="I387" s="112"/>
      <c r="J387" s="112"/>
    </row>
    <row r="388">
      <c r="E388" s="112"/>
      <c r="F388" s="112"/>
      <c r="G388" s="112"/>
      <c r="H388" s="112"/>
      <c r="I388" s="112"/>
      <c r="J388" s="112"/>
    </row>
    <row r="389">
      <c r="E389" s="112"/>
      <c r="F389" s="112"/>
      <c r="G389" s="112"/>
      <c r="H389" s="112"/>
      <c r="I389" s="112"/>
      <c r="J389" s="112"/>
    </row>
    <row r="390">
      <c r="E390" s="112"/>
      <c r="F390" s="112"/>
      <c r="G390" s="112"/>
      <c r="H390" s="112"/>
      <c r="I390" s="112"/>
      <c r="J390" s="112"/>
    </row>
    <row r="391">
      <c r="E391" s="112"/>
      <c r="F391" s="112"/>
      <c r="G391" s="112"/>
      <c r="H391" s="112"/>
      <c r="I391" s="112"/>
      <c r="J391" s="112"/>
    </row>
    <row r="392">
      <c r="E392" s="112"/>
      <c r="F392" s="112"/>
      <c r="G392" s="112"/>
      <c r="H392" s="112"/>
      <c r="I392" s="112"/>
      <c r="J392" s="112"/>
    </row>
    <row r="393">
      <c r="E393" s="112"/>
      <c r="F393" s="112"/>
      <c r="G393" s="112"/>
      <c r="H393" s="112"/>
      <c r="I393" s="112"/>
      <c r="J393" s="112"/>
    </row>
    <row r="394">
      <c r="E394" s="112"/>
      <c r="F394" s="112"/>
      <c r="G394" s="112"/>
      <c r="H394" s="112"/>
      <c r="I394" s="112"/>
      <c r="J394" s="112"/>
    </row>
    <row r="395">
      <c r="E395" s="112"/>
      <c r="F395" s="112"/>
      <c r="G395" s="112"/>
      <c r="H395" s="112"/>
      <c r="I395" s="112"/>
      <c r="J395" s="112"/>
    </row>
    <row r="396">
      <c r="E396" s="112"/>
      <c r="F396" s="112"/>
      <c r="G396" s="112"/>
      <c r="H396" s="112"/>
      <c r="I396" s="112"/>
      <c r="J396" s="112"/>
    </row>
    <row r="397">
      <c r="E397" s="112"/>
      <c r="F397" s="112"/>
      <c r="G397" s="112"/>
      <c r="H397" s="112"/>
      <c r="I397" s="112"/>
      <c r="J397" s="112"/>
    </row>
    <row r="398">
      <c r="E398" s="112"/>
      <c r="F398" s="112"/>
      <c r="G398" s="112"/>
      <c r="H398" s="112"/>
      <c r="I398" s="112"/>
      <c r="J398" s="112"/>
    </row>
    <row r="399">
      <c r="E399" s="112"/>
      <c r="F399" s="112"/>
      <c r="G399" s="112"/>
      <c r="H399" s="112"/>
      <c r="I399" s="112"/>
      <c r="J399" s="112"/>
    </row>
    <row r="400">
      <c r="E400" s="112"/>
      <c r="F400" s="112"/>
      <c r="G400" s="112"/>
      <c r="H400" s="112"/>
      <c r="I400" s="112"/>
      <c r="J400" s="112"/>
    </row>
    <row r="401">
      <c r="E401" s="112"/>
      <c r="F401" s="112"/>
      <c r="G401" s="112"/>
      <c r="H401" s="112"/>
      <c r="I401" s="112"/>
      <c r="J401" s="112"/>
    </row>
    <row r="402">
      <c r="E402" s="112"/>
      <c r="F402" s="112"/>
      <c r="G402" s="112"/>
      <c r="H402" s="112"/>
      <c r="I402" s="112"/>
      <c r="J402" s="112"/>
    </row>
    <row r="403">
      <c r="E403" s="112"/>
      <c r="F403" s="112"/>
      <c r="G403" s="112"/>
      <c r="H403" s="112"/>
      <c r="I403" s="112"/>
      <c r="J403" s="112"/>
    </row>
    <row r="404">
      <c r="E404" s="112"/>
      <c r="F404" s="112"/>
      <c r="G404" s="112"/>
      <c r="H404" s="112"/>
      <c r="I404" s="112"/>
      <c r="J404" s="112"/>
    </row>
    <row r="405">
      <c r="E405" s="112"/>
      <c r="F405" s="112"/>
      <c r="G405" s="112"/>
      <c r="H405" s="112"/>
      <c r="I405" s="112"/>
      <c r="J405" s="112"/>
    </row>
    <row r="406">
      <c r="E406" s="112"/>
      <c r="F406" s="112"/>
      <c r="G406" s="112"/>
      <c r="H406" s="112"/>
      <c r="I406" s="112"/>
      <c r="J406" s="112"/>
    </row>
    <row r="407">
      <c r="E407" s="112"/>
      <c r="F407" s="112"/>
      <c r="G407" s="112"/>
      <c r="H407" s="112"/>
      <c r="I407" s="112"/>
      <c r="J407" s="112"/>
    </row>
    <row r="408">
      <c r="E408" s="112"/>
      <c r="F408" s="112"/>
      <c r="G408" s="112"/>
      <c r="H408" s="112"/>
      <c r="I408" s="112"/>
      <c r="J408" s="112"/>
    </row>
    <row r="409">
      <c r="E409" s="112"/>
      <c r="F409" s="112"/>
      <c r="G409" s="112"/>
      <c r="H409" s="112"/>
      <c r="I409" s="112"/>
      <c r="J409" s="112"/>
    </row>
    <row r="410">
      <c r="E410" s="112"/>
      <c r="F410" s="112"/>
      <c r="G410" s="112"/>
      <c r="H410" s="112"/>
      <c r="I410" s="112"/>
      <c r="J410" s="112"/>
    </row>
    <row r="411">
      <c r="E411" s="112"/>
      <c r="F411" s="112"/>
      <c r="G411" s="112"/>
      <c r="H411" s="112"/>
      <c r="I411" s="112"/>
      <c r="J411" s="112"/>
    </row>
    <row r="412">
      <c r="E412" s="112"/>
      <c r="F412" s="112"/>
      <c r="G412" s="112"/>
      <c r="H412" s="112"/>
      <c r="I412" s="112"/>
      <c r="J412" s="112"/>
    </row>
    <row r="413">
      <c r="E413" s="112"/>
      <c r="F413" s="112"/>
      <c r="G413" s="112"/>
      <c r="H413" s="112"/>
      <c r="I413" s="112"/>
      <c r="J413" s="112"/>
    </row>
    <row r="414">
      <c r="E414" s="112"/>
      <c r="F414" s="112"/>
      <c r="G414" s="112"/>
      <c r="H414" s="112"/>
      <c r="I414" s="112"/>
      <c r="J414" s="112"/>
    </row>
    <row r="415">
      <c r="E415" s="112"/>
      <c r="F415" s="112"/>
      <c r="G415" s="112"/>
      <c r="H415" s="112"/>
      <c r="I415" s="112"/>
      <c r="J415" s="112"/>
    </row>
    <row r="416">
      <c r="E416" s="112"/>
      <c r="F416" s="112"/>
      <c r="G416" s="112"/>
      <c r="H416" s="112"/>
      <c r="I416" s="112"/>
      <c r="J416" s="112"/>
    </row>
    <row r="417">
      <c r="E417" s="112"/>
      <c r="F417" s="112"/>
      <c r="G417" s="112"/>
      <c r="H417" s="112"/>
      <c r="I417" s="112"/>
      <c r="J417" s="112"/>
    </row>
    <row r="418">
      <c r="E418" s="112"/>
      <c r="F418" s="112"/>
      <c r="G418" s="112"/>
      <c r="H418" s="112"/>
      <c r="I418" s="112"/>
      <c r="J418" s="112"/>
    </row>
    <row r="419">
      <c r="E419" s="112"/>
      <c r="F419" s="112"/>
      <c r="G419" s="112"/>
      <c r="H419" s="112"/>
      <c r="I419" s="112"/>
      <c r="J419" s="112"/>
    </row>
    <row r="420">
      <c r="E420" s="112"/>
      <c r="F420" s="112"/>
      <c r="G420" s="112"/>
      <c r="H420" s="112"/>
      <c r="I420" s="112"/>
      <c r="J420" s="112"/>
    </row>
    <row r="421">
      <c r="E421" s="112"/>
      <c r="F421" s="112"/>
      <c r="G421" s="112"/>
      <c r="H421" s="112"/>
      <c r="I421" s="112"/>
      <c r="J421" s="112"/>
    </row>
    <row r="422">
      <c r="E422" s="112"/>
      <c r="F422" s="112"/>
      <c r="G422" s="112"/>
      <c r="H422" s="112"/>
      <c r="I422" s="112"/>
      <c r="J422" s="112"/>
    </row>
    <row r="423">
      <c r="E423" s="112"/>
      <c r="F423" s="112"/>
      <c r="G423" s="112"/>
      <c r="H423" s="112"/>
      <c r="I423" s="112"/>
      <c r="J423" s="112"/>
    </row>
    <row r="424">
      <c r="E424" s="112"/>
      <c r="F424" s="112"/>
      <c r="G424" s="112"/>
      <c r="H424" s="112"/>
      <c r="I424" s="112"/>
      <c r="J424" s="112"/>
    </row>
    <row r="425">
      <c r="E425" s="112"/>
      <c r="F425" s="112"/>
      <c r="G425" s="112"/>
      <c r="H425" s="112"/>
      <c r="I425" s="112"/>
      <c r="J425" s="112"/>
    </row>
    <row r="426">
      <c r="E426" s="112"/>
      <c r="F426" s="112"/>
      <c r="G426" s="112"/>
      <c r="H426" s="112"/>
      <c r="I426" s="112"/>
      <c r="J426" s="112"/>
    </row>
  </sheetData>
  <autoFilter ref="A1:AE306"/>
  <mergeCells>
    <mergeCell ref="B295:C295"/>
    <mergeCell ref="B290:C290"/>
    <mergeCell ref="B285:C285"/>
    <mergeCell ref="A281:C281"/>
    <mergeCell ref="AE281:AE282"/>
    <mergeCell ref="U281:W281"/>
    <mergeCell ref="K281:T281"/>
    <mergeCell ref="D281:J281"/>
    <mergeCell ref="B280:C280"/>
    <mergeCell ref="B279:C279"/>
    <mergeCell ref="B276:C276"/>
    <mergeCell ref="B271:C271"/>
    <mergeCell ref="B266:C266"/>
    <mergeCell ref="B261:C261"/>
    <mergeCell ref="B256:C256"/>
    <mergeCell ref="A254:A280"/>
    <mergeCell ref="A252:C252"/>
    <mergeCell ref="AE252:AE253"/>
    <mergeCell ref="U252:W252"/>
    <mergeCell ref="K252:T252"/>
    <mergeCell ref="D252:J252"/>
    <mergeCell ref="B238:C238"/>
    <mergeCell ref="B233:C233"/>
    <mergeCell ref="A225:A251"/>
    <mergeCell ref="B244:C244"/>
    <mergeCell ref="B247:C247"/>
    <mergeCell ref="B250:C250"/>
    <mergeCell ref="B251:C251"/>
    <mergeCell ref="D87:J87"/>
    <mergeCell ref="K87:T87"/>
    <mergeCell ref="U87:W87"/>
    <mergeCell ref="AE87:AE88"/>
    <mergeCell ref="A87:C87"/>
    <mergeCell ref="B109:C109"/>
    <mergeCell ref="B108:C108"/>
    <mergeCell ref="B103:C103"/>
    <mergeCell ref="B98:C98"/>
    <mergeCell ref="B93:C93"/>
    <mergeCell ref="A89:A109"/>
    <mergeCell ref="B86:C86"/>
    <mergeCell ref="B85:C85"/>
    <mergeCell ref="B80:C80"/>
    <mergeCell ref="B75:C75"/>
    <mergeCell ref="B70:C70"/>
    <mergeCell ref="A66:A86"/>
    <mergeCell ref="B65:C65"/>
    <mergeCell ref="B64:C64"/>
    <mergeCell ref="A45:A65"/>
    <mergeCell ref="A1:C1"/>
    <mergeCell ref="AE1:AE2"/>
    <mergeCell ref="U1:W1"/>
    <mergeCell ref="K1:T1"/>
    <mergeCell ref="D1:J1"/>
    <mergeCell ref="A3:A23"/>
    <mergeCell ref="B7:C7"/>
    <mergeCell ref="B12:C12"/>
    <mergeCell ref="B17:C17"/>
    <mergeCell ref="B22:C22"/>
    <mergeCell ref="B23:C23"/>
    <mergeCell ref="A24:A44"/>
    <mergeCell ref="B28:C28"/>
    <mergeCell ref="B33:C33"/>
    <mergeCell ref="B38:C38"/>
    <mergeCell ref="B43:C43"/>
    <mergeCell ref="B44:C44"/>
    <mergeCell ref="B49:C49"/>
    <mergeCell ref="B54:C54"/>
    <mergeCell ref="B58:C58"/>
    <mergeCell ref="D110:J110"/>
    <mergeCell ref="K110:T110"/>
    <mergeCell ref="U110:W110"/>
    <mergeCell ref="AE110:AE111"/>
    <mergeCell ref="A110:C110"/>
    <mergeCell ref="A112:A135"/>
    <mergeCell ref="B117:C117"/>
    <mergeCell ref="B123:C123"/>
    <mergeCell ref="B126:C126"/>
    <mergeCell ref="B131:C131"/>
    <mergeCell ref="B134:C134"/>
    <mergeCell ref="B135:C135"/>
    <mergeCell ref="D136:J136"/>
    <mergeCell ref="K136:T136"/>
    <mergeCell ref="U136:W136"/>
    <mergeCell ref="AE136:AE137"/>
    <mergeCell ref="A136:C136"/>
    <mergeCell ref="A138:A164"/>
    <mergeCell ref="B140:C140"/>
    <mergeCell ref="B146:C146"/>
    <mergeCell ref="B152:C152"/>
    <mergeCell ref="B155:C155"/>
    <mergeCell ref="B160:C160"/>
    <mergeCell ref="B163:C163"/>
    <mergeCell ref="B164:C164"/>
    <mergeCell ref="A165:C165"/>
    <mergeCell ref="AE165:AE166"/>
    <mergeCell ref="U165:W165"/>
    <mergeCell ref="K165:T165"/>
    <mergeCell ref="D165:J165"/>
    <mergeCell ref="A167:A193"/>
    <mergeCell ref="B169:C169"/>
    <mergeCell ref="B175:C175"/>
    <mergeCell ref="B181:C181"/>
    <mergeCell ref="B184:C184"/>
    <mergeCell ref="B189:C189"/>
    <mergeCell ref="B192:C192"/>
    <mergeCell ref="B193:C193"/>
    <mergeCell ref="A194:C194"/>
    <mergeCell ref="AE194:AE195"/>
    <mergeCell ref="U194:W194"/>
    <mergeCell ref="K194:T194"/>
    <mergeCell ref="D194:J194"/>
    <mergeCell ref="A196:A222"/>
    <mergeCell ref="B198:C198"/>
    <mergeCell ref="B203:C203"/>
    <mergeCell ref="B208:C208"/>
    <mergeCell ref="B213:C213"/>
    <mergeCell ref="B218:C218"/>
    <mergeCell ref="B221:C221"/>
    <mergeCell ref="B222:C222"/>
    <mergeCell ref="A223:C223"/>
    <mergeCell ref="AE223:AE224"/>
    <mergeCell ref="U223:W223"/>
    <mergeCell ref="K223:T223"/>
    <mergeCell ref="D223:J223"/>
    <mergeCell ref="B227:C227"/>
    <mergeCell ref="A283:A300"/>
    <mergeCell ref="B299:C299"/>
    <mergeCell ref="B300:C300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5" min="25" style="0" width="11.211267605633802"/>
    <col collapsed="false" customWidth="true" hidden="false" max="27" min="27" style="0" width="11.211267605633802"/>
    <col collapsed="false" customWidth="true" hidden="false" max="29" min="29" style="0" width="11.211267605633802"/>
    <col collapsed="false" customWidth="true" hidden="false" max="31" min="31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28" min="28" style="0" width="11.211267605633802"/>
    <col collapsed="false" customWidth="true" hidden="false" max="30" min="30" style="0" width="11.211267605633802"/>
    <col collapsed="false" customWidth="true" hidden="false" max="4" min="4" style="0" width="11.211267605633802"/>
    <col collapsed="false" customWidth="true" hidden="false" max="26" min="26" style="0" width="11.211267605633802"/>
  </cols>
  <sheetData>
    <row r="1">
      <c r="A1" s="146" t="s">
        <v>73</v>
      </c>
      <c r="B1" s="146"/>
      <c r="C1" s="146"/>
      <c r="D1" s="147" t="s">
        <v>74</v>
      </c>
      <c r="E1" s="147"/>
      <c r="F1" s="147"/>
      <c r="G1" s="147"/>
      <c r="H1" s="147"/>
      <c r="I1" s="147"/>
      <c r="J1" s="147"/>
      <c r="K1" s="148" t="s">
        <v>75</v>
      </c>
      <c r="L1" s="148"/>
      <c r="M1" s="148"/>
      <c r="N1" s="148"/>
      <c r="O1" s="148"/>
      <c r="P1" s="148"/>
      <c r="Q1" s="148"/>
      <c r="R1" s="148"/>
      <c r="S1" s="148"/>
      <c r="T1" s="148"/>
      <c r="U1" s="149"/>
      <c r="V1" s="149"/>
      <c r="W1" s="149"/>
      <c r="X1" s="150"/>
      <c r="Y1" s="150"/>
      <c r="Z1" s="150"/>
      <c r="AA1" s="150"/>
      <c r="AB1" s="150"/>
      <c r="AC1" s="150"/>
      <c r="AD1" s="150"/>
      <c r="AE1" s="151" t="s">
        <v>76</v>
      </c>
      <c r="AF1" s="152"/>
      <c r="AG1" s="152"/>
    </row>
    <row r="2">
      <c r="A2" s="153" t="s">
        <v>77</v>
      </c>
      <c r="B2" s="146" t="s">
        <v>78</v>
      </c>
      <c r="C2" s="146" t="s">
        <v>79</v>
      </c>
      <c r="D2" s="154" t="s">
        <v>80</v>
      </c>
      <c r="E2" s="155" t="s">
        <v>81</v>
      </c>
      <c r="F2" s="155" t="s">
        <v>82</v>
      </c>
      <c r="G2" s="155"/>
      <c r="H2" s="156" t="s">
        <v>83</v>
      </c>
      <c r="I2" s="157" t="s">
        <v>84</v>
      </c>
      <c r="J2" s="155" t="s">
        <v>85</v>
      </c>
      <c r="K2" s="158" t="s">
        <v>86</v>
      </c>
      <c r="L2" s="158" t="s">
        <v>87</v>
      </c>
      <c r="M2" s="159" t="s">
        <v>88</v>
      </c>
      <c r="N2" s="160" t="s">
        <v>89</v>
      </c>
      <c r="O2" s="148" t="s">
        <v>90</v>
      </c>
      <c r="P2" s="160" t="s">
        <v>91</v>
      </c>
      <c r="Q2" s="160" t="s">
        <v>92</v>
      </c>
      <c r="R2" s="161" t="s">
        <v>93</v>
      </c>
      <c r="S2" s="160" t="s">
        <v>94</v>
      </c>
      <c r="T2" s="161" t="s">
        <v>95</v>
      </c>
      <c r="U2" s="162" t="s">
        <v>96</v>
      </c>
      <c r="V2" s="162" t="s">
        <v>97</v>
      </c>
      <c r="W2" s="162" t="s">
        <v>98</v>
      </c>
      <c r="X2" s="163" t="s">
        <v>99</v>
      </c>
      <c r="Y2" s="164" t="s">
        <v>100</v>
      </c>
      <c r="Z2" s="164" t="s">
        <v>101</v>
      </c>
      <c r="AA2" s="164" t="s">
        <v>102</v>
      </c>
      <c r="AB2" s="164" t="s">
        <v>103</v>
      </c>
      <c r="AC2" s="164" t="s">
        <v>104</v>
      </c>
      <c r="AD2" s="165" t="s">
        <v>105</v>
      </c>
      <c r="AE2" s="151"/>
      <c r="AF2" s="152"/>
      <c r="AG2" s="152"/>
    </row>
    <row r="3">
      <c r="A3" s="166">
        <v>46266</v>
      </c>
      <c r="B3" s="167" t="s">
        <v>106</v>
      </c>
      <c r="C3" s="168" t="s">
        <v>107</v>
      </c>
      <c r="D3" s="169">
        <f t="shared" ref="D3:D6" si="240">E3+F3</f>
      </c>
      <c r="E3" s="170">
        <v>1585.31</v>
      </c>
      <c r="F3" s="169">
        <v>969.3</v>
      </c>
      <c r="G3" s="169"/>
      <c r="H3" s="170">
        <v>2</v>
      </c>
      <c r="I3" s="169">
        <v>7625.64</v>
      </c>
      <c r="J3" s="171">
        <f t="shared" ref="J3:J23" si="180">I3/D3</f>
      </c>
      <c r="K3" s="172">
        <f t="shared" ref="K3:K23" si="90">Z3/Y3</f>
      </c>
      <c r="L3" s="173">
        <f t="shared" ref="L3:L23" si="30">D3/AA3</f>
      </c>
      <c r="M3" s="174">
        <f t="shared" ref="M3:M23" si="120">AB3/AA3</f>
      </c>
      <c r="N3" s="172">
        <f t="shared" ref="N3:N23" si="0">AC3/AA3</f>
      </c>
      <c r="O3" s="173">
        <f t="shared" ref="O3:O23" si="451">D3/AC3</f>
      </c>
      <c r="P3" s="172">
        <f t="shared" ref="P3:P23" si="421">AD3/AC3</f>
      </c>
      <c r="Q3" s="172">
        <f t="shared" ref="Q3:Q23" si="343">H3/AD3</f>
      </c>
      <c r="R3" s="173">
        <f t="shared" ref="R3:R23" si="313">D3/H3</f>
      </c>
      <c r="S3" s="175">
        <f t="shared" ref="S3:S23" si="210">I3/H3</f>
      </c>
      <c r="T3" s="173">
        <f t="shared" ref="T3:T23" si="150">D3/X3</f>
      </c>
      <c r="U3" s="176">
        <f t="shared" ref="U3:U23" si="60">AE3*1000/D3</f>
      </c>
      <c r="V3" s="177" t="s">
        <v>108</v>
      </c>
      <c r="W3" s="178" t="s">
        <v>109</v>
      </c>
      <c r="X3" s="169">
        <v>2</v>
      </c>
      <c r="Y3" s="169">
        <v>8967</v>
      </c>
      <c r="Z3" s="169">
        <v>802</v>
      </c>
      <c r="AA3" s="169">
        <v>1390</v>
      </c>
      <c r="AB3" s="169">
        <v>297</v>
      </c>
      <c r="AC3" s="169">
        <v>33</v>
      </c>
      <c r="AD3" s="179">
        <v>2</v>
      </c>
      <c r="AE3" s="180">
        <v>28</v>
      </c>
      <c r="AF3" s="152"/>
      <c r="AG3" s="152"/>
    </row>
    <row r="4">
      <c r="A4" s="166"/>
      <c r="B4" s="181" t="s">
        <v>110</v>
      </c>
      <c r="C4" s="168" t="s">
        <v>107</v>
      </c>
      <c r="D4" s="169">
        <f t="shared" si="240"/>
      </c>
      <c r="E4" s="169">
        <v>1664</v>
      </c>
      <c r="F4" s="169">
        <v>2238.57</v>
      </c>
      <c r="G4" s="169"/>
      <c r="H4" s="170">
        <v>2</v>
      </c>
      <c r="I4" s="169">
        <v>2761.080000000001</v>
      </c>
      <c r="J4" s="171">
        <f t="shared" si="180"/>
      </c>
      <c r="K4" s="172">
        <f t="shared" si="90"/>
      </c>
      <c r="L4" s="173">
        <f t="shared" si="30"/>
      </c>
      <c r="M4" s="174">
        <f t="shared" si="120"/>
      </c>
      <c r="N4" s="172">
        <f t="shared" si="0"/>
      </c>
      <c r="O4" s="173">
        <f t="shared" si="451"/>
      </c>
      <c r="P4" s="172">
        <f t="shared" si="421"/>
      </c>
      <c r="Q4" s="172">
        <f t="shared" si="343"/>
      </c>
      <c r="R4" s="173">
        <f t="shared" si="313"/>
      </c>
      <c r="S4" s="175">
        <f t="shared" si="210"/>
      </c>
      <c r="T4" s="173">
        <f t="shared" si="150"/>
      </c>
      <c r="U4" s="176">
        <f t="shared" si="60"/>
      </c>
      <c r="V4" s="177" t="s">
        <v>108</v>
      </c>
      <c r="W4" s="182" t="s">
        <v>109</v>
      </c>
      <c r="X4" s="169">
        <v>1</v>
      </c>
      <c r="Y4" s="169">
        <v>10011</v>
      </c>
      <c r="Z4" s="169">
        <v>423</v>
      </c>
      <c r="AA4" s="169">
        <v>629</v>
      </c>
      <c r="AB4" s="169">
        <v>152</v>
      </c>
      <c r="AC4" s="169">
        <v>54</v>
      </c>
      <c r="AD4" s="179">
        <v>2</v>
      </c>
      <c r="AE4" s="180">
        <v>25</v>
      </c>
      <c r="AF4" s="152"/>
      <c r="AG4" s="152"/>
    </row>
    <row r="5">
      <c r="A5" s="166"/>
      <c r="B5" s="181" t="s">
        <v>111</v>
      </c>
      <c r="C5" s="168" t="s">
        <v>107</v>
      </c>
      <c r="D5" s="169">
        <f t="shared" si="240"/>
      </c>
      <c r="E5" s="169">
        <v>2387.6</v>
      </c>
      <c r="F5" s="169">
        <v>1128.69</v>
      </c>
      <c r="G5" s="169"/>
      <c r="H5" s="170">
        <v>6</v>
      </c>
      <c r="I5" s="169">
        <v>12738</v>
      </c>
      <c r="J5" s="171">
        <f t="shared" si="180"/>
      </c>
      <c r="K5" s="172">
        <f t="shared" si="90"/>
      </c>
      <c r="L5" s="173">
        <f t="shared" si="30"/>
      </c>
      <c r="M5" s="174">
        <f t="shared" si="120"/>
      </c>
      <c r="N5" s="172">
        <f t="shared" si="0"/>
      </c>
      <c r="O5" s="173">
        <f t="shared" si="451"/>
      </c>
      <c r="P5" s="172">
        <f t="shared" si="421"/>
      </c>
      <c r="Q5" s="172">
        <f t="shared" si="343"/>
      </c>
      <c r="R5" s="173">
        <f t="shared" si="313"/>
      </c>
      <c r="S5" s="175">
        <f t="shared" si="210"/>
      </c>
      <c r="T5" s="173">
        <f t="shared" si="150"/>
      </c>
      <c r="U5" s="176">
        <f t="shared" si="60"/>
      </c>
      <c r="V5" s="177" t="s">
        <v>108</v>
      </c>
      <c r="W5" s="182" t="s">
        <v>109</v>
      </c>
      <c r="X5" s="169">
        <v>3</v>
      </c>
      <c r="Y5" s="169">
        <v>13876</v>
      </c>
      <c r="Z5" s="169">
        <v>805</v>
      </c>
      <c r="AA5" s="169">
        <v>1265</v>
      </c>
      <c r="AB5" s="169">
        <v>284</v>
      </c>
      <c r="AC5" s="169">
        <v>56</v>
      </c>
      <c r="AD5" s="179">
        <v>7</v>
      </c>
      <c r="AE5" s="180">
        <v>27</v>
      </c>
      <c r="AF5" s="152"/>
      <c r="AG5" s="152"/>
    </row>
    <row r="6">
      <c r="A6" s="166"/>
      <c r="B6" s="183" t="s">
        <v>112</v>
      </c>
      <c r="C6" s="168" t="s">
        <v>107</v>
      </c>
      <c r="D6" s="169">
        <f t="shared" si="240"/>
      </c>
      <c r="E6" s="169">
        <v>4060</v>
      </c>
      <c r="F6" s="169">
        <v>2037.92</v>
      </c>
      <c r="G6" s="169"/>
      <c r="H6" s="170">
        <v>5</v>
      </c>
      <c r="I6" s="170">
        <v>12878.96</v>
      </c>
      <c r="J6" s="171">
        <f t="shared" si="180"/>
      </c>
      <c r="K6" s="172">
        <f t="shared" si="90"/>
      </c>
      <c r="L6" s="173">
        <f t="shared" si="30"/>
      </c>
      <c r="M6" s="174">
        <f t="shared" si="120"/>
      </c>
      <c r="N6" s="172">
        <f t="shared" si="0"/>
      </c>
      <c r="O6" s="173">
        <f t="shared" si="451"/>
      </c>
      <c r="P6" s="172">
        <f t="shared" si="421"/>
      </c>
      <c r="Q6" s="172">
        <f t="shared" si="343"/>
      </c>
      <c r="R6" s="173">
        <f t="shared" si="313"/>
      </c>
      <c r="S6" s="175">
        <f t="shared" si="210"/>
      </c>
      <c r="T6" s="173">
        <f t="shared" si="150"/>
      </c>
      <c r="U6" s="176">
        <f t="shared" si="60"/>
      </c>
      <c r="V6" s="177" t="s">
        <v>108</v>
      </c>
      <c r="W6" s="182" t="s">
        <v>109</v>
      </c>
      <c r="X6" s="169">
        <v>5</v>
      </c>
      <c r="Y6" s="169">
        <v>23485</v>
      </c>
      <c r="Z6" s="169">
        <v>1370</v>
      </c>
      <c r="AA6" s="169">
        <v>2226</v>
      </c>
      <c r="AB6" s="169">
        <v>474</v>
      </c>
      <c r="AC6" s="169">
        <v>89</v>
      </c>
      <c r="AD6" s="179">
        <v>7</v>
      </c>
      <c r="AE6" s="180">
        <v>43</v>
      </c>
      <c r="AF6" s="152"/>
      <c r="AG6" s="152"/>
    </row>
    <row r="7">
      <c r="A7" s="166"/>
      <c r="B7" s="184" t="s">
        <v>113</v>
      </c>
      <c r="C7" s="184"/>
      <c r="D7" s="185">
        <f>SUM(D3:D6)</f>
      </c>
      <c r="E7" s="185">
        <f>SUM(E3:E6)</f>
      </c>
      <c r="F7" s="185">
        <f>SUM(F3:F6)</f>
      </c>
      <c r="G7" s="185"/>
      <c r="H7" s="185">
        <f>SUM(H3:H6)</f>
      </c>
      <c r="I7" s="185">
        <f>SUM(I3:I6)</f>
      </c>
      <c r="J7" s="186">
        <f t="shared" si="180"/>
      </c>
      <c r="K7" s="187">
        <f t="shared" si="90"/>
      </c>
      <c r="L7" s="188">
        <f t="shared" si="30"/>
      </c>
      <c r="M7" s="189">
        <f t="shared" si="120"/>
      </c>
      <c r="N7" s="187">
        <f t="shared" si="0"/>
      </c>
      <c r="O7" s="188">
        <f t="shared" si="451"/>
      </c>
      <c r="P7" s="187">
        <f t="shared" si="421"/>
      </c>
      <c r="Q7" s="187">
        <f t="shared" si="343"/>
      </c>
      <c r="R7" s="188">
        <f t="shared" si="313"/>
      </c>
      <c r="S7" s="190">
        <f t="shared" si="210"/>
      </c>
      <c r="T7" s="188">
        <f t="shared" si="150"/>
      </c>
      <c r="U7" s="191">
        <f t="shared" si="60"/>
      </c>
      <c r="V7" s="191"/>
      <c r="W7" s="191"/>
      <c r="X7" s="185">
        <f>SUM(X3:X6)</f>
      </c>
      <c r="Y7" s="185">
        <f>SUM(Y3:Y6)</f>
      </c>
      <c r="Z7" s="185">
        <f>SUM(Z3:Z6)</f>
      </c>
      <c r="AA7" s="185">
        <f>SUM(AA3:AA6)</f>
      </c>
      <c r="AB7" s="185">
        <f>SUM(AB3:AB6)</f>
      </c>
      <c r="AC7" s="185">
        <f>SUM(AC3:AC6)</f>
      </c>
      <c r="AD7" s="185">
        <f>SUM(AD3:AD6)</f>
      </c>
      <c r="AE7" s="185">
        <f>SUM(AE3:AE6)</f>
      </c>
      <c r="AF7" s="152"/>
      <c r="AG7" s="152"/>
    </row>
    <row r="8">
      <c r="A8" s="166"/>
      <c r="B8" s="181" t="s">
        <v>114</v>
      </c>
      <c r="C8" s="168" t="s">
        <v>115</v>
      </c>
      <c r="D8" s="169">
        <f t="shared" ref="D8:D11" si="241">E8+F8</f>
      </c>
      <c r="E8" s="169">
        <v>2621.12</v>
      </c>
      <c r="F8" s="169">
        <v>847.53</v>
      </c>
      <c r="G8" s="169"/>
      <c r="H8" s="170">
        <v>1</v>
      </c>
      <c r="I8" s="170">
        <v>2669.159999999996</v>
      </c>
      <c r="J8" s="171">
        <f t="shared" si="180"/>
      </c>
      <c r="K8" s="172">
        <f t="shared" si="90"/>
      </c>
      <c r="L8" s="173">
        <f t="shared" si="30"/>
      </c>
      <c r="M8" s="174">
        <f t="shared" si="120"/>
      </c>
      <c r="N8" s="172">
        <f t="shared" si="0"/>
      </c>
      <c r="O8" s="173">
        <f t="shared" si="451"/>
      </c>
      <c r="P8" s="172">
        <f t="shared" si="421"/>
      </c>
      <c r="Q8" s="172">
        <f t="shared" si="343"/>
      </c>
      <c r="R8" s="173">
        <f t="shared" si="313"/>
      </c>
      <c r="S8" s="175">
        <f t="shared" si="210"/>
      </c>
      <c r="T8" s="173">
        <f t="shared" si="150"/>
      </c>
      <c r="U8" s="176">
        <f t="shared" si="60"/>
      </c>
      <c r="V8" s="177" t="s">
        <v>108</v>
      </c>
      <c r="W8" s="182" t="s">
        <v>109</v>
      </c>
      <c r="X8" s="169">
        <v>1</v>
      </c>
      <c r="Y8" s="169">
        <v>13226</v>
      </c>
      <c r="Z8" s="169">
        <v>848</v>
      </c>
      <c r="AA8" s="169">
        <v>1279</v>
      </c>
      <c r="AB8" s="169">
        <v>322</v>
      </c>
      <c r="AC8" s="169">
        <v>41</v>
      </c>
      <c r="AD8" s="179">
        <v>3</v>
      </c>
      <c r="AE8" s="180">
        <v>30</v>
      </c>
      <c r="AF8" s="152"/>
      <c r="AG8" s="152"/>
    </row>
    <row r="9">
      <c r="A9" s="166"/>
      <c r="B9" s="181" t="s">
        <v>116</v>
      </c>
      <c r="C9" s="168" t="s">
        <v>115</v>
      </c>
      <c r="D9" s="169">
        <f t="shared" si="241"/>
      </c>
      <c r="E9" s="169">
        <v>5217.23</v>
      </c>
      <c r="F9" s="169">
        <v>2049.32</v>
      </c>
      <c r="G9" s="169"/>
      <c r="H9" s="170">
        <v>1</v>
      </c>
      <c r="I9" s="170">
        <v>1783.0800000000017</v>
      </c>
      <c r="J9" s="171">
        <f t="shared" si="180"/>
      </c>
      <c r="K9" s="172">
        <f t="shared" si="90"/>
      </c>
      <c r="L9" s="173">
        <f t="shared" si="30"/>
      </c>
      <c r="M9" s="174">
        <f t="shared" si="120"/>
      </c>
      <c r="N9" s="172">
        <f t="shared" si="0"/>
      </c>
      <c r="O9" s="173">
        <f t="shared" si="451"/>
      </c>
      <c r="P9" s="172">
        <f t="shared" si="421"/>
      </c>
      <c r="Q9" s="172">
        <f t="shared" si="343"/>
      </c>
      <c r="R9" s="173">
        <f t="shared" si="313"/>
      </c>
      <c r="S9" s="175">
        <f t="shared" si="210"/>
      </c>
      <c r="T9" s="173">
        <f t="shared" si="150"/>
      </c>
      <c r="U9" s="176">
        <f t="shared" si="60"/>
      </c>
      <c r="V9" s="177" t="s">
        <v>108</v>
      </c>
      <c r="W9" s="182" t="s">
        <v>109</v>
      </c>
      <c r="X9" s="169">
        <v>1</v>
      </c>
      <c r="Y9" s="169">
        <v>27634</v>
      </c>
      <c r="Z9" s="169">
        <v>1738</v>
      </c>
      <c r="AA9" s="169">
        <v>2609</v>
      </c>
      <c r="AB9" s="169">
        <v>513</v>
      </c>
      <c r="AC9" s="169">
        <v>91</v>
      </c>
      <c r="AD9" s="179">
        <v>1</v>
      </c>
      <c r="AE9" s="180">
        <v>38</v>
      </c>
      <c r="AF9" s="152"/>
      <c r="AG9" s="152"/>
    </row>
    <row r="10">
      <c r="A10" s="166"/>
      <c r="B10" s="181" t="s">
        <v>117</v>
      </c>
      <c r="C10" s="168" t="s">
        <v>115</v>
      </c>
      <c r="D10" s="169">
        <f t="shared" si="241"/>
      </c>
      <c r="E10" s="169">
        <v>1560.52</v>
      </c>
      <c r="F10" s="169">
        <v>706.12</v>
      </c>
      <c r="G10" s="169"/>
      <c r="H10" s="170">
        <v>1</v>
      </c>
      <c r="I10" s="170">
        <v>1789.2000000000044</v>
      </c>
      <c r="J10" s="171">
        <f t="shared" si="180"/>
      </c>
      <c r="K10" s="172">
        <f t="shared" si="90"/>
      </c>
      <c r="L10" s="173">
        <f t="shared" si="30"/>
      </c>
      <c r="M10" s="174">
        <f t="shared" si="120"/>
      </c>
      <c r="N10" s="172">
        <f t="shared" si="0"/>
      </c>
      <c r="O10" s="173">
        <f t="shared" si="451"/>
      </c>
      <c r="P10" s="172">
        <f t="shared" si="421"/>
      </c>
      <c r="Q10" s="172">
        <f t="shared" si="343"/>
      </c>
      <c r="R10" s="173">
        <f t="shared" si="313"/>
      </c>
      <c r="S10" s="175">
        <f t="shared" si="210"/>
      </c>
      <c r="T10" s="173">
        <f t="shared" si="150"/>
      </c>
      <c r="U10" s="176">
        <f t="shared" si="60"/>
      </c>
      <c r="V10" s="177" t="s">
        <v>108</v>
      </c>
      <c r="W10" s="182" t="s">
        <v>109</v>
      </c>
      <c r="X10" s="169">
        <v>1</v>
      </c>
      <c r="Y10" s="169">
        <v>7062</v>
      </c>
      <c r="Z10" s="169">
        <v>625</v>
      </c>
      <c r="AA10" s="169">
        <v>1009</v>
      </c>
      <c r="AB10" s="169">
        <v>232</v>
      </c>
      <c r="AC10" s="169">
        <v>13</v>
      </c>
      <c r="AD10" s="179">
        <v>2</v>
      </c>
      <c r="AE10" s="180">
        <v>16</v>
      </c>
      <c r="AF10" s="152"/>
      <c r="AG10" s="152"/>
    </row>
    <row r="11">
      <c r="A11" s="166"/>
      <c r="B11" s="181" t="s">
        <v>118</v>
      </c>
      <c r="C11" s="168" t="s">
        <v>115</v>
      </c>
      <c r="D11" s="169">
        <f t="shared" si="241"/>
      </c>
      <c r="E11" s="170">
        <v>1969.86</v>
      </c>
      <c r="F11" s="170">
        <v>1086.23</v>
      </c>
      <c r="G11" s="170"/>
      <c r="H11" s="170">
        <v>2</v>
      </c>
      <c r="I11" s="170">
        <v>2346.84</v>
      </c>
      <c r="J11" s="171">
        <f t="shared" si="180"/>
      </c>
      <c r="K11" s="172">
        <f t="shared" si="90"/>
      </c>
      <c r="L11" s="173">
        <f t="shared" si="30"/>
      </c>
      <c r="M11" s="174">
        <f t="shared" si="120"/>
      </c>
      <c r="N11" s="172">
        <f t="shared" si="0"/>
      </c>
      <c r="O11" s="173">
        <f t="shared" si="451"/>
      </c>
      <c r="P11" s="172">
        <f t="shared" si="421"/>
      </c>
      <c r="Q11" s="172">
        <f t="shared" si="343"/>
      </c>
      <c r="R11" s="173">
        <f t="shared" si="313"/>
      </c>
      <c r="S11" s="175">
        <f t="shared" si="210"/>
      </c>
      <c r="T11" s="173">
        <f t="shared" si="150"/>
      </c>
      <c r="U11" s="176">
        <f t="shared" si="60"/>
      </c>
      <c r="V11" s="177" t="s">
        <v>108</v>
      </c>
      <c r="W11" s="177" t="s">
        <v>109</v>
      </c>
      <c r="X11" s="170">
        <v>2</v>
      </c>
      <c r="Y11" s="169">
        <v>11522</v>
      </c>
      <c r="Z11" s="169">
        <v>906</v>
      </c>
      <c r="AA11" s="169">
        <v>1368</v>
      </c>
      <c r="AB11" s="169">
        <v>314</v>
      </c>
      <c r="AC11" s="169">
        <v>43</v>
      </c>
      <c r="AD11" s="179">
        <v>4</v>
      </c>
      <c r="AE11" s="180">
        <v>34</v>
      </c>
      <c r="AF11" s="152"/>
      <c r="AG11" s="152"/>
    </row>
    <row r="12">
      <c r="A12" s="166"/>
      <c r="B12" s="184" t="s">
        <v>113</v>
      </c>
      <c r="C12" s="184"/>
      <c r="D12" s="185">
        <f>SUM(D8:D11)</f>
      </c>
      <c r="E12" s="185">
        <f>SUM(E8:E11)</f>
      </c>
      <c r="F12" s="185">
        <f>SUM(F8:F11)</f>
      </c>
      <c r="G12" s="185"/>
      <c r="H12" s="185">
        <f>SUM(H8:H11)</f>
      </c>
      <c r="I12" s="185">
        <f>SUM(I8:I11)</f>
      </c>
      <c r="J12" s="186">
        <f t="shared" si="180"/>
      </c>
      <c r="K12" s="187">
        <f t="shared" si="90"/>
      </c>
      <c r="L12" s="188">
        <f t="shared" si="30"/>
      </c>
      <c r="M12" s="189">
        <f t="shared" si="120"/>
      </c>
      <c r="N12" s="187">
        <f t="shared" si="0"/>
      </c>
      <c r="O12" s="188">
        <f t="shared" si="451"/>
      </c>
      <c r="P12" s="187">
        <f t="shared" si="421"/>
      </c>
      <c r="Q12" s="187">
        <f t="shared" si="343"/>
      </c>
      <c r="R12" s="188">
        <f t="shared" si="313"/>
      </c>
      <c r="S12" s="190">
        <f t="shared" si="210"/>
      </c>
      <c r="T12" s="188">
        <f t="shared" si="150"/>
      </c>
      <c r="U12" s="191">
        <f t="shared" si="60"/>
      </c>
      <c r="V12" s="191"/>
      <c r="W12" s="191"/>
      <c r="X12" s="185">
        <f>SUM(X8:X11)</f>
      </c>
      <c r="Y12" s="185">
        <f>SUM(Y8:Y11)</f>
      </c>
      <c r="Z12" s="185">
        <f>SUM(Z8:Z11)</f>
      </c>
      <c r="AA12" s="185">
        <f>SUM(AA8:AA11)</f>
      </c>
      <c r="AB12" s="185">
        <f>SUM(AB8:AB11)</f>
      </c>
      <c r="AC12" s="185">
        <f>SUM(AC8:AC11)</f>
      </c>
      <c r="AD12" s="185">
        <f>SUM(AD8:AD11)</f>
      </c>
      <c r="AE12" s="185">
        <f>SUM(AE8:AE11)</f>
      </c>
      <c r="AF12" s="152"/>
      <c r="AG12" s="152"/>
    </row>
    <row r="13">
      <c r="A13" s="166"/>
      <c r="B13" s="192" t="s">
        <v>119</v>
      </c>
      <c r="C13" s="168" t="s">
        <v>120</v>
      </c>
      <c r="D13" s="169">
        <f t="shared" ref="D13:D16" si="242">E13+F13</f>
      </c>
      <c r="E13" s="170">
        <v>5959</v>
      </c>
      <c r="F13" s="193">
        <v>2051.36</v>
      </c>
      <c r="G13" s="193"/>
      <c r="H13" s="169">
        <v>5</v>
      </c>
      <c r="I13" s="169">
        <v>7914.239999999991</v>
      </c>
      <c r="J13" s="171">
        <f t="shared" si="180"/>
      </c>
      <c r="K13" s="172">
        <f t="shared" si="90"/>
      </c>
      <c r="L13" s="173">
        <f t="shared" si="30"/>
      </c>
      <c r="M13" s="174">
        <f t="shared" si="120"/>
      </c>
      <c r="N13" s="172">
        <f t="shared" si="0"/>
      </c>
      <c r="O13" s="173">
        <f t="shared" si="451"/>
      </c>
      <c r="P13" s="172">
        <f t="shared" si="421"/>
      </c>
      <c r="Q13" s="172">
        <f t="shared" si="343"/>
      </c>
      <c r="R13" s="173">
        <f t="shared" si="313"/>
      </c>
      <c r="S13" s="175">
        <f t="shared" si="210"/>
      </c>
      <c r="T13" s="173">
        <f t="shared" si="150"/>
      </c>
      <c r="U13" s="176">
        <f t="shared" si="60"/>
      </c>
      <c r="V13" s="177" t="s">
        <v>108</v>
      </c>
      <c r="W13" s="178" t="s">
        <v>121</v>
      </c>
      <c r="X13" s="170">
        <v>5</v>
      </c>
      <c r="Y13" s="169">
        <v>34304</v>
      </c>
      <c r="Z13" s="169">
        <v>1869</v>
      </c>
      <c r="AA13" s="169">
        <v>2734</v>
      </c>
      <c r="AB13" s="169">
        <v>583</v>
      </c>
      <c r="AC13" s="169">
        <v>118</v>
      </c>
      <c r="AD13" s="179">
        <v>11</v>
      </c>
      <c r="AE13" s="180">
        <v>77</v>
      </c>
      <c r="AF13" s="152"/>
      <c r="AG13" s="152"/>
    </row>
    <row r="14">
      <c r="A14" s="166"/>
      <c r="B14" s="194" t="s">
        <v>122</v>
      </c>
      <c r="C14" s="168" t="s">
        <v>120</v>
      </c>
      <c r="D14" s="169">
        <f t="shared" si="242"/>
      </c>
      <c r="E14" s="170">
        <v>3082.59</v>
      </c>
      <c r="F14" s="170">
        <v>406.88</v>
      </c>
      <c r="G14" s="170"/>
      <c r="H14" s="170">
        <v>8</v>
      </c>
      <c r="I14" s="170">
        <v>19468.199999999997</v>
      </c>
      <c r="J14" s="171">
        <f t="shared" si="180"/>
      </c>
      <c r="K14" s="172">
        <f t="shared" si="90"/>
      </c>
      <c r="L14" s="173">
        <f t="shared" si="30"/>
      </c>
      <c r="M14" s="174">
        <f t="shared" si="120"/>
      </c>
      <c r="N14" s="172">
        <f t="shared" si="0"/>
      </c>
      <c r="O14" s="173">
        <f t="shared" si="451"/>
      </c>
      <c r="P14" s="172">
        <f t="shared" si="421"/>
      </c>
      <c r="Q14" s="172">
        <f t="shared" si="343"/>
      </c>
      <c r="R14" s="173">
        <f t="shared" si="313"/>
      </c>
      <c r="S14" s="175">
        <f t="shared" si="210"/>
      </c>
      <c r="T14" s="173">
        <f t="shared" si="150"/>
      </c>
      <c r="U14" s="176">
        <f t="shared" si="60"/>
      </c>
      <c r="V14" s="177" t="s">
        <v>108</v>
      </c>
      <c r="W14" s="178" t="s">
        <v>121</v>
      </c>
      <c r="X14" s="169">
        <v>7</v>
      </c>
      <c r="Y14" s="169">
        <v>15797</v>
      </c>
      <c r="Z14" s="169">
        <v>641</v>
      </c>
      <c r="AA14" s="169">
        <v>898</v>
      </c>
      <c r="AB14" s="169">
        <v>187</v>
      </c>
      <c r="AC14" s="169">
        <v>55</v>
      </c>
      <c r="AD14" s="179">
        <v>8</v>
      </c>
      <c r="AE14" s="180">
        <v>18</v>
      </c>
      <c r="AF14" s="152"/>
      <c r="AG14" s="152"/>
    </row>
    <row r="15">
      <c r="A15" s="166"/>
      <c r="B15" s="183" t="s">
        <v>123</v>
      </c>
      <c r="C15" s="168" t="s">
        <v>120</v>
      </c>
      <c r="D15" s="169">
        <f t="shared" si="242"/>
      </c>
      <c r="E15" s="170">
        <v>4628.11</v>
      </c>
      <c r="F15" s="170">
        <v>448.37</v>
      </c>
      <c r="G15" s="170"/>
      <c r="H15" s="170">
        <v>1</v>
      </c>
      <c r="I15" s="170">
        <v>2855.88</v>
      </c>
      <c r="J15" s="171">
        <f t="shared" si="180"/>
      </c>
      <c r="K15" s="172">
        <f t="shared" si="90"/>
      </c>
      <c r="L15" s="173">
        <f t="shared" si="30"/>
      </c>
      <c r="M15" s="174">
        <f t="shared" si="120"/>
      </c>
      <c r="N15" s="172">
        <f t="shared" si="0"/>
      </c>
      <c r="O15" s="173">
        <f t="shared" si="451"/>
      </c>
      <c r="P15" s="172">
        <f t="shared" si="421"/>
      </c>
      <c r="Q15" s="172">
        <f t="shared" si="343"/>
      </c>
      <c r="R15" s="173">
        <f t="shared" si="313"/>
      </c>
      <c r="S15" s="175">
        <f t="shared" si="210"/>
      </c>
      <c r="T15" s="173">
        <f t="shared" si="150"/>
      </c>
      <c r="U15" s="176">
        <f t="shared" si="60"/>
      </c>
      <c r="V15" s="177" t="s">
        <v>108</v>
      </c>
      <c r="W15" s="178" t="s">
        <v>121</v>
      </c>
      <c r="X15" s="169">
        <v>1</v>
      </c>
      <c r="Y15" s="169">
        <v>30527</v>
      </c>
      <c r="Z15" s="169">
        <v>881</v>
      </c>
      <c r="AA15" s="169">
        <v>1185</v>
      </c>
      <c r="AB15" s="169">
        <v>220</v>
      </c>
      <c r="AC15" s="169">
        <v>73</v>
      </c>
      <c r="AD15" s="179">
        <v>1</v>
      </c>
      <c r="AE15" s="180">
        <v>20</v>
      </c>
      <c r="AF15" s="152"/>
      <c r="AG15" s="152"/>
    </row>
    <row r="16">
      <c r="A16" s="166"/>
      <c r="B16" s="183" t="s">
        <v>124</v>
      </c>
      <c r="C16" s="168" t="s">
        <v>120</v>
      </c>
      <c r="D16" s="169">
        <f t="shared" si="242"/>
      </c>
      <c r="E16" s="170">
        <v>1829.95</v>
      </c>
      <c r="F16" s="170">
        <v>614.55</v>
      </c>
      <c r="G16" s="170"/>
      <c r="H16" s="169">
        <v>4</v>
      </c>
      <c r="I16" s="169">
        <v>15375.119999999995</v>
      </c>
      <c r="J16" s="171">
        <f t="shared" si="180"/>
      </c>
      <c r="K16" s="172">
        <f t="shared" si="90"/>
      </c>
      <c r="L16" s="173">
        <f t="shared" si="30"/>
      </c>
      <c r="M16" s="174">
        <f t="shared" si="120"/>
      </c>
      <c r="N16" s="172">
        <f t="shared" si="0"/>
      </c>
      <c r="O16" s="173">
        <f t="shared" si="451"/>
      </c>
      <c r="P16" s="172">
        <f t="shared" si="421"/>
      </c>
      <c r="Q16" s="172">
        <f t="shared" si="343"/>
      </c>
      <c r="R16" s="173">
        <f t="shared" si="313"/>
      </c>
      <c r="S16" s="175">
        <f t="shared" si="210"/>
      </c>
      <c r="T16" s="173">
        <f t="shared" si="150"/>
      </c>
      <c r="U16" s="176">
        <f t="shared" si="60"/>
      </c>
      <c r="V16" s="177" t="s">
        <v>108</v>
      </c>
      <c r="W16" s="178" t="s">
        <v>121</v>
      </c>
      <c r="X16" s="170">
        <v>3</v>
      </c>
      <c r="Y16" s="169">
        <v>10568</v>
      </c>
      <c r="Z16" s="169">
        <v>562</v>
      </c>
      <c r="AA16" s="169">
        <v>855</v>
      </c>
      <c r="AB16" s="169">
        <v>169</v>
      </c>
      <c r="AC16" s="169">
        <v>24</v>
      </c>
      <c r="AD16" s="179">
        <v>3</v>
      </c>
      <c r="AE16" s="180">
        <v>17</v>
      </c>
      <c r="AF16" s="152"/>
      <c r="AG16" s="152"/>
    </row>
    <row r="17">
      <c r="A17" s="166"/>
      <c r="B17" s="184" t="s">
        <v>113</v>
      </c>
      <c r="C17" s="184"/>
      <c r="D17" s="185">
        <f>SUM(D13:D16)</f>
      </c>
      <c r="E17" s="185">
        <f>SUM(E13:E16)</f>
      </c>
      <c r="F17" s="185">
        <f>SUM(F13:F16)</f>
      </c>
      <c r="G17" s="185"/>
      <c r="H17" s="185">
        <f>SUM(H13:H16)</f>
      </c>
      <c r="I17" s="185">
        <f>SUM(I13:I16)</f>
      </c>
      <c r="J17" s="186">
        <f t="shared" si="180"/>
      </c>
      <c r="K17" s="187">
        <f t="shared" si="90"/>
      </c>
      <c r="L17" s="188">
        <f t="shared" si="30"/>
      </c>
      <c r="M17" s="189">
        <f t="shared" si="120"/>
      </c>
      <c r="N17" s="187">
        <f t="shared" si="0"/>
      </c>
      <c r="O17" s="188">
        <f t="shared" si="451"/>
      </c>
      <c r="P17" s="187">
        <f t="shared" si="421"/>
      </c>
      <c r="Q17" s="187">
        <f t="shared" si="343"/>
      </c>
      <c r="R17" s="188">
        <f t="shared" si="313"/>
      </c>
      <c r="S17" s="190">
        <f t="shared" si="210"/>
      </c>
      <c r="T17" s="188">
        <f t="shared" si="150"/>
      </c>
      <c r="U17" s="191">
        <f t="shared" si="60"/>
      </c>
      <c r="V17" s="191"/>
      <c r="W17" s="191"/>
      <c r="X17" s="185">
        <f>SUM(X13:X16)</f>
      </c>
      <c r="Y17" s="185">
        <f>SUM(Y13:Y16)</f>
      </c>
      <c r="Z17" s="185">
        <f>SUM(Z13:Z16)</f>
      </c>
      <c r="AA17" s="185">
        <f>SUM(AA13:AA16)</f>
      </c>
      <c r="AB17" s="185">
        <f>SUM(AB13:AB16)</f>
      </c>
      <c r="AC17" s="185">
        <f>SUM(AC13:AC16)</f>
      </c>
      <c r="AD17" s="185">
        <f>SUM(AD13:AD16)</f>
      </c>
      <c r="AE17" s="185">
        <f>SUM(AE13:AE16)</f>
      </c>
      <c r="AF17" s="152"/>
      <c r="AG17" s="152"/>
    </row>
    <row r="18">
      <c r="A18" s="166"/>
      <c r="B18" s="181" t="s">
        <v>125</v>
      </c>
      <c r="C18" s="168" t="s">
        <v>126</v>
      </c>
      <c r="D18" s="169">
        <f t="shared" ref="D18:D21" si="243">E18+F18</f>
      </c>
      <c r="E18" s="170">
        <v>2205.97</v>
      </c>
      <c r="F18" s="170">
        <v>1067.5</v>
      </c>
      <c r="G18" s="170"/>
      <c r="H18" s="169">
        <v>1</v>
      </c>
      <c r="I18" s="169">
        <v>5813.639999999999</v>
      </c>
      <c r="J18" s="171">
        <f t="shared" si="180"/>
      </c>
      <c r="K18" s="172">
        <f t="shared" si="90"/>
      </c>
      <c r="L18" s="173">
        <f t="shared" si="30"/>
      </c>
      <c r="M18" s="174">
        <f t="shared" si="120"/>
      </c>
      <c r="N18" s="172">
        <f t="shared" si="0"/>
      </c>
      <c r="O18" s="173">
        <f t="shared" si="451"/>
      </c>
      <c r="P18" s="172">
        <f t="shared" si="421"/>
      </c>
      <c r="Q18" s="172">
        <f t="shared" si="343"/>
      </c>
      <c r="R18" s="173">
        <f t="shared" si="313"/>
      </c>
      <c r="S18" s="175">
        <f t="shared" si="210"/>
      </c>
      <c r="T18" s="173">
        <f t="shared" si="150"/>
      </c>
      <c r="U18" s="176">
        <f t="shared" si="60"/>
      </c>
      <c r="V18" s="177" t="s">
        <v>108</v>
      </c>
      <c r="W18" s="178" t="s">
        <v>121</v>
      </c>
      <c r="X18" s="169">
        <v>1</v>
      </c>
      <c r="Y18" s="169">
        <v>18949</v>
      </c>
      <c r="Z18" s="169">
        <v>600</v>
      </c>
      <c r="AA18" s="169">
        <v>715</v>
      </c>
      <c r="AB18" s="169">
        <v>95</v>
      </c>
      <c r="AC18" s="169">
        <v>52</v>
      </c>
      <c r="AD18" s="179">
        <v>3</v>
      </c>
      <c r="AE18" s="180">
        <v>16</v>
      </c>
      <c r="AF18" s="152"/>
      <c r="AG18" s="152"/>
    </row>
    <row r="19">
      <c r="A19" s="166"/>
      <c r="B19" s="195" t="s">
        <v>127</v>
      </c>
      <c r="C19" s="168" t="s">
        <v>126</v>
      </c>
      <c r="D19" s="169">
        <f t="shared" si="243"/>
      </c>
      <c r="E19" s="170">
        <v>3643.84</v>
      </c>
      <c r="F19" s="170">
        <v>3327.34</v>
      </c>
      <c r="G19" s="170"/>
      <c r="H19" s="170">
        <v>4</v>
      </c>
      <c r="I19" s="170">
        <v>14454.48000000001</v>
      </c>
      <c r="J19" s="171">
        <f t="shared" si="180"/>
      </c>
      <c r="K19" s="172">
        <f t="shared" si="90"/>
      </c>
      <c r="L19" s="173">
        <f t="shared" si="30"/>
      </c>
      <c r="M19" s="174">
        <f t="shared" si="120"/>
      </c>
      <c r="N19" s="172">
        <f t="shared" si="0"/>
      </c>
      <c r="O19" s="173">
        <f t="shared" si="451"/>
      </c>
      <c r="P19" s="172">
        <f t="shared" si="421"/>
      </c>
      <c r="Q19" s="172">
        <f t="shared" si="343"/>
      </c>
      <c r="R19" s="173">
        <f t="shared" si="313"/>
      </c>
      <c r="S19" s="175">
        <f t="shared" si="210"/>
      </c>
      <c r="T19" s="173">
        <f t="shared" si="150"/>
      </c>
      <c r="U19" s="176">
        <f t="shared" si="60"/>
      </c>
      <c r="V19" s="177" t="s">
        <v>108</v>
      </c>
      <c r="W19" s="178" t="s">
        <v>121</v>
      </c>
      <c r="X19" s="169">
        <v>3</v>
      </c>
      <c r="Y19" s="169">
        <v>37155</v>
      </c>
      <c r="Z19" s="169">
        <v>2309</v>
      </c>
      <c r="AA19" s="169">
        <v>3527</v>
      </c>
      <c r="AB19" s="169">
        <v>439</v>
      </c>
      <c r="AC19" s="169">
        <v>91</v>
      </c>
      <c r="AD19" s="179">
        <v>11</v>
      </c>
      <c r="AE19" s="180">
        <v>48</v>
      </c>
      <c r="AF19" s="152"/>
      <c r="AG19" s="152"/>
    </row>
    <row r="20">
      <c r="A20" s="166"/>
      <c r="B20" s="195" t="s">
        <v>128</v>
      </c>
      <c r="C20" s="168" t="s">
        <v>126</v>
      </c>
      <c r="D20" s="169">
        <f t="shared" si="243"/>
      </c>
      <c r="E20" s="170">
        <v>4137.89</v>
      </c>
      <c r="F20" s="170">
        <v>3435.06</v>
      </c>
      <c r="G20" s="170"/>
      <c r="H20" s="169">
        <v>5</v>
      </c>
      <c r="I20" s="169">
        <v>18365.719999999987</v>
      </c>
      <c r="J20" s="171">
        <f t="shared" si="180"/>
      </c>
      <c r="K20" s="172">
        <f t="shared" si="90"/>
      </c>
      <c r="L20" s="173">
        <f t="shared" si="30"/>
      </c>
      <c r="M20" s="174">
        <f t="shared" si="120"/>
      </c>
      <c r="N20" s="172">
        <f t="shared" si="0"/>
      </c>
      <c r="O20" s="173">
        <f t="shared" si="451"/>
      </c>
      <c r="P20" s="172">
        <f t="shared" si="421"/>
      </c>
      <c r="Q20" s="172">
        <f t="shared" si="343"/>
      </c>
      <c r="R20" s="173">
        <f t="shared" si="313"/>
      </c>
      <c r="S20" s="175">
        <f t="shared" si="210"/>
      </c>
      <c r="T20" s="173">
        <f t="shared" si="150"/>
      </c>
      <c r="U20" s="176">
        <f t="shared" si="60"/>
      </c>
      <c r="V20" s="177" t="s">
        <v>108</v>
      </c>
      <c r="W20" s="178" t="s">
        <v>121</v>
      </c>
      <c r="X20" s="169">
        <v>3</v>
      </c>
      <c r="Y20" s="169">
        <v>51730</v>
      </c>
      <c r="Z20" s="169">
        <v>2967</v>
      </c>
      <c r="AA20" s="169">
        <v>4006</v>
      </c>
      <c r="AB20" s="169">
        <v>499</v>
      </c>
      <c r="AC20" s="169">
        <v>113</v>
      </c>
      <c r="AD20" s="179">
        <v>6</v>
      </c>
      <c r="AE20" s="180">
        <v>52</v>
      </c>
      <c r="AF20" s="152"/>
      <c r="AG20" s="152"/>
    </row>
    <row r="21">
      <c r="A21" s="166"/>
      <c r="B21" s="167" t="s">
        <v>129</v>
      </c>
      <c r="C21" s="168" t="s">
        <v>126</v>
      </c>
      <c r="D21" s="169">
        <f t="shared" si="243"/>
      </c>
      <c r="E21" s="170">
        <v>3107.45</v>
      </c>
      <c r="F21" s="170">
        <v>1953.6</v>
      </c>
      <c r="G21" s="170"/>
      <c r="H21" s="170">
        <v>1</v>
      </c>
      <c r="I21" s="170">
        <v>4579.920000000013</v>
      </c>
      <c r="J21" s="171">
        <f t="shared" si="180"/>
      </c>
      <c r="K21" s="172">
        <f t="shared" si="90"/>
      </c>
      <c r="L21" s="173">
        <f t="shared" si="30"/>
      </c>
      <c r="M21" s="174">
        <f t="shared" si="120"/>
      </c>
      <c r="N21" s="172">
        <f t="shared" si="0"/>
      </c>
      <c r="O21" s="173">
        <f t="shared" si="451"/>
      </c>
      <c r="P21" s="172">
        <f t="shared" si="421"/>
      </c>
      <c r="Q21" s="172">
        <f t="shared" si="343"/>
      </c>
      <c r="R21" s="173">
        <f t="shared" si="313"/>
      </c>
      <c r="S21" s="175">
        <f t="shared" si="210"/>
      </c>
      <c r="T21" s="173">
        <f t="shared" si="150"/>
      </c>
      <c r="U21" s="176">
        <f t="shared" si="60"/>
      </c>
      <c r="V21" s="177" t="s">
        <v>108</v>
      </c>
      <c r="W21" s="178" t="s">
        <v>121</v>
      </c>
      <c r="X21" s="170">
        <v>0</v>
      </c>
      <c r="Y21" s="169">
        <v>36521</v>
      </c>
      <c r="Z21" s="169">
        <v>2191</v>
      </c>
      <c r="AA21" s="169">
        <v>2932</v>
      </c>
      <c r="AB21" s="169">
        <v>275</v>
      </c>
      <c r="AC21" s="169">
        <v>38</v>
      </c>
      <c r="AD21" s="179">
        <v>5</v>
      </c>
      <c r="AE21" s="180">
        <v>25</v>
      </c>
      <c r="AF21" s="152"/>
      <c r="AG21" s="152"/>
    </row>
    <row r="22">
      <c r="A22" s="166"/>
      <c r="B22" s="184" t="s">
        <v>113</v>
      </c>
      <c r="C22" s="184"/>
      <c r="D22" s="185">
        <f>SUM(D18:D21)</f>
      </c>
      <c r="E22" s="185">
        <f>SUM(E18:E21)</f>
      </c>
      <c r="F22" s="185">
        <f>SUM(F18:F21)</f>
      </c>
      <c r="G22" s="185"/>
      <c r="H22" s="185">
        <f>SUM(H18:H21)</f>
      </c>
      <c r="I22" s="185">
        <f>SUM(I18:I21)</f>
      </c>
      <c r="J22" s="186">
        <f t="shared" si="180"/>
      </c>
      <c r="K22" s="187">
        <f t="shared" si="90"/>
      </c>
      <c r="L22" s="188">
        <f t="shared" si="30"/>
      </c>
      <c r="M22" s="189">
        <f t="shared" si="120"/>
      </c>
      <c r="N22" s="187">
        <f t="shared" si="0"/>
      </c>
      <c r="O22" s="188">
        <f t="shared" si="451"/>
      </c>
      <c r="P22" s="187">
        <f t="shared" si="421"/>
      </c>
      <c r="Q22" s="187">
        <f t="shared" si="343"/>
      </c>
      <c r="R22" s="188">
        <f t="shared" si="313"/>
      </c>
      <c r="S22" s="190">
        <f t="shared" si="210"/>
      </c>
      <c r="T22" s="188">
        <f t="shared" si="150"/>
      </c>
      <c r="U22" s="191">
        <f t="shared" si="60"/>
      </c>
      <c r="V22" s="191"/>
      <c r="W22" s="191"/>
      <c r="X22" s="185">
        <f>SUM(X18:X21)</f>
      </c>
      <c r="Y22" s="185">
        <f>SUM(Y18:Y21)</f>
      </c>
      <c r="Z22" s="185">
        <f>SUM(Z18:Z21)</f>
      </c>
      <c r="AA22" s="185">
        <f>SUM(AA18:AA21)</f>
      </c>
      <c r="AB22" s="185">
        <f>SUM(AB18:AB21)</f>
      </c>
      <c r="AC22" s="185">
        <f>SUM(AC18:AC21)</f>
      </c>
      <c r="AD22" s="185">
        <f>SUM(AD18:AD21)</f>
      </c>
      <c r="AE22" s="185">
        <f>SUM(AE18:AE21)</f>
      </c>
      <c r="AF22" s="152"/>
      <c r="AG22" s="152"/>
    </row>
    <row r="23">
      <c r="A23" s="166"/>
      <c r="B23" s="196" t="s">
        <v>130</v>
      </c>
      <c r="C23" s="196"/>
      <c r="D23" s="197">
        <f>D7+D12+D17+D22</f>
      </c>
      <c r="E23" s="197">
        <f>E7+E12+E17+E22</f>
      </c>
      <c r="F23" s="197">
        <f>F7+F12+F17+F22</f>
      </c>
      <c r="G23" s="197"/>
      <c r="H23" s="197">
        <f>H7+H12+H17+H22</f>
      </c>
      <c r="I23" s="197">
        <f>I7+I12+I17+I22</f>
      </c>
      <c r="J23" s="198">
        <f t="shared" si="180"/>
      </c>
      <c r="K23" s="199">
        <f t="shared" si="90"/>
      </c>
      <c r="L23" s="200">
        <f t="shared" si="30"/>
      </c>
      <c r="M23" s="201">
        <f t="shared" si="120"/>
      </c>
      <c r="N23" s="201">
        <f t="shared" si="0"/>
      </c>
      <c r="O23" s="200">
        <f t="shared" si="451"/>
      </c>
      <c r="P23" s="201">
        <f t="shared" si="421"/>
      </c>
      <c r="Q23" s="201">
        <f t="shared" si="343"/>
      </c>
      <c r="R23" s="200">
        <f t="shared" si="313"/>
      </c>
      <c r="S23" s="202">
        <f t="shared" si="210"/>
      </c>
      <c r="T23" s="200">
        <f t="shared" si="150"/>
      </c>
      <c r="U23" s="203">
        <f t="shared" si="60"/>
      </c>
      <c r="V23" s="203"/>
      <c r="W23" s="203"/>
      <c r="X23" s="198">
        <f>X7+X12+X17+X22</f>
      </c>
      <c r="Y23" s="198">
        <f>Y7+Y12+Y17+Y22</f>
      </c>
      <c r="Z23" s="198">
        <f>Z7+Z12+Z17+Z22</f>
      </c>
      <c r="AA23" s="198">
        <f>AA7+AA12+AA17+AA22</f>
      </c>
      <c r="AB23" s="198">
        <f>AB7+AB12+AB17+AB22</f>
      </c>
      <c r="AC23" s="198">
        <f>AC7+AC12+AC17+AC22</f>
      </c>
      <c r="AD23" s="198">
        <f>AD7+AD12+AD17+AD22</f>
      </c>
      <c r="AE23" s="198">
        <f>AE7+AE12+AE17+AE22</f>
      </c>
      <c r="AF23" s="152"/>
      <c r="AG23" s="152"/>
    </row>
    <row r="24">
      <c r="A24" s="146" t="s">
        <v>73</v>
      </c>
      <c r="B24" s="146"/>
      <c r="C24" s="146"/>
      <c r="D24" s="147" t="s">
        <v>74</v>
      </c>
      <c r="E24" s="147"/>
      <c r="F24" s="147"/>
      <c r="G24" s="147"/>
      <c r="H24" s="147"/>
      <c r="I24" s="147"/>
      <c r="J24" s="147"/>
      <c r="K24" s="148" t="s">
        <v>75</v>
      </c>
      <c r="L24" s="148"/>
      <c r="M24" s="148"/>
      <c r="N24" s="148"/>
      <c r="O24" s="148"/>
      <c r="P24" s="148"/>
      <c r="Q24" s="148"/>
      <c r="R24" s="148"/>
      <c r="S24" s="148"/>
      <c r="T24" s="148"/>
      <c r="U24" s="149"/>
      <c r="V24" s="149"/>
      <c r="W24" s="149"/>
      <c r="X24" s="150"/>
      <c r="Y24" s="150"/>
      <c r="Z24" s="150"/>
      <c r="AA24" s="150"/>
      <c r="AB24" s="150"/>
      <c r="AC24" s="150"/>
      <c r="AD24" s="150"/>
      <c r="AE24" s="151" t="s">
        <v>76</v>
      </c>
      <c r="AF24" s="152"/>
      <c r="AG24" s="152"/>
    </row>
    <row r="25">
      <c r="A25" s="153" t="s">
        <v>77</v>
      </c>
      <c r="B25" s="146" t="s">
        <v>78</v>
      </c>
      <c r="C25" s="146" t="s">
        <v>79</v>
      </c>
      <c r="D25" s="154" t="s">
        <v>80</v>
      </c>
      <c r="E25" s="155" t="s">
        <v>81</v>
      </c>
      <c r="F25" s="155" t="s">
        <v>82</v>
      </c>
      <c r="G25" s="155"/>
      <c r="H25" s="156" t="s">
        <v>83</v>
      </c>
      <c r="I25" s="157" t="s">
        <v>84</v>
      </c>
      <c r="J25" s="155" t="s">
        <v>85</v>
      </c>
      <c r="K25" s="158" t="s">
        <v>86</v>
      </c>
      <c r="L25" s="158" t="s">
        <v>87</v>
      </c>
      <c r="M25" s="159" t="s">
        <v>88</v>
      </c>
      <c r="N25" s="160" t="s">
        <v>89</v>
      </c>
      <c r="O25" s="148" t="s">
        <v>90</v>
      </c>
      <c r="P25" s="160" t="s">
        <v>91</v>
      </c>
      <c r="Q25" s="160" t="s">
        <v>92</v>
      </c>
      <c r="R25" s="161" t="s">
        <v>93</v>
      </c>
      <c r="S25" s="160" t="s">
        <v>94</v>
      </c>
      <c r="T25" s="161" t="s">
        <v>95</v>
      </c>
      <c r="U25" s="162" t="s">
        <v>96</v>
      </c>
      <c r="V25" s="162" t="s">
        <v>97</v>
      </c>
      <c r="W25" s="162" t="s">
        <v>98</v>
      </c>
      <c r="X25" s="163" t="s">
        <v>99</v>
      </c>
      <c r="Y25" s="164" t="s">
        <v>100</v>
      </c>
      <c r="Z25" s="164" t="s">
        <v>101</v>
      </c>
      <c r="AA25" s="164" t="s">
        <v>102</v>
      </c>
      <c r="AB25" s="164" t="s">
        <v>103</v>
      </c>
      <c r="AC25" s="164" t="s">
        <v>104</v>
      </c>
      <c r="AD25" s="165" t="s">
        <v>105</v>
      </c>
      <c r="AE25" s="151"/>
      <c r="AF25" s="152"/>
      <c r="AG25" s="152"/>
    </row>
    <row r="26">
      <c r="A26" s="166">
        <v>46267</v>
      </c>
      <c r="B26" s="167" t="s">
        <v>106</v>
      </c>
      <c r="C26" s="168" t="s">
        <v>107</v>
      </c>
      <c r="D26" s="169">
        <f t="shared" ref="D26:D29" si="244">E26+F26</f>
      </c>
      <c r="E26" s="170">
        <v>2000</v>
      </c>
      <c r="F26" s="169">
        <v>1000</v>
      </c>
      <c r="G26" s="169"/>
      <c r="H26" s="170">
        <v>1</v>
      </c>
      <c r="I26" s="169">
        <v>563.76</v>
      </c>
      <c r="J26" s="171">
        <f t="shared" ref="J26:J46" si="181">I26/D26</f>
      </c>
      <c r="K26" s="172">
        <f t="shared" ref="K26:K46" si="91">Z26/Y26</f>
      </c>
      <c r="L26" s="173">
        <f t="shared" ref="L26:L46" si="31">D26/AA26</f>
      </c>
      <c r="M26" s="174">
        <f t="shared" ref="M26:M46" si="121">AB26/AA26</f>
      </c>
      <c r="N26" s="172">
        <f t="shared" ref="N26:N46" si="1">AC26/AA26</f>
      </c>
      <c r="O26" s="173">
        <f t="shared" ref="O26:O46" si="452">D26/AC26</f>
      </c>
      <c r="P26" s="172">
        <f t="shared" ref="P26:P46" si="422">AD26/AC26</f>
      </c>
      <c r="Q26" s="172">
        <f t="shared" ref="Q26:Q46" si="344">H26/AD26</f>
      </c>
      <c r="R26" s="173">
        <f t="shared" ref="R26:R46" si="314">D26/H26</f>
      </c>
      <c r="S26" s="175">
        <f t="shared" ref="S26:S46" si="211">I26/H26</f>
      </c>
      <c r="T26" s="173">
        <f t="shared" ref="T26:T46" si="151">D26/X26</f>
      </c>
      <c r="U26" s="176">
        <f t="shared" ref="U26:U46" si="61">AE26*1000/D26</f>
      </c>
      <c r="V26" s="177" t="s">
        <v>108</v>
      </c>
      <c r="W26" s="178" t="s">
        <v>109</v>
      </c>
      <c r="X26" s="169">
        <v>1</v>
      </c>
      <c r="Y26" s="169">
        <v>15709</v>
      </c>
      <c r="Z26" s="169">
        <v>933</v>
      </c>
      <c r="AA26" s="169">
        <v>1380</v>
      </c>
      <c r="AB26" s="169">
        <v>283</v>
      </c>
      <c r="AC26" s="169">
        <v>42</v>
      </c>
      <c r="AD26" s="179">
        <v>1</v>
      </c>
      <c r="AE26" s="180">
        <v>20</v>
      </c>
      <c r="AF26" s="152"/>
      <c r="AG26" s="152"/>
    </row>
    <row r="27">
      <c r="A27" s="166"/>
      <c r="B27" s="181" t="s">
        <v>110</v>
      </c>
      <c r="C27" s="168" t="s">
        <v>107</v>
      </c>
      <c r="D27" s="169">
        <f t="shared" si="244"/>
      </c>
      <c r="E27" s="169">
        <v>1531.73</v>
      </c>
      <c r="F27" s="169">
        <v>949.14</v>
      </c>
      <c r="G27" s="169"/>
      <c r="H27" s="170">
        <v>0</v>
      </c>
      <c r="I27" s="170">
        <v>0</v>
      </c>
      <c r="J27" s="171">
        <f t="shared" si="181"/>
      </c>
      <c r="K27" s="172">
        <f t="shared" si="91"/>
      </c>
      <c r="L27" s="173">
        <f t="shared" si="31"/>
      </c>
      <c r="M27" s="174">
        <f t="shared" si="121"/>
      </c>
      <c r="N27" s="172">
        <f t="shared" si="1"/>
      </c>
      <c r="O27" s="173">
        <f t="shared" si="452"/>
      </c>
      <c r="P27" s="172">
        <f t="shared" si="422"/>
      </c>
      <c r="Q27" s="172">
        <f t="shared" si="344"/>
      </c>
      <c r="R27" s="173">
        <f t="shared" si="314"/>
      </c>
      <c r="S27" s="175">
        <f t="shared" si="211"/>
      </c>
      <c r="T27" s="173">
        <f t="shared" si="151"/>
      </c>
      <c r="U27" s="176">
        <f t="shared" si="61"/>
      </c>
      <c r="V27" s="177" t="s">
        <v>108</v>
      </c>
      <c r="W27" s="182" t="s">
        <v>109</v>
      </c>
      <c r="X27" s="169">
        <v>0</v>
      </c>
      <c r="Y27" s="169">
        <v>9016</v>
      </c>
      <c r="Z27" s="169">
        <v>224</v>
      </c>
      <c r="AA27" s="169">
        <v>252</v>
      </c>
      <c r="AB27" s="169">
        <v>52</v>
      </c>
      <c r="AC27" s="169">
        <v>57</v>
      </c>
      <c r="AD27" s="179">
        <v>2</v>
      </c>
      <c r="AE27" s="180">
        <v>11</v>
      </c>
      <c r="AF27" s="152"/>
      <c r="AG27" s="152"/>
    </row>
    <row r="28">
      <c r="A28" s="166"/>
      <c r="B28" s="181" t="s">
        <v>111</v>
      </c>
      <c r="C28" s="168" t="s">
        <v>107</v>
      </c>
      <c r="D28" s="169">
        <f t="shared" si="244"/>
      </c>
      <c r="E28" s="169">
        <v>2905.27</v>
      </c>
      <c r="F28" s="169">
        <v>142.6</v>
      </c>
      <c r="G28" s="169"/>
      <c r="H28" s="170">
        <v>4</v>
      </c>
      <c r="I28" s="169">
        <v>5027.999999999999</v>
      </c>
      <c r="J28" s="171">
        <f t="shared" si="181"/>
      </c>
      <c r="K28" s="172">
        <f t="shared" si="91"/>
      </c>
      <c r="L28" s="173">
        <f t="shared" si="31"/>
      </c>
      <c r="M28" s="174">
        <f t="shared" si="121"/>
      </c>
      <c r="N28" s="172">
        <f t="shared" si="1"/>
      </c>
      <c r="O28" s="173">
        <f t="shared" si="452"/>
      </c>
      <c r="P28" s="172">
        <f t="shared" si="422"/>
      </c>
      <c r="Q28" s="172">
        <f t="shared" si="344"/>
      </c>
      <c r="R28" s="173">
        <f t="shared" si="314"/>
      </c>
      <c r="S28" s="175">
        <f t="shared" si="211"/>
      </c>
      <c r="T28" s="173">
        <f t="shared" si="151"/>
      </c>
      <c r="U28" s="176">
        <f t="shared" si="61"/>
      </c>
      <c r="V28" s="177" t="s">
        <v>108</v>
      </c>
      <c r="W28" s="182" t="s">
        <v>109</v>
      </c>
      <c r="X28" s="169">
        <v>2</v>
      </c>
      <c r="Y28" s="169">
        <v>9440</v>
      </c>
      <c r="Z28" s="169">
        <v>386</v>
      </c>
      <c r="AA28" s="169">
        <v>470</v>
      </c>
      <c r="AB28" s="169">
        <v>117</v>
      </c>
      <c r="AC28" s="169">
        <v>28</v>
      </c>
      <c r="AD28" s="179">
        <v>6</v>
      </c>
      <c r="AE28" s="180">
        <v>16</v>
      </c>
      <c r="AF28" s="152"/>
      <c r="AG28" s="152"/>
    </row>
    <row r="29">
      <c r="A29" s="166"/>
      <c r="B29" s="183" t="s">
        <v>112</v>
      </c>
      <c r="C29" s="168" t="s">
        <v>107</v>
      </c>
      <c r="D29" s="169">
        <f t="shared" si="244"/>
      </c>
      <c r="E29" s="169">
        <v>2247.19</v>
      </c>
      <c r="F29" s="169">
        <v>726.08</v>
      </c>
      <c r="G29" s="169"/>
      <c r="H29" s="170">
        <v>0</v>
      </c>
      <c r="I29" s="170">
        <v>0</v>
      </c>
      <c r="J29" s="171">
        <f t="shared" si="181"/>
      </c>
      <c r="K29" s="172">
        <f t="shared" si="91"/>
      </c>
      <c r="L29" s="173">
        <f t="shared" si="31"/>
      </c>
      <c r="M29" s="174">
        <f t="shared" si="121"/>
      </c>
      <c r="N29" s="172">
        <f t="shared" si="1"/>
      </c>
      <c r="O29" s="173">
        <f t="shared" si="452"/>
      </c>
      <c r="P29" s="172">
        <f t="shared" si="422"/>
      </c>
      <c r="Q29" s="172">
        <f t="shared" si="344"/>
      </c>
      <c r="R29" s="173">
        <f t="shared" si="314"/>
      </c>
      <c r="S29" s="175">
        <f t="shared" si="211"/>
      </c>
      <c r="T29" s="173">
        <f t="shared" si="151"/>
      </c>
      <c r="U29" s="176">
        <f t="shared" si="61"/>
      </c>
      <c r="V29" s="177" t="s">
        <v>108</v>
      </c>
      <c r="W29" s="182" t="s">
        <v>109</v>
      </c>
      <c r="X29" s="169">
        <v>0</v>
      </c>
      <c r="Y29" s="169">
        <v>12947</v>
      </c>
      <c r="Z29" s="169">
        <v>647</v>
      </c>
      <c r="AA29" s="169">
        <v>903</v>
      </c>
      <c r="AB29" s="169">
        <v>182</v>
      </c>
      <c r="AC29" s="169">
        <v>43</v>
      </c>
      <c r="AD29" s="179">
        <v>2</v>
      </c>
      <c r="AE29" s="180">
        <v>30</v>
      </c>
      <c r="AF29" s="152"/>
      <c r="AG29" s="152"/>
    </row>
    <row r="30">
      <c r="A30" s="166"/>
      <c r="B30" s="184" t="s">
        <v>113</v>
      </c>
      <c r="C30" s="184"/>
      <c r="D30" s="185">
        <f>SUM(D26:D29)</f>
      </c>
      <c r="E30" s="185">
        <f>SUM(E26:E29)</f>
      </c>
      <c r="F30" s="185">
        <f>SUM(F26:F29)</f>
      </c>
      <c r="G30" s="185"/>
      <c r="H30" s="185">
        <f>SUM(H26:H29)</f>
      </c>
      <c r="I30" s="185">
        <f>SUM(I26:I29)</f>
      </c>
      <c r="J30" s="186">
        <f t="shared" si="181"/>
      </c>
      <c r="K30" s="187">
        <f t="shared" si="91"/>
      </c>
      <c r="L30" s="188">
        <f t="shared" si="31"/>
      </c>
      <c r="M30" s="189">
        <f t="shared" si="121"/>
      </c>
      <c r="N30" s="187">
        <f t="shared" si="1"/>
      </c>
      <c r="O30" s="188">
        <f t="shared" si="452"/>
      </c>
      <c r="P30" s="187">
        <f t="shared" si="422"/>
      </c>
      <c r="Q30" s="187">
        <f t="shared" si="344"/>
      </c>
      <c r="R30" s="188">
        <f t="shared" si="314"/>
      </c>
      <c r="S30" s="190">
        <f t="shared" si="211"/>
      </c>
      <c r="T30" s="188">
        <f t="shared" si="151"/>
      </c>
      <c r="U30" s="191">
        <f t="shared" si="61"/>
      </c>
      <c r="V30" s="191"/>
      <c r="W30" s="191"/>
      <c r="X30" s="185">
        <f>SUM(X26:X29)</f>
      </c>
      <c r="Y30" s="185">
        <f>SUM(Y26:Y29)</f>
      </c>
      <c r="Z30" s="185">
        <f>SUM(Z26:Z29)</f>
      </c>
      <c r="AA30" s="185">
        <f>SUM(AA26:AA29)</f>
      </c>
      <c r="AB30" s="185">
        <f>SUM(AB26:AB29)</f>
      </c>
      <c r="AC30" s="185">
        <f>SUM(AC26:AC29)</f>
      </c>
      <c r="AD30" s="185">
        <f>SUM(AD26:AD29)</f>
      </c>
      <c r="AE30" s="185">
        <f>SUM(AE26:AE29)</f>
      </c>
      <c r="AF30" s="152"/>
      <c r="AG30" s="152"/>
    </row>
    <row r="31">
      <c r="A31" s="166"/>
      <c r="B31" s="181" t="s">
        <v>114</v>
      </c>
      <c r="C31" s="168" t="s">
        <v>115</v>
      </c>
      <c r="D31" s="169">
        <f t="shared" ref="D31:D34" si="245">E31+F31</f>
      </c>
      <c r="E31" s="169">
        <v>2979.91</v>
      </c>
      <c r="F31" s="169">
        <v>855.11</v>
      </c>
      <c r="G31" s="169"/>
      <c r="H31" s="170">
        <v>5</v>
      </c>
      <c r="I31" s="170">
        <v>11156.760000000002</v>
      </c>
      <c r="J31" s="171">
        <f t="shared" si="181"/>
      </c>
      <c r="K31" s="172">
        <f t="shared" si="91"/>
      </c>
      <c r="L31" s="173">
        <f t="shared" si="31"/>
      </c>
      <c r="M31" s="174">
        <f t="shared" si="121"/>
      </c>
      <c r="N31" s="172">
        <f t="shared" si="1"/>
      </c>
      <c r="O31" s="173">
        <f t="shared" si="452"/>
      </c>
      <c r="P31" s="172">
        <f t="shared" si="422"/>
      </c>
      <c r="Q31" s="172">
        <f t="shared" si="344"/>
      </c>
      <c r="R31" s="173">
        <f t="shared" si="314"/>
      </c>
      <c r="S31" s="175">
        <f t="shared" si="211"/>
      </c>
      <c r="T31" s="173">
        <f t="shared" si="151"/>
      </c>
      <c r="U31" s="176">
        <f t="shared" si="61"/>
      </c>
      <c r="V31" s="177" t="s">
        <v>108</v>
      </c>
      <c r="W31" s="182" t="s">
        <v>109</v>
      </c>
      <c r="X31" s="169">
        <v>4</v>
      </c>
      <c r="Y31" s="169">
        <v>14217</v>
      </c>
      <c r="Z31" s="169">
        <v>800</v>
      </c>
      <c r="AA31" s="169">
        <v>1109</v>
      </c>
      <c r="AB31" s="169">
        <v>246</v>
      </c>
      <c r="AC31" s="169">
        <v>32</v>
      </c>
      <c r="AD31" s="179">
        <v>7</v>
      </c>
      <c r="AE31" s="180">
        <v>15</v>
      </c>
      <c r="AF31" s="152"/>
      <c r="AG31" s="152"/>
    </row>
    <row r="32">
      <c r="A32" s="166"/>
      <c r="B32" s="181" t="s">
        <v>116</v>
      </c>
      <c r="C32" s="168" t="s">
        <v>115</v>
      </c>
      <c r="D32" s="169">
        <f t="shared" si="245"/>
      </c>
      <c r="E32" s="169">
        <v>2130.69</v>
      </c>
      <c r="F32" s="169">
        <v>507.76</v>
      </c>
      <c r="G32" s="169"/>
      <c r="H32" s="170">
        <v>3</v>
      </c>
      <c r="I32" s="170">
        <v>7447.84</v>
      </c>
      <c r="J32" s="171">
        <f t="shared" si="181"/>
      </c>
      <c r="K32" s="172">
        <f t="shared" si="91"/>
      </c>
      <c r="L32" s="173">
        <f t="shared" si="31"/>
      </c>
      <c r="M32" s="174">
        <f t="shared" si="121"/>
      </c>
      <c r="N32" s="172">
        <f t="shared" si="1"/>
      </c>
      <c r="O32" s="173">
        <f t="shared" si="452"/>
      </c>
      <c r="P32" s="172">
        <f t="shared" si="422"/>
      </c>
      <c r="Q32" s="172">
        <f t="shared" si="344"/>
      </c>
      <c r="R32" s="173">
        <f t="shared" si="314"/>
      </c>
      <c r="S32" s="175">
        <f t="shared" si="211"/>
      </c>
      <c r="T32" s="173">
        <f t="shared" si="151"/>
      </c>
      <c r="U32" s="176">
        <f t="shared" si="61"/>
      </c>
      <c r="V32" s="177" t="s">
        <v>108</v>
      </c>
      <c r="W32" s="182" t="s">
        <v>109</v>
      </c>
      <c r="X32" s="169">
        <v>2</v>
      </c>
      <c r="Y32" s="169">
        <v>12090</v>
      </c>
      <c r="Z32" s="169">
        <v>509</v>
      </c>
      <c r="AA32" s="169">
        <v>684</v>
      </c>
      <c r="AB32" s="169">
        <v>134</v>
      </c>
      <c r="AC32" s="169">
        <v>22</v>
      </c>
      <c r="AD32" s="179">
        <v>4</v>
      </c>
      <c r="AE32" s="180">
        <v>21</v>
      </c>
      <c r="AF32" s="152"/>
      <c r="AG32" s="152"/>
    </row>
    <row r="33">
      <c r="A33" s="166"/>
      <c r="B33" s="181" t="s">
        <v>117</v>
      </c>
      <c r="C33" s="168" t="s">
        <v>115</v>
      </c>
      <c r="D33" s="169">
        <f t="shared" si="245"/>
      </c>
      <c r="E33" s="169">
        <v>2902.29</v>
      </c>
      <c r="F33" s="169">
        <v>799.85</v>
      </c>
      <c r="G33" s="169"/>
      <c r="H33" s="170">
        <v>5</v>
      </c>
      <c r="I33" s="170">
        <v>6890.279999999999</v>
      </c>
      <c r="J33" s="171">
        <f t="shared" si="181"/>
      </c>
      <c r="K33" s="172">
        <f t="shared" si="91"/>
      </c>
      <c r="L33" s="173">
        <f t="shared" si="31"/>
      </c>
      <c r="M33" s="174">
        <f t="shared" si="121"/>
      </c>
      <c r="N33" s="172">
        <f t="shared" si="1"/>
      </c>
      <c r="O33" s="173">
        <f t="shared" si="452"/>
      </c>
      <c r="P33" s="172">
        <f t="shared" si="422"/>
      </c>
      <c r="Q33" s="172">
        <f t="shared" si="344"/>
      </c>
      <c r="R33" s="173">
        <f t="shared" si="314"/>
      </c>
      <c r="S33" s="175">
        <f t="shared" si="211"/>
      </c>
      <c r="T33" s="173">
        <f t="shared" si="151"/>
      </c>
      <c r="U33" s="176">
        <f t="shared" si="61"/>
      </c>
      <c r="V33" s="177" t="s">
        <v>108</v>
      </c>
      <c r="W33" s="182" t="s">
        <v>109</v>
      </c>
      <c r="X33" s="169">
        <v>5</v>
      </c>
      <c r="Y33" s="169">
        <v>14472</v>
      </c>
      <c r="Z33" s="169">
        <v>620</v>
      </c>
      <c r="AA33" s="169">
        <v>855</v>
      </c>
      <c r="AB33" s="169">
        <v>205</v>
      </c>
      <c r="AC33" s="169">
        <v>36</v>
      </c>
      <c r="AD33" s="179">
        <v>5</v>
      </c>
      <c r="AE33" s="180">
        <v>24</v>
      </c>
      <c r="AF33" s="152"/>
      <c r="AG33" s="152"/>
    </row>
    <row r="34">
      <c r="A34" s="166"/>
      <c r="B34" s="181" t="s">
        <v>118</v>
      </c>
      <c r="C34" s="168" t="s">
        <v>115</v>
      </c>
      <c r="D34" s="169">
        <f t="shared" si="245"/>
      </c>
      <c r="E34" s="170">
        <v>3003.95</v>
      </c>
      <c r="F34" s="170">
        <v>425.96</v>
      </c>
      <c r="G34" s="170"/>
      <c r="H34" s="170">
        <v>4</v>
      </c>
      <c r="I34" s="170">
        <v>19803.120000000003</v>
      </c>
      <c r="J34" s="171">
        <f t="shared" si="181"/>
      </c>
      <c r="K34" s="172">
        <f t="shared" si="91"/>
      </c>
      <c r="L34" s="173">
        <f t="shared" si="31"/>
      </c>
      <c r="M34" s="174">
        <f t="shared" si="121"/>
      </c>
      <c r="N34" s="172">
        <f t="shared" si="1"/>
      </c>
      <c r="O34" s="173">
        <f t="shared" si="452"/>
      </c>
      <c r="P34" s="172">
        <f t="shared" si="422"/>
      </c>
      <c r="Q34" s="172">
        <f t="shared" si="344"/>
      </c>
      <c r="R34" s="173">
        <f t="shared" si="314"/>
      </c>
      <c r="S34" s="175">
        <f t="shared" si="211"/>
      </c>
      <c r="T34" s="173">
        <f t="shared" si="151"/>
      </c>
      <c r="U34" s="176">
        <f t="shared" si="61"/>
      </c>
      <c r="V34" s="177" t="s">
        <v>108</v>
      </c>
      <c r="W34" s="177" t="s">
        <v>109</v>
      </c>
      <c r="X34" s="170">
        <v>3</v>
      </c>
      <c r="Y34" s="169">
        <v>16024</v>
      </c>
      <c r="Z34" s="169">
        <v>507</v>
      </c>
      <c r="AA34" s="169">
        <v>698</v>
      </c>
      <c r="AB34" s="169">
        <v>169</v>
      </c>
      <c r="AC34" s="169">
        <v>24</v>
      </c>
      <c r="AD34" s="179">
        <v>5</v>
      </c>
      <c r="AE34" s="180">
        <v>24</v>
      </c>
      <c r="AF34" s="152"/>
      <c r="AG34" s="152"/>
    </row>
    <row r="35">
      <c r="A35" s="166"/>
      <c r="B35" s="184" t="s">
        <v>113</v>
      </c>
      <c r="C35" s="184"/>
      <c r="D35" s="185">
        <f>SUM(D31:D34)</f>
      </c>
      <c r="E35" s="185">
        <f>SUM(E31:E34)</f>
      </c>
      <c r="F35" s="185">
        <f>SUM(F31:F34)</f>
      </c>
      <c r="G35" s="185"/>
      <c r="H35" s="185">
        <f>SUM(H31:H34)</f>
      </c>
      <c r="I35" s="185">
        <f>SUM(I31:I34)</f>
      </c>
      <c r="J35" s="186">
        <f t="shared" si="181"/>
      </c>
      <c r="K35" s="187">
        <f t="shared" si="91"/>
      </c>
      <c r="L35" s="188">
        <f t="shared" si="31"/>
      </c>
      <c r="M35" s="189">
        <f t="shared" si="121"/>
      </c>
      <c r="N35" s="187">
        <f t="shared" si="1"/>
      </c>
      <c r="O35" s="188">
        <f t="shared" si="452"/>
      </c>
      <c r="P35" s="187">
        <f t="shared" si="422"/>
      </c>
      <c r="Q35" s="187">
        <f t="shared" si="344"/>
      </c>
      <c r="R35" s="188">
        <f t="shared" si="314"/>
      </c>
      <c r="S35" s="190">
        <f t="shared" si="211"/>
      </c>
      <c r="T35" s="188">
        <f t="shared" si="151"/>
      </c>
      <c r="U35" s="191">
        <f t="shared" si="61"/>
      </c>
      <c r="V35" s="191"/>
      <c r="W35" s="191"/>
      <c r="X35" s="185">
        <f>SUM(X31:X34)</f>
      </c>
      <c r="Y35" s="185">
        <f>SUM(Y31:Y34)</f>
      </c>
      <c r="Z35" s="185">
        <f>SUM(Z31:Z34)</f>
      </c>
      <c r="AA35" s="185">
        <f>SUM(AA31:AA34)</f>
      </c>
      <c r="AB35" s="185">
        <f>SUM(AB31:AB34)</f>
      </c>
      <c r="AC35" s="185">
        <f>SUM(AC31:AC34)</f>
      </c>
      <c r="AD35" s="185">
        <f>SUM(AD31:AD34)</f>
      </c>
      <c r="AE35" s="185">
        <f>SUM(AE31:AE34)</f>
      </c>
      <c r="AF35" s="152"/>
      <c r="AG35" s="152"/>
    </row>
    <row r="36">
      <c r="A36" s="166"/>
      <c r="B36" s="192" t="s">
        <v>119</v>
      </c>
      <c r="C36" s="168" t="s">
        <v>120</v>
      </c>
      <c r="D36" s="169">
        <f t="shared" ref="D36:D39" si="246">E36+F36</f>
      </c>
      <c r="E36" s="170">
        <v>5970.34</v>
      </c>
      <c r="F36" s="193">
        <v>576.74</v>
      </c>
      <c r="G36" s="193"/>
      <c r="H36" s="169">
        <v>1</v>
      </c>
      <c r="I36" s="169">
        <v>5984.040000000001</v>
      </c>
      <c r="J36" s="171">
        <f t="shared" si="181"/>
      </c>
      <c r="K36" s="172">
        <f t="shared" si="91"/>
      </c>
      <c r="L36" s="173">
        <f t="shared" si="31"/>
      </c>
      <c r="M36" s="174">
        <f t="shared" si="121"/>
      </c>
      <c r="N36" s="172">
        <f t="shared" si="1"/>
      </c>
      <c r="O36" s="173">
        <f t="shared" si="452"/>
      </c>
      <c r="P36" s="172">
        <f t="shared" si="422"/>
      </c>
      <c r="Q36" s="172">
        <f t="shared" si="344"/>
      </c>
      <c r="R36" s="173">
        <f t="shared" si="314"/>
      </c>
      <c r="S36" s="175">
        <f t="shared" si="211"/>
      </c>
      <c r="T36" s="173">
        <f t="shared" si="151"/>
      </c>
      <c r="U36" s="176">
        <f t="shared" si="61"/>
      </c>
      <c r="V36" s="177" t="s">
        <v>108</v>
      </c>
      <c r="W36" s="204" t="s">
        <v>121</v>
      </c>
      <c r="X36" s="170">
        <v>1</v>
      </c>
      <c r="Y36" s="169">
        <v>45883</v>
      </c>
      <c r="Z36" s="169">
        <v>951</v>
      </c>
      <c r="AA36" s="169">
        <v>1271</v>
      </c>
      <c r="AB36" s="169">
        <v>244</v>
      </c>
      <c r="AC36" s="169">
        <v>29</v>
      </c>
      <c r="AD36" s="179">
        <v>5</v>
      </c>
      <c r="AE36" s="180">
        <v>21</v>
      </c>
      <c r="AF36" s="152"/>
      <c r="AG36" s="152"/>
    </row>
    <row r="37">
      <c r="A37" s="166"/>
      <c r="B37" s="194" t="s">
        <v>122</v>
      </c>
      <c r="C37" s="168" t="s">
        <v>120</v>
      </c>
      <c r="D37" s="169">
        <f t="shared" si="246"/>
      </c>
      <c r="E37" s="170">
        <v>3969.04</v>
      </c>
      <c r="F37" s="170">
        <v>642.7</v>
      </c>
      <c r="G37" s="170"/>
      <c r="H37" s="170">
        <v>0</v>
      </c>
      <c r="I37" s="170">
        <v>0</v>
      </c>
      <c r="J37" s="171">
        <f t="shared" si="181"/>
      </c>
      <c r="K37" s="172">
        <f t="shared" si="91"/>
      </c>
      <c r="L37" s="173">
        <f t="shared" si="31"/>
      </c>
      <c r="M37" s="174">
        <f t="shared" si="121"/>
      </c>
      <c r="N37" s="172">
        <f t="shared" si="1"/>
      </c>
      <c r="O37" s="173">
        <f t="shared" si="452"/>
      </c>
      <c r="P37" s="172">
        <f t="shared" si="422"/>
      </c>
      <c r="Q37" s="172">
        <f t="shared" si="344"/>
      </c>
      <c r="R37" s="173">
        <f t="shared" si="314"/>
      </c>
      <c r="S37" s="175">
        <f t="shared" si="211"/>
      </c>
      <c r="T37" s="173">
        <f t="shared" si="151"/>
      </c>
      <c r="U37" s="176">
        <f t="shared" si="61"/>
      </c>
      <c r="V37" s="177" t="s">
        <v>108</v>
      </c>
      <c r="W37" s="178" t="s">
        <v>121</v>
      </c>
      <c r="X37" s="169">
        <v>0</v>
      </c>
      <c r="Y37" s="169">
        <v>25149</v>
      </c>
      <c r="Z37" s="169">
        <v>617</v>
      </c>
      <c r="AA37" s="169">
        <v>853</v>
      </c>
      <c r="AB37" s="169">
        <v>156</v>
      </c>
      <c r="AC37" s="169">
        <v>27</v>
      </c>
      <c r="AD37" s="179">
        <v>1</v>
      </c>
      <c r="AE37" s="180">
        <v>26</v>
      </c>
      <c r="AF37" s="152"/>
      <c r="AG37" s="152"/>
    </row>
    <row r="38">
      <c r="A38" s="166"/>
      <c r="B38" s="183" t="s">
        <v>123</v>
      </c>
      <c r="C38" s="168" t="s">
        <v>120</v>
      </c>
      <c r="D38" s="169">
        <f t="shared" si="246"/>
      </c>
      <c r="E38" s="170">
        <v>3257.53</v>
      </c>
      <c r="F38" s="170">
        <v>967.2</v>
      </c>
      <c r="G38" s="170"/>
      <c r="H38" s="170">
        <v>0</v>
      </c>
      <c r="I38" s="170">
        <v>0</v>
      </c>
      <c r="J38" s="171">
        <f t="shared" si="181"/>
      </c>
      <c r="K38" s="172">
        <f t="shared" si="91"/>
      </c>
      <c r="L38" s="173">
        <f t="shared" si="31"/>
      </c>
      <c r="M38" s="174">
        <f t="shared" si="121"/>
      </c>
      <c r="N38" s="172">
        <f t="shared" si="1"/>
      </c>
      <c r="O38" s="173">
        <f t="shared" si="452"/>
      </c>
      <c r="P38" s="172">
        <f t="shared" si="422"/>
      </c>
      <c r="Q38" s="172">
        <f t="shared" si="344"/>
      </c>
      <c r="R38" s="173">
        <f t="shared" si="314"/>
      </c>
      <c r="S38" s="175">
        <f t="shared" si="211"/>
      </c>
      <c r="T38" s="173">
        <f t="shared" si="151"/>
      </c>
      <c r="U38" s="176">
        <f t="shared" si="61"/>
      </c>
      <c r="V38" s="177" t="s">
        <v>108</v>
      </c>
      <c r="W38" s="178" t="s">
        <v>121</v>
      </c>
      <c r="X38" s="169">
        <v>0</v>
      </c>
      <c r="Y38" s="169">
        <v>26557</v>
      </c>
      <c r="Z38" s="169">
        <v>865</v>
      </c>
      <c r="AA38" s="169">
        <v>1314</v>
      </c>
      <c r="AB38" s="169">
        <v>243</v>
      </c>
      <c r="AC38" s="169">
        <v>21</v>
      </c>
      <c r="AD38" s="179">
        <v>2</v>
      </c>
      <c r="AE38" s="180">
        <v>14</v>
      </c>
      <c r="AF38" s="152"/>
      <c r="AG38" s="152"/>
    </row>
    <row r="39">
      <c r="A39" s="166"/>
      <c r="B39" s="183" t="s">
        <v>124</v>
      </c>
      <c r="C39" s="168" t="s">
        <v>120</v>
      </c>
      <c r="D39" s="169">
        <f t="shared" si="246"/>
      </c>
      <c r="E39" s="170">
        <v>3151.17</v>
      </c>
      <c r="F39" s="170">
        <v>298.5</v>
      </c>
      <c r="G39" s="170"/>
      <c r="H39" s="170">
        <v>3</v>
      </c>
      <c r="I39" s="169">
        <v>5588.639999999999</v>
      </c>
      <c r="J39" s="171">
        <f t="shared" si="181"/>
      </c>
      <c r="K39" s="172">
        <f t="shared" si="91"/>
      </c>
      <c r="L39" s="173">
        <f t="shared" si="31"/>
      </c>
      <c r="M39" s="174">
        <f t="shared" si="121"/>
      </c>
      <c r="N39" s="172">
        <f t="shared" si="1"/>
      </c>
      <c r="O39" s="173">
        <f t="shared" si="452"/>
      </c>
      <c r="P39" s="172">
        <f t="shared" si="422"/>
      </c>
      <c r="Q39" s="172">
        <f t="shared" si="344"/>
      </c>
      <c r="R39" s="173">
        <f t="shared" si="314"/>
      </c>
      <c r="S39" s="175">
        <f t="shared" si="211"/>
      </c>
      <c r="T39" s="173">
        <f t="shared" si="151"/>
      </c>
      <c r="U39" s="176">
        <f t="shared" si="61"/>
      </c>
      <c r="V39" s="177" t="s">
        <v>108</v>
      </c>
      <c r="W39" s="178" t="s">
        <v>121</v>
      </c>
      <c r="X39" s="170">
        <v>3</v>
      </c>
      <c r="Y39" s="169">
        <v>17568</v>
      </c>
      <c r="Z39" s="169">
        <v>647</v>
      </c>
      <c r="AA39" s="169">
        <v>866</v>
      </c>
      <c r="AB39" s="169">
        <v>172</v>
      </c>
      <c r="AC39" s="169">
        <v>16</v>
      </c>
      <c r="AD39" s="179">
        <v>5</v>
      </c>
      <c r="AE39" s="180">
        <v>24</v>
      </c>
      <c r="AF39" s="152"/>
      <c r="AG39" s="152"/>
    </row>
    <row r="40">
      <c r="A40" s="166"/>
      <c r="B40" s="184" t="s">
        <v>113</v>
      </c>
      <c r="C40" s="184"/>
      <c r="D40" s="185">
        <f>SUM(D36:D39)</f>
      </c>
      <c r="E40" s="185">
        <f>SUM(E36:E39)</f>
      </c>
      <c r="F40" s="185">
        <f>SUM(F36:F39)</f>
      </c>
      <c r="G40" s="185"/>
      <c r="H40" s="185">
        <f>SUM(H36:H39)</f>
      </c>
      <c r="I40" s="185">
        <f>SUM(I36:I39)</f>
      </c>
      <c r="J40" s="186">
        <f t="shared" si="181"/>
      </c>
      <c r="K40" s="187">
        <f t="shared" si="91"/>
      </c>
      <c r="L40" s="188">
        <f t="shared" si="31"/>
      </c>
      <c r="M40" s="189">
        <f t="shared" si="121"/>
      </c>
      <c r="N40" s="187">
        <f t="shared" si="1"/>
      </c>
      <c r="O40" s="188">
        <f t="shared" si="452"/>
      </c>
      <c r="P40" s="187">
        <f t="shared" si="422"/>
      </c>
      <c r="Q40" s="187">
        <f t="shared" si="344"/>
      </c>
      <c r="R40" s="188">
        <f t="shared" si="314"/>
      </c>
      <c r="S40" s="190">
        <f t="shared" si="211"/>
      </c>
      <c r="T40" s="188">
        <f t="shared" si="151"/>
      </c>
      <c r="U40" s="191">
        <f t="shared" si="61"/>
      </c>
      <c r="V40" s="191"/>
      <c r="W40" s="191"/>
      <c r="X40" s="185">
        <f>SUM(X36:X39)</f>
      </c>
      <c r="Y40" s="185">
        <f>SUM(Y36:Y39)</f>
      </c>
      <c r="Z40" s="185">
        <f>SUM(Z36:Z39)</f>
      </c>
      <c r="AA40" s="185">
        <f>SUM(AA36:AA39)</f>
      </c>
      <c r="AB40" s="185">
        <f>SUM(AB36:AB39)</f>
      </c>
      <c r="AC40" s="185">
        <f>SUM(AC36:AC39)</f>
      </c>
      <c r="AD40" s="185">
        <f>SUM(AD36:AD39)</f>
      </c>
      <c r="AE40" s="185">
        <f>SUM(AE36:AE39)</f>
      </c>
      <c r="AF40" s="152"/>
      <c r="AG40" s="152"/>
    </row>
    <row r="41">
      <c r="A41" s="166"/>
      <c r="B41" s="181" t="s">
        <v>125</v>
      </c>
      <c r="C41" s="168" t="s">
        <v>131</v>
      </c>
      <c r="D41" s="169">
        <f t="shared" ref="D41:D44" si="247">E41+F41</f>
      </c>
      <c r="E41" s="170">
        <v>3742.34</v>
      </c>
      <c r="F41" s="170">
        <v>865.35</v>
      </c>
      <c r="G41" s="170"/>
      <c r="H41" s="170">
        <v>1</v>
      </c>
      <c r="I41" s="170">
        <v>12154.8</v>
      </c>
      <c r="J41" s="171">
        <f t="shared" si="181"/>
      </c>
      <c r="K41" s="172">
        <f t="shared" si="91"/>
      </c>
      <c r="L41" s="173">
        <f t="shared" si="31"/>
      </c>
      <c r="M41" s="174">
        <f t="shared" si="121"/>
      </c>
      <c r="N41" s="172">
        <f t="shared" si="1"/>
      </c>
      <c r="O41" s="173">
        <f t="shared" si="452"/>
      </c>
      <c r="P41" s="172">
        <f t="shared" si="422"/>
      </c>
      <c r="Q41" s="172">
        <f t="shared" si="344"/>
      </c>
      <c r="R41" s="173">
        <f t="shared" si="314"/>
      </c>
      <c r="S41" s="175">
        <f t="shared" si="211"/>
      </c>
      <c r="T41" s="173">
        <f t="shared" si="151"/>
      </c>
      <c r="U41" s="176">
        <f t="shared" si="61"/>
      </c>
      <c r="V41" s="177" t="s">
        <v>108</v>
      </c>
      <c r="W41" s="178" t="s">
        <v>121</v>
      </c>
      <c r="X41" s="170">
        <v>1</v>
      </c>
      <c r="Y41" s="169">
        <v>22354</v>
      </c>
      <c r="Z41" s="169">
        <v>841</v>
      </c>
      <c r="AA41" s="169">
        <v>1146</v>
      </c>
      <c r="AB41" s="169">
        <v>218</v>
      </c>
      <c r="AC41" s="169">
        <v>29</v>
      </c>
      <c r="AD41" s="179">
        <v>3</v>
      </c>
      <c r="AE41" s="180">
        <v>36</v>
      </c>
      <c r="AF41" s="152"/>
      <c r="AG41" s="152"/>
    </row>
    <row r="42">
      <c r="A42" s="166"/>
      <c r="B42" s="195" t="s">
        <v>127</v>
      </c>
      <c r="C42" s="168" t="s">
        <v>131</v>
      </c>
      <c r="D42" s="169">
        <f t="shared" si="247"/>
      </c>
      <c r="E42" s="170">
        <v>64.98</v>
      </c>
      <c r="F42" s="170">
        <v>982.03</v>
      </c>
      <c r="G42" s="170"/>
      <c r="H42" s="170">
        <v>0</v>
      </c>
      <c r="I42" s="170">
        <v>0</v>
      </c>
      <c r="J42" s="171">
        <f t="shared" si="181"/>
      </c>
      <c r="K42" s="172">
        <f t="shared" si="91"/>
      </c>
      <c r="L42" s="173">
        <f t="shared" si="31"/>
      </c>
      <c r="M42" s="174">
        <f t="shared" si="121"/>
      </c>
      <c r="N42" s="172">
        <f t="shared" si="1"/>
      </c>
      <c r="O42" s="173">
        <f t="shared" si="452"/>
      </c>
      <c r="P42" s="172">
        <f t="shared" si="422"/>
      </c>
      <c r="Q42" s="172">
        <f t="shared" si="344"/>
      </c>
      <c r="R42" s="173">
        <f t="shared" si="314"/>
      </c>
      <c r="S42" s="175">
        <f t="shared" si="211"/>
      </c>
      <c r="T42" s="173">
        <f t="shared" si="151"/>
      </c>
      <c r="U42" s="176">
        <f t="shared" si="61"/>
      </c>
      <c r="V42" s="177" t="s">
        <v>108</v>
      </c>
      <c r="W42" s="178" t="s">
        <v>121</v>
      </c>
      <c r="X42" s="169">
        <v>0</v>
      </c>
      <c r="Y42" s="169">
        <v>5317</v>
      </c>
      <c r="Z42" s="169">
        <v>449</v>
      </c>
      <c r="AA42" s="169">
        <v>711</v>
      </c>
      <c r="AB42" s="169">
        <v>98</v>
      </c>
      <c r="AC42" s="169">
        <v>17</v>
      </c>
      <c r="AD42" s="179">
        <v>0</v>
      </c>
      <c r="AE42" s="180">
        <v>9</v>
      </c>
      <c r="AF42" s="152"/>
      <c r="AG42" s="152"/>
    </row>
    <row r="43">
      <c r="A43" s="166"/>
      <c r="B43" s="195" t="s">
        <v>128</v>
      </c>
      <c r="C43" s="168" t="s">
        <v>131</v>
      </c>
      <c r="D43" s="169">
        <f t="shared" si="247"/>
      </c>
      <c r="E43" s="170">
        <v>1915.95</v>
      </c>
      <c r="F43" s="170">
        <v>1661.22</v>
      </c>
      <c r="G43" s="170"/>
      <c r="H43" s="169">
        <v>2</v>
      </c>
      <c r="I43" s="169">
        <v>3454.9199999999983</v>
      </c>
      <c r="J43" s="171">
        <f t="shared" si="181"/>
      </c>
      <c r="K43" s="172">
        <f t="shared" si="91"/>
      </c>
      <c r="L43" s="173">
        <f t="shared" si="31"/>
      </c>
      <c r="M43" s="174">
        <f t="shared" si="121"/>
      </c>
      <c r="N43" s="172">
        <f t="shared" si="1"/>
      </c>
      <c r="O43" s="173">
        <f t="shared" si="452"/>
      </c>
      <c r="P43" s="172">
        <f t="shared" si="422"/>
      </c>
      <c r="Q43" s="172">
        <f t="shared" si="344"/>
      </c>
      <c r="R43" s="173">
        <f t="shared" si="314"/>
      </c>
      <c r="S43" s="175">
        <f t="shared" si="211"/>
      </c>
      <c r="T43" s="173">
        <f t="shared" si="151"/>
      </c>
      <c r="U43" s="176">
        <f t="shared" si="61"/>
      </c>
      <c r="V43" s="177" t="s">
        <v>108</v>
      </c>
      <c r="W43" s="178" t="s">
        <v>121</v>
      </c>
      <c r="X43" s="169">
        <v>2</v>
      </c>
      <c r="Y43" s="169">
        <v>15150</v>
      </c>
      <c r="Z43" s="169">
        <v>999</v>
      </c>
      <c r="AA43" s="169">
        <v>1456</v>
      </c>
      <c r="AB43" s="169">
        <v>171</v>
      </c>
      <c r="AC43" s="169">
        <v>51</v>
      </c>
      <c r="AD43" s="179">
        <v>3</v>
      </c>
      <c r="AE43" s="180">
        <v>33</v>
      </c>
      <c r="AF43" s="152"/>
      <c r="AG43" s="152"/>
    </row>
    <row r="44">
      <c r="A44" s="166"/>
      <c r="B44" s="167" t="s">
        <v>129</v>
      </c>
      <c r="C44" s="168" t="s">
        <v>131</v>
      </c>
      <c r="D44" s="169">
        <f t="shared" si="247"/>
      </c>
      <c r="E44" s="170">
        <v>4985.66</v>
      </c>
      <c r="F44" s="170">
        <v>259.29</v>
      </c>
      <c r="G44" s="170"/>
      <c r="H44" s="170">
        <v>7</v>
      </c>
      <c r="I44" s="170">
        <v>7136.799999999988</v>
      </c>
      <c r="J44" s="171">
        <f t="shared" si="181"/>
      </c>
      <c r="K44" s="172">
        <f t="shared" si="91"/>
      </c>
      <c r="L44" s="173">
        <f t="shared" si="31"/>
      </c>
      <c r="M44" s="174">
        <f t="shared" si="121"/>
      </c>
      <c r="N44" s="172">
        <f t="shared" si="1"/>
      </c>
      <c r="O44" s="173">
        <f t="shared" si="452"/>
      </c>
      <c r="P44" s="172">
        <f t="shared" si="422"/>
      </c>
      <c r="Q44" s="172">
        <f t="shared" si="344"/>
      </c>
      <c r="R44" s="173">
        <f t="shared" si="314"/>
      </c>
      <c r="S44" s="175">
        <f t="shared" si="211"/>
      </c>
      <c r="T44" s="173">
        <f t="shared" si="151"/>
      </c>
      <c r="U44" s="176">
        <f t="shared" si="61"/>
      </c>
      <c r="V44" s="177" t="s">
        <v>108</v>
      </c>
      <c r="W44" s="178" t="s">
        <v>121</v>
      </c>
      <c r="X44" s="170">
        <v>7</v>
      </c>
      <c r="Y44" s="169">
        <v>50245</v>
      </c>
      <c r="Z44" s="169">
        <v>784</v>
      </c>
      <c r="AA44" s="169">
        <v>1002</v>
      </c>
      <c r="AB44" s="169">
        <v>221</v>
      </c>
      <c r="AC44" s="169">
        <v>20</v>
      </c>
      <c r="AD44" s="179">
        <v>14</v>
      </c>
      <c r="AE44" s="180">
        <v>25</v>
      </c>
      <c r="AF44" s="152"/>
      <c r="AG44" s="152"/>
    </row>
    <row r="45">
      <c r="A45" s="166"/>
      <c r="B45" s="184" t="s">
        <v>113</v>
      </c>
      <c r="C45" s="184"/>
      <c r="D45" s="185">
        <f>SUM(D41:D44)</f>
      </c>
      <c r="E45" s="185">
        <f>SUM(E41:E44)</f>
      </c>
      <c r="F45" s="185">
        <f>SUM(F41:F44)</f>
      </c>
      <c r="G45" s="185"/>
      <c r="H45" s="185">
        <f>SUM(H41:H44)</f>
      </c>
      <c r="I45" s="185">
        <f>SUM(I41:I44)</f>
      </c>
      <c r="J45" s="186">
        <f t="shared" si="181"/>
      </c>
      <c r="K45" s="187">
        <f t="shared" si="91"/>
      </c>
      <c r="L45" s="188">
        <f t="shared" si="31"/>
      </c>
      <c r="M45" s="189">
        <f t="shared" si="121"/>
      </c>
      <c r="N45" s="187">
        <f t="shared" si="1"/>
      </c>
      <c r="O45" s="188">
        <f t="shared" si="452"/>
      </c>
      <c r="P45" s="187">
        <f t="shared" si="422"/>
      </c>
      <c r="Q45" s="187">
        <f t="shared" si="344"/>
      </c>
      <c r="R45" s="188">
        <f t="shared" si="314"/>
      </c>
      <c r="S45" s="190">
        <f t="shared" si="211"/>
      </c>
      <c r="T45" s="188">
        <f t="shared" si="151"/>
      </c>
      <c r="U45" s="191">
        <f t="shared" si="61"/>
      </c>
      <c r="V45" s="191"/>
      <c r="W45" s="191"/>
      <c r="X45" s="185">
        <f>SUM(X41:X44)</f>
      </c>
      <c r="Y45" s="185">
        <f>SUM(Y41:Y44)</f>
      </c>
      <c r="Z45" s="185">
        <f>SUM(Z41:Z44)</f>
      </c>
      <c r="AA45" s="185">
        <f>SUM(AA41:AA44)</f>
      </c>
      <c r="AB45" s="185">
        <f>SUM(AB41:AB44)</f>
      </c>
      <c r="AC45" s="185">
        <f>SUM(AC41:AC44)</f>
      </c>
      <c r="AD45" s="185">
        <f>SUM(AD41:AD44)</f>
      </c>
      <c r="AE45" s="185">
        <f>SUM(AE41:AE44)</f>
      </c>
      <c r="AF45" s="152"/>
      <c r="AG45" s="152"/>
    </row>
    <row r="46">
      <c r="A46" s="166"/>
      <c r="B46" s="196" t="s">
        <v>130</v>
      </c>
      <c r="C46" s="196"/>
      <c r="D46" s="197">
        <f>D30+D35+D40+D45</f>
      </c>
      <c r="E46" s="197">
        <f>E30+E35+E40+E45</f>
      </c>
      <c r="F46" s="197">
        <f>F30+F35+F40+F45</f>
      </c>
      <c r="G46" s="197"/>
      <c r="H46" s="197">
        <f>H30+H35+H40+H45</f>
      </c>
      <c r="I46" s="197">
        <f>I30+I35+I40+I45</f>
      </c>
      <c r="J46" s="198">
        <f t="shared" si="181"/>
      </c>
      <c r="K46" s="199">
        <f t="shared" si="91"/>
      </c>
      <c r="L46" s="200">
        <f t="shared" si="31"/>
      </c>
      <c r="M46" s="201">
        <f t="shared" si="121"/>
      </c>
      <c r="N46" s="201">
        <f t="shared" si="1"/>
      </c>
      <c r="O46" s="200">
        <f t="shared" si="452"/>
      </c>
      <c r="P46" s="201">
        <f t="shared" si="422"/>
      </c>
      <c r="Q46" s="201">
        <f t="shared" si="344"/>
      </c>
      <c r="R46" s="200">
        <f t="shared" si="314"/>
      </c>
      <c r="S46" s="202">
        <f t="shared" si="211"/>
      </c>
      <c r="T46" s="200">
        <f t="shared" si="151"/>
      </c>
      <c r="U46" s="203">
        <f t="shared" si="61"/>
      </c>
      <c r="V46" s="203"/>
      <c r="W46" s="203"/>
      <c r="X46" s="198">
        <f>X30+X35+X40+X45</f>
      </c>
      <c r="Y46" s="198">
        <f>Y30+Y35+Y40+Y45</f>
      </c>
      <c r="Z46" s="198">
        <f>Z30+Z35+Z40+Z45</f>
      </c>
      <c r="AA46" s="198">
        <f>AA30+AA35+AA40+AA45</f>
      </c>
      <c r="AB46" s="198">
        <f>AB30+AB35+AB40+AB45</f>
      </c>
      <c r="AC46" s="198">
        <f>AC30+AC35+AC40+AC45</f>
      </c>
      <c r="AD46" s="198">
        <f>AD30+AD35+AD40+AD45</f>
      </c>
      <c r="AE46" s="198">
        <f>AE30+AE35+AE40+AE45</f>
      </c>
      <c r="AF46" s="152"/>
      <c r="AG46" s="152"/>
    </row>
    <row r="47">
      <c r="A47" s="146" t="s">
        <v>73</v>
      </c>
      <c r="B47" s="146"/>
      <c r="C47" s="146"/>
      <c r="D47" s="147" t="s">
        <v>74</v>
      </c>
      <c r="E47" s="147"/>
      <c r="F47" s="147"/>
      <c r="G47" s="147"/>
      <c r="H47" s="147"/>
      <c r="I47" s="147"/>
      <c r="J47" s="147"/>
      <c r="K47" s="148" t="s">
        <v>75</v>
      </c>
      <c r="L47" s="148"/>
      <c r="M47" s="148"/>
      <c r="N47" s="148"/>
      <c r="O47" s="148"/>
      <c r="P47" s="148"/>
      <c r="Q47" s="148"/>
      <c r="R47" s="148"/>
      <c r="S47" s="148"/>
      <c r="T47" s="148"/>
      <c r="U47" s="149"/>
      <c r="V47" s="149"/>
      <c r="W47" s="149"/>
      <c r="X47" s="150"/>
      <c r="Y47" s="150"/>
      <c r="Z47" s="150"/>
      <c r="AA47" s="150"/>
      <c r="AB47" s="150"/>
      <c r="AC47" s="150"/>
      <c r="AD47" s="150"/>
      <c r="AE47" s="151" t="s">
        <v>76</v>
      </c>
      <c r="AF47" s="152"/>
      <c r="AG47" s="152"/>
    </row>
    <row r="48">
      <c r="A48" s="153" t="s">
        <v>77</v>
      </c>
      <c r="B48" s="146" t="s">
        <v>78</v>
      </c>
      <c r="C48" s="146" t="s">
        <v>79</v>
      </c>
      <c r="D48" s="154" t="s">
        <v>80</v>
      </c>
      <c r="E48" s="155" t="s">
        <v>81</v>
      </c>
      <c r="F48" s="155" t="s">
        <v>82</v>
      </c>
      <c r="G48" s="155"/>
      <c r="H48" s="156" t="s">
        <v>83</v>
      </c>
      <c r="I48" s="157" t="s">
        <v>84</v>
      </c>
      <c r="J48" s="155" t="s">
        <v>85</v>
      </c>
      <c r="K48" s="158" t="s">
        <v>86</v>
      </c>
      <c r="L48" s="158" t="s">
        <v>87</v>
      </c>
      <c r="M48" s="159" t="s">
        <v>88</v>
      </c>
      <c r="N48" s="160" t="s">
        <v>89</v>
      </c>
      <c r="O48" s="148" t="s">
        <v>90</v>
      </c>
      <c r="P48" s="160" t="s">
        <v>91</v>
      </c>
      <c r="Q48" s="160" t="s">
        <v>92</v>
      </c>
      <c r="R48" s="161" t="s">
        <v>93</v>
      </c>
      <c r="S48" s="160" t="s">
        <v>94</v>
      </c>
      <c r="T48" s="161" t="s">
        <v>95</v>
      </c>
      <c r="U48" s="162" t="s">
        <v>96</v>
      </c>
      <c r="V48" s="162" t="s">
        <v>97</v>
      </c>
      <c r="W48" s="162" t="s">
        <v>98</v>
      </c>
      <c r="X48" s="163" t="s">
        <v>99</v>
      </c>
      <c r="Y48" s="164" t="s">
        <v>100</v>
      </c>
      <c r="Z48" s="164" t="s">
        <v>101</v>
      </c>
      <c r="AA48" s="164" t="s">
        <v>102</v>
      </c>
      <c r="AB48" s="164" t="s">
        <v>103</v>
      </c>
      <c r="AC48" s="164" t="s">
        <v>104</v>
      </c>
      <c r="AD48" s="165" t="s">
        <v>105</v>
      </c>
      <c r="AE48" s="151"/>
      <c r="AF48" s="152"/>
      <c r="AG48" s="152"/>
    </row>
    <row r="49">
      <c r="A49" s="166">
        <v>46268</v>
      </c>
      <c r="B49" s="167" t="s">
        <v>106</v>
      </c>
      <c r="C49" s="168" t="s">
        <v>107</v>
      </c>
      <c r="D49" s="169">
        <f t="shared" ref="D49:D52" si="248">E49+F49</f>
      </c>
      <c r="E49" s="170">
        <v>1984.31</v>
      </c>
      <c r="F49" s="169">
        <v>1000</v>
      </c>
      <c r="G49" s="169"/>
      <c r="H49" s="170">
        <v>1</v>
      </c>
      <c r="I49" s="169">
        <v>950.4000000000001</v>
      </c>
      <c r="J49" s="171">
        <f t="shared" ref="J49:J69" si="182">I49/D49</f>
      </c>
      <c r="K49" s="172">
        <f t="shared" ref="K49:K69" si="92">Z49/Y49</f>
      </c>
      <c r="L49" s="173">
        <f t="shared" ref="L49:L69" si="32">D49/AA49</f>
      </c>
      <c r="M49" s="174">
        <f t="shared" ref="M49:M69" si="122">AB49/AA49</f>
      </c>
      <c r="N49" s="172">
        <f t="shared" ref="N49:N69" si="2">AC49/AA49</f>
      </c>
      <c r="O49" s="173">
        <f t="shared" ref="O49:O69" si="453">D49/AC49</f>
      </c>
      <c r="P49" s="172">
        <f t="shared" ref="P49:P69" si="423">AD49/AC49</f>
      </c>
      <c r="Q49" s="172">
        <f t="shared" ref="Q49:Q69" si="345">H49/AD49</f>
      </c>
      <c r="R49" s="173">
        <f t="shared" ref="R49:R69" si="315">D49/H49</f>
      </c>
      <c r="S49" s="175">
        <f t="shared" ref="S49:S69" si="212">I49/H49</f>
      </c>
      <c r="T49" s="173">
        <f t="shared" ref="T49:T69" si="152">D49/X49</f>
      </c>
      <c r="U49" s="176">
        <f t="shared" ref="U49:U69" si="62">AE49*1000/D49</f>
      </c>
      <c r="V49" s="177" t="s">
        <v>108</v>
      </c>
      <c r="W49" s="182" t="s">
        <v>132</v>
      </c>
      <c r="X49" s="169">
        <v>1</v>
      </c>
      <c r="Y49" s="169">
        <v>17107</v>
      </c>
      <c r="Z49" s="169">
        <v>905</v>
      </c>
      <c r="AA49" s="169">
        <v>1515</v>
      </c>
      <c r="AB49" s="169">
        <v>299</v>
      </c>
      <c r="AC49" s="179">
        <v>22</v>
      </c>
      <c r="AD49" s="179">
        <v>4</v>
      </c>
      <c r="AE49" s="180">
        <v>24</v>
      </c>
      <c r="AF49" s="152"/>
      <c r="AG49" s="152"/>
    </row>
    <row r="50">
      <c r="A50" s="166"/>
      <c r="B50" s="181" t="s">
        <v>110</v>
      </c>
      <c r="C50" s="168" t="s">
        <v>107</v>
      </c>
      <c r="D50" s="169">
        <f t="shared" si="248"/>
      </c>
      <c r="E50" s="169">
        <v>368.03999999999996</v>
      </c>
      <c r="F50" s="169">
        <v>798.94</v>
      </c>
      <c r="G50" s="169"/>
      <c r="H50" s="170">
        <v>1</v>
      </c>
      <c r="I50" s="170">
        <v>467.6399999999999</v>
      </c>
      <c r="J50" s="171">
        <f t="shared" si="182"/>
      </c>
      <c r="K50" s="172">
        <f t="shared" si="92"/>
      </c>
      <c r="L50" s="173">
        <f t="shared" si="32"/>
      </c>
      <c r="M50" s="174">
        <f t="shared" si="122"/>
      </c>
      <c r="N50" s="172">
        <f t="shared" si="2"/>
      </c>
      <c r="O50" s="173">
        <f t="shared" si="453"/>
      </c>
      <c r="P50" s="172">
        <f t="shared" si="423"/>
      </c>
      <c r="Q50" s="172">
        <f t="shared" si="345"/>
      </c>
      <c r="R50" s="173">
        <f t="shared" si="315"/>
      </c>
      <c r="S50" s="175">
        <f t="shared" si="212"/>
      </c>
      <c r="T50" s="173">
        <f t="shared" si="152"/>
      </c>
      <c r="U50" s="176">
        <f t="shared" si="62"/>
      </c>
      <c r="V50" s="177" t="s">
        <v>108</v>
      </c>
      <c r="W50" s="182" t="s">
        <v>132</v>
      </c>
      <c r="X50" s="205">
        <v>1</v>
      </c>
      <c r="Y50" s="169">
        <v>6199</v>
      </c>
      <c r="Z50" s="169">
        <v>156</v>
      </c>
      <c r="AA50" s="169">
        <v>202</v>
      </c>
      <c r="AB50" s="169">
        <v>18</v>
      </c>
      <c r="AC50" s="169">
        <v>24</v>
      </c>
      <c r="AD50" s="179">
        <v>2</v>
      </c>
      <c r="AE50" s="180">
        <v>8</v>
      </c>
      <c r="AF50" s="152"/>
      <c r="AG50" s="152"/>
    </row>
    <row r="51">
      <c r="A51" s="166"/>
      <c r="B51" s="181" t="s">
        <v>111</v>
      </c>
      <c r="C51" s="168" t="s">
        <v>107</v>
      </c>
      <c r="D51" s="169">
        <f t="shared" si="248"/>
      </c>
      <c r="E51" s="169">
        <v>2427.19</v>
      </c>
      <c r="F51" s="169">
        <v>1338.59</v>
      </c>
      <c r="G51" s="169"/>
      <c r="H51" s="170">
        <v>3</v>
      </c>
      <c r="I51" s="169">
        <v>3127.3399999999992</v>
      </c>
      <c r="J51" s="171">
        <f t="shared" si="182"/>
      </c>
      <c r="K51" s="172">
        <f t="shared" si="92"/>
      </c>
      <c r="L51" s="173">
        <f t="shared" si="32"/>
      </c>
      <c r="M51" s="174">
        <f t="shared" si="122"/>
      </c>
      <c r="N51" s="172">
        <f t="shared" si="2"/>
      </c>
      <c r="O51" s="173">
        <f t="shared" si="453"/>
      </c>
      <c r="P51" s="172">
        <f t="shared" si="423"/>
      </c>
      <c r="Q51" s="172">
        <f t="shared" si="345"/>
      </c>
      <c r="R51" s="173">
        <f t="shared" si="315"/>
      </c>
      <c r="S51" s="175">
        <f t="shared" si="212"/>
      </c>
      <c r="T51" s="173">
        <f t="shared" si="152"/>
      </c>
      <c r="U51" s="176">
        <f t="shared" si="62"/>
      </c>
      <c r="V51" s="177" t="s">
        <v>108</v>
      </c>
      <c r="W51" s="182" t="s">
        <v>132</v>
      </c>
      <c r="X51" s="205">
        <v>2</v>
      </c>
      <c r="Y51" s="169">
        <v>14953</v>
      </c>
      <c r="Z51" s="169">
        <v>885</v>
      </c>
      <c r="AA51" s="169">
        <v>1294</v>
      </c>
      <c r="AB51" s="169">
        <v>302</v>
      </c>
      <c r="AC51" s="169">
        <v>33</v>
      </c>
      <c r="AD51" s="179">
        <v>3</v>
      </c>
      <c r="AE51" s="180">
        <v>26</v>
      </c>
      <c r="AF51" s="152"/>
      <c r="AG51" s="152"/>
    </row>
    <row r="52">
      <c r="A52" s="166"/>
      <c r="B52" s="183" t="s">
        <v>112</v>
      </c>
      <c r="C52" s="168" t="s">
        <v>107</v>
      </c>
      <c r="D52" s="169">
        <f t="shared" si="248"/>
      </c>
      <c r="E52" s="169">
        <v>1642.48</v>
      </c>
      <c r="F52" s="169">
        <v>1117.73</v>
      </c>
      <c r="G52" s="169"/>
      <c r="H52" s="170">
        <v>3</v>
      </c>
      <c r="I52" s="170">
        <v>11571.600000000002</v>
      </c>
      <c r="J52" s="171">
        <f t="shared" si="182"/>
      </c>
      <c r="K52" s="172">
        <f t="shared" si="92"/>
      </c>
      <c r="L52" s="173">
        <f t="shared" si="32"/>
      </c>
      <c r="M52" s="174">
        <f t="shared" si="122"/>
      </c>
      <c r="N52" s="172">
        <f t="shared" si="2"/>
      </c>
      <c r="O52" s="173">
        <f t="shared" si="453"/>
      </c>
      <c r="P52" s="172">
        <f t="shared" si="423"/>
      </c>
      <c r="Q52" s="172">
        <f t="shared" si="345"/>
      </c>
      <c r="R52" s="173">
        <f t="shared" si="315"/>
      </c>
      <c r="S52" s="175">
        <f t="shared" si="212"/>
      </c>
      <c r="T52" s="173">
        <f t="shared" si="152"/>
      </c>
      <c r="U52" s="176">
        <f t="shared" si="62"/>
      </c>
      <c r="V52" s="177" t="s">
        <v>108</v>
      </c>
      <c r="W52" s="182" t="s">
        <v>132</v>
      </c>
      <c r="X52" s="205">
        <v>2</v>
      </c>
      <c r="Y52" s="169">
        <v>11296</v>
      </c>
      <c r="Z52" s="169">
        <v>735</v>
      </c>
      <c r="AA52" s="169">
        <v>1203</v>
      </c>
      <c r="AB52" s="169">
        <v>268</v>
      </c>
      <c r="AC52" s="169">
        <v>22</v>
      </c>
      <c r="AD52" s="179">
        <v>4</v>
      </c>
      <c r="AE52" s="180">
        <v>36</v>
      </c>
      <c r="AF52" s="152"/>
      <c r="AG52" s="152"/>
    </row>
    <row r="53">
      <c r="A53" s="166"/>
      <c r="B53" s="184" t="s">
        <v>113</v>
      </c>
      <c r="C53" s="184"/>
      <c r="D53" s="185">
        <f>SUM(D49:D52)</f>
      </c>
      <c r="E53" s="185">
        <f>SUM(E49:E52)</f>
      </c>
      <c r="F53" s="185">
        <f>SUM(F49:F52)</f>
      </c>
      <c r="G53" s="185"/>
      <c r="H53" s="185">
        <f>SUM(H49:H52)</f>
      </c>
      <c r="I53" s="185">
        <f>SUM(I49:I52)</f>
      </c>
      <c r="J53" s="186">
        <f t="shared" si="182"/>
      </c>
      <c r="K53" s="187">
        <f t="shared" si="92"/>
      </c>
      <c r="L53" s="188">
        <f t="shared" si="32"/>
      </c>
      <c r="M53" s="189">
        <f t="shared" si="122"/>
      </c>
      <c r="N53" s="187">
        <f t="shared" si="2"/>
      </c>
      <c r="O53" s="188">
        <f t="shared" si="453"/>
      </c>
      <c r="P53" s="187">
        <f t="shared" si="423"/>
      </c>
      <c r="Q53" s="187">
        <f t="shared" si="345"/>
      </c>
      <c r="R53" s="188">
        <f t="shared" si="315"/>
      </c>
      <c r="S53" s="190">
        <f t="shared" si="212"/>
      </c>
      <c r="T53" s="188">
        <f t="shared" si="152"/>
      </c>
      <c r="U53" s="191">
        <f t="shared" si="62"/>
      </c>
      <c r="V53" s="191"/>
      <c r="W53" s="191"/>
      <c r="X53" s="206">
        <f>SUM(X49:X52)</f>
      </c>
      <c r="Y53" s="185">
        <f>SUM(Y49:Y52)</f>
      </c>
      <c r="Z53" s="185">
        <f>SUM(Z49:Z52)</f>
      </c>
      <c r="AA53" s="185">
        <f>SUM(AA49:AA52)</f>
      </c>
      <c r="AB53" s="185">
        <f>SUM(AB49:AB52)</f>
      </c>
      <c r="AC53" s="185">
        <f>SUM(AC49:AC52)</f>
      </c>
      <c r="AD53" s="185">
        <f>SUM(AD49:AD52)</f>
      </c>
      <c r="AE53" s="185">
        <f>SUM(AE49:AE52)</f>
      </c>
      <c r="AF53" s="152"/>
      <c r="AG53" s="152"/>
    </row>
    <row r="54">
      <c r="A54" s="166"/>
      <c r="B54" s="181" t="s">
        <v>114</v>
      </c>
      <c r="C54" s="168" t="s">
        <v>115</v>
      </c>
      <c r="D54" s="169">
        <f t="shared" ref="D54:D57" si="249">E54+F54</f>
      </c>
      <c r="E54" s="169">
        <v>2713.99</v>
      </c>
      <c r="F54" s="169">
        <v>1318.16</v>
      </c>
      <c r="G54" s="169"/>
      <c r="H54" s="170">
        <v>2</v>
      </c>
      <c r="I54" s="170">
        <v>6124.199999999999</v>
      </c>
      <c r="J54" s="171">
        <f t="shared" si="182"/>
      </c>
      <c r="K54" s="172">
        <f t="shared" si="92"/>
      </c>
      <c r="L54" s="173">
        <f t="shared" si="32"/>
      </c>
      <c r="M54" s="174">
        <f t="shared" si="122"/>
      </c>
      <c r="N54" s="172">
        <f t="shared" si="2"/>
      </c>
      <c r="O54" s="173">
        <f t="shared" si="453"/>
      </c>
      <c r="P54" s="172">
        <f t="shared" si="423"/>
      </c>
      <c r="Q54" s="172">
        <f t="shared" si="345"/>
      </c>
      <c r="R54" s="173">
        <f t="shared" si="315"/>
      </c>
      <c r="S54" s="175">
        <f t="shared" si="212"/>
      </c>
      <c r="T54" s="173">
        <f t="shared" si="152"/>
      </c>
      <c r="U54" s="176">
        <f t="shared" si="62"/>
      </c>
      <c r="V54" s="177" t="s">
        <v>108</v>
      </c>
      <c r="W54" s="182" t="s">
        <v>132</v>
      </c>
      <c r="X54" s="205">
        <v>2</v>
      </c>
      <c r="Y54" s="169">
        <v>20345</v>
      </c>
      <c r="Z54" s="169">
        <v>1107</v>
      </c>
      <c r="AA54" s="169">
        <v>1737</v>
      </c>
      <c r="AB54" s="169">
        <v>349</v>
      </c>
      <c r="AC54" s="169">
        <v>30</v>
      </c>
      <c r="AD54" s="179">
        <v>4</v>
      </c>
      <c r="AE54" s="180">
        <v>37</v>
      </c>
      <c r="AF54" s="152"/>
      <c r="AG54" s="152"/>
    </row>
    <row r="55">
      <c r="A55" s="166"/>
      <c r="B55" s="181" t="s">
        <v>116</v>
      </c>
      <c r="C55" s="168" t="s">
        <v>115</v>
      </c>
      <c r="D55" s="169">
        <f t="shared" si="249"/>
      </c>
      <c r="E55" s="169">
        <v>7666.459999999999</v>
      </c>
      <c r="F55" s="169">
        <v>2215.02</v>
      </c>
      <c r="G55" s="169"/>
      <c r="H55" s="170">
        <v>5</v>
      </c>
      <c r="I55" s="170">
        <v>16837.560000000005</v>
      </c>
      <c r="J55" s="171">
        <f t="shared" si="182"/>
      </c>
      <c r="K55" s="172">
        <f t="shared" si="92"/>
      </c>
      <c r="L55" s="173">
        <f t="shared" si="32"/>
      </c>
      <c r="M55" s="174">
        <f t="shared" si="122"/>
      </c>
      <c r="N55" s="172">
        <f t="shared" si="2"/>
      </c>
      <c r="O55" s="173">
        <f t="shared" si="453"/>
      </c>
      <c r="P55" s="172">
        <f t="shared" si="423"/>
      </c>
      <c r="Q55" s="172">
        <f t="shared" si="345"/>
      </c>
      <c r="R55" s="173">
        <f t="shared" si="315"/>
      </c>
      <c r="S55" s="175">
        <f t="shared" si="212"/>
      </c>
      <c r="T55" s="173">
        <f t="shared" si="152"/>
      </c>
      <c r="U55" s="176">
        <f t="shared" si="62"/>
      </c>
      <c r="V55" s="177" t="s">
        <v>108</v>
      </c>
      <c r="W55" s="182" t="s">
        <v>132</v>
      </c>
      <c r="X55" s="205">
        <v>5</v>
      </c>
      <c r="Y55" s="169">
        <v>44369</v>
      </c>
      <c r="Z55" s="169">
        <v>2158</v>
      </c>
      <c r="AA55" s="169">
        <v>3360</v>
      </c>
      <c r="AB55" s="169">
        <v>659</v>
      </c>
      <c r="AC55" s="169">
        <v>41</v>
      </c>
      <c r="AD55" s="179">
        <v>9</v>
      </c>
      <c r="AE55" s="180">
        <v>63</v>
      </c>
      <c r="AF55" s="152"/>
      <c r="AG55" s="152"/>
    </row>
    <row r="56">
      <c r="A56" s="166"/>
      <c r="B56" s="181" t="s">
        <v>117</v>
      </c>
      <c r="C56" s="168" t="s">
        <v>115</v>
      </c>
      <c r="D56" s="169">
        <f t="shared" si="249"/>
      </c>
      <c r="E56" s="169">
        <v>2905.62</v>
      </c>
      <c r="F56" s="169">
        <v>786.65</v>
      </c>
      <c r="G56" s="169"/>
      <c r="H56" s="170">
        <v>4</v>
      </c>
      <c r="I56" s="170">
        <v>7033.759999999995</v>
      </c>
      <c r="J56" s="171">
        <f t="shared" si="182"/>
      </c>
      <c r="K56" s="172">
        <f t="shared" si="92"/>
      </c>
      <c r="L56" s="173">
        <f t="shared" si="32"/>
      </c>
      <c r="M56" s="174">
        <f t="shared" si="122"/>
      </c>
      <c r="N56" s="172">
        <f t="shared" si="2"/>
      </c>
      <c r="O56" s="173">
        <f t="shared" si="453"/>
      </c>
      <c r="P56" s="172">
        <f t="shared" si="423"/>
      </c>
      <c r="Q56" s="172">
        <f t="shared" si="345"/>
      </c>
      <c r="R56" s="173">
        <f t="shared" si="315"/>
      </c>
      <c r="S56" s="175">
        <f t="shared" si="212"/>
      </c>
      <c r="T56" s="173">
        <f t="shared" si="152"/>
      </c>
      <c r="U56" s="176">
        <f t="shared" si="62"/>
      </c>
      <c r="V56" s="177" t="s">
        <v>108</v>
      </c>
      <c r="W56" s="182" t="s">
        <v>132</v>
      </c>
      <c r="X56" s="205">
        <v>3</v>
      </c>
      <c r="Y56" s="169">
        <v>20059</v>
      </c>
      <c r="Z56" s="169">
        <v>851</v>
      </c>
      <c r="AA56" s="169">
        <v>1400</v>
      </c>
      <c r="AB56" s="169">
        <v>276</v>
      </c>
      <c r="AC56" s="169">
        <v>25</v>
      </c>
      <c r="AD56" s="179">
        <v>6</v>
      </c>
      <c r="AE56" s="180">
        <v>25</v>
      </c>
      <c r="AF56" s="152"/>
      <c r="AG56" s="152"/>
    </row>
    <row r="57">
      <c r="A57" s="166"/>
      <c r="B57" s="181" t="s">
        <v>118</v>
      </c>
      <c r="C57" s="168" t="s">
        <v>115</v>
      </c>
      <c r="D57" s="169">
        <f t="shared" si="249"/>
      </c>
      <c r="E57" s="170">
        <v>5496.46</v>
      </c>
      <c r="F57" s="170">
        <v>719.52</v>
      </c>
      <c r="G57" s="170"/>
      <c r="H57" s="170">
        <v>1</v>
      </c>
      <c r="I57" s="170">
        <v>7990.32</v>
      </c>
      <c r="J57" s="171">
        <f t="shared" si="182"/>
      </c>
      <c r="K57" s="172">
        <f t="shared" si="92"/>
      </c>
      <c r="L57" s="173">
        <f t="shared" si="32"/>
      </c>
      <c r="M57" s="174">
        <f t="shared" si="122"/>
      </c>
      <c r="N57" s="172">
        <f t="shared" si="2"/>
      </c>
      <c r="O57" s="173">
        <f t="shared" si="453"/>
      </c>
      <c r="P57" s="172">
        <f t="shared" si="423"/>
      </c>
      <c r="Q57" s="172">
        <f t="shared" si="345"/>
      </c>
      <c r="R57" s="173">
        <f t="shared" si="315"/>
      </c>
      <c r="S57" s="175">
        <f t="shared" si="212"/>
      </c>
      <c r="T57" s="173">
        <f t="shared" si="152"/>
      </c>
      <c r="U57" s="176">
        <f t="shared" si="62"/>
      </c>
      <c r="V57" s="177" t="s">
        <v>108</v>
      </c>
      <c r="W57" s="177" t="s">
        <v>132</v>
      </c>
      <c r="X57" s="205">
        <v>1</v>
      </c>
      <c r="Y57" s="169">
        <v>32426</v>
      </c>
      <c r="Z57" s="169">
        <v>1027</v>
      </c>
      <c r="AA57" s="169">
        <v>1736</v>
      </c>
      <c r="AB57" s="169">
        <v>318</v>
      </c>
      <c r="AC57" s="169">
        <v>30</v>
      </c>
      <c r="AD57" s="179">
        <v>4</v>
      </c>
      <c r="AE57" s="180">
        <v>39</v>
      </c>
      <c r="AF57" s="152"/>
      <c r="AG57" s="152"/>
    </row>
    <row r="58">
      <c r="A58" s="166"/>
      <c r="B58" s="184" t="s">
        <v>113</v>
      </c>
      <c r="C58" s="184"/>
      <c r="D58" s="185">
        <f>SUM(D54:D57)</f>
      </c>
      <c r="E58" s="185">
        <f>SUM(E54:E57)</f>
      </c>
      <c r="F58" s="185">
        <f>SUM(F54:F57)</f>
      </c>
      <c r="G58" s="185"/>
      <c r="H58" s="185">
        <f>SUM(H54:H57)</f>
      </c>
      <c r="I58" s="185">
        <f>SUM(I54:I57)</f>
      </c>
      <c r="J58" s="186">
        <f t="shared" si="182"/>
      </c>
      <c r="K58" s="187">
        <f t="shared" si="92"/>
      </c>
      <c r="L58" s="188">
        <f t="shared" si="32"/>
      </c>
      <c r="M58" s="189">
        <f t="shared" si="122"/>
      </c>
      <c r="N58" s="187">
        <f t="shared" si="2"/>
      </c>
      <c r="O58" s="188">
        <f t="shared" si="453"/>
      </c>
      <c r="P58" s="187">
        <f t="shared" si="423"/>
      </c>
      <c r="Q58" s="187">
        <f t="shared" si="345"/>
      </c>
      <c r="R58" s="188">
        <f t="shared" si="315"/>
      </c>
      <c r="S58" s="190">
        <f t="shared" si="212"/>
      </c>
      <c r="T58" s="188">
        <f t="shared" si="152"/>
      </c>
      <c r="U58" s="191">
        <f t="shared" si="62"/>
      </c>
      <c r="V58" s="191"/>
      <c r="W58" s="191"/>
      <c r="X58" s="206">
        <f>SUM(X54:X57)</f>
      </c>
      <c r="Y58" s="185">
        <f>SUM(Y54:Y57)</f>
      </c>
      <c r="Z58" s="185">
        <f>SUM(Z54:Z57)</f>
      </c>
      <c r="AA58" s="185">
        <f>SUM(AA54:AA57)</f>
      </c>
      <c r="AB58" s="185">
        <f>SUM(AB54:AB57)</f>
      </c>
      <c r="AC58" s="185">
        <f>SUM(AC54:AC57)</f>
      </c>
      <c r="AD58" s="185">
        <f>SUM(AD54:AD57)</f>
      </c>
      <c r="AE58" s="185">
        <f>SUM(AE54:AE57)</f>
      </c>
      <c r="AF58" s="152"/>
      <c r="AG58" s="152"/>
    </row>
    <row r="59">
      <c r="A59" s="166"/>
      <c r="B59" s="192" t="s">
        <v>119</v>
      </c>
      <c r="C59" s="168" t="s">
        <v>131</v>
      </c>
      <c r="D59" s="169">
        <f t="shared" ref="D59:D62" si="250">E59+F59</f>
      </c>
      <c r="E59" s="170">
        <v>3191.16</v>
      </c>
      <c r="F59" s="193">
        <v>1447.45</v>
      </c>
      <c r="G59" s="193"/>
      <c r="H59" s="169">
        <v>2</v>
      </c>
      <c r="I59" s="169">
        <v>12224.159999999996</v>
      </c>
      <c r="J59" s="171">
        <f t="shared" si="182"/>
      </c>
      <c r="K59" s="172">
        <f t="shared" si="92"/>
      </c>
      <c r="L59" s="173">
        <f t="shared" si="32"/>
      </c>
      <c r="M59" s="174">
        <f t="shared" si="122"/>
      </c>
      <c r="N59" s="172">
        <f t="shared" si="2"/>
      </c>
      <c r="O59" s="173">
        <f t="shared" si="453"/>
      </c>
      <c r="P59" s="172">
        <f t="shared" si="423"/>
      </c>
      <c r="Q59" s="172">
        <f t="shared" si="345"/>
      </c>
      <c r="R59" s="173">
        <f t="shared" si="315"/>
      </c>
      <c r="S59" s="175">
        <f t="shared" si="212"/>
      </c>
      <c r="T59" s="173">
        <f t="shared" si="152"/>
      </c>
      <c r="U59" s="176">
        <f t="shared" si="62"/>
      </c>
      <c r="V59" s="177" t="s">
        <v>108</v>
      </c>
      <c r="W59" s="182" t="s">
        <v>133</v>
      </c>
      <c r="X59" s="205">
        <v>2</v>
      </c>
      <c r="Y59" s="169">
        <v>22202</v>
      </c>
      <c r="Z59" s="169">
        <v>1257</v>
      </c>
      <c r="AA59" s="169">
        <v>2278</v>
      </c>
      <c r="AB59" s="169">
        <v>474</v>
      </c>
      <c r="AC59" s="169">
        <v>38</v>
      </c>
      <c r="AD59" s="179">
        <v>3</v>
      </c>
      <c r="AE59" s="180">
        <v>36</v>
      </c>
      <c r="AF59" s="152"/>
      <c r="AG59" s="152"/>
    </row>
    <row r="60">
      <c r="A60" s="166"/>
      <c r="B60" s="194" t="s">
        <v>122</v>
      </c>
      <c r="C60" s="168" t="s">
        <v>131</v>
      </c>
      <c r="D60" s="169">
        <f t="shared" si="250"/>
      </c>
      <c r="E60" s="170">
        <v>2991.13</v>
      </c>
      <c r="F60" s="170">
        <v>1170.36</v>
      </c>
      <c r="G60" s="170"/>
      <c r="H60" s="170">
        <v>1</v>
      </c>
      <c r="I60" s="170">
        <v>948.2400000000052</v>
      </c>
      <c r="J60" s="171">
        <f t="shared" si="182"/>
      </c>
      <c r="K60" s="172">
        <f t="shared" si="92"/>
      </c>
      <c r="L60" s="173">
        <f t="shared" si="32"/>
      </c>
      <c r="M60" s="174">
        <f t="shared" si="122"/>
      </c>
      <c r="N60" s="172">
        <f t="shared" si="2"/>
      </c>
      <c r="O60" s="173">
        <f t="shared" si="453"/>
      </c>
      <c r="P60" s="172">
        <f t="shared" si="423"/>
      </c>
      <c r="Q60" s="172">
        <f t="shared" si="345"/>
      </c>
      <c r="R60" s="173">
        <f t="shared" si="315"/>
      </c>
      <c r="S60" s="175">
        <f t="shared" si="212"/>
      </c>
      <c r="T60" s="173">
        <f t="shared" si="152"/>
      </c>
      <c r="U60" s="176">
        <f t="shared" si="62"/>
      </c>
      <c r="V60" s="177" t="s">
        <v>108</v>
      </c>
      <c r="W60" s="182" t="s">
        <v>133</v>
      </c>
      <c r="X60" s="205">
        <v>1</v>
      </c>
      <c r="Y60" s="169">
        <v>22176</v>
      </c>
      <c r="Z60" s="169">
        <v>1151</v>
      </c>
      <c r="AA60" s="169">
        <v>1866</v>
      </c>
      <c r="AB60" s="169">
        <v>354</v>
      </c>
      <c r="AC60" s="169">
        <v>25</v>
      </c>
      <c r="AD60" s="179">
        <v>2</v>
      </c>
      <c r="AE60" s="180">
        <v>25</v>
      </c>
      <c r="AF60" s="152"/>
      <c r="AG60" s="152"/>
    </row>
    <row r="61">
      <c r="A61" s="166"/>
      <c r="B61" s="183" t="s">
        <v>123</v>
      </c>
      <c r="C61" s="168" t="s">
        <v>131</v>
      </c>
      <c r="D61" s="169">
        <f t="shared" si="250"/>
      </c>
      <c r="E61" s="170">
        <v>3112.0299999999997</v>
      </c>
      <c r="F61" s="170">
        <v>1268.53</v>
      </c>
      <c r="G61" s="170"/>
      <c r="H61" s="170">
        <v>1</v>
      </c>
      <c r="I61" s="170">
        <v>4474.440000000002</v>
      </c>
      <c r="J61" s="171">
        <f t="shared" si="182"/>
      </c>
      <c r="K61" s="172">
        <f t="shared" si="92"/>
      </c>
      <c r="L61" s="173">
        <f t="shared" si="32"/>
      </c>
      <c r="M61" s="174">
        <f t="shared" si="122"/>
      </c>
      <c r="N61" s="172">
        <f t="shared" si="2"/>
      </c>
      <c r="O61" s="173">
        <f t="shared" si="453"/>
      </c>
      <c r="P61" s="172">
        <f t="shared" si="423"/>
      </c>
      <c r="Q61" s="172">
        <f t="shared" si="345"/>
      </c>
      <c r="R61" s="173">
        <f t="shared" si="315"/>
      </c>
      <c r="S61" s="175">
        <f t="shared" si="212"/>
      </c>
      <c r="T61" s="173">
        <f t="shared" si="152"/>
      </c>
      <c r="U61" s="176">
        <f t="shared" si="62"/>
      </c>
      <c r="V61" s="177" t="s">
        <v>108</v>
      </c>
      <c r="W61" s="182" t="s">
        <v>133</v>
      </c>
      <c r="X61" s="205">
        <v>1</v>
      </c>
      <c r="Y61" s="169">
        <v>20151</v>
      </c>
      <c r="Z61" s="169">
        <v>1086</v>
      </c>
      <c r="AA61" s="169">
        <v>2118</v>
      </c>
      <c r="AB61" s="169">
        <v>358</v>
      </c>
      <c r="AC61" s="169">
        <v>38</v>
      </c>
      <c r="AD61" s="179">
        <v>3</v>
      </c>
      <c r="AE61" s="180">
        <v>24</v>
      </c>
      <c r="AF61" s="152"/>
      <c r="AG61" s="152"/>
    </row>
    <row r="62">
      <c r="A62" s="166"/>
      <c r="B62" s="183" t="s">
        <v>124</v>
      </c>
      <c r="C62" s="168" t="s">
        <v>131</v>
      </c>
      <c r="D62" s="169">
        <f t="shared" si="250"/>
      </c>
      <c r="E62" s="170">
        <v>2038.6599999999999</v>
      </c>
      <c r="F62" s="170">
        <v>601.81</v>
      </c>
      <c r="G62" s="170"/>
      <c r="H62" s="170">
        <v>2</v>
      </c>
      <c r="I62" s="169">
        <v>1509.8399999999965</v>
      </c>
      <c r="J62" s="171">
        <f t="shared" si="182"/>
      </c>
      <c r="K62" s="172">
        <f t="shared" si="92"/>
      </c>
      <c r="L62" s="173">
        <f t="shared" si="32"/>
      </c>
      <c r="M62" s="174">
        <f t="shared" si="122"/>
      </c>
      <c r="N62" s="172">
        <f t="shared" si="2"/>
      </c>
      <c r="O62" s="173">
        <f t="shared" si="453"/>
      </c>
      <c r="P62" s="172">
        <f t="shared" si="423"/>
      </c>
      <c r="Q62" s="172">
        <f t="shared" si="345"/>
      </c>
      <c r="R62" s="173">
        <f t="shared" si="315"/>
      </c>
      <c r="S62" s="175">
        <f t="shared" si="212"/>
      </c>
      <c r="T62" s="173">
        <f t="shared" si="152"/>
      </c>
      <c r="U62" s="176">
        <f t="shared" si="62"/>
      </c>
      <c r="V62" s="177" t="s">
        <v>108</v>
      </c>
      <c r="W62" s="182" t="s">
        <v>133</v>
      </c>
      <c r="X62" s="205">
        <v>2</v>
      </c>
      <c r="Y62" s="169">
        <v>12316</v>
      </c>
      <c r="Z62" s="169">
        <v>642</v>
      </c>
      <c r="AA62" s="169">
        <v>1062</v>
      </c>
      <c r="AB62" s="169">
        <v>220</v>
      </c>
      <c r="AC62" s="169">
        <v>26</v>
      </c>
      <c r="AD62" s="179">
        <v>4</v>
      </c>
      <c r="AE62" s="180">
        <v>22</v>
      </c>
      <c r="AF62" s="152"/>
      <c r="AG62" s="152"/>
    </row>
    <row r="63">
      <c r="A63" s="166"/>
      <c r="B63" s="184" t="s">
        <v>113</v>
      </c>
      <c r="C63" s="184"/>
      <c r="D63" s="185">
        <f>SUM(D59:D62)</f>
      </c>
      <c r="E63" s="185">
        <f>SUM(E59:E62)</f>
      </c>
      <c r="F63" s="185">
        <f>SUM(F59:F62)</f>
      </c>
      <c r="G63" s="185"/>
      <c r="H63" s="185">
        <f>SUM(H59:H62)</f>
      </c>
      <c r="I63" s="185">
        <f>SUM(I59:I62)</f>
      </c>
      <c r="J63" s="186">
        <f t="shared" si="182"/>
      </c>
      <c r="K63" s="187">
        <f t="shared" si="92"/>
      </c>
      <c r="L63" s="188">
        <f t="shared" si="32"/>
      </c>
      <c r="M63" s="189">
        <f t="shared" si="122"/>
      </c>
      <c r="N63" s="187">
        <f t="shared" si="2"/>
      </c>
      <c r="O63" s="188">
        <f t="shared" si="453"/>
      </c>
      <c r="P63" s="187">
        <f t="shared" si="423"/>
      </c>
      <c r="Q63" s="187">
        <f t="shared" si="345"/>
      </c>
      <c r="R63" s="188">
        <f t="shared" si="315"/>
      </c>
      <c r="S63" s="190">
        <f t="shared" si="212"/>
      </c>
      <c r="T63" s="188">
        <f t="shared" si="152"/>
      </c>
      <c r="U63" s="191">
        <f t="shared" si="62"/>
      </c>
      <c r="V63" s="191"/>
      <c r="W63" s="191"/>
      <c r="X63" s="206">
        <f>SUM(X59:X62)</f>
      </c>
      <c r="Y63" s="185">
        <f>SUM(Y59:Y62)</f>
      </c>
      <c r="Z63" s="185">
        <f>SUM(Z59:Z62)</f>
      </c>
      <c r="AA63" s="185">
        <f>SUM(AA59:AA62)</f>
      </c>
      <c r="AB63" s="185">
        <f>SUM(AB59:AB62)</f>
      </c>
      <c r="AC63" s="185">
        <f>SUM(AC59:AC62)</f>
      </c>
      <c r="AD63" s="185">
        <f>SUM(AD59:AD62)</f>
      </c>
      <c r="AE63" s="185">
        <f>SUM(AE59:AE62)</f>
      </c>
      <c r="AF63" s="152"/>
      <c r="AG63" s="152"/>
    </row>
    <row r="64">
      <c r="A64" s="166"/>
      <c r="B64" s="181" t="s">
        <v>125</v>
      </c>
      <c r="C64" s="168" t="s">
        <v>126</v>
      </c>
      <c r="D64" s="169">
        <f t="shared" ref="D64:D67" si="251">E64+F64</f>
      </c>
      <c r="E64" s="170">
        <v>3131.9700000000003</v>
      </c>
      <c r="F64" s="170">
        <v>1285.5</v>
      </c>
      <c r="G64" s="170"/>
      <c r="H64" s="170">
        <v>2</v>
      </c>
      <c r="I64" s="170">
        <v>4443.119999999995</v>
      </c>
      <c r="J64" s="171">
        <f t="shared" si="182"/>
      </c>
      <c r="K64" s="172">
        <f t="shared" si="92"/>
      </c>
      <c r="L64" s="173">
        <f t="shared" si="32"/>
      </c>
      <c r="M64" s="174">
        <f t="shared" si="122"/>
      </c>
      <c r="N64" s="172">
        <f t="shared" si="2"/>
      </c>
      <c r="O64" s="173">
        <f t="shared" si="453"/>
      </c>
      <c r="P64" s="172">
        <f t="shared" si="423"/>
      </c>
      <c r="Q64" s="172">
        <f t="shared" si="345"/>
      </c>
      <c r="R64" s="173">
        <f t="shared" si="315"/>
      </c>
      <c r="S64" s="175">
        <f t="shared" si="212"/>
      </c>
      <c r="T64" s="173">
        <f t="shared" si="152"/>
      </c>
      <c r="U64" s="176">
        <f t="shared" si="62"/>
      </c>
      <c r="V64" s="177" t="s">
        <v>108</v>
      </c>
      <c r="W64" s="182" t="s">
        <v>133</v>
      </c>
      <c r="X64" s="205">
        <v>3</v>
      </c>
      <c r="Y64" s="169">
        <v>19197</v>
      </c>
      <c r="Z64" s="169">
        <v>1090</v>
      </c>
      <c r="AA64" s="169">
        <v>1562</v>
      </c>
      <c r="AB64" s="169">
        <v>276</v>
      </c>
      <c r="AC64" s="169">
        <v>38</v>
      </c>
      <c r="AD64" s="179">
        <v>3</v>
      </c>
      <c r="AE64" s="180">
        <v>19</v>
      </c>
      <c r="AF64" s="152"/>
      <c r="AG64" s="152"/>
    </row>
    <row r="65">
      <c r="A65" s="166"/>
      <c r="B65" s="195" t="s">
        <v>127</v>
      </c>
      <c r="C65" s="168" t="s">
        <v>126</v>
      </c>
      <c r="D65" s="169">
        <f t="shared" si="251"/>
      </c>
      <c r="E65" s="170">
        <v>2657.56</v>
      </c>
      <c r="F65" s="170">
        <v>802.85</v>
      </c>
      <c r="G65" s="170"/>
      <c r="H65" s="170">
        <v>1</v>
      </c>
      <c r="I65" s="170">
        <v>9259.200000000012</v>
      </c>
      <c r="J65" s="171">
        <f t="shared" si="182"/>
      </c>
      <c r="K65" s="172">
        <f t="shared" si="92"/>
      </c>
      <c r="L65" s="173">
        <f t="shared" si="32"/>
      </c>
      <c r="M65" s="174">
        <f t="shared" si="122"/>
      </c>
      <c r="N65" s="172">
        <f t="shared" si="2"/>
      </c>
      <c r="O65" s="173">
        <f t="shared" si="453"/>
      </c>
      <c r="P65" s="172">
        <f t="shared" si="423"/>
      </c>
      <c r="Q65" s="172">
        <f t="shared" si="345"/>
      </c>
      <c r="R65" s="173">
        <f t="shared" si="315"/>
      </c>
      <c r="S65" s="175">
        <f t="shared" si="212"/>
      </c>
      <c r="T65" s="173">
        <f t="shared" si="152"/>
      </c>
      <c r="U65" s="176">
        <f t="shared" si="62"/>
      </c>
      <c r="V65" s="177" t="s">
        <v>108</v>
      </c>
      <c r="W65" s="182" t="s">
        <v>133</v>
      </c>
      <c r="X65" s="205">
        <v>0</v>
      </c>
      <c r="Y65" s="169">
        <v>13095</v>
      </c>
      <c r="Z65" s="169">
        <v>695</v>
      </c>
      <c r="AA65" s="169">
        <v>1017</v>
      </c>
      <c r="AB65" s="169">
        <v>203</v>
      </c>
      <c r="AC65" s="169">
        <v>37</v>
      </c>
      <c r="AD65" s="179">
        <v>4</v>
      </c>
      <c r="AE65" s="180">
        <v>25</v>
      </c>
      <c r="AF65" s="152"/>
      <c r="AG65" s="152"/>
    </row>
    <row r="66">
      <c r="A66" s="166"/>
      <c r="B66" s="195" t="s">
        <v>128</v>
      </c>
      <c r="C66" s="168" t="s">
        <v>126</v>
      </c>
      <c r="D66" s="169">
        <f t="shared" si="251"/>
      </c>
      <c r="E66" s="170">
        <v>2713.77</v>
      </c>
      <c r="F66" s="170">
        <v>1053.03</v>
      </c>
      <c r="G66" s="170"/>
      <c r="H66" s="169">
        <v>1</v>
      </c>
      <c r="I66" s="169">
        <v>1953.7200000000012</v>
      </c>
      <c r="J66" s="171">
        <f t="shared" si="182"/>
      </c>
      <c r="K66" s="172">
        <f t="shared" si="92"/>
      </c>
      <c r="L66" s="173">
        <f t="shared" si="32"/>
      </c>
      <c r="M66" s="174">
        <f t="shared" si="122"/>
      </c>
      <c r="N66" s="172">
        <f t="shared" si="2"/>
      </c>
      <c r="O66" s="173">
        <f t="shared" si="453"/>
      </c>
      <c r="P66" s="172">
        <f t="shared" si="423"/>
      </c>
      <c r="Q66" s="172">
        <f t="shared" si="345"/>
      </c>
      <c r="R66" s="173">
        <f t="shared" si="315"/>
      </c>
      <c r="S66" s="175">
        <f t="shared" si="212"/>
      </c>
      <c r="T66" s="173">
        <f t="shared" si="152"/>
      </c>
      <c r="U66" s="176">
        <f t="shared" si="62"/>
      </c>
      <c r="V66" s="177" t="s">
        <v>108</v>
      </c>
      <c r="W66" s="182" t="s">
        <v>133</v>
      </c>
      <c r="X66" s="205">
        <v>1</v>
      </c>
      <c r="Y66" s="169">
        <v>17399</v>
      </c>
      <c r="Z66" s="169">
        <v>866</v>
      </c>
      <c r="AA66" s="169">
        <v>1176</v>
      </c>
      <c r="AB66" s="169">
        <v>172</v>
      </c>
      <c r="AC66" s="169">
        <v>73</v>
      </c>
      <c r="AD66" s="179">
        <v>3</v>
      </c>
      <c r="AE66" s="180">
        <v>27</v>
      </c>
      <c r="AF66" s="152"/>
      <c r="AG66" s="152"/>
    </row>
    <row r="67">
      <c r="A67" s="166"/>
      <c r="B67" s="167" t="s">
        <v>129</v>
      </c>
      <c r="C67" s="168" t="s">
        <v>126</v>
      </c>
      <c r="D67" s="169">
        <f t="shared" si="251"/>
      </c>
      <c r="E67" s="170">
        <v>2524.81</v>
      </c>
      <c r="F67" s="170">
        <v>1242.77</v>
      </c>
      <c r="G67" s="170"/>
      <c r="H67" s="170">
        <v>1</v>
      </c>
      <c r="I67" s="170">
        <v>459</v>
      </c>
      <c r="J67" s="171">
        <f t="shared" si="182"/>
      </c>
      <c r="K67" s="172">
        <f t="shared" si="92"/>
      </c>
      <c r="L67" s="173">
        <f t="shared" si="32"/>
      </c>
      <c r="M67" s="174">
        <f t="shared" si="122"/>
      </c>
      <c r="N67" s="172">
        <f t="shared" si="2"/>
      </c>
      <c r="O67" s="173">
        <f t="shared" si="453"/>
      </c>
      <c r="P67" s="172">
        <f t="shared" si="423"/>
      </c>
      <c r="Q67" s="172">
        <f t="shared" si="345"/>
      </c>
      <c r="R67" s="173">
        <f t="shared" si="315"/>
      </c>
      <c r="S67" s="175">
        <f t="shared" si="212"/>
      </c>
      <c r="T67" s="173">
        <f t="shared" si="152"/>
      </c>
      <c r="U67" s="176">
        <f t="shared" si="62"/>
      </c>
      <c r="V67" s="177" t="s">
        <v>108</v>
      </c>
      <c r="W67" s="182" t="s">
        <v>133</v>
      </c>
      <c r="X67" s="205">
        <v>1</v>
      </c>
      <c r="Y67" s="169">
        <v>14574</v>
      </c>
      <c r="Z67" s="169">
        <v>939</v>
      </c>
      <c r="AA67" s="169">
        <v>1375</v>
      </c>
      <c r="AB67" s="169">
        <v>215</v>
      </c>
      <c r="AC67" s="169">
        <v>41</v>
      </c>
      <c r="AD67" s="179">
        <v>2</v>
      </c>
      <c r="AE67" s="180">
        <v>22</v>
      </c>
      <c r="AF67" s="152"/>
      <c r="AG67" s="152"/>
    </row>
    <row r="68">
      <c r="A68" s="166"/>
      <c r="B68" s="184" t="s">
        <v>113</v>
      </c>
      <c r="C68" s="184"/>
      <c r="D68" s="185">
        <f>SUM(D64:D67)</f>
      </c>
      <c r="E68" s="185">
        <f>SUM(E64:E67)</f>
      </c>
      <c r="F68" s="185">
        <f>SUM(F64:F67)</f>
      </c>
      <c r="G68" s="185"/>
      <c r="H68" s="185">
        <f>SUM(H64:H67)</f>
      </c>
      <c r="I68" s="185">
        <f>SUM(I64:I67)</f>
      </c>
      <c r="J68" s="186">
        <f t="shared" si="182"/>
      </c>
      <c r="K68" s="187">
        <f t="shared" si="92"/>
      </c>
      <c r="L68" s="188">
        <f t="shared" si="32"/>
      </c>
      <c r="M68" s="189">
        <f t="shared" si="122"/>
      </c>
      <c r="N68" s="187">
        <f t="shared" si="2"/>
      </c>
      <c r="O68" s="188">
        <f t="shared" si="453"/>
      </c>
      <c r="P68" s="187">
        <f t="shared" si="423"/>
      </c>
      <c r="Q68" s="187">
        <f t="shared" si="345"/>
      </c>
      <c r="R68" s="188">
        <f t="shared" si="315"/>
      </c>
      <c r="S68" s="190">
        <f t="shared" si="212"/>
      </c>
      <c r="T68" s="188">
        <f t="shared" si="152"/>
      </c>
      <c r="U68" s="191">
        <f t="shared" si="62"/>
      </c>
      <c r="V68" s="191"/>
      <c r="W68" s="191"/>
      <c r="X68" s="207">
        <f>SUM(X64:X67)</f>
      </c>
      <c r="Y68" s="185">
        <f>SUM(Y64:Y67)</f>
      </c>
      <c r="Z68" s="185">
        <f>SUM(Z64:Z67)</f>
      </c>
      <c r="AA68" s="185">
        <f>SUM(AA64:AA67)</f>
      </c>
      <c r="AB68" s="185">
        <f>SUM(AB64:AB67)</f>
      </c>
      <c r="AC68" s="185">
        <f>SUM(AC64:AC67)</f>
      </c>
      <c r="AD68" s="185">
        <f>SUM(AD64:AD67)</f>
      </c>
      <c r="AE68" s="185">
        <f>SUM(AE64:AE67)</f>
      </c>
      <c r="AF68" s="152"/>
      <c r="AG68" s="152"/>
    </row>
    <row r="69">
      <c r="A69" s="166"/>
      <c r="B69" s="196" t="s">
        <v>130</v>
      </c>
      <c r="C69" s="196"/>
      <c r="D69" s="197">
        <f>D53+D58+D63+D68</f>
      </c>
      <c r="E69" s="197">
        <f>E53+E58+E63+E68</f>
      </c>
      <c r="F69" s="197">
        <f>F53+F58+F63+F68</f>
      </c>
      <c r="G69" s="197"/>
      <c r="H69" s="197">
        <f>H53+H58+H63+H68</f>
      </c>
      <c r="I69" s="197">
        <f>I53+I58+I63+I68</f>
      </c>
      <c r="J69" s="198">
        <f t="shared" si="182"/>
      </c>
      <c r="K69" s="199">
        <f t="shared" si="92"/>
      </c>
      <c r="L69" s="200">
        <f t="shared" si="32"/>
      </c>
      <c r="M69" s="201">
        <f t="shared" si="122"/>
      </c>
      <c r="N69" s="201">
        <f t="shared" si="2"/>
      </c>
      <c r="O69" s="200">
        <f t="shared" si="453"/>
      </c>
      <c r="P69" s="201">
        <f t="shared" si="423"/>
      </c>
      <c r="Q69" s="201">
        <f t="shared" si="345"/>
      </c>
      <c r="R69" s="200">
        <f t="shared" si="315"/>
      </c>
      <c r="S69" s="202">
        <f t="shared" si="212"/>
      </c>
      <c r="T69" s="200">
        <f t="shared" si="152"/>
      </c>
      <c r="U69" s="203">
        <f t="shared" si="62"/>
      </c>
      <c r="V69" s="203"/>
      <c r="W69" s="203"/>
      <c r="X69" s="198">
        <f>X53+X58+X63+X68</f>
      </c>
      <c r="Y69" s="198">
        <f>Y53+Y58+Y63+Y68</f>
      </c>
      <c r="Z69" s="198">
        <f>Z53+Z58+Z63+Z68</f>
      </c>
      <c r="AA69" s="198">
        <f>AA53+AA58+AA63+AA68</f>
      </c>
      <c r="AB69" s="198">
        <f>AB53+AB58+AB63+AB68</f>
      </c>
      <c r="AC69" s="198">
        <f>AC53+AC58+AC63+AC68</f>
      </c>
      <c r="AD69" s="198">
        <f>AD53+AD58+AD63+AD68</f>
      </c>
      <c r="AE69" s="198">
        <f>AE53+AE58+AE63+AE68</f>
      </c>
      <c r="AF69" s="152"/>
      <c r="AG69" s="152"/>
    </row>
    <row r="70">
      <c r="A70" s="146" t="s">
        <v>73</v>
      </c>
      <c r="B70" s="146"/>
      <c r="C70" s="146"/>
      <c r="D70" s="147" t="s">
        <v>74</v>
      </c>
      <c r="E70" s="147"/>
      <c r="F70" s="147"/>
      <c r="G70" s="147"/>
      <c r="H70" s="147"/>
      <c r="I70" s="147"/>
      <c r="J70" s="147"/>
      <c r="K70" s="148" t="s">
        <v>75</v>
      </c>
      <c r="L70" s="148"/>
      <c r="M70" s="148"/>
      <c r="N70" s="148"/>
      <c r="O70" s="148"/>
      <c r="P70" s="148"/>
      <c r="Q70" s="148"/>
      <c r="R70" s="148"/>
      <c r="S70" s="148"/>
      <c r="T70" s="148"/>
      <c r="U70" s="149"/>
      <c r="V70" s="149"/>
      <c r="W70" s="149"/>
      <c r="X70" s="150"/>
      <c r="Y70" s="150"/>
      <c r="Z70" s="150"/>
      <c r="AA70" s="150"/>
      <c r="AB70" s="150"/>
      <c r="AC70" s="150"/>
      <c r="AD70" s="150"/>
      <c r="AE70" s="151" t="s">
        <v>76</v>
      </c>
      <c r="AF70" s="152"/>
      <c r="AG70" s="152"/>
    </row>
    <row r="71">
      <c r="A71" s="153" t="s">
        <v>77</v>
      </c>
      <c r="B71" s="146" t="s">
        <v>78</v>
      </c>
      <c r="C71" s="146" t="s">
        <v>79</v>
      </c>
      <c r="D71" s="154" t="s">
        <v>80</v>
      </c>
      <c r="E71" s="155" t="s">
        <v>81</v>
      </c>
      <c r="F71" s="155" t="s">
        <v>82</v>
      </c>
      <c r="G71" s="155"/>
      <c r="H71" s="156" t="s">
        <v>83</v>
      </c>
      <c r="I71" s="157" t="s">
        <v>84</v>
      </c>
      <c r="J71" s="155" t="s">
        <v>85</v>
      </c>
      <c r="K71" s="158" t="s">
        <v>86</v>
      </c>
      <c r="L71" s="158" t="s">
        <v>87</v>
      </c>
      <c r="M71" s="159" t="s">
        <v>88</v>
      </c>
      <c r="N71" s="160" t="s">
        <v>89</v>
      </c>
      <c r="O71" s="148" t="s">
        <v>90</v>
      </c>
      <c r="P71" s="160" t="s">
        <v>91</v>
      </c>
      <c r="Q71" s="160" t="s">
        <v>92</v>
      </c>
      <c r="R71" s="161" t="s">
        <v>93</v>
      </c>
      <c r="S71" s="160" t="s">
        <v>94</v>
      </c>
      <c r="T71" s="161" t="s">
        <v>95</v>
      </c>
      <c r="U71" s="162" t="s">
        <v>96</v>
      </c>
      <c r="V71" s="162" t="s">
        <v>97</v>
      </c>
      <c r="W71" s="162" t="s">
        <v>98</v>
      </c>
      <c r="X71" s="163" t="s">
        <v>99</v>
      </c>
      <c r="Y71" s="164" t="s">
        <v>100</v>
      </c>
      <c r="Z71" s="164" t="s">
        <v>101</v>
      </c>
      <c r="AA71" s="164" t="s">
        <v>102</v>
      </c>
      <c r="AB71" s="164" t="s">
        <v>103</v>
      </c>
      <c r="AC71" s="164" t="s">
        <v>104</v>
      </c>
      <c r="AD71" s="165" t="s">
        <v>105</v>
      </c>
      <c r="AE71" s="151"/>
      <c r="AF71" s="152"/>
      <c r="AG71" s="152"/>
    </row>
    <row r="72">
      <c r="A72" s="166">
        <v>46269</v>
      </c>
      <c r="B72" s="167" t="s">
        <v>106</v>
      </c>
      <c r="C72" s="168" t="s">
        <v>115</v>
      </c>
      <c r="D72" s="169">
        <f t="shared" ref="D72:D75" si="252">E72+F72</f>
      </c>
      <c r="E72" s="170">
        <v>1978.46</v>
      </c>
      <c r="F72" s="169">
        <v>977</v>
      </c>
      <c r="G72" s="169"/>
      <c r="H72" s="170">
        <v>0</v>
      </c>
      <c r="I72" s="170">
        <v>0</v>
      </c>
      <c r="J72" s="171">
        <f t="shared" ref="J72:J92" si="183">I72/D72</f>
      </c>
      <c r="K72" s="172">
        <f t="shared" ref="K72:K92" si="93">Z72/Y72</f>
      </c>
      <c r="L72" s="173">
        <f t="shared" ref="L72:L92" si="33">D72/AA72</f>
      </c>
      <c r="M72" s="174">
        <f t="shared" ref="M72:M92" si="123">AB72/AA72</f>
      </c>
      <c r="N72" s="172">
        <f t="shared" ref="N72:N92" si="3">AC72/AA72</f>
      </c>
      <c r="O72" s="173">
        <f t="shared" ref="O72:O92" si="454">D72/AC72</f>
      </c>
      <c r="P72" s="172">
        <f t="shared" ref="P72:P92" si="424">AD72/AC72</f>
      </c>
      <c r="Q72" s="172">
        <f t="shared" ref="Q72:Q92" si="346">H72/AD72</f>
      </c>
      <c r="R72" s="173">
        <f t="shared" ref="R72:R92" si="316">D72/H72</f>
      </c>
      <c r="S72" s="175">
        <f t="shared" ref="S72:S92" si="213">I72/H72</f>
      </c>
      <c r="T72" s="173">
        <f t="shared" ref="T72:T92" si="153">D72/X72</f>
      </c>
      <c r="U72" s="176">
        <f t="shared" ref="U72:U92" si="63">AE72*1000/D72</f>
      </c>
      <c r="V72" s="177" t="s">
        <v>108</v>
      </c>
      <c r="W72" s="182" t="s">
        <v>132</v>
      </c>
      <c r="X72" s="169">
        <v>0</v>
      </c>
      <c r="Y72" s="169">
        <v>14118</v>
      </c>
      <c r="Z72" s="169">
        <v>1047</v>
      </c>
      <c r="AA72" s="169">
        <v>1708</v>
      </c>
      <c r="AB72" s="169">
        <v>335</v>
      </c>
      <c r="AC72" s="179">
        <v>25</v>
      </c>
      <c r="AD72" s="179">
        <v>0</v>
      </c>
      <c r="AE72" s="180">
        <v>24</v>
      </c>
      <c r="AF72" s="152"/>
      <c r="AG72" s="152"/>
    </row>
    <row r="73">
      <c r="A73" s="166"/>
      <c r="B73" s="181" t="s">
        <v>110</v>
      </c>
      <c r="C73" s="168" t="s">
        <v>115</v>
      </c>
      <c r="D73" s="169">
        <f t="shared" si="252"/>
      </c>
      <c r="E73" s="169">
        <v>925.4</v>
      </c>
      <c r="F73" s="169">
        <v>1132.33</v>
      </c>
      <c r="G73" s="169"/>
      <c r="H73" s="170">
        <v>2</v>
      </c>
      <c r="I73" s="170">
        <v>4352.84</v>
      </c>
      <c r="J73" s="171">
        <f t="shared" si="183"/>
      </c>
      <c r="K73" s="172">
        <f t="shared" si="93"/>
      </c>
      <c r="L73" s="173">
        <f t="shared" si="33"/>
      </c>
      <c r="M73" s="174">
        <f t="shared" si="123"/>
      </c>
      <c r="N73" s="172">
        <f t="shared" si="3"/>
      </c>
      <c r="O73" s="173">
        <f t="shared" si="454"/>
      </c>
      <c r="P73" s="172">
        <f t="shared" si="424"/>
      </c>
      <c r="Q73" s="172">
        <f t="shared" si="346"/>
      </c>
      <c r="R73" s="173">
        <f t="shared" si="316"/>
      </c>
      <c r="S73" s="175">
        <f t="shared" si="213"/>
      </c>
      <c r="T73" s="173">
        <f t="shared" si="153"/>
      </c>
      <c r="U73" s="176">
        <f t="shared" si="63"/>
      </c>
      <c r="V73" s="177" t="s">
        <v>108</v>
      </c>
      <c r="W73" s="182" t="s">
        <v>132</v>
      </c>
      <c r="X73" s="205">
        <v>2</v>
      </c>
      <c r="Y73" s="169">
        <v>8704</v>
      </c>
      <c r="Z73" s="169">
        <v>415</v>
      </c>
      <c r="AA73" s="169">
        <v>571</v>
      </c>
      <c r="AB73" s="169">
        <v>129</v>
      </c>
      <c r="AC73" s="169">
        <v>28</v>
      </c>
      <c r="AD73" s="179">
        <v>5</v>
      </c>
      <c r="AE73" s="180">
        <v>12</v>
      </c>
      <c r="AF73" s="152"/>
      <c r="AG73" s="152"/>
    </row>
    <row r="74">
      <c r="A74" s="166"/>
      <c r="B74" s="181" t="s">
        <v>111</v>
      </c>
      <c r="C74" s="168" t="s">
        <v>115</v>
      </c>
      <c r="D74" s="169">
        <f t="shared" si="252"/>
      </c>
      <c r="E74" s="169">
        <v>1611.35</v>
      </c>
      <c r="F74" s="169">
        <v>1144.36</v>
      </c>
      <c r="G74" s="169"/>
      <c r="H74" s="170">
        <v>1</v>
      </c>
      <c r="I74" s="169">
        <v>2485.08</v>
      </c>
      <c r="J74" s="171">
        <f t="shared" si="183"/>
      </c>
      <c r="K74" s="172">
        <f t="shared" si="93"/>
      </c>
      <c r="L74" s="173">
        <f t="shared" si="33"/>
      </c>
      <c r="M74" s="174">
        <f t="shared" si="123"/>
      </c>
      <c r="N74" s="172">
        <f t="shared" si="3"/>
      </c>
      <c r="O74" s="173">
        <f t="shared" si="454"/>
      </c>
      <c r="P74" s="172">
        <f t="shared" si="424"/>
      </c>
      <c r="Q74" s="172">
        <f t="shared" si="346"/>
      </c>
      <c r="R74" s="173">
        <f t="shared" si="316"/>
      </c>
      <c r="S74" s="175">
        <f t="shared" si="213"/>
      </c>
      <c r="T74" s="173">
        <f t="shared" si="153"/>
      </c>
      <c r="U74" s="176">
        <f t="shared" si="63"/>
      </c>
      <c r="V74" s="177" t="s">
        <v>108</v>
      </c>
      <c r="W74" s="182" t="s">
        <v>132</v>
      </c>
      <c r="X74" s="205">
        <v>1</v>
      </c>
      <c r="Y74" s="169">
        <v>9649</v>
      </c>
      <c r="Z74" s="169">
        <v>620</v>
      </c>
      <c r="AA74" s="169">
        <v>928</v>
      </c>
      <c r="AB74" s="169">
        <v>218</v>
      </c>
      <c r="AC74" s="169">
        <v>42</v>
      </c>
      <c r="AD74" s="179">
        <v>3</v>
      </c>
      <c r="AE74" s="180">
        <v>15</v>
      </c>
      <c r="AF74" s="152"/>
      <c r="AG74" s="152"/>
    </row>
    <row r="75">
      <c r="A75" s="166"/>
      <c r="B75" s="183" t="s">
        <v>112</v>
      </c>
      <c r="C75" s="168" t="s">
        <v>115</v>
      </c>
      <c r="D75" s="169">
        <f t="shared" si="252"/>
      </c>
      <c r="E75" s="169">
        <v>3414.25</v>
      </c>
      <c r="F75" s="169">
        <v>1259.65</v>
      </c>
      <c r="G75" s="169"/>
      <c r="H75" s="170">
        <v>3</v>
      </c>
      <c r="I75" s="170">
        <v>7833.360000000001</v>
      </c>
      <c r="J75" s="171">
        <f t="shared" si="183"/>
      </c>
      <c r="K75" s="172">
        <f t="shared" si="93"/>
      </c>
      <c r="L75" s="173">
        <f t="shared" si="33"/>
      </c>
      <c r="M75" s="174">
        <f t="shared" si="123"/>
      </c>
      <c r="N75" s="172">
        <f t="shared" si="3"/>
      </c>
      <c r="O75" s="173">
        <f t="shared" si="454"/>
      </c>
      <c r="P75" s="172">
        <f t="shared" si="424"/>
      </c>
      <c r="Q75" s="172">
        <f t="shared" si="346"/>
      </c>
      <c r="R75" s="173">
        <f t="shared" si="316"/>
      </c>
      <c r="S75" s="175">
        <f t="shared" si="213"/>
      </c>
      <c r="T75" s="173">
        <f t="shared" si="153"/>
      </c>
      <c r="U75" s="176">
        <f t="shared" si="63"/>
      </c>
      <c r="V75" s="177" t="s">
        <v>108</v>
      </c>
      <c r="W75" s="182" t="s">
        <v>132</v>
      </c>
      <c r="X75" s="205">
        <v>2</v>
      </c>
      <c r="Y75" s="169">
        <v>19895</v>
      </c>
      <c r="Z75" s="169">
        <v>631</v>
      </c>
      <c r="AA75" s="169">
        <v>886</v>
      </c>
      <c r="AB75" s="169">
        <v>198</v>
      </c>
      <c r="AC75" s="169">
        <v>54</v>
      </c>
      <c r="AD75" s="179">
        <v>5</v>
      </c>
      <c r="AE75" s="180">
        <v>24</v>
      </c>
      <c r="AF75" s="152"/>
      <c r="AG75" s="152"/>
    </row>
    <row r="76">
      <c r="A76" s="166"/>
      <c r="B76" s="184" t="s">
        <v>113</v>
      </c>
      <c r="C76" s="184"/>
      <c r="D76" s="185">
        <f>SUM(D72:D75)</f>
      </c>
      <c r="E76" s="185">
        <f>SUM(E72:E75)</f>
      </c>
      <c r="F76" s="185">
        <f>SUM(F72:F75)</f>
      </c>
      <c r="G76" s="185"/>
      <c r="H76" s="185">
        <f>SUM(H72:H75)</f>
      </c>
      <c r="I76" s="185">
        <f>SUM(I72:I75)</f>
      </c>
      <c r="J76" s="186">
        <f t="shared" si="183"/>
      </c>
      <c r="K76" s="187">
        <f t="shared" si="93"/>
      </c>
      <c r="L76" s="188">
        <f t="shared" si="33"/>
      </c>
      <c r="M76" s="189">
        <f t="shared" si="123"/>
      </c>
      <c r="N76" s="187">
        <f t="shared" si="3"/>
      </c>
      <c r="O76" s="188">
        <f t="shared" si="454"/>
      </c>
      <c r="P76" s="187">
        <f t="shared" si="424"/>
      </c>
      <c r="Q76" s="187">
        <f t="shared" si="346"/>
      </c>
      <c r="R76" s="188">
        <f t="shared" si="316"/>
      </c>
      <c r="S76" s="190">
        <f t="shared" si="213"/>
      </c>
      <c r="T76" s="188">
        <f t="shared" si="153"/>
      </c>
      <c r="U76" s="191">
        <f t="shared" si="63"/>
      </c>
      <c r="V76" s="191"/>
      <c r="W76" s="191"/>
      <c r="X76" s="206">
        <f>SUM(X72:X75)</f>
      </c>
      <c r="Y76" s="185">
        <f>SUM(Y72:Y75)</f>
      </c>
      <c r="Z76" s="185">
        <f>SUM(Z72:Z75)</f>
      </c>
      <c r="AA76" s="185">
        <f>SUM(AA72:AA75)</f>
      </c>
      <c r="AB76" s="185">
        <f>SUM(AB72:AB75)</f>
      </c>
      <c r="AC76" s="185">
        <f>SUM(AC72:AC75)</f>
      </c>
      <c r="AD76" s="185">
        <f>SUM(AD72:AD75)</f>
      </c>
      <c r="AE76" s="185">
        <f>SUM(AE72:AE75)</f>
      </c>
      <c r="AF76" s="152"/>
      <c r="AG76" s="152"/>
    </row>
    <row r="77">
      <c r="A77" s="166"/>
      <c r="B77" s="181" t="s">
        <v>114</v>
      </c>
      <c r="C77" s="168" t="s">
        <v>107</v>
      </c>
      <c r="D77" s="169">
        <f t="shared" ref="D77:D80" si="253">E77+F77</f>
      </c>
      <c r="E77" s="169">
        <v>1518.8</v>
      </c>
      <c r="F77" s="169">
        <v>1436.79</v>
      </c>
      <c r="G77" s="169"/>
      <c r="H77" s="170">
        <v>2</v>
      </c>
      <c r="I77" s="170">
        <v>2089.08</v>
      </c>
      <c r="J77" s="171">
        <f t="shared" si="183"/>
      </c>
      <c r="K77" s="172">
        <f t="shared" si="93"/>
      </c>
      <c r="L77" s="173">
        <f t="shared" si="33"/>
      </c>
      <c r="M77" s="174">
        <f t="shared" si="123"/>
      </c>
      <c r="N77" s="172">
        <f t="shared" si="3"/>
      </c>
      <c r="O77" s="173">
        <f t="shared" si="454"/>
      </c>
      <c r="P77" s="172">
        <f t="shared" si="424"/>
      </c>
      <c r="Q77" s="172">
        <f t="shared" si="346"/>
      </c>
      <c r="R77" s="173">
        <f t="shared" si="316"/>
      </c>
      <c r="S77" s="175">
        <f t="shared" si="213"/>
      </c>
      <c r="T77" s="173">
        <f t="shared" si="153"/>
      </c>
      <c r="U77" s="176">
        <f t="shared" si="63"/>
      </c>
      <c r="V77" s="177" t="s">
        <v>108</v>
      </c>
      <c r="W77" s="182" t="s">
        <v>132</v>
      </c>
      <c r="X77" s="205">
        <v>3</v>
      </c>
      <c r="Y77" s="169">
        <v>17314</v>
      </c>
      <c r="Z77" s="169">
        <v>663</v>
      </c>
      <c r="AA77" s="169">
        <v>971</v>
      </c>
      <c r="AB77" s="169">
        <v>204</v>
      </c>
      <c r="AC77" s="169">
        <v>43</v>
      </c>
      <c r="AD77" s="179">
        <v>3</v>
      </c>
      <c r="AE77" s="180">
        <v>23</v>
      </c>
      <c r="AF77" s="152"/>
      <c r="AG77" s="152"/>
    </row>
    <row r="78">
      <c r="A78" s="166"/>
      <c r="B78" s="181" t="s">
        <v>116</v>
      </c>
      <c r="C78" s="168" t="s">
        <v>107</v>
      </c>
      <c r="D78" s="169">
        <f t="shared" si="253"/>
      </c>
      <c r="E78" s="169">
        <v>1420.9</v>
      </c>
      <c r="F78" s="169">
        <v>1565.1</v>
      </c>
      <c r="G78" s="169"/>
      <c r="H78" s="170">
        <v>1</v>
      </c>
      <c r="I78" s="170">
        <v>3669.84</v>
      </c>
      <c r="J78" s="171">
        <f t="shared" si="183"/>
      </c>
      <c r="K78" s="172">
        <f t="shared" si="93"/>
      </c>
      <c r="L78" s="173">
        <f t="shared" si="33"/>
      </c>
      <c r="M78" s="174">
        <f t="shared" si="123"/>
      </c>
      <c r="N78" s="172">
        <f t="shared" si="3"/>
      </c>
      <c r="O78" s="173">
        <f t="shared" si="454"/>
      </c>
      <c r="P78" s="172">
        <f t="shared" si="424"/>
      </c>
      <c r="Q78" s="172">
        <f t="shared" si="346"/>
      </c>
      <c r="R78" s="173">
        <f t="shared" si="316"/>
      </c>
      <c r="S78" s="175">
        <f t="shared" si="213"/>
      </c>
      <c r="T78" s="173">
        <f t="shared" si="153"/>
      </c>
      <c r="U78" s="176">
        <f t="shared" si="63"/>
      </c>
      <c r="V78" s="177" t="s">
        <v>108</v>
      </c>
      <c r="W78" s="182" t="s">
        <v>132</v>
      </c>
      <c r="X78" s="205">
        <v>1</v>
      </c>
      <c r="Y78" s="169">
        <v>17796</v>
      </c>
      <c r="Z78" s="169">
        <v>656</v>
      </c>
      <c r="AA78" s="169">
        <v>905</v>
      </c>
      <c r="AB78" s="169">
        <v>178</v>
      </c>
      <c r="AC78" s="169">
        <v>41</v>
      </c>
      <c r="AD78" s="179">
        <v>2</v>
      </c>
      <c r="AE78" s="180">
        <v>20</v>
      </c>
      <c r="AF78" s="152"/>
      <c r="AG78" s="152"/>
    </row>
    <row r="79">
      <c r="A79" s="166"/>
      <c r="B79" s="181" t="s">
        <v>117</v>
      </c>
      <c r="C79" s="168" t="s">
        <v>107</v>
      </c>
      <c r="D79" s="169">
        <f t="shared" si="253"/>
      </c>
      <c r="E79" s="169">
        <v>1640.4199999999998</v>
      </c>
      <c r="F79" s="169">
        <v>1216.21</v>
      </c>
      <c r="G79" s="169"/>
      <c r="H79" s="170">
        <v>1</v>
      </c>
      <c r="I79" s="170">
        <v>5701.439999999999</v>
      </c>
      <c r="J79" s="171">
        <f t="shared" si="183"/>
      </c>
      <c r="K79" s="172">
        <f t="shared" si="93"/>
      </c>
      <c r="L79" s="173">
        <f t="shared" si="33"/>
      </c>
      <c r="M79" s="174">
        <f t="shared" si="123"/>
      </c>
      <c r="N79" s="172">
        <f t="shared" si="3"/>
      </c>
      <c r="O79" s="173">
        <f t="shared" si="454"/>
      </c>
      <c r="P79" s="172">
        <f t="shared" si="424"/>
      </c>
      <c r="Q79" s="172">
        <f t="shared" si="346"/>
      </c>
      <c r="R79" s="173">
        <f t="shared" si="316"/>
      </c>
      <c r="S79" s="175">
        <f t="shared" si="213"/>
      </c>
      <c r="T79" s="173">
        <f t="shared" si="153"/>
      </c>
      <c r="U79" s="176">
        <f t="shared" si="63"/>
      </c>
      <c r="V79" s="177" t="s">
        <v>108</v>
      </c>
      <c r="W79" s="182" t="s">
        <v>132</v>
      </c>
      <c r="X79" s="205">
        <v>0</v>
      </c>
      <c r="Y79" s="169">
        <v>16832</v>
      </c>
      <c r="Z79" s="169">
        <v>585</v>
      </c>
      <c r="AA79" s="169">
        <v>889</v>
      </c>
      <c r="AB79" s="169">
        <v>179</v>
      </c>
      <c r="AC79" s="169">
        <v>41</v>
      </c>
      <c r="AD79" s="179">
        <v>3</v>
      </c>
      <c r="AE79" s="180">
        <v>21</v>
      </c>
      <c r="AF79" s="152"/>
      <c r="AG79" s="152"/>
    </row>
    <row r="80">
      <c r="A80" s="166"/>
      <c r="B80" s="181" t="s">
        <v>118</v>
      </c>
      <c r="C80" s="168" t="s">
        <v>107</v>
      </c>
      <c r="D80" s="169">
        <f t="shared" si="253"/>
      </c>
      <c r="E80" s="170">
        <v>1405.58</v>
      </c>
      <c r="F80" s="170">
        <v>1201.08</v>
      </c>
      <c r="G80" s="170"/>
      <c r="H80" s="170">
        <v>2</v>
      </c>
      <c r="I80" s="170">
        <v>1409.4000000000015</v>
      </c>
      <c r="J80" s="171">
        <f t="shared" si="183"/>
      </c>
      <c r="K80" s="172">
        <f t="shared" si="93"/>
      </c>
      <c r="L80" s="173">
        <f t="shared" si="33"/>
      </c>
      <c r="M80" s="174">
        <f t="shared" si="123"/>
      </c>
      <c r="N80" s="172">
        <f t="shared" si="3"/>
      </c>
      <c r="O80" s="173">
        <f t="shared" si="454"/>
      </c>
      <c r="P80" s="172">
        <f t="shared" si="424"/>
      </c>
      <c r="Q80" s="172">
        <f t="shared" si="346"/>
      </c>
      <c r="R80" s="173">
        <f t="shared" si="316"/>
      </c>
      <c r="S80" s="175">
        <f t="shared" si="213"/>
      </c>
      <c r="T80" s="173">
        <f t="shared" si="153"/>
      </c>
      <c r="U80" s="176">
        <f t="shared" si="63"/>
      </c>
      <c r="V80" s="177" t="s">
        <v>108</v>
      </c>
      <c r="W80" s="177" t="s">
        <v>132</v>
      </c>
      <c r="X80" s="205">
        <v>1</v>
      </c>
      <c r="Y80" s="169">
        <v>14683</v>
      </c>
      <c r="Z80" s="169">
        <v>718</v>
      </c>
      <c r="AA80" s="169">
        <v>1140</v>
      </c>
      <c r="AB80" s="169">
        <v>266</v>
      </c>
      <c r="AC80" s="169">
        <v>33</v>
      </c>
      <c r="AD80" s="179">
        <v>2</v>
      </c>
      <c r="AE80" s="180">
        <v>28</v>
      </c>
      <c r="AF80" s="152"/>
      <c r="AG80" s="152"/>
    </row>
    <row r="81">
      <c r="A81" s="166"/>
      <c r="B81" s="184" t="s">
        <v>113</v>
      </c>
      <c r="C81" s="184"/>
      <c r="D81" s="185">
        <f>SUM(D77:D80)</f>
      </c>
      <c r="E81" s="185">
        <f>SUM(E77:E80)</f>
      </c>
      <c r="F81" s="185">
        <f>SUM(F77:F80)</f>
      </c>
      <c r="G81" s="185"/>
      <c r="H81" s="185">
        <f>SUM(H77:H80)</f>
      </c>
      <c r="I81" s="185">
        <f>SUM(I77:I80)</f>
      </c>
      <c r="J81" s="186">
        <f t="shared" si="183"/>
      </c>
      <c r="K81" s="187">
        <f t="shared" si="93"/>
      </c>
      <c r="L81" s="188">
        <f t="shared" si="33"/>
      </c>
      <c r="M81" s="189">
        <f t="shared" si="123"/>
      </c>
      <c r="N81" s="187">
        <f t="shared" si="3"/>
      </c>
      <c r="O81" s="188">
        <f t="shared" si="454"/>
      </c>
      <c r="P81" s="187">
        <f t="shared" si="424"/>
      </c>
      <c r="Q81" s="187">
        <f t="shared" si="346"/>
      </c>
      <c r="R81" s="188">
        <f t="shared" si="316"/>
      </c>
      <c r="S81" s="190">
        <f t="shared" si="213"/>
      </c>
      <c r="T81" s="188">
        <f t="shared" si="153"/>
      </c>
      <c r="U81" s="191">
        <f t="shared" si="63"/>
      </c>
      <c r="V81" s="191"/>
      <c r="W81" s="191"/>
      <c r="X81" s="206">
        <f>SUM(X77:X80)</f>
      </c>
      <c r="Y81" s="185">
        <f>SUM(Y77:Y80)</f>
      </c>
      <c r="Z81" s="185">
        <f>SUM(Z77:Z80)</f>
      </c>
      <c r="AA81" s="185">
        <f>SUM(AA77:AA80)</f>
      </c>
      <c r="AB81" s="185">
        <f>SUM(AB77:AB80)</f>
      </c>
      <c r="AC81" s="185">
        <f>SUM(AC77:AC80)</f>
      </c>
      <c r="AD81" s="185">
        <f>SUM(AD77:AD80)</f>
      </c>
      <c r="AE81" s="185">
        <f>SUM(AE77:AE80)</f>
      </c>
      <c r="AF81" s="152"/>
      <c r="AG81" s="152"/>
    </row>
    <row r="82">
      <c r="A82" s="166"/>
      <c r="B82" s="192" t="s">
        <v>119</v>
      </c>
      <c r="C82" s="168" t="s">
        <v>131</v>
      </c>
      <c r="D82" s="169">
        <f t="shared" ref="D82:D85" si="254">E82+F82</f>
      </c>
      <c r="E82" s="170">
        <v>1668.02</v>
      </c>
      <c r="F82" s="193">
        <v>1258.82</v>
      </c>
      <c r="G82" s="193"/>
      <c r="H82" s="169">
        <v>1</v>
      </c>
      <c r="I82" s="169">
        <v>2485.0800000000017</v>
      </c>
      <c r="J82" s="171">
        <f t="shared" si="183"/>
      </c>
      <c r="K82" s="172">
        <f t="shared" si="93"/>
      </c>
      <c r="L82" s="173">
        <f t="shared" si="33"/>
      </c>
      <c r="M82" s="174">
        <f t="shared" si="123"/>
      </c>
      <c r="N82" s="172">
        <f t="shared" si="3"/>
      </c>
      <c r="O82" s="173">
        <f t="shared" si="454"/>
      </c>
      <c r="P82" s="172">
        <f t="shared" si="424"/>
      </c>
      <c r="Q82" s="172">
        <f t="shared" si="346"/>
      </c>
      <c r="R82" s="173">
        <f t="shared" si="316"/>
      </c>
      <c r="S82" s="175">
        <f t="shared" si="213"/>
      </c>
      <c r="T82" s="173">
        <f t="shared" si="153"/>
      </c>
      <c r="U82" s="176">
        <f t="shared" si="63"/>
      </c>
      <c r="V82" s="177" t="s">
        <v>108</v>
      </c>
      <c r="W82" s="182" t="s">
        <v>133</v>
      </c>
      <c r="X82" s="205">
        <v>1</v>
      </c>
      <c r="Y82" s="169">
        <v>12730</v>
      </c>
      <c r="Z82" s="169">
        <v>893</v>
      </c>
      <c r="AA82" s="169">
        <v>1399</v>
      </c>
      <c r="AB82" s="169">
        <v>342</v>
      </c>
      <c r="AC82" s="169">
        <v>26</v>
      </c>
      <c r="AD82" s="179">
        <v>3</v>
      </c>
      <c r="AE82" s="180">
        <v>16</v>
      </c>
      <c r="AF82" s="152"/>
      <c r="AG82" s="152"/>
    </row>
    <row r="83">
      <c r="A83" s="166"/>
      <c r="B83" s="194" t="s">
        <v>122</v>
      </c>
      <c r="C83" s="168" t="s">
        <v>131</v>
      </c>
      <c r="D83" s="169">
        <f t="shared" si="254"/>
      </c>
      <c r="E83" s="170">
        <v>1664.88</v>
      </c>
      <c r="F83" s="170">
        <v>613.68</v>
      </c>
      <c r="G83" s="170"/>
      <c r="H83" s="170">
        <v>2</v>
      </c>
      <c r="I83" s="170">
        <v>4735.32</v>
      </c>
      <c r="J83" s="171">
        <f t="shared" si="183"/>
      </c>
      <c r="K83" s="172">
        <f t="shared" si="93"/>
      </c>
      <c r="L83" s="173">
        <f t="shared" si="33"/>
      </c>
      <c r="M83" s="174">
        <f t="shared" si="123"/>
      </c>
      <c r="N83" s="172">
        <f t="shared" si="3"/>
      </c>
      <c r="O83" s="173">
        <f t="shared" si="454"/>
      </c>
      <c r="P83" s="172">
        <f t="shared" si="424"/>
      </c>
      <c r="Q83" s="172">
        <f t="shared" si="346"/>
      </c>
      <c r="R83" s="173">
        <f t="shared" si="316"/>
      </c>
      <c r="S83" s="175">
        <f t="shared" si="213"/>
      </c>
      <c r="T83" s="173">
        <f t="shared" si="153"/>
      </c>
      <c r="U83" s="176">
        <f t="shared" si="63"/>
      </c>
      <c r="V83" s="177" t="s">
        <v>108</v>
      </c>
      <c r="W83" s="182" t="s">
        <v>133</v>
      </c>
      <c r="X83" s="205">
        <v>2</v>
      </c>
      <c r="Y83" s="169">
        <v>12581</v>
      </c>
      <c r="Z83" s="169">
        <v>660</v>
      </c>
      <c r="AA83" s="169">
        <v>1080</v>
      </c>
      <c r="AB83" s="169">
        <v>231</v>
      </c>
      <c r="AC83" s="169">
        <v>14</v>
      </c>
      <c r="AD83" s="179">
        <v>2</v>
      </c>
      <c r="AE83" s="180">
        <v>15</v>
      </c>
      <c r="AF83" s="152"/>
      <c r="AG83" s="152"/>
    </row>
    <row r="84">
      <c r="A84" s="166"/>
      <c r="B84" s="183" t="s">
        <v>123</v>
      </c>
      <c r="C84" s="168" t="s">
        <v>131</v>
      </c>
      <c r="D84" s="169">
        <f t="shared" si="254"/>
      </c>
      <c r="E84" s="170">
        <v>2517.77</v>
      </c>
      <c r="F84" s="170">
        <v>664.77</v>
      </c>
      <c r="G84" s="170"/>
      <c r="H84" s="170">
        <v>1</v>
      </c>
      <c r="I84" s="170">
        <v>1771.199999999997</v>
      </c>
      <c r="J84" s="171">
        <f t="shared" si="183"/>
      </c>
      <c r="K84" s="172">
        <f t="shared" si="93"/>
      </c>
      <c r="L84" s="173">
        <f t="shared" si="33"/>
      </c>
      <c r="M84" s="174">
        <f t="shared" si="123"/>
      </c>
      <c r="N84" s="172">
        <f t="shared" si="3"/>
      </c>
      <c r="O84" s="173">
        <f t="shared" si="454"/>
      </c>
      <c r="P84" s="172">
        <f t="shared" si="424"/>
      </c>
      <c r="Q84" s="172">
        <f t="shared" si="346"/>
      </c>
      <c r="R84" s="173">
        <f t="shared" si="316"/>
      </c>
      <c r="S84" s="175">
        <f t="shared" si="213"/>
      </c>
      <c r="T84" s="173">
        <f t="shared" si="153"/>
      </c>
      <c r="U84" s="176">
        <f t="shared" si="63"/>
      </c>
      <c r="V84" s="177" t="s">
        <v>108</v>
      </c>
      <c r="W84" s="182" t="s">
        <v>133</v>
      </c>
      <c r="X84" s="205">
        <v>0</v>
      </c>
      <c r="Y84" s="169">
        <v>20104</v>
      </c>
      <c r="Z84" s="169">
        <v>717</v>
      </c>
      <c r="AA84" s="169">
        <v>1049</v>
      </c>
      <c r="AB84" s="169">
        <v>225</v>
      </c>
      <c r="AC84" s="169">
        <v>21</v>
      </c>
      <c r="AD84" s="179">
        <v>2</v>
      </c>
      <c r="AE84" s="180">
        <v>24</v>
      </c>
      <c r="AF84" s="152"/>
      <c r="AG84" s="152"/>
    </row>
    <row r="85">
      <c r="A85" s="166"/>
      <c r="B85" s="183" t="s">
        <v>124</v>
      </c>
      <c r="C85" s="168" t="s">
        <v>131</v>
      </c>
      <c r="D85" s="169">
        <f t="shared" si="254"/>
      </c>
      <c r="E85" s="170">
        <v>2137.35</v>
      </c>
      <c r="F85" s="170">
        <v>325.1</v>
      </c>
      <c r="G85" s="170"/>
      <c r="H85" s="170">
        <v>3</v>
      </c>
      <c r="I85" s="169">
        <v>16637.520000000004</v>
      </c>
      <c r="J85" s="171">
        <f t="shared" si="183"/>
      </c>
      <c r="K85" s="172">
        <f t="shared" si="93"/>
      </c>
      <c r="L85" s="173">
        <f t="shared" si="33"/>
      </c>
      <c r="M85" s="174">
        <f t="shared" si="123"/>
      </c>
      <c r="N85" s="172">
        <f t="shared" si="3"/>
      </c>
      <c r="O85" s="173">
        <f t="shared" si="454"/>
      </c>
      <c r="P85" s="172">
        <f t="shared" si="424"/>
      </c>
      <c r="Q85" s="172">
        <f t="shared" si="346"/>
      </c>
      <c r="R85" s="173">
        <f t="shared" si="316"/>
      </c>
      <c r="S85" s="175">
        <f t="shared" si="213"/>
      </c>
      <c r="T85" s="173">
        <f t="shared" si="153"/>
      </c>
      <c r="U85" s="176">
        <f t="shared" si="63"/>
      </c>
      <c r="V85" s="177" t="s">
        <v>108</v>
      </c>
      <c r="W85" s="182" t="s">
        <v>133</v>
      </c>
      <c r="X85" s="205">
        <v>2</v>
      </c>
      <c r="Y85" s="169">
        <v>15722</v>
      </c>
      <c r="Z85" s="169">
        <v>511</v>
      </c>
      <c r="AA85" s="169">
        <v>699</v>
      </c>
      <c r="AB85" s="169">
        <v>169</v>
      </c>
      <c r="AC85" s="169">
        <v>15</v>
      </c>
      <c r="AD85" s="179">
        <v>4</v>
      </c>
      <c r="AE85" s="180">
        <v>19</v>
      </c>
      <c r="AF85" s="152"/>
      <c r="AG85" s="152"/>
    </row>
    <row r="86">
      <c r="A86" s="166"/>
      <c r="B86" s="184" t="s">
        <v>113</v>
      </c>
      <c r="C86" s="184"/>
      <c r="D86" s="185">
        <f>SUM(D82:D85)</f>
      </c>
      <c r="E86" s="185">
        <f>SUM(E82:E85)</f>
      </c>
      <c r="F86" s="185">
        <f>SUM(F82:F85)</f>
      </c>
      <c r="G86" s="185"/>
      <c r="H86" s="185">
        <f>SUM(H82:H85)</f>
      </c>
      <c r="I86" s="185">
        <f>SUM(I82:I85)</f>
      </c>
      <c r="J86" s="186">
        <f t="shared" si="183"/>
      </c>
      <c r="K86" s="187">
        <f t="shared" si="93"/>
      </c>
      <c r="L86" s="188">
        <f t="shared" si="33"/>
      </c>
      <c r="M86" s="189">
        <f t="shared" si="123"/>
      </c>
      <c r="N86" s="187">
        <f t="shared" si="3"/>
      </c>
      <c r="O86" s="188">
        <f t="shared" si="454"/>
      </c>
      <c r="P86" s="187">
        <f t="shared" si="424"/>
      </c>
      <c r="Q86" s="187">
        <f t="shared" si="346"/>
      </c>
      <c r="R86" s="188">
        <f t="shared" si="316"/>
      </c>
      <c r="S86" s="190">
        <f t="shared" si="213"/>
      </c>
      <c r="T86" s="188">
        <f t="shared" si="153"/>
      </c>
      <c r="U86" s="191">
        <f t="shared" si="63"/>
      </c>
      <c r="V86" s="191"/>
      <c r="W86" s="191"/>
      <c r="X86" s="206">
        <f>SUM(X82:X85)</f>
      </c>
      <c r="Y86" s="185">
        <f>SUM(Y82:Y85)</f>
      </c>
      <c r="Z86" s="185">
        <f>SUM(Z82:Z85)</f>
      </c>
      <c r="AA86" s="185">
        <f>SUM(AA82:AA85)</f>
      </c>
      <c r="AB86" s="185">
        <f>SUM(AB82:AB85)</f>
      </c>
      <c r="AC86" s="185">
        <f>SUM(AC82:AC85)</f>
      </c>
      <c r="AD86" s="185">
        <f>SUM(AD82:AD85)</f>
      </c>
      <c r="AE86" s="185">
        <f>SUM(AE82:AE85)</f>
      </c>
      <c r="AF86" s="152"/>
      <c r="AG86" s="152"/>
    </row>
    <row r="87">
      <c r="A87" s="166"/>
      <c r="B87" s="181" t="s">
        <v>125</v>
      </c>
      <c r="C87" s="168" t="s">
        <v>126</v>
      </c>
      <c r="D87" s="169">
        <f t="shared" ref="D87:D90" si="255">E87+F87</f>
      </c>
      <c r="E87" s="170">
        <v>1325.93</v>
      </c>
      <c r="F87" s="170">
        <v>242.19</v>
      </c>
      <c r="G87" s="170"/>
      <c r="H87" s="170">
        <v>2</v>
      </c>
      <c r="I87" s="170">
        <v>6100.199999999997</v>
      </c>
      <c r="J87" s="171">
        <f t="shared" si="183"/>
      </c>
      <c r="K87" s="172">
        <f t="shared" si="93"/>
      </c>
      <c r="L87" s="173">
        <f t="shared" si="33"/>
      </c>
      <c r="M87" s="174">
        <f t="shared" si="123"/>
      </c>
      <c r="N87" s="172">
        <f t="shared" si="3"/>
      </c>
      <c r="O87" s="173">
        <f t="shared" si="454"/>
      </c>
      <c r="P87" s="172">
        <f t="shared" si="424"/>
      </c>
      <c r="Q87" s="172">
        <f t="shared" si="346"/>
      </c>
      <c r="R87" s="173">
        <f t="shared" si="316"/>
      </c>
      <c r="S87" s="175">
        <f t="shared" si="213"/>
      </c>
      <c r="T87" s="173">
        <f t="shared" si="153"/>
      </c>
      <c r="U87" s="176">
        <f t="shared" si="63"/>
      </c>
      <c r="V87" s="177" t="s">
        <v>108</v>
      </c>
      <c r="W87" s="182" t="s">
        <v>133</v>
      </c>
      <c r="X87" s="205">
        <v>2</v>
      </c>
      <c r="Y87" s="169">
        <v>14718</v>
      </c>
      <c r="Z87" s="169">
        <v>334</v>
      </c>
      <c r="AA87" s="169">
        <v>423</v>
      </c>
      <c r="AB87" s="169">
        <v>76</v>
      </c>
      <c r="AC87" s="169">
        <v>12</v>
      </c>
      <c r="AD87" s="179">
        <v>2</v>
      </c>
      <c r="AE87" s="180">
        <v>10</v>
      </c>
      <c r="AF87" s="152"/>
      <c r="AG87" s="152"/>
    </row>
    <row r="88">
      <c r="A88" s="166"/>
      <c r="B88" s="195" t="s">
        <v>127</v>
      </c>
      <c r="C88" s="168" t="s">
        <v>126</v>
      </c>
      <c r="D88" s="169">
        <f t="shared" si="255"/>
      </c>
      <c r="E88" s="170">
        <v>3157.85</v>
      </c>
      <c r="F88" s="170">
        <v>210.67</v>
      </c>
      <c r="G88" s="170"/>
      <c r="H88" s="170">
        <v>2</v>
      </c>
      <c r="I88" s="170">
        <v>1823.0400000000009</v>
      </c>
      <c r="J88" s="171">
        <f t="shared" si="183"/>
      </c>
      <c r="K88" s="172">
        <f t="shared" si="93"/>
      </c>
      <c r="L88" s="173">
        <f t="shared" si="33"/>
      </c>
      <c r="M88" s="174">
        <f t="shared" si="123"/>
      </c>
      <c r="N88" s="172">
        <f t="shared" si="3"/>
      </c>
      <c r="O88" s="173">
        <f t="shared" si="454"/>
      </c>
      <c r="P88" s="172">
        <f t="shared" si="424"/>
      </c>
      <c r="Q88" s="172">
        <f t="shared" si="346"/>
      </c>
      <c r="R88" s="173">
        <f t="shared" si="316"/>
      </c>
      <c r="S88" s="175">
        <f t="shared" si="213"/>
      </c>
      <c r="T88" s="173">
        <f t="shared" si="153"/>
      </c>
      <c r="U88" s="176">
        <f t="shared" si="63"/>
      </c>
      <c r="V88" s="177" t="s">
        <v>108</v>
      </c>
      <c r="W88" s="182" t="s">
        <v>133</v>
      </c>
      <c r="X88" s="205">
        <v>1</v>
      </c>
      <c r="Y88" s="169">
        <v>30439</v>
      </c>
      <c r="Z88" s="169">
        <v>563</v>
      </c>
      <c r="AA88" s="169">
        <v>677</v>
      </c>
      <c r="AB88" s="169">
        <v>139</v>
      </c>
      <c r="AC88" s="169">
        <v>12</v>
      </c>
      <c r="AD88" s="179">
        <v>3</v>
      </c>
      <c r="AE88" s="180">
        <v>31</v>
      </c>
      <c r="AF88" s="152"/>
      <c r="AG88" s="152"/>
    </row>
    <row r="89">
      <c r="A89" s="166"/>
      <c r="B89" s="195" t="s">
        <v>128</v>
      </c>
      <c r="C89" s="168" t="s">
        <v>126</v>
      </c>
      <c r="D89" s="169">
        <f t="shared" si="255"/>
      </c>
      <c r="E89" s="170">
        <v>3074.7799999999997</v>
      </c>
      <c r="F89" s="170">
        <v>407.99</v>
      </c>
      <c r="G89" s="170"/>
      <c r="H89" s="169">
        <v>2</v>
      </c>
      <c r="I89" s="169">
        <v>10330.080000000009</v>
      </c>
      <c r="J89" s="171">
        <f t="shared" si="183"/>
      </c>
      <c r="K89" s="172">
        <f t="shared" si="93"/>
      </c>
      <c r="L89" s="173">
        <f t="shared" si="33"/>
      </c>
      <c r="M89" s="174">
        <f t="shared" si="123"/>
      </c>
      <c r="N89" s="172">
        <f t="shared" si="3"/>
      </c>
      <c r="O89" s="173">
        <f t="shared" si="454"/>
      </c>
      <c r="P89" s="172">
        <f t="shared" si="424"/>
      </c>
      <c r="Q89" s="172">
        <f t="shared" si="346"/>
      </c>
      <c r="R89" s="173">
        <f t="shared" si="316"/>
      </c>
      <c r="S89" s="175">
        <f t="shared" si="213"/>
      </c>
      <c r="T89" s="173">
        <f t="shared" si="153"/>
      </c>
      <c r="U89" s="176">
        <f t="shared" si="63"/>
      </c>
      <c r="V89" s="177" t="s">
        <v>108</v>
      </c>
      <c r="W89" s="182" t="s">
        <v>133</v>
      </c>
      <c r="X89" s="205">
        <v>1</v>
      </c>
      <c r="Y89" s="169">
        <v>22292</v>
      </c>
      <c r="Z89" s="169">
        <v>584</v>
      </c>
      <c r="AA89" s="169">
        <v>779</v>
      </c>
      <c r="AB89" s="169">
        <v>169</v>
      </c>
      <c r="AC89" s="169">
        <v>23</v>
      </c>
      <c r="AD89" s="179">
        <v>4</v>
      </c>
      <c r="AE89" s="180">
        <v>21</v>
      </c>
      <c r="AF89" s="152"/>
      <c r="AG89" s="152"/>
    </row>
    <row r="90">
      <c r="A90" s="166"/>
      <c r="B90" s="167" t="s">
        <v>129</v>
      </c>
      <c r="C90" s="168" t="s">
        <v>126</v>
      </c>
      <c r="D90" s="169">
        <f t="shared" si="255"/>
      </c>
      <c r="E90" s="170">
        <v>2908.2799999999997</v>
      </c>
      <c r="F90" s="170">
        <v>321.07</v>
      </c>
      <c r="G90" s="170"/>
      <c r="H90" s="170">
        <v>6</v>
      </c>
      <c r="I90" s="170">
        <v>7776.239999999991</v>
      </c>
      <c r="J90" s="171">
        <f t="shared" si="183"/>
      </c>
      <c r="K90" s="172">
        <f t="shared" si="93"/>
      </c>
      <c r="L90" s="173">
        <f t="shared" si="33"/>
      </c>
      <c r="M90" s="174">
        <f t="shared" si="123"/>
      </c>
      <c r="N90" s="172">
        <f t="shared" si="3"/>
      </c>
      <c r="O90" s="173">
        <f t="shared" si="454"/>
      </c>
      <c r="P90" s="172">
        <f t="shared" si="424"/>
      </c>
      <c r="Q90" s="172">
        <f t="shared" si="346"/>
      </c>
      <c r="R90" s="173">
        <f t="shared" si="316"/>
      </c>
      <c r="S90" s="175">
        <f t="shared" si="213"/>
      </c>
      <c r="T90" s="173">
        <f t="shared" si="153"/>
      </c>
      <c r="U90" s="176">
        <f t="shared" si="63"/>
      </c>
      <c r="V90" s="177" t="s">
        <v>108</v>
      </c>
      <c r="W90" s="182" t="s">
        <v>133</v>
      </c>
      <c r="X90" s="205">
        <v>4</v>
      </c>
      <c r="Y90" s="169">
        <v>22194</v>
      </c>
      <c r="Z90" s="169">
        <v>596</v>
      </c>
      <c r="AA90" s="169">
        <v>782</v>
      </c>
      <c r="AB90" s="169">
        <v>147</v>
      </c>
      <c r="AC90" s="169">
        <v>22</v>
      </c>
      <c r="AD90" s="179">
        <v>6</v>
      </c>
      <c r="AE90" s="180">
        <v>26</v>
      </c>
      <c r="AF90" s="152"/>
      <c r="AG90" s="152"/>
    </row>
    <row r="91">
      <c r="A91" s="166"/>
      <c r="B91" s="184" t="s">
        <v>113</v>
      </c>
      <c r="C91" s="184"/>
      <c r="D91" s="185">
        <f>SUM(D87:D90)</f>
      </c>
      <c r="E91" s="185">
        <f>SUM(E87:E90)</f>
      </c>
      <c r="F91" s="185">
        <f>SUM(F87:F90)</f>
      </c>
      <c r="G91" s="185"/>
      <c r="H91" s="185">
        <f>SUM(H87:H90)</f>
      </c>
      <c r="I91" s="185">
        <f>SUM(I87:I90)</f>
      </c>
      <c r="J91" s="186">
        <f t="shared" si="183"/>
      </c>
      <c r="K91" s="187">
        <f t="shared" si="93"/>
      </c>
      <c r="L91" s="188">
        <f t="shared" si="33"/>
      </c>
      <c r="M91" s="189">
        <f t="shared" si="123"/>
      </c>
      <c r="N91" s="187">
        <f t="shared" si="3"/>
      </c>
      <c r="O91" s="188">
        <f t="shared" si="454"/>
      </c>
      <c r="P91" s="187">
        <f t="shared" si="424"/>
      </c>
      <c r="Q91" s="187">
        <f t="shared" si="346"/>
      </c>
      <c r="R91" s="188">
        <f t="shared" si="316"/>
      </c>
      <c r="S91" s="190">
        <f t="shared" si="213"/>
      </c>
      <c r="T91" s="188">
        <f t="shared" si="153"/>
      </c>
      <c r="U91" s="191">
        <f t="shared" si="63"/>
      </c>
      <c r="V91" s="191"/>
      <c r="W91" s="191"/>
      <c r="X91" s="207">
        <f>SUM(X87:X90)</f>
      </c>
      <c r="Y91" s="185">
        <f>SUM(Y87:Y90)</f>
      </c>
      <c r="Z91" s="185">
        <f>SUM(Z87:Z90)</f>
      </c>
      <c r="AA91" s="185">
        <f>SUM(AA87:AA90)</f>
      </c>
      <c r="AB91" s="185">
        <f>SUM(AB87:AB90)</f>
      </c>
      <c r="AC91" s="185">
        <f>SUM(AC87:AC90)</f>
      </c>
      <c r="AD91" s="185">
        <f>SUM(AD87:AD90)</f>
      </c>
      <c r="AE91" s="185">
        <f>SUM(AE87:AE90)</f>
      </c>
      <c r="AF91" s="152"/>
      <c r="AG91" s="152"/>
    </row>
    <row r="92">
      <c r="A92" s="166"/>
      <c r="B92" s="196" t="s">
        <v>130</v>
      </c>
      <c r="C92" s="196"/>
      <c r="D92" s="197">
        <f>D76+D81+D86+D91</f>
      </c>
      <c r="E92" s="197">
        <f>E76+E81+E86+E91</f>
      </c>
      <c r="F92" s="197">
        <f>F76+F81+F86+F91</f>
      </c>
      <c r="G92" s="197"/>
      <c r="H92" s="197">
        <f>H76+H81+H86+H91</f>
      </c>
      <c r="I92" s="197">
        <f>I76+I81+I86+I91</f>
      </c>
      <c r="J92" s="198">
        <f t="shared" si="183"/>
      </c>
      <c r="K92" s="199">
        <f t="shared" si="93"/>
      </c>
      <c r="L92" s="200">
        <f t="shared" si="33"/>
      </c>
      <c r="M92" s="201">
        <f t="shared" si="123"/>
      </c>
      <c r="N92" s="201">
        <f t="shared" si="3"/>
      </c>
      <c r="O92" s="200">
        <f t="shared" si="454"/>
      </c>
      <c r="P92" s="201">
        <f t="shared" si="424"/>
      </c>
      <c r="Q92" s="201">
        <f t="shared" si="346"/>
      </c>
      <c r="R92" s="200">
        <f t="shared" si="316"/>
      </c>
      <c r="S92" s="202">
        <f t="shared" si="213"/>
      </c>
      <c r="T92" s="200">
        <f t="shared" si="153"/>
      </c>
      <c r="U92" s="203">
        <f t="shared" si="63"/>
      </c>
      <c r="V92" s="203"/>
      <c r="W92" s="203"/>
      <c r="X92" s="198">
        <f>X76+X81+X86+X91</f>
      </c>
      <c r="Y92" s="198">
        <f>Y76+Y81+Y86+Y91</f>
      </c>
      <c r="Z92" s="198">
        <f>Z76+Z81+Z86+Z91</f>
      </c>
      <c r="AA92" s="198">
        <f>AA76+AA81+AA86+AA91</f>
      </c>
      <c r="AB92" s="198">
        <f>AB76+AB81+AB86+AB91</f>
      </c>
      <c r="AC92" s="198">
        <f>AC76+AC81+AC86+AC91</f>
      </c>
      <c r="AD92" s="198">
        <f>AD76+AD81+AD86+AD91</f>
      </c>
      <c r="AE92" s="198">
        <f>AE76+AE81+AE86+AE91</f>
      </c>
      <c r="AF92" s="152"/>
      <c r="AG92" s="152"/>
    </row>
    <row r="93">
      <c r="A93" s="146" t="s">
        <v>73</v>
      </c>
      <c r="B93" s="146"/>
      <c r="C93" s="146"/>
      <c r="D93" s="147" t="s">
        <v>74</v>
      </c>
      <c r="E93" s="147"/>
      <c r="F93" s="147"/>
      <c r="G93" s="147"/>
      <c r="H93" s="147"/>
      <c r="I93" s="147"/>
      <c r="J93" s="147"/>
      <c r="K93" s="148" t="s">
        <v>75</v>
      </c>
      <c r="L93" s="148"/>
      <c r="M93" s="148"/>
      <c r="N93" s="148"/>
      <c r="O93" s="148"/>
      <c r="P93" s="148"/>
      <c r="Q93" s="148"/>
      <c r="R93" s="148"/>
      <c r="S93" s="148"/>
      <c r="T93" s="148"/>
      <c r="U93" s="149"/>
      <c r="V93" s="149"/>
      <c r="W93" s="149"/>
      <c r="X93" s="150"/>
      <c r="Y93" s="150"/>
      <c r="Z93" s="150"/>
      <c r="AA93" s="150"/>
      <c r="AB93" s="150"/>
      <c r="AC93" s="150"/>
      <c r="AD93" s="150"/>
      <c r="AE93" s="151" t="s">
        <v>76</v>
      </c>
      <c r="AF93" s="152"/>
      <c r="AG93" s="152"/>
    </row>
    <row r="94">
      <c r="A94" s="153" t="s">
        <v>77</v>
      </c>
      <c r="B94" s="146" t="s">
        <v>78</v>
      </c>
      <c r="C94" s="146" t="s">
        <v>79</v>
      </c>
      <c r="D94" s="154" t="s">
        <v>80</v>
      </c>
      <c r="E94" s="155" t="s">
        <v>81</v>
      </c>
      <c r="F94" s="155" t="s">
        <v>82</v>
      </c>
      <c r="G94" s="155"/>
      <c r="H94" s="156" t="s">
        <v>83</v>
      </c>
      <c r="I94" s="157" t="s">
        <v>84</v>
      </c>
      <c r="J94" s="155" t="s">
        <v>85</v>
      </c>
      <c r="K94" s="158" t="s">
        <v>86</v>
      </c>
      <c r="L94" s="158" t="s">
        <v>87</v>
      </c>
      <c r="M94" s="159" t="s">
        <v>88</v>
      </c>
      <c r="N94" s="160" t="s">
        <v>89</v>
      </c>
      <c r="O94" s="148" t="s">
        <v>90</v>
      </c>
      <c r="P94" s="160" t="s">
        <v>91</v>
      </c>
      <c r="Q94" s="160" t="s">
        <v>92</v>
      </c>
      <c r="R94" s="161" t="s">
        <v>93</v>
      </c>
      <c r="S94" s="160" t="s">
        <v>94</v>
      </c>
      <c r="T94" s="161" t="s">
        <v>95</v>
      </c>
      <c r="U94" s="162" t="s">
        <v>96</v>
      </c>
      <c r="V94" s="162" t="s">
        <v>97</v>
      </c>
      <c r="W94" s="162" t="s">
        <v>98</v>
      </c>
      <c r="X94" s="163" t="s">
        <v>99</v>
      </c>
      <c r="Y94" s="164" t="s">
        <v>100</v>
      </c>
      <c r="Z94" s="164" t="s">
        <v>101</v>
      </c>
      <c r="AA94" s="164" t="s">
        <v>102</v>
      </c>
      <c r="AB94" s="164" t="s">
        <v>103</v>
      </c>
      <c r="AC94" s="164" t="s">
        <v>104</v>
      </c>
      <c r="AD94" s="165" t="s">
        <v>105</v>
      </c>
      <c r="AE94" s="151"/>
      <c r="AF94" s="152"/>
      <c r="AG94" s="152"/>
    </row>
    <row r="95">
      <c r="A95" s="166">
        <v>46270</v>
      </c>
      <c r="B95" s="167" t="s">
        <v>106</v>
      </c>
      <c r="C95" s="168" t="s">
        <v>107</v>
      </c>
      <c r="D95" s="169">
        <f t="shared" ref="D95:D98" si="256">E95+F95</f>
      </c>
      <c r="E95" s="170">
        <v>2000.83</v>
      </c>
      <c r="F95" s="169">
        <v>971.75</v>
      </c>
      <c r="G95" s="169"/>
      <c r="H95" s="170">
        <v>0</v>
      </c>
      <c r="I95" s="170">
        <v>0</v>
      </c>
      <c r="J95" s="171">
        <f t="shared" ref="J95:J115" si="184">I95/D95</f>
      </c>
      <c r="K95" s="172">
        <f t="shared" ref="K95:K115" si="94">Z95/Y95</f>
      </c>
      <c r="L95" s="173">
        <f t="shared" ref="L95:L115" si="34">D95/AA95</f>
      </c>
      <c r="M95" s="174">
        <f t="shared" ref="M95:M115" si="124">AB95/AA95</f>
      </c>
      <c r="N95" s="172">
        <f t="shared" ref="N95:N115" si="4">AC95/AA95</f>
      </c>
      <c r="O95" s="173">
        <f t="shared" ref="O95:O115" si="455">D95/AC95</f>
      </c>
      <c r="P95" s="172">
        <f t="shared" ref="P95:P115" si="425">AD95/AC95</f>
      </c>
      <c r="Q95" s="172">
        <f t="shared" ref="Q95:Q115" si="347">H95/AD95</f>
      </c>
      <c r="R95" s="173">
        <f t="shared" ref="R95:R115" si="317">D95/H95</f>
      </c>
      <c r="S95" s="175">
        <f t="shared" ref="S95:S115" si="214">I95/H95</f>
      </c>
      <c r="T95" s="173">
        <f t="shared" ref="T95:T115" si="154">D95/X95</f>
      </c>
      <c r="U95" s="176">
        <f t="shared" ref="U95:U115" si="64">AE95*1000/D95</f>
      </c>
      <c r="V95" s="177" t="s">
        <v>108</v>
      </c>
      <c r="W95" s="182" t="s">
        <v>132</v>
      </c>
      <c r="X95" s="169">
        <v>0</v>
      </c>
      <c r="Y95" s="169">
        <v>17739</v>
      </c>
      <c r="Z95" s="169">
        <v>891</v>
      </c>
      <c r="AA95" s="169">
        <v>1483</v>
      </c>
      <c r="AB95" s="169">
        <v>289</v>
      </c>
      <c r="AC95" s="179">
        <v>27</v>
      </c>
      <c r="AD95" s="179">
        <v>0</v>
      </c>
      <c r="AE95" s="180">
        <v>24</v>
      </c>
      <c r="AF95" s="152"/>
      <c r="AG95" s="152"/>
    </row>
    <row r="96">
      <c r="A96" s="166"/>
      <c r="B96" s="181" t="s">
        <v>110</v>
      </c>
      <c r="C96" s="168" t="s">
        <v>107</v>
      </c>
      <c r="D96" s="169">
        <f t="shared" si="256"/>
      </c>
      <c r="E96" s="169">
        <v>2626.64</v>
      </c>
      <c r="F96" s="169">
        <v>813.83</v>
      </c>
      <c r="G96" s="169"/>
      <c r="H96" s="170">
        <v>4</v>
      </c>
      <c r="I96" s="170">
        <v>3145.92</v>
      </c>
      <c r="J96" s="171">
        <f t="shared" si="184"/>
      </c>
      <c r="K96" s="172">
        <f t="shared" si="94"/>
      </c>
      <c r="L96" s="173">
        <f t="shared" si="34"/>
      </c>
      <c r="M96" s="174">
        <f t="shared" si="124"/>
      </c>
      <c r="N96" s="172">
        <f t="shared" si="4"/>
      </c>
      <c r="O96" s="173">
        <f t="shared" si="455"/>
      </c>
      <c r="P96" s="172">
        <f t="shared" si="425"/>
      </c>
      <c r="Q96" s="172">
        <f t="shared" si="347"/>
      </c>
      <c r="R96" s="173">
        <f t="shared" si="317"/>
      </c>
      <c r="S96" s="175">
        <f t="shared" si="214"/>
      </c>
      <c r="T96" s="173">
        <f t="shared" si="154"/>
      </c>
      <c r="U96" s="176">
        <f t="shared" si="64"/>
      </c>
      <c r="V96" s="177" t="s">
        <v>108</v>
      </c>
      <c r="W96" s="182" t="s">
        <v>132</v>
      </c>
      <c r="X96" s="205">
        <v>2</v>
      </c>
      <c r="Y96" s="169">
        <v>22861</v>
      </c>
      <c r="Z96" s="169">
        <v>428</v>
      </c>
      <c r="AA96" s="169">
        <v>496</v>
      </c>
      <c r="AB96" s="169">
        <v>101</v>
      </c>
      <c r="AC96" s="169">
        <v>20</v>
      </c>
      <c r="AD96" s="179">
        <v>6</v>
      </c>
      <c r="AE96" s="180">
        <v>22</v>
      </c>
      <c r="AF96" s="152"/>
      <c r="AG96" s="152"/>
    </row>
    <row r="97">
      <c r="A97" s="166"/>
      <c r="B97" s="181" t="s">
        <v>111</v>
      </c>
      <c r="C97" s="168" t="s">
        <v>107</v>
      </c>
      <c r="D97" s="169">
        <f t="shared" si="256"/>
      </c>
      <c r="E97" s="169">
        <v>2568.86</v>
      </c>
      <c r="F97" s="169">
        <v>317.81</v>
      </c>
      <c r="G97" s="169"/>
      <c r="H97" s="170">
        <v>1</v>
      </c>
      <c r="I97" s="169">
        <v>520</v>
      </c>
      <c r="J97" s="171">
        <f t="shared" si="184"/>
      </c>
      <c r="K97" s="172">
        <f t="shared" si="94"/>
      </c>
      <c r="L97" s="173">
        <f t="shared" si="34"/>
      </c>
      <c r="M97" s="174">
        <f t="shared" si="124"/>
      </c>
      <c r="N97" s="172">
        <f t="shared" si="4"/>
      </c>
      <c r="O97" s="173">
        <f t="shared" si="455"/>
      </c>
      <c r="P97" s="172">
        <f t="shared" si="425"/>
      </c>
      <c r="Q97" s="172">
        <f t="shared" si="347"/>
      </c>
      <c r="R97" s="173">
        <f t="shared" si="317"/>
      </c>
      <c r="S97" s="175">
        <f t="shared" si="214"/>
      </c>
      <c r="T97" s="173">
        <f t="shared" si="154"/>
      </c>
      <c r="U97" s="176">
        <f t="shared" si="64"/>
      </c>
      <c r="V97" s="177" t="s">
        <v>108</v>
      </c>
      <c r="W97" s="182" t="s">
        <v>132</v>
      </c>
      <c r="X97" s="205">
        <v>1</v>
      </c>
      <c r="Y97" s="169">
        <v>21446</v>
      </c>
      <c r="Z97" s="169">
        <v>506</v>
      </c>
      <c r="AA97" s="169">
        <v>653</v>
      </c>
      <c r="AB97" s="169">
        <v>113</v>
      </c>
      <c r="AC97" s="169">
        <v>19</v>
      </c>
      <c r="AD97" s="179">
        <v>2</v>
      </c>
      <c r="AE97" s="180">
        <v>17</v>
      </c>
      <c r="AF97" s="152"/>
      <c r="AG97" s="152"/>
    </row>
    <row r="98">
      <c r="A98" s="166"/>
      <c r="B98" s="183" t="s">
        <v>112</v>
      </c>
      <c r="C98" s="168" t="s">
        <v>107</v>
      </c>
      <c r="D98" s="169">
        <f t="shared" si="256"/>
      </c>
      <c r="E98" s="169">
        <v>2915.2</v>
      </c>
      <c r="F98" s="169">
        <v>1485.69</v>
      </c>
      <c r="G98" s="169"/>
      <c r="H98" s="170">
        <v>6</v>
      </c>
      <c r="I98" s="170">
        <v>25931.519999999997</v>
      </c>
      <c r="J98" s="171">
        <f t="shared" si="184"/>
      </c>
      <c r="K98" s="172">
        <f t="shared" si="94"/>
      </c>
      <c r="L98" s="173">
        <f t="shared" si="34"/>
      </c>
      <c r="M98" s="174">
        <f t="shared" si="124"/>
      </c>
      <c r="N98" s="172">
        <f t="shared" si="4"/>
      </c>
      <c r="O98" s="173">
        <f t="shared" si="455"/>
      </c>
      <c r="P98" s="172">
        <f t="shared" si="425"/>
      </c>
      <c r="Q98" s="172">
        <f t="shared" si="347"/>
      </c>
      <c r="R98" s="173">
        <f t="shared" si="317"/>
      </c>
      <c r="S98" s="175">
        <f t="shared" si="214"/>
      </c>
      <c r="T98" s="173">
        <f t="shared" si="154"/>
      </c>
      <c r="U98" s="176">
        <f t="shared" si="64"/>
      </c>
      <c r="V98" s="177" t="s">
        <v>108</v>
      </c>
      <c r="W98" s="182" t="s">
        <v>132</v>
      </c>
      <c r="X98" s="205">
        <v>6</v>
      </c>
      <c r="Y98" s="169">
        <v>29771</v>
      </c>
      <c r="Z98" s="169">
        <v>942</v>
      </c>
      <c r="AA98" s="169">
        <v>1386</v>
      </c>
      <c r="AB98" s="169">
        <v>313</v>
      </c>
      <c r="AC98" s="169">
        <v>36</v>
      </c>
      <c r="AD98" s="179">
        <v>9</v>
      </c>
      <c r="AE98" s="180">
        <v>29</v>
      </c>
      <c r="AF98" s="152"/>
      <c r="AG98" s="152"/>
    </row>
    <row r="99">
      <c r="A99" s="166"/>
      <c r="B99" s="184" t="s">
        <v>113</v>
      </c>
      <c r="C99" s="184"/>
      <c r="D99" s="185">
        <f>SUM(D95:D98)</f>
      </c>
      <c r="E99" s="185">
        <f>SUM(E95:E98)</f>
      </c>
      <c r="F99" s="185">
        <f>SUM(F95:F98)</f>
      </c>
      <c r="G99" s="185"/>
      <c r="H99" s="185">
        <f>SUM(H95:H98)</f>
      </c>
      <c r="I99" s="185">
        <f>SUM(I95:I98)</f>
      </c>
      <c r="J99" s="186">
        <f t="shared" si="184"/>
      </c>
      <c r="K99" s="187">
        <f t="shared" si="94"/>
      </c>
      <c r="L99" s="188">
        <f t="shared" si="34"/>
      </c>
      <c r="M99" s="189">
        <f t="shared" si="124"/>
      </c>
      <c r="N99" s="187">
        <f t="shared" si="4"/>
      </c>
      <c r="O99" s="188">
        <f t="shared" si="455"/>
      </c>
      <c r="P99" s="187">
        <f t="shared" si="425"/>
      </c>
      <c r="Q99" s="187">
        <f t="shared" si="347"/>
      </c>
      <c r="R99" s="188">
        <f t="shared" si="317"/>
      </c>
      <c r="S99" s="190">
        <f t="shared" si="214"/>
      </c>
      <c r="T99" s="188">
        <f t="shared" si="154"/>
      </c>
      <c r="U99" s="191">
        <f t="shared" si="64"/>
      </c>
      <c r="V99" s="191"/>
      <c r="W99" s="191"/>
      <c r="X99" s="206">
        <f>SUM(X95:X98)</f>
      </c>
      <c r="Y99" s="185">
        <f>SUM(Y95:Y98)</f>
      </c>
      <c r="Z99" s="185">
        <f>SUM(Z95:Z98)</f>
      </c>
      <c r="AA99" s="185">
        <f>SUM(AA95:AA98)</f>
      </c>
      <c r="AB99" s="185">
        <f>SUM(AB95:AB98)</f>
      </c>
      <c r="AC99" s="185">
        <f>SUM(AC95:AC98)</f>
      </c>
      <c r="AD99" s="185">
        <f>SUM(AD95:AD98)</f>
      </c>
      <c r="AE99" s="185">
        <f>SUM(AE95:AE98)</f>
      </c>
      <c r="AF99" s="152"/>
      <c r="AG99" s="152"/>
    </row>
    <row r="100">
      <c r="A100" s="166"/>
      <c r="B100" s="181" t="s">
        <v>114</v>
      </c>
      <c r="C100" s="168" t="s">
        <v>115</v>
      </c>
      <c r="D100" s="169">
        <f t="shared" ref="D100:D103" si="257">E100+F100</f>
      </c>
      <c r="E100" s="169">
        <v>4517.16</v>
      </c>
      <c r="F100" s="169">
        <v>527.43</v>
      </c>
      <c r="G100" s="169"/>
      <c r="H100" s="170">
        <v>2</v>
      </c>
      <c r="I100" s="170">
        <v>2340.360000000004</v>
      </c>
      <c r="J100" s="171">
        <f t="shared" si="184"/>
      </c>
      <c r="K100" s="172">
        <f t="shared" si="94"/>
      </c>
      <c r="L100" s="173">
        <f t="shared" si="34"/>
      </c>
      <c r="M100" s="174">
        <f t="shared" si="124"/>
      </c>
      <c r="N100" s="172">
        <f t="shared" si="4"/>
      </c>
      <c r="O100" s="173">
        <f t="shared" si="455"/>
      </c>
      <c r="P100" s="172">
        <f t="shared" si="425"/>
      </c>
      <c r="Q100" s="172">
        <f t="shared" si="347"/>
      </c>
      <c r="R100" s="173">
        <f t="shared" si="317"/>
      </c>
      <c r="S100" s="175">
        <f t="shared" si="214"/>
      </c>
      <c r="T100" s="173">
        <f t="shared" si="154"/>
      </c>
      <c r="U100" s="176">
        <f t="shared" si="64"/>
      </c>
      <c r="V100" s="177" t="s">
        <v>108</v>
      </c>
      <c r="W100" s="182" t="s">
        <v>132</v>
      </c>
      <c r="X100" s="205">
        <v>2</v>
      </c>
      <c r="Y100" s="169">
        <v>37158</v>
      </c>
      <c r="Z100" s="169">
        <v>820</v>
      </c>
      <c r="AA100" s="169">
        <v>1039</v>
      </c>
      <c r="AB100" s="169">
        <v>209</v>
      </c>
      <c r="AC100" s="169">
        <v>23</v>
      </c>
      <c r="AD100" s="179">
        <v>4</v>
      </c>
      <c r="AE100" s="180">
        <v>24</v>
      </c>
      <c r="AF100" s="152"/>
      <c r="AG100" s="152"/>
    </row>
    <row r="101">
      <c r="A101" s="166"/>
      <c r="B101" s="181" t="s">
        <v>116</v>
      </c>
      <c r="C101" s="168" t="s">
        <v>115</v>
      </c>
      <c r="D101" s="169">
        <f t="shared" si="257"/>
      </c>
      <c r="E101" s="169">
        <v>3476.81</v>
      </c>
      <c r="F101" s="170">
        <v>0</v>
      </c>
      <c r="G101" s="170"/>
      <c r="H101" s="170">
        <v>4</v>
      </c>
      <c r="I101" s="170">
        <v>6462.48</v>
      </c>
      <c r="J101" s="171">
        <f t="shared" si="184"/>
      </c>
      <c r="K101" s="172">
        <f t="shared" si="94"/>
      </c>
      <c r="L101" s="173">
        <f t="shared" si="34"/>
      </c>
      <c r="M101" s="174">
        <f t="shared" si="124"/>
      </c>
      <c r="N101" s="172">
        <f t="shared" si="4"/>
      </c>
      <c r="O101" s="173">
        <f t="shared" si="455"/>
      </c>
      <c r="P101" s="172">
        <f t="shared" si="425"/>
      </c>
      <c r="Q101" s="172">
        <f t="shared" si="347"/>
      </c>
      <c r="R101" s="173">
        <f t="shared" si="317"/>
      </c>
      <c r="S101" s="175">
        <f t="shared" si="214"/>
      </c>
      <c r="T101" s="173">
        <f t="shared" si="154"/>
      </c>
      <c r="U101" s="176">
        <f t="shared" si="64"/>
      </c>
      <c r="V101" s="177" t="s">
        <v>108</v>
      </c>
      <c r="W101" s="182" t="s">
        <v>132</v>
      </c>
      <c r="X101" s="208">
        <v>2</v>
      </c>
      <c r="Y101" s="169">
        <v>12030</v>
      </c>
      <c r="Z101" s="169">
        <v>486</v>
      </c>
      <c r="AA101" s="169">
        <v>596</v>
      </c>
      <c r="AB101" s="169">
        <v>143</v>
      </c>
      <c r="AC101" s="169">
        <v>18</v>
      </c>
      <c r="AD101" s="179">
        <v>9</v>
      </c>
      <c r="AE101" s="180">
        <v>30</v>
      </c>
      <c r="AF101" s="152"/>
      <c r="AG101" s="152"/>
    </row>
    <row r="102">
      <c r="A102" s="166"/>
      <c r="B102" s="181" t="s">
        <v>117</v>
      </c>
      <c r="C102" s="168" t="s">
        <v>115</v>
      </c>
      <c r="D102" s="169">
        <f t="shared" si="257"/>
      </c>
      <c r="E102" s="169">
        <v>4414.32</v>
      </c>
      <c r="F102" s="169">
        <v>0</v>
      </c>
      <c r="G102" s="169"/>
      <c r="H102" s="170">
        <v>4</v>
      </c>
      <c r="I102" s="170">
        <v>9745.199999999997</v>
      </c>
      <c r="J102" s="171">
        <f t="shared" si="184"/>
      </c>
      <c r="K102" s="172">
        <f t="shared" si="94"/>
      </c>
      <c r="L102" s="173">
        <f t="shared" si="34"/>
      </c>
      <c r="M102" s="174">
        <f t="shared" si="124"/>
      </c>
      <c r="N102" s="172">
        <f t="shared" si="4"/>
      </c>
      <c r="O102" s="173">
        <f t="shared" si="455"/>
      </c>
      <c r="P102" s="172">
        <f t="shared" si="425"/>
      </c>
      <c r="Q102" s="172">
        <f t="shared" si="347"/>
      </c>
      <c r="R102" s="173">
        <f t="shared" si="317"/>
      </c>
      <c r="S102" s="175">
        <f t="shared" si="214"/>
      </c>
      <c r="T102" s="173">
        <f t="shared" si="154"/>
      </c>
      <c r="U102" s="176">
        <f t="shared" si="64"/>
      </c>
      <c r="V102" s="177" t="s">
        <v>108</v>
      </c>
      <c r="W102" s="182" t="s">
        <v>132</v>
      </c>
      <c r="X102" s="208">
        <v>4</v>
      </c>
      <c r="Y102" s="169">
        <v>25178</v>
      </c>
      <c r="Z102" s="169">
        <v>619</v>
      </c>
      <c r="AA102" s="169">
        <v>719</v>
      </c>
      <c r="AB102" s="169">
        <v>159</v>
      </c>
      <c r="AC102" s="169">
        <v>23</v>
      </c>
      <c r="AD102" s="179">
        <v>7</v>
      </c>
      <c r="AE102" s="180">
        <v>10</v>
      </c>
      <c r="AF102" s="152"/>
      <c r="AG102" s="152"/>
    </row>
    <row r="103">
      <c r="A103" s="166"/>
      <c r="B103" s="181" t="s">
        <v>118</v>
      </c>
      <c r="C103" s="168" t="s">
        <v>115</v>
      </c>
      <c r="D103" s="169">
        <f t="shared" si="257"/>
      </c>
      <c r="E103" s="170">
        <v>6112.24</v>
      </c>
      <c r="F103" s="170">
        <v>1508.52</v>
      </c>
      <c r="G103" s="170"/>
      <c r="H103" s="170">
        <v>5</v>
      </c>
      <c r="I103" s="170">
        <v>6404.639999999999</v>
      </c>
      <c r="J103" s="171">
        <f t="shared" si="184"/>
      </c>
      <c r="K103" s="172">
        <f t="shared" si="94"/>
      </c>
      <c r="L103" s="173">
        <f t="shared" si="34"/>
      </c>
      <c r="M103" s="174">
        <f t="shared" si="124"/>
      </c>
      <c r="N103" s="172">
        <f t="shared" si="4"/>
      </c>
      <c r="O103" s="173">
        <f t="shared" si="455"/>
      </c>
      <c r="P103" s="172">
        <f t="shared" si="425"/>
      </c>
      <c r="Q103" s="172">
        <f t="shared" si="347"/>
      </c>
      <c r="R103" s="173">
        <f t="shared" si="317"/>
      </c>
      <c r="S103" s="175">
        <f t="shared" si="214"/>
      </c>
      <c r="T103" s="173">
        <f t="shared" si="154"/>
      </c>
      <c r="U103" s="176">
        <f t="shared" si="64"/>
      </c>
      <c r="V103" s="177" t="s">
        <v>108</v>
      </c>
      <c r="W103" s="177" t="s">
        <v>132</v>
      </c>
      <c r="X103" s="205">
        <v>5</v>
      </c>
      <c r="Y103" s="169">
        <v>40891</v>
      </c>
      <c r="Z103" s="169">
        <v>1032</v>
      </c>
      <c r="AA103" s="169">
        <v>1238</v>
      </c>
      <c r="AB103" s="169">
        <v>219</v>
      </c>
      <c r="AC103" s="169">
        <v>43</v>
      </c>
      <c r="AD103" s="179">
        <v>6</v>
      </c>
      <c r="AE103" s="180">
        <v>23</v>
      </c>
      <c r="AF103" s="152"/>
      <c r="AG103" s="152"/>
    </row>
    <row r="104">
      <c r="A104" s="166"/>
      <c r="B104" s="184" t="s">
        <v>113</v>
      </c>
      <c r="C104" s="184"/>
      <c r="D104" s="185">
        <f>SUM(D100:D103)</f>
      </c>
      <c r="E104" s="185">
        <f>SUM(E100:E103)</f>
      </c>
      <c r="F104" s="185">
        <f>SUM(F100:F103)</f>
      </c>
      <c r="G104" s="185"/>
      <c r="H104" s="185">
        <f>SUM(H100:H103)</f>
      </c>
      <c r="I104" s="185">
        <f>SUM(I100:I103)</f>
      </c>
      <c r="J104" s="186">
        <f t="shared" si="184"/>
      </c>
      <c r="K104" s="187">
        <f t="shared" si="94"/>
      </c>
      <c r="L104" s="188">
        <f t="shared" si="34"/>
      </c>
      <c r="M104" s="189">
        <f t="shared" si="124"/>
      </c>
      <c r="N104" s="187">
        <f t="shared" si="4"/>
      </c>
      <c r="O104" s="188">
        <f t="shared" si="455"/>
      </c>
      <c r="P104" s="187">
        <f t="shared" si="425"/>
      </c>
      <c r="Q104" s="187">
        <f t="shared" si="347"/>
      </c>
      <c r="R104" s="188">
        <f t="shared" si="317"/>
      </c>
      <c r="S104" s="190">
        <f t="shared" si="214"/>
      </c>
      <c r="T104" s="188">
        <f t="shared" si="154"/>
      </c>
      <c r="U104" s="191">
        <f t="shared" si="64"/>
      </c>
      <c r="V104" s="191"/>
      <c r="W104" s="191"/>
      <c r="X104" s="206">
        <f>SUM(X100:X103)</f>
      </c>
      <c r="Y104" s="185">
        <f>SUM(Y100:Y103)</f>
      </c>
      <c r="Z104" s="185">
        <f>SUM(Z100:Z103)</f>
      </c>
      <c r="AA104" s="185">
        <f>SUM(AA100:AA103)</f>
      </c>
      <c r="AB104" s="185">
        <f>SUM(AB100:AB103)</f>
      </c>
      <c r="AC104" s="185">
        <f>SUM(AC100:AC103)</f>
      </c>
      <c r="AD104" s="185">
        <f>SUM(AD100:AD103)</f>
      </c>
      <c r="AE104" s="185">
        <f>SUM(AE100:AE103)</f>
      </c>
      <c r="AF104" s="152"/>
      <c r="AG104" s="152"/>
    </row>
    <row r="105">
      <c r="A105" s="166"/>
      <c r="B105" s="192" t="s">
        <v>119</v>
      </c>
      <c r="C105" s="168" t="s">
        <v>120</v>
      </c>
      <c r="D105" s="169">
        <f t="shared" ref="D105:D108" si="258">E105+F105</f>
      </c>
      <c r="E105" s="170">
        <v>3958.83</v>
      </c>
      <c r="F105" s="193">
        <v>640.37</v>
      </c>
      <c r="G105" s="193"/>
      <c r="H105" s="169">
        <v>2</v>
      </c>
      <c r="I105" s="169">
        <v>15119.279999999999</v>
      </c>
      <c r="J105" s="171">
        <f t="shared" si="184"/>
      </c>
      <c r="K105" s="172">
        <f t="shared" si="94"/>
      </c>
      <c r="L105" s="173">
        <f t="shared" si="34"/>
      </c>
      <c r="M105" s="174">
        <f t="shared" si="124"/>
      </c>
      <c r="N105" s="172">
        <f t="shared" si="4"/>
      </c>
      <c r="O105" s="173">
        <f t="shared" si="455"/>
      </c>
      <c r="P105" s="172">
        <f t="shared" si="425"/>
      </c>
      <c r="Q105" s="172">
        <f t="shared" si="347"/>
      </c>
      <c r="R105" s="173">
        <f t="shared" si="317"/>
      </c>
      <c r="S105" s="175">
        <f t="shared" si="214"/>
      </c>
      <c r="T105" s="173">
        <f t="shared" si="154"/>
      </c>
      <c r="U105" s="176">
        <f t="shared" si="64"/>
      </c>
      <c r="V105" s="177" t="s">
        <v>108</v>
      </c>
      <c r="W105" s="182" t="s">
        <v>133</v>
      </c>
      <c r="X105" s="205">
        <v>2</v>
      </c>
      <c r="Y105" s="169">
        <v>19687</v>
      </c>
      <c r="Z105" s="169">
        <v>774</v>
      </c>
      <c r="AA105" s="169">
        <v>1071</v>
      </c>
      <c r="AB105" s="169">
        <v>212</v>
      </c>
      <c r="AC105" s="169">
        <v>24</v>
      </c>
      <c r="AD105" s="179">
        <v>3</v>
      </c>
      <c r="AE105" s="180">
        <v>20</v>
      </c>
      <c r="AF105" s="152"/>
      <c r="AG105" s="152"/>
    </row>
    <row r="106">
      <c r="A106" s="166"/>
      <c r="B106" s="194" t="s">
        <v>122</v>
      </c>
      <c r="C106" s="168" t="s">
        <v>120</v>
      </c>
      <c r="D106" s="169">
        <f t="shared" si="258"/>
      </c>
      <c r="E106" s="170">
        <v>7718.25</v>
      </c>
      <c r="F106" s="170">
        <v>874.01</v>
      </c>
      <c r="G106" s="170"/>
      <c r="H106" s="170">
        <v>5</v>
      </c>
      <c r="I106" s="170">
        <v>26995.559999999998</v>
      </c>
      <c r="J106" s="171">
        <f t="shared" si="184"/>
      </c>
      <c r="K106" s="172">
        <f t="shared" si="94"/>
      </c>
      <c r="L106" s="173">
        <f t="shared" si="34"/>
      </c>
      <c r="M106" s="174">
        <f t="shared" si="124"/>
      </c>
      <c r="N106" s="172">
        <f t="shared" si="4"/>
      </c>
      <c r="O106" s="173">
        <f t="shared" si="455"/>
      </c>
      <c r="P106" s="172">
        <f t="shared" si="425"/>
      </c>
      <c r="Q106" s="172">
        <f t="shared" si="347"/>
      </c>
      <c r="R106" s="173">
        <f t="shared" si="317"/>
      </c>
      <c r="S106" s="175">
        <f t="shared" si="214"/>
      </c>
      <c r="T106" s="173">
        <f t="shared" si="154"/>
      </c>
      <c r="U106" s="176">
        <f t="shared" si="64"/>
      </c>
      <c r="V106" s="177" t="s">
        <v>108</v>
      </c>
      <c r="W106" s="182" t="s">
        <v>133</v>
      </c>
      <c r="X106" s="205">
        <v>3</v>
      </c>
      <c r="Y106" s="169">
        <v>46372</v>
      </c>
      <c r="Z106" s="169">
        <v>1428</v>
      </c>
      <c r="AA106" s="169">
        <v>2098</v>
      </c>
      <c r="AB106" s="169">
        <v>328</v>
      </c>
      <c r="AC106" s="169">
        <v>47</v>
      </c>
      <c r="AD106" s="179">
        <v>7</v>
      </c>
      <c r="AE106" s="180">
        <v>18</v>
      </c>
      <c r="AF106" s="152"/>
      <c r="AG106" s="152"/>
    </row>
    <row r="107">
      <c r="A107" s="166"/>
      <c r="B107" s="183" t="s">
        <v>123</v>
      </c>
      <c r="C107" s="168" t="s">
        <v>120</v>
      </c>
      <c r="D107" s="169">
        <f t="shared" si="258"/>
      </c>
      <c r="E107" s="170">
        <v>8133.5599999999995</v>
      </c>
      <c r="F107" s="170">
        <v>450.24</v>
      </c>
      <c r="G107" s="170"/>
      <c r="H107" s="170">
        <v>5</v>
      </c>
      <c r="I107" s="170">
        <v>11861.160000000003</v>
      </c>
      <c r="J107" s="171">
        <f t="shared" si="184"/>
      </c>
      <c r="K107" s="172">
        <f t="shared" si="94"/>
      </c>
      <c r="L107" s="173">
        <f t="shared" si="34"/>
      </c>
      <c r="M107" s="174">
        <f t="shared" si="124"/>
      </c>
      <c r="N107" s="172">
        <f t="shared" si="4"/>
      </c>
      <c r="O107" s="173">
        <f t="shared" si="455"/>
      </c>
      <c r="P107" s="172">
        <f t="shared" si="425"/>
      </c>
      <c r="Q107" s="172">
        <f t="shared" si="347"/>
      </c>
      <c r="R107" s="173">
        <f t="shared" si="317"/>
      </c>
      <c r="S107" s="175">
        <f t="shared" si="214"/>
      </c>
      <c r="T107" s="173">
        <f t="shared" si="154"/>
      </c>
      <c r="U107" s="176">
        <f t="shared" si="64"/>
      </c>
      <c r="V107" s="177" t="s">
        <v>108</v>
      </c>
      <c r="W107" s="182" t="s">
        <v>133</v>
      </c>
      <c r="X107" s="205">
        <v>5</v>
      </c>
      <c r="Y107" s="169">
        <v>58799</v>
      </c>
      <c r="Z107" s="169">
        <v>1683</v>
      </c>
      <c r="AA107" s="169">
        <v>2259</v>
      </c>
      <c r="AB107" s="169">
        <v>345</v>
      </c>
      <c r="AC107" s="169">
        <v>45</v>
      </c>
      <c r="AD107" s="179">
        <v>7</v>
      </c>
      <c r="AE107" s="180">
        <v>27</v>
      </c>
      <c r="AF107" s="152"/>
      <c r="AG107" s="152"/>
    </row>
    <row r="108">
      <c r="A108" s="166"/>
      <c r="B108" s="183" t="s">
        <v>124</v>
      </c>
      <c r="C108" s="168" t="s">
        <v>120</v>
      </c>
      <c r="D108" s="169">
        <f t="shared" si="258"/>
      </c>
      <c r="E108" s="170">
        <v>4878.89</v>
      </c>
      <c r="F108" s="170">
        <v>973.19</v>
      </c>
      <c r="G108" s="170"/>
      <c r="H108" s="170">
        <v>9</v>
      </c>
      <c r="I108" s="169">
        <v>19012.439999999988</v>
      </c>
      <c r="J108" s="171">
        <f t="shared" si="184"/>
      </c>
      <c r="K108" s="172">
        <f t="shared" si="94"/>
      </c>
      <c r="L108" s="173">
        <f t="shared" si="34"/>
      </c>
      <c r="M108" s="174">
        <f t="shared" si="124"/>
      </c>
      <c r="N108" s="172">
        <f t="shared" si="4"/>
      </c>
      <c r="O108" s="173">
        <f t="shared" si="455"/>
      </c>
      <c r="P108" s="172">
        <f t="shared" si="425"/>
      </c>
      <c r="Q108" s="172">
        <f t="shared" si="347"/>
      </c>
      <c r="R108" s="173">
        <f t="shared" si="317"/>
      </c>
      <c r="S108" s="175">
        <f t="shared" si="214"/>
      </c>
      <c r="T108" s="173">
        <f t="shared" si="154"/>
      </c>
      <c r="U108" s="176">
        <f t="shared" si="64"/>
      </c>
      <c r="V108" s="177" t="s">
        <v>108</v>
      </c>
      <c r="W108" s="182" t="s">
        <v>133</v>
      </c>
      <c r="X108" s="205">
        <v>7</v>
      </c>
      <c r="Y108" s="169">
        <v>26860</v>
      </c>
      <c r="Z108" s="169">
        <v>1173</v>
      </c>
      <c r="AA108" s="169">
        <v>1670</v>
      </c>
      <c r="AB108" s="169">
        <v>315</v>
      </c>
      <c r="AC108" s="169">
        <v>34</v>
      </c>
      <c r="AD108" s="179">
        <v>11</v>
      </c>
      <c r="AE108" s="180">
        <v>31</v>
      </c>
      <c r="AF108" s="152"/>
      <c r="AG108" s="152"/>
    </row>
    <row r="109">
      <c r="A109" s="166"/>
      <c r="B109" s="184" t="s">
        <v>113</v>
      </c>
      <c r="C109" s="184"/>
      <c r="D109" s="185">
        <f>SUM(D105:D108)</f>
      </c>
      <c r="E109" s="185">
        <f>SUM(E105:E108)</f>
      </c>
      <c r="F109" s="185">
        <f>SUM(F105:F108)</f>
      </c>
      <c r="G109" s="185"/>
      <c r="H109" s="185">
        <f>SUM(H105:H108)</f>
      </c>
      <c r="I109" s="185">
        <f>SUM(I105:I108)</f>
      </c>
      <c r="J109" s="186">
        <f t="shared" si="184"/>
      </c>
      <c r="K109" s="187">
        <f t="shared" si="94"/>
      </c>
      <c r="L109" s="188">
        <f t="shared" si="34"/>
      </c>
      <c r="M109" s="189">
        <f t="shared" si="124"/>
      </c>
      <c r="N109" s="187">
        <f t="shared" si="4"/>
      </c>
      <c r="O109" s="188">
        <f t="shared" si="455"/>
      </c>
      <c r="P109" s="187">
        <f t="shared" si="425"/>
      </c>
      <c r="Q109" s="187">
        <f t="shared" si="347"/>
      </c>
      <c r="R109" s="188">
        <f t="shared" si="317"/>
      </c>
      <c r="S109" s="190">
        <f t="shared" si="214"/>
      </c>
      <c r="T109" s="188">
        <f t="shared" si="154"/>
      </c>
      <c r="U109" s="191">
        <f t="shared" si="64"/>
      </c>
      <c r="V109" s="191"/>
      <c r="W109" s="191"/>
      <c r="X109" s="206">
        <f>SUM(X105:X108)</f>
      </c>
      <c r="Y109" s="185">
        <f>SUM(Y105:Y108)</f>
      </c>
      <c r="Z109" s="185">
        <f>SUM(Z105:Z108)</f>
      </c>
      <c r="AA109" s="185">
        <f>SUM(AA105:AA108)</f>
      </c>
      <c r="AB109" s="185">
        <f>SUM(AB105:AB108)</f>
      </c>
      <c r="AC109" s="185">
        <f>SUM(AC105:AC108)</f>
      </c>
      <c r="AD109" s="185">
        <f>SUM(AD105:AD108)</f>
      </c>
      <c r="AE109" s="185">
        <f>SUM(AE105:AE108)</f>
      </c>
      <c r="AF109" s="152"/>
      <c r="AG109" s="152"/>
    </row>
    <row r="110">
      <c r="A110" s="166"/>
      <c r="B110" s="181" t="s">
        <v>125</v>
      </c>
      <c r="C110" s="168" t="s">
        <v>131</v>
      </c>
      <c r="D110" s="169">
        <f t="shared" ref="D110:D113" si="259">E110+F110</f>
      </c>
      <c r="E110" s="170">
        <v>3434.19</v>
      </c>
      <c r="F110" s="170">
        <v>1977.49</v>
      </c>
      <c r="G110" s="170"/>
      <c r="H110" s="170">
        <v>2</v>
      </c>
      <c r="I110" s="170">
        <v>1710.7200000000012</v>
      </c>
      <c r="J110" s="171">
        <f t="shared" si="184"/>
      </c>
      <c r="K110" s="172">
        <f t="shared" si="94"/>
      </c>
      <c r="L110" s="173">
        <f t="shared" si="34"/>
      </c>
      <c r="M110" s="174">
        <f t="shared" si="124"/>
      </c>
      <c r="N110" s="172">
        <f t="shared" si="4"/>
      </c>
      <c r="O110" s="173">
        <f t="shared" si="455"/>
      </c>
      <c r="P110" s="172">
        <f t="shared" si="425"/>
      </c>
      <c r="Q110" s="172">
        <f t="shared" si="347"/>
      </c>
      <c r="R110" s="173">
        <f t="shared" si="317"/>
      </c>
      <c r="S110" s="175">
        <f t="shared" si="214"/>
      </c>
      <c r="T110" s="173">
        <f t="shared" si="154"/>
      </c>
      <c r="U110" s="176">
        <f t="shared" si="64"/>
      </c>
      <c r="V110" s="177" t="s">
        <v>108</v>
      </c>
      <c r="W110" s="182" t="s">
        <v>133</v>
      </c>
      <c r="X110" s="205">
        <v>2</v>
      </c>
      <c r="Y110" s="169">
        <v>25074</v>
      </c>
      <c r="Z110" s="169">
        <v>1060</v>
      </c>
      <c r="AA110" s="169">
        <v>1502</v>
      </c>
      <c r="AB110" s="169">
        <v>246</v>
      </c>
      <c r="AC110" s="169">
        <v>59</v>
      </c>
      <c r="AD110" s="179">
        <v>2</v>
      </c>
      <c r="AE110" s="180">
        <v>34</v>
      </c>
      <c r="AF110" s="152"/>
      <c r="AG110" s="152"/>
    </row>
    <row r="111">
      <c r="A111" s="166"/>
      <c r="B111" s="195" t="s">
        <v>127</v>
      </c>
      <c r="C111" s="168" t="s">
        <v>131</v>
      </c>
      <c r="D111" s="169">
        <f t="shared" si="259"/>
      </c>
      <c r="E111" s="170">
        <v>5299.36</v>
      </c>
      <c r="F111" s="170">
        <v>1372.91</v>
      </c>
      <c r="G111" s="170"/>
      <c r="H111" s="170">
        <v>3</v>
      </c>
      <c r="I111" s="170">
        <v>5273.999999999985</v>
      </c>
      <c r="J111" s="171">
        <f t="shared" si="184"/>
      </c>
      <c r="K111" s="172">
        <f t="shared" si="94"/>
      </c>
      <c r="L111" s="173">
        <f t="shared" si="34"/>
      </c>
      <c r="M111" s="174">
        <f t="shared" si="124"/>
      </c>
      <c r="N111" s="172">
        <f t="shared" si="4"/>
      </c>
      <c r="O111" s="173">
        <f t="shared" si="455"/>
      </c>
      <c r="P111" s="172">
        <f t="shared" si="425"/>
      </c>
      <c r="Q111" s="172">
        <f t="shared" si="347"/>
      </c>
      <c r="R111" s="173">
        <f t="shared" si="317"/>
      </c>
      <c r="S111" s="175">
        <f t="shared" si="214"/>
      </c>
      <c r="T111" s="173">
        <f t="shared" si="154"/>
      </c>
      <c r="U111" s="176">
        <f t="shared" si="64"/>
      </c>
      <c r="V111" s="177" t="s">
        <v>108</v>
      </c>
      <c r="W111" s="182" t="s">
        <v>133</v>
      </c>
      <c r="X111" s="205">
        <v>3</v>
      </c>
      <c r="Y111" s="169">
        <v>41639</v>
      </c>
      <c r="Z111" s="169">
        <v>1225</v>
      </c>
      <c r="AA111" s="169">
        <v>1694</v>
      </c>
      <c r="AB111" s="169">
        <v>255</v>
      </c>
      <c r="AC111" s="169">
        <v>49</v>
      </c>
      <c r="AD111" s="179">
        <v>7</v>
      </c>
      <c r="AE111" s="180">
        <v>37</v>
      </c>
      <c r="AF111" s="152"/>
      <c r="AG111" s="152"/>
    </row>
    <row r="112">
      <c r="A112" s="166"/>
      <c r="B112" s="195" t="s">
        <v>128</v>
      </c>
      <c r="C112" s="168" t="s">
        <v>131</v>
      </c>
      <c r="D112" s="169">
        <f t="shared" si="259"/>
      </c>
      <c r="E112" s="170">
        <v>4311.01</v>
      </c>
      <c r="F112" s="170">
        <v>1066.76</v>
      </c>
      <c r="G112" s="170"/>
      <c r="H112" s="169">
        <v>1</v>
      </c>
      <c r="I112" s="169">
        <v>1037.1600000000035</v>
      </c>
      <c r="J112" s="171">
        <f t="shared" si="184"/>
      </c>
      <c r="K112" s="172">
        <f t="shared" si="94"/>
      </c>
      <c r="L112" s="173">
        <f t="shared" si="34"/>
      </c>
      <c r="M112" s="174">
        <f t="shared" si="124"/>
      </c>
      <c r="N112" s="172">
        <f t="shared" si="4"/>
      </c>
      <c r="O112" s="173">
        <f t="shared" si="455"/>
      </c>
      <c r="P112" s="172">
        <f t="shared" si="425"/>
      </c>
      <c r="Q112" s="172">
        <f t="shared" si="347"/>
      </c>
      <c r="R112" s="173">
        <f t="shared" si="317"/>
      </c>
      <c r="S112" s="175">
        <f t="shared" si="214"/>
      </c>
      <c r="T112" s="173">
        <f t="shared" si="154"/>
      </c>
      <c r="U112" s="176">
        <f t="shared" si="64"/>
      </c>
      <c r="V112" s="177" t="s">
        <v>108</v>
      </c>
      <c r="W112" s="182" t="s">
        <v>133</v>
      </c>
      <c r="X112" s="205">
        <v>0</v>
      </c>
      <c r="Y112" s="169">
        <v>23090</v>
      </c>
      <c r="Z112" s="169">
        <v>826</v>
      </c>
      <c r="AA112" s="169">
        <v>1253</v>
      </c>
      <c r="AB112" s="169">
        <v>199</v>
      </c>
      <c r="AC112" s="169">
        <v>21</v>
      </c>
      <c r="AD112" s="179">
        <v>3</v>
      </c>
      <c r="AE112" s="180">
        <v>30</v>
      </c>
      <c r="AF112" s="152"/>
      <c r="AG112" s="152"/>
    </row>
    <row r="113">
      <c r="A113" s="166"/>
      <c r="B113" s="167" t="s">
        <v>129</v>
      </c>
      <c r="C113" s="168" t="s">
        <v>131</v>
      </c>
      <c r="D113" s="169">
        <f t="shared" si="259"/>
      </c>
      <c r="E113" s="170">
        <v>854.96</v>
      </c>
      <c r="F113" s="170">
        <v>769</v>
      </c>
      <c r="G113" s="170"/>
      <c r="H113" s="170">
        <v>0</v>
      </c>
      <c r="I113" s="170">
        <v>0</v>
      </c>
      <c r="J113" s="171">
        <f t="shared" si="184"/>
      </c>
      <c r="K113" s="172">
        <f t="shared" si="94"/>
      </c>
      <c r="L113" s="173">
        <f t="shared" si="34"/>
      </c>
      <c r="M113" s="174">
        <f t="shared" si="124"/>
      </c>
      <c r="N113" s="172">
        <f t="shared" si="4"/>
      </c>
      <c r="O113" s="173">
        <f t="shared" si="455"/>
      </c>
      <c r="P113" s="172">
        <f t="shared" si="425"/>
      </c>
      <c r="Q113" s="172">
        <f t="shared" si="347"/>
      </c>
      <c r="R113" s="173">
        <f t="shared" si="317"/>
      </c>
      <c r="S113" s="175">
        <f t="shared" si="214"/>
      </c>
      <c r="T113" s="173">
        <f t="shared" si="154"/>
      </c>
      <c r="U113" s="176">
        <f t="shared" si="64"/>
      </c>
      <c r="V113" s="177" t="s">
        <v>108</v>
      </c>
      <c r="W113" s="182" t="s">
        <v>133</v>
      </c>
      <c r="X113" s="205">
        <v>0</v>
      </c>
      <c r="Y113" s="169">
        <v>11260</v>
      </c>
      <c r="Z113" s="169">
        <v>589</v>
      </c>
      <c r="AA113" s="169">
        <v>1189</v>
      </c>
      <c r="AB113" s="169">
        <v>183</v>
      </c>
      <c r="AC113" s="169">
        <v>33</v>
      </c>
      <c r="AD113" s="179">
        <v>2</v>
      </c>
      <c r="AE113" s="180">
        <v>12</v>
      </c>
      <c r="AF113" s="152"/>
      <c r="AG113" s="152"/>
    </row>
    <row r="114">
      <c r="A114" s="166"/>
      <c r="B114" s="184" t="s">
        <v>113</v>
      </c>
      <c r="C114" s="184"/>
      <c r="D114" s="185">
        <f>SUM(D110:D113)</f>
      </c>
      <c r="E114" s="185">
        <f>SUM(E110:E113)</f>
      </c>
      <c r="F114" s="185">
        <f>SUM(F110:F113)</f>
      </c>
      <c r="G114" s="185"/>
      <c r="H114" s="185">
        <f>SUM(H110:H113)</f>
      </c>
      <c r="I114" s="185">
        <f>SUM(I110:I113)</f>
      </c>
      <c r="J114" s="186">
        <f t="shared" si="184"/>
      </c>
      <c r="K114" s="187">
        <f t="shared" si="94"/>
      </c>
      <c r="L114" s="188">
        <f t="shared" si="34"/>
      </c>
      <c r="M114" s="189">
        <f t="shared" si="124"/>
      </c>
      <c r="N114" s="187">
        <f t="shared" si="4"/>
      </c>
      <c r="O114" s="188">
        <f t="shared" si="455"/>
      </c>
      <c r="P114" s="187">
        <f t="shared" si="425"/>
      </c>
      <c r="Q114" s="187">
        <f t="shared" si="347"/>
      </c>
      <c r="R114" s="188">
        <f t="shared" si="317"/>
      </c>
      <c r="S114" s="190">
        <f t="shared" si="214"/>
      </c>
      <c r="T114" s="188">
        <f t="shared" si="154"/>
      </c>
      <c r="U114" s="191">
        <f t="shared" si="64"/>
      </c>
      <c r="V114" s="191"/>
      <c r="W114" s="191"/>
      <c r="X114" s="207">
        <f>SUM(X110:X113)</f>
      </c>
      <c r="Y114" s="185">
        <f>SUM(Y110:Y113)</f>
      </c>
      <c r="Z114" s="185">
        <f>SUM(Z110:Z113)</f>
      </c>
      <c r="AA114" s="185">
        <f>SUM(AA110:AA113)</f>
      </c>
      <c r="AB114" s="185">
        <f>SUM(AB110:AB113)</f>
      </c>
      <c r="AC114" s="185">
        <f>SUM(AC110:AC113)</f>
      </c>
      <c r="AD114" s="185">
        <f>SUM(AD110:AD113)</f>
      </c>
      <c r="AE114" s="185">
        <f>SUM(AE110:AE113)</f>
      </c>
      <c r="AF114" s="152"/>
      <c r="AG114" s="152"/>
    </row>
    <row r="115">
      <c r="A115" s="166"/>
      <c r="B115" s="196" t="s">
        <v>130</v>
      </c>
      <c r="C115" s="196"/>
      <c r="D115" s="197">
        <f>D99+D104+D109+D114</f>
      </c>
      <c r="E115" s="197">
        <f>E99+E104+E109+E114</f>
      </c>
      <c r="F115" s="197">
        <f>F99+F104+F109+F114</f>
      </c>
      <c r="G115" s="197"/>
      <c r="H115" s="197">
        <f>H99+H104+H109+H114</f>
      </c>
      <c r="I115" s="197">
        <f>I99+I104+I109+I114</f>
      </c>
      <c r="J115" s="198">
        <f t="shared" si="184"/>
      </c>
      <c r="K115" s="199">
        <f t="shared" si="94"/>
      </c>
      <c r="L115" s="200">
        <f t="shared" si="34"/>
      </c>
      <c r="M115" s="201">
        <f t="shared" si="124"/>
      </c>
      <c r="N115" s="201">
        <f t="shared" si="4"/>
      </c>
      <c r="O115" s="200">
        <f t="shared" si="455"/>
      </c>
      <c r="P115" s="201">
        <f t="shared" si="425"/>
      </c>
      <c r="Q115" s="201">
        <f t="shared" si="347"/>
      </c>
      <c r="R115" s="200">
        <f t="shared" si="317"/>
      </c>
      <c r="S115" s="202">
        <f t="shared" si="214"/>
      </c>
      <c r="T115" s="200">
        <f t="shared" si="154"/>
      </c>
      <c r="U115" s="203">
        <f t="shared" si="64"/>
      </c>
      <c r="V115" s="203"/>
      <c r="W115" s="203"/>
      <c r="X115" s="198">
        <f>X99+X104+X109+X114</f>
      </c>
      <c r="Y115" s="198">
        <f>Y99+Y104+Y109+Y114</f>
      </c>
      <c r="Z115" s="198">
        <f>Z99+Z104+Z109+Z114</f>
      </c>
      <c r="AA115" s="198">
        <f>AA99+AA104+AA109+AA114</f>
      </c>
      <c r="AB115" s="198">
        <f>AB99+AB104+AB109+AB114</f>
      </c>
      <c r="AC115" s="198">
        <f>AC99+AC104+AC109+AC114</f>
      </c>
      <c r="AD115" s="198">
        <f>AD99+AD104+AD109+AD114</f>
      </c>
      <c r="AE115" s="198">
        <f>AE99+AE104+AE109+AE114</f>
      </c>
      <c r="AF115" s="152"/>
      <c r="AG115" s="152"/>
    </row>
    <row r="116">
      <c r="A116" s="146" t="s">
        <v>73</v>
      </c>
      <c r="B116" s="146"/>
      <c r="C116" s="146"/>
      <c r="D116" s="147" t="s">
        <v>74</v>
      </c>
      <c r="E116" s="147"/>
      <c r="F116" s="147"/>
      <c r="G116" s="147"/>
      <c r="H116" s="147"/>
      <c r="I116" s="147"/>
      <c r="J116" s="147"/>
      <c r="K116" s="148" t="s">
        <v>75</v>
      </c>
      <c r="L116" s="148"/>
      <c r="M116" s="148"/>
      <c r="N116" s="148"/>
      <c r="O116" s="148"/>
      <c r="P116" s="148"/>
      <c r="Q116" s="148"/>
      <c r="R116" s="148"/>
      <c r="S116" s="148"/>
      <c r="T116" s="148"/>
      <c r="U116" s="149"/>
      <c r="V116" s="149"/>
      <c r="W116" s="149"/>
      <c r="X116" s="150"/>
      <c r="Y116" s="150"/>
      <c r="Z116" s="150"/>
      <c r="AA116" s="150"/>
      <c r="AB116" s="150"/>
      <c r="AC116" s="150"/>
      <c r="AD116" s="150"/>
      <c r="AE116" s="151" t="s">
        <v>76</v>
      </c>
      <c r="AF116" s="152"/>
      <c r="AG116" s="152"/>
    </row>
    <row r="117">
      <c r="A117" s="153" t="s">
        <v>77</v>
      </c>
      <c r="B117" s="146" t="s">
        <v>78</v>
      </c>
      <c r="C117" s="146" t="s">
        <v>79</v>
      </c>
      <c r="D117" s="154" t="s">
        <v>80</v>
      </c>
      <c r="E117" s="155" t="s">
        <v>81</v>
      </c>
      <c r="F117" s="155" t="s">
        <v>82</v>
      </c>
      <c r="G117" s="155"/>
      <c r="H117" s="156" t="s">
        <v>83</v>
      </c>
      <c r="I117" s="157" t="s">
        <v>84</v>
      </c>
      <c r="J117" s="155" t="s">
        <v>85</v>
      </c>
      <c r="K117" s="158" t="s">
        <v>86</v>
      </c>
      <c r="L117" s="158" t="s">
        <v>87</v>
      </c>
      <c r="M117" s="159" t="s">
        <v>88</v>
      </c>
      <c r="N117" s="160" t="s">
        <v>89</v>
      </c>
      <c r="O117" s="148" t="s">
        <v>90</v>
      </c>
      <c r="P117" s="160" t="s">
        <v>91</v>
      </c>
      <c r="Q117" s="160" t="s">
        <v>92</v>
      </c>
      <c r="R117" s="161" t="s">
        <v>93</v>
      </c>
      <c r="S117" s="160" t="s">
        <v>94</v>
      </c>
      <c r="T117" s="161" t="s">
        <v>95</v>
      </c>
      <c r="U117" s="162" t="s">
        <v>96</v>
      </c>
      <c r="V117" s="162" t="s">
        <v>97</v>
      </c>
      <c r="W117" s="162" t="s">
        <v>98</v>
      </c>
      <c r="X117" s="163" t="s">
        <v>99</v>
      </c>
      <c r="Y117" s="164" t="s">
        <v>100</v>
      </c>
      <c r="Z117" s="164" t="s">
        <v>101</v>
      </c>
      <c r="AA117" s="164" t="s">
        <v>102</v>
      </c>
      <c r="AB117" s="164" t="s">
        <v>103</v>
      </c>
      <c r="AC117" s="164" t="s">
        <v>104</v>
      </c>
      <c r="AD117" s="165" t="s">
        <v>105</v>
      </c>
      <c r="AE117" s="151"/>
      <c r="AF117" s="152"/>
      <c r="AG117" s="152"/>
    </row>
    <row r="118">
      <c r="A118" s="166">
        <v>46271</v>
      </c>
      <c r="B118" s="167" t="s">
        <v>106</v>
      </c>
      <c r="C118" s="168" t="s">
        <v>107</v>
      </c>
      <c r="D118" s="169">
        <f t="shared" ref="D118:D122" si="260">E118+F118</f>
      </c>
      <c r="E118" s="170">
        <v>4614.39</v>
      </c>
      <c r="F118" s="169">
        <v>406.11</v>
      </c>
      <c r="G118" s="169"/>
      <c r="H118" s="170">
        <v>3</v>
      </c>
      <c r="I118" s="170">
        <v>6612.96</v>
      </c>
      <c r="J118" s="171">
        <f t="shared" ref="J118:J138" si="185">I118/D118</f>
      </c>
      <c r="K118" s="172">
        <f t="shared" ref="K118:K138" si="95">Z118/Y118</f>
      </c>
      <c r="L118" s="173">
        <f t="shared" ref="L118:L138" si="35">D118/AA118</f>
      </c>
      <c r="M118" s="174">
        <f t="shared" ref="M118:M138" si="125">AB118/AA118</f>
      </c>
      <c r="N118" s="172">
        <f t="shared" ref="N118:N138" si="5">AC118/AA118</f>
      </c>
      <c r="O118" s="173">
        <f t="shared" ref="O118:O138" si="456">D118/AC118</f>
      </c>
      <c r="P118" s="172">
        <f t="shared" ref="P118:P138" si="426">AD118/AC118</f>
      </c>
      <c r="Q118" s="172">
        <f t="shared" ref="Q118:Q138" si="348">H118/AD118</f>
      </c>
      <c r="R118" s="173">
        <f t="shared" ref="R118:R138" si="318">D118/H118</f>
      </c>
      <c r="S118" s="175">
        <f t="shared" ref="S118:S138" si="215">I118/H118</f>
      </c>
      <c r="T118" s="173">
        <f t="shared" ref="T118:T138" si="155">D118/X118</f>
      </c>
      <c r="U118" s="176">
        <f t="shared" ref="U118:U138" si="65">AE118*1000/D118</f>
      </c>
      <c r="V118" s="177" t="s">
        <v>108</v>
      </c>
      <c r="W118" s="178" t="s">
        <v>134</v>
      </c>
      <c r="X118" s="169">
        <v>3</v>
      </c>
      <c r="Y118" s="169">
        <v>39236</v>
      </c>
      <c r="Z118" s="169">
        <v>868</v>
      </c>
      <c r="AA118" s="169">
        <v>1135</v>
      </c>
      <c r="AB118" s="169">
        <v>215</v>
      </c>
      <c r="AC118" s="179">
        <v>21</v>
      </c>
      <c r="AD118" s="179">
        <v>3</v>
      </c>
      <c r="AE118" s="180">
        <v>26</v>
      </c>
      <c r="AF118" s="152"/>
      <c r="AG118" s="152"/>
    </row>
    <row r="119">
      <c r="A119" s="166"/>
      <c r="B119" s="181" t="s">
        <v>110</v>
      </c>
      <c r="C119" s="168" t="s">
        <v>107</v>
      </c>
      <c r="D119" s="169">
        <f t="shared" si="260"/>
      </c>
      <c r="E119" s="169">
        <v>1926.14</v>
      </c>
      <c r="F119" s="169">
        <v>1682.8</v>
      </c>
      <c r="G119" s="169"/>
      <c r="H119" s="170">
        <v>6</v>
      </c>
      <c r="I119" s="170">
        <v>17169.84</v>
      </c>
      <c r="J119" s="171">
        <f t="shared" si="185"/>
      </c>
      <c r="K119" s="172">
        <f t="shared" si="95"/>
      </c>
      <c r="L119" s="173">
        <f t="shared" si="35"/>
      </c>
      <c r="M119" s="174">
        <f t="shared" si="125"/>
      </c>
      <c r="N119" s="172">
        <f t="shared" si="5"/>
      </c>
      <c r="O119" s="173">
        <f t="shared" si="456"/>
      </c>
      <c r="P119" s="172">
        <f t="shared" si="426"/>
      </c>
      <c r="Q119" s="172">
        <f t="shared" si="348"/>
      </c>
      <c r="R119" s="173">
        <f t="shared" si="318"/>
      </c>
      <c r="S119" s="175">
        <f t="shared" si="215"/>
      </c>
      <c r="T119" s="173">
        <f t="shared" si="155"/>
      </c>
      <c r="U119" s="176">
        <f t="shared" si="65"/>
      </c>
      <c r="V119" s="177" t="s">
        <v>108</v>
      </c>
      <c r="W119" s="178" t="s">
        <v>134</v>
      </c>
      <c r="X119" s="205">
        <v>3</v>
      </c>
      <c r="Y119" s="169">
        <v>18699</v>
      </c>
      <c r="Z119" s="169">
        <v>927</v>
      </c>
      <c r="AA119" s="169">
        <v>1514</v>
      </c>
      <c r="AB119" s="169">
        <v>284</v>
      </c>
      <c r="AC119" s="169">
        <v>36</v>
      </c>
      <c r="AD119" s="179">
        <v>10</v>
      </c>
      <c r="AE119" s="180">
        <v>17</v>
      </c>
      <c r="AF119" s="152"/>
      <c r="AG119" s="152"/>
    </row>
    <row r="120">
      <c r="A120" s="166"/>
      <c r="B120" s="181" t="s">
        <v>111</v>
      </c>
      <c r="C120" s="168" t="s">
        <v>107</v>
      </c>
      <c r="D120" s="169">
        <f t="shared" si="260"/>
      </c>
      <c r="E120" s="169">
        <v>3866.02</v>
      </c>
      <c r="F120" s="169">
        <v>2629.11</v>
      </c>
      <c r="G120" s="169"/>
      <c r="H120" s="170">
        <v>3</v>
      </c>
      <c r="I120" s="169">
        <v>7476.240000000002</v>
      </c>
      <c r="J120" s="171">
        <f t="shared" si="185"/>
      </c>
      <c r="K120" s="172">
        <f t="shared" si="95"/>
      </c>
      <c r="L120" s="173">
        <f t="shared" si="35"/>
      </c>
      <c r="M120" s="174">
        <f t="shared" si="125"/>
      </c>
      <c r="N120" s="172">
        <f t="shared" si="5"/>
      </c>
      <c r="O120" s="173">
        <f t="shared" si="456"/>
      </c>
      <c r="P120" s="172">
        <f t="shared" si="426"/>
      </c>
      <c r="Q120" s="172">
        <f t="shared" si="348"/>
      </c>
      <c r="R120" s="173">
        <f t="shared" si="318"/>
      </c>
      <c r="S120" s="175">
        <f t="shared" si="215"/>
      </c>
      <c r="T120" s="173">
        <f t="shared" si="155"/>
      </c>
      <c r="U120" s="176">
        <f t="shared" si="65"/>
      </c>
      <c r="V120" s="177" t="s">
        <v>108</v>
      </c>
      <c r="W120" s="178" t="s">
        <v>134</v>
      </c>
      <c r="X120" s="205">
        <v>3</v>
      </c>
      <c r="Y120" s="169">
        <v>28513</v>
      </c>
      <c r="Z120" s="169">
        <v>1359</v>
      </c>
      <c r="AA120" s="169">
        <v>2127</v>
      </c>
      <c r="AB120" s="169">
        <v>392</v>
      </c>
      <c r="AC120" s="169">
        <v>89</v>
      </c>
      <c r="AD120" s="179">
        <v>5</v>
      </c>
      <c r="AE120" s="180">
        <v>31</v>
      </c>
      <c r="AF120" s="152"/>
      <c r="AG120" s="152"/>
    </row>
    <row customHeight="true" ht="18.452380952380953" r="121">
      <c r="A121" s="166"/>
      <c r="B121" s="183" t="s">
        <v>112</v>
      </c>
      <c r="C121" s="168" t="s">
        <v>107</v>
      </c>
      <c r="D121" s="169">
        <f t="shared" si="260"/>
      </c>
      <c r="E121" s="169">
        <v>2044.6399999999999</v>
      </c>
      <c r="F121" s="169">
        <v>3414.58</v>
      </c>
      <c r="G121" s="169"/>
      <c r="H121" s="170">
        <v>4</v>
      </c>
      <c r="I121" s="170">
        <v>11779.320000000007</v>
      </c>
      <c r="J121" s="171">
        <f t="shared" si="185"/>
      </c>
      <c r="K121" s="172">
        <f t="shared" si="95"/>
      </c>
      <c r="L121" s="173">
        <f t="shared" si="35"/>
      </c>
      <c r="M121" s="174">
        <f t="shared" si="125"/>
      </c>
      <c r="N121" s="172">
        <f t="shared" si="5"/>
      </c>
      <c r="O121" s="173">
        <f t="shared" si="456"/>
      </c>
      <c r="P121" s="172">
        <f t="shared" si="426"/>
      </c>
      <c r="Q121" s="172">
        <f t="shared" si="348"/>
      </c>
      <c r="R121" s="173">
        <f t="shared" si="318"/>
      </c>
      <c r="S121" s="175">
        <f t="shared" si="215"/>
      </c>
      <c r="T121" s="173">
        <f t="shared" si="155"/>
      </c>
      <c r="U121" s="176">
        <f t="shared" si="65"/>
      </c>
      <c r="V121" s="177" t="s">
        <v>108</v>
      </c>
      <c r="W121" s="178" t="s">
        <v>134</v>
      </c>
      <c r="X121" s="205">
        <v>4</v>
      </c>
      <c r="Y121" s="169">
        <v>28922</v>
      </c>
      <c r="Z121" s="169">
        <v>1416</v>
      </c>
      <c r="AA121" s="169">
        <v>2417</v>
      </c>
      <c r="AB121" s="169">
        <v>417</v>
      </c>
      <c r="AC121" s="169">
        <v>76</v>
      </c>
      <c r="AD121" s="179">
        <v>7</v>
      </c>
      <c r="AE121" s="180">
        <v>30</v>
      </c>
      <c r="AF121" s="152"/>
      <c r="AG121" s="152"/>
    </row>
    <row r="122">
      <c r="A122" s="166"/>
      <c r="B122" s="181" t="s">
        <v>114</v>
      </c>
      <c r="C122" s="168" t="s">
        <v>107</v>
      </c>
      <c r="D122" s="169">
        <f t="shared" si="260"/>
      </c>
      <c r="E122" s="169">
        <v>2425.54</v>
      </c>
      <c r="F122" s="169">
        <v>2709.01</v>
      </c>
      <c r="G122" s="169"/>
      <c r="H122" s="170">
        <v>3</v>
      </c>
      <c r="I122" s="170">
        <v>6048.359999999993</v>
      </c>
      <c r="J122" s="171">
        <f t="shared" si="185"/>
      </c>
      <c r="K122" s="172">
        <f t="shared" si="95"/>
      </c>
      <c r="L122" s="173">
        <f t="shared" si="35"/>
      </c>
      <c r="M122" s="174">
        <f t="shared" si="125"/>
      </c>
      <c r="N122" s="172">
        <f t="shared" si="5"/>
      </c>
      <c r="O122" s="173">
        <f t="shared" si="456"/>
      </c>
      <c r="P122" s="172">
        <f t="shared" si="426"/>
      </c>
      <c r="Q122" s="172">
        <f t="shared" si="348"/>
      </c>
      <c r="R122" s="173">
        <f t="shared" si="318"/>
      </c>
      <c r="S122" s="175">
        <f t="shared" si="215"/>
      </c>
      <c r="T122" s="173">
        <f t="shared" si="155"/>
      </c>
      <c r="U122" s="176">
        <f t="shared" si="65"/>
      </c>
      <c r="V122" s="177" t="s">
        <v>108</v>
      </c>
      <c r="W122" s="178" t="s">
        <v>134</v>
      </c>
      <c r="X122" s="208">
        <v>2</v>
      </c>
      <c r="Y122" s="169">
        <v>31949</v>
      </c>
      <c r="Z122" s="169">
        <v>1707</v>
      </c>
      <c r="AA122" s="169">
        <v>3089</v>
      </c>
      <c r="AB122" s="169">
        <v>490</v>
      </c>
      <c r="AC122" s="169">
        <v>103</v>
      </c>
      <c r="AD122" s="179">
        <v>3</v>
      </c>
      <c r="AE122" s="180">
        <v>31</v>
      </c>
      <c r="AF122" s="152"/>
      <c r="AG122" s="152"/>
    </row>
    <row r="123">
      <c r="A123" s="166"/>
      <c r="B123" s="184" t="s">
        <v>113</v>
      </c>
      <c r="C123" s="184"/>
      <c r="D123" s="185">
        <f>SUM(D118:D122)</f>
      </c>
      <c r="E123" s="185">
        <f>SUM(E118:E122)</f>
      </c>
      <c r="F123" s="185">
        <f>SUM(F118:F122)</f>
      </c>
      <c r="G123" s="185"/>
      <c r="H123" s="185">
        <f>SUM(H118:H122)</f>
      </c>
      <c r="I123" s="185">
        <f>SUM(I118:I122)</f>
      </c>
      <c r="J123" s="186">
        <f t="shared" si="185"/>
      </c>
      <c r="K123" s="187">
        <f t="shared" si="95"/>
      </c>
      <c r="L123" s="188">
        <f t="shared" si="35"/>
      </c>
      <c r="M123" s="189">
        <f t="shared" si="125"/>
      </c>
      <c r="N123" s="187">
        <f t="shared" si="5"/>
      </c>
      <c r="O123" s="188">
        <f t="shared" si="456"/>
      </c>
      <c r="P123" s="187">
        <f t="shared" si="426"/>
      </c>
      <c r="Q123" s="187">
        <f t="shared" si="348"/>
      </c>
      <c r="R123" s="188">
        <f t="shared" si="318"/>
      </c>
      <c r="S123" s="190">
        <f t="shared" si="215"/>
      </c>
      <c r="T123" s="188">
        <f t="shared" si="155"/>
      </c>
      <c r="U123" s="191">
        <f t="shared" si="65"/>
      </c>
      <c r="V123" s="191"/>
      <c r="W123" s="191"/>
      <c r="X123" s="206">
        <f>SUM(X118:X122)</f>
      </c>
      <c r="Y123" s="185">
        <f>SUM(Y118:Y122)</f>
      </c>
      <c r="Z123" s="185">
        <f>SUM(Z118:Z122)</f>
      </c>
      <c r="AA123" s="185">
        <f>SUM(AA118:AA122)</f>
      </c>
      <c r="AB123" s="185">
        <f>SUM(AB118:AB122)</f>
      </c>
      <c r="AC123" s="185">
        <f>SUM(AC118:AC122)</f>
      </c>
      <c r="AD123" s="185">
        <f>SUM(AD118:AD122)</f>
      </c>
      <c r="AE123" s="185">
        <f>SUM(AE118:AE122)</f>
      </c>
      <c r="AF123" s="152"/>
      <c r="AG123" s="152"/>
    </row>
    <row r="124">
      <c r="A124" s="166"/>
      <c r="B124" s="181" t="s">
        <v>116</v>
      </c>
      <c r="C124" s="168" t="s">
        <v>115</v>
      </c>
      <c r="D124" s="169">
        <f t="shared" ref="D124:D128" si="261">E124+F124</f>
      </c>
      <c r="E124" s="169">
        <v>912.8599999999999</v>
      </c>
      <c r="F124" s="169">
        <v>2309.99</v>
      </c>
      <c r="G124" s="169"/>
      <c r="H124" s="170">
        <v>1</v>
      </c>
      <c r="I124" s="170">
        <v>477.3600000000006</v>
      </c>
      <c r="J124" s="171">
        <f t="shared" si="185"/>
      </c>
      <c r="K124" s="172">
        <f t="shared" si="95"/>
      </c>
      <c r="L124" s="173">
        <f t="shared" si="35"/>
      </c>
      <c r="M124" s="174">
        <f t="shared" si="125"/>
      </c>
      <c r="N124" s="172">
        <f t="shared" si="5"/>
      </c>
      <c r="O124" s="173">
        <f t="shared" si="456"/>
      </c>
      <c r="P124" s="172">
        <f t="shared" si="426"/>
      </c>
      <c r="Q124" s="172">
        <f t="shared" si="348"/>
      </c>
      <c r="R124" s="173">
        <f t="shared" si="318"/>
      </c>
      <c r="S124" s="175">
        <f t="shared" si="215"/>
      </c>
      <c r="T124" s="173">
        <f t="shared" si="155"/>
      </c>
      <c r="U124" s="176">
        <f t="shared" si="65"/>
      </c>
      <c r="V124" s="177" t="s">
        <v>108</v>
      </c>
      <c r="W124" s="178" t="s">
        <v>134</v>
      </c>
      <c r="X124" s="205">
        <v>0</v>
      </c>
      <c r="Y124" s="169">
        <v>15748</v>
      </c>
      <c r="Z124" s="169">
        <v>1050</v>
      </c>
      <c r="AA124" s="169">
        <v>2053</v>
      </c>
      <c r="AB124" s="169">
        <v>359</v>
      </c>
      <c r="AC124" s="169">
        <v>53</v>
      </c>
      <c r="AD124" s="179">
        <v>4</v>
      </c>
      <c r="AE124" s="180">
        <v>27</v>
      </c>
      <c r="AF124" s="152"/>
      <c r="AG124" s="152"/>
    </row>
    <row r="125">
      <c r="A125" s="166"/>
      <c r="B125" s="181" t="s">
        <v>117</v>
      </c>
      <c r="C125" s="168" t="s">
        <v>115</v>
      </c>
      <c r="D125" s="169">
        <f t="shared" si="261"/>
      </c>
      <c r="E125" s="169">
        <v>2106.13</v>
      </c>
      <c r="F125" s="170">
        <v>1376</v>
      </c>
      <c r="G125" s="170"/>
      <c r="H125" s="170">
        <v>0</v>
      </c>
      <c r="I125" s="170">
        <v>0</v>
      </c>
      <c r="J125" s="171">
        <f t="shared" si="185"/>
      </c>
      <c r="K125" s="172">
        <f t="shared" si="95"/>
      </c>
      <c r="L125" s="173">
        <f t="shared" si="35"/>
      </c>
      <c r="M125" s="174">
        <f t="shared" si="125"/>
      </c>
      <c r="N125" s="172">
        <f t="shared" si="5"/>
      </c>
      <c r="O125" s="173">
        <f t="shared" si="456"/>
      </c>
      <c r="P125" s="172">
        <f t="shared" si="426"/>
      </c>
      <c r="Q125" s="172">
        <f t="shared" si="348"/>
      </c>
      <c r="R125" s="173">
        <f t="shared" si="318"/>
      </c>
      <c r="S125" s="175">
        <f t="shared" si="215"/>
      </c>
      <c r="T125" s="173">
        <f t="shared" si="155"/>
      </c>
      <c r="U125" s="176">
        <f t="shared" si="65"/>
      </c>
      <c r="V125" s="177" t="s">
        <v>108</v>
      </c>
      <c r="W125" s="178" t="s">
        <v>134</v>
      </c>
      <c r="X125" s="208">
        <v>0</v>
      </c>
      <c r="Y125" s="169">
        <v>19282</v>
      </c>
      <c r="Z125" s="169">
        <v>963</v>
      </c>
      <c r="AA125" s="169">
        <v>1658</v>
      </c>
      <c r="AB125" s="169">
        <v>267</v>
      </c>
      <c r="AC125" s="169">
        <v>62</v>
      </c>
      <c r="AD125" s="179">
        <v>0</v>
      </c>
      <c r="AE125" s="180">
        <v>24</v>
      </c>
      <c r="AF125" s="152"/>
      <c r="AG125" s="152"/>
    </row>
    <row r="126">
      <c r="A126" s="166"/>
      <c r="B126" s="181" t="s">
        <v>118</v>
      </c>
      <c r="C126" s="168" t="s">
        <v>115</v>
      </c>
      <c r="D126" s="169">
        <f t="shared" si="261"/>
      </c>
      <c r="E126" s="169">
        <v>2018.65</v>
      </c>
      <c r="F126" s="169">
        <v>1649.01</v>
      </c>
      <c r="G126" s="169"/>
      <c r="H126" s="170">
        <v>3</v>
      </c>
      <c r="I126" s="170">
        <v>6399.480000000003</v>
      </c>
      <c r="J126" s="171">
        <f t="shared" si="185"/>
      </c>
      <c r="K126" s="172">
        <f t="shared" si="95"/>
      </c>
      <c r="L126" s="173">
        <f t="shared" si="35"/>
      </c>
      <c r="M126" s="174">
        <f t="shared" si="125"/>
      </c>
      <c r="N126" s="172">
        <f t="shared" si="5"/>
      </c>
      <c r="O126" s="173">
        <f t="shared" si="456"/>
      </c>
      <c r="P126" s="172">
        <f t="shared" si="426"/>
      </c>
      <c r="Q126" s="172">
        <f t="shared" si="348"/>
      </c>
      <c r="R126" s="173">
        <f t="shared" si="318"/>
      </c>
      <c r="S126" s="175">
        <f t="shared" si="215"/>
      </c>
      <c r="T126" s="173">
        <f t="shared" si="155"/>
      </c>
      <c r="U126" s="176">
        <f t="shared" si="65"/>
      </c>
      <c r="V126" s="177" t="s">
        <v>108</v>
      </c>
      <c r="W126" s="178" t="s">
        <v>134</v>
      </c>
      <c r="X126" s="208">
        <v>2</v>
      </c>
      <c r="Y126" s="169">
        <v>17648</v>
      </c>
      <c r="Z126" s="169">
        <v>947</v>
      </c>
      <c r="AA126" s="169">
        <v>1791</v>
      </c>
      <c r="AB126" s="169">
        <v>351</v>
      </c>
      <c r="AC126" s="169">
        <v>27</v>
      </c>
      <c r="AD126" s="179">
        <v>3</v>
      </c>
      <c r="AE126" s="180">
        <v>21</v>
      </c>
      <c r="AF126" s="152"/>
      <c r="AG126" s="152"/>
    </row>
    <row customHeight="true" ht="18.452380952380953" r="127">
      <c r="A127" s="166"/>
      <c r="B127" s="192" t="s">
        <v>119</v>
      </c>
      <c r="C127" s="168" t="s">
        <v>115</v>
      </c>
      <c r="D127" s="169">
        <f t="shared" si="261"/>
      </c>
      <c r="E127" s="170">
        <v>3099.26</v>
      </c>
      <c r="F127" s="170">
        <v>951.85</v>
      </c>
      <c r="G127" s="170"/>
      <c r="H127" s="170">
        <v>1</v>
      </c>
      <c r="I127" s="170">
        <v>1216.0800000000017</v>
      </c>
      <c r="J127" s="171">
        <f t="shared" si="185"/>
      </c>
      <c r="K127" s="172">
        <f t="shared" si="95"/>
      </c>
      <c r="L127" s="173">
        <f t="shared" si="35"/>
      </c>
      <c r="M127" s="174">
        <f t="shared" si="125"/>
      </c>
      <c r="N127" s="172">
        <f t="shared" si="5"/>
      </c>
      <c r="O127" s="173">
        <f t="shared" si="456"/>
      </c>
      <c r="P127" s="172">
        <f t="shared" si="426"/>
      </c>
      <c r="Q127" s="172">
        <f t="shared" si="348"/>
      </c>
      <c r="R127" s="173">
        <f t="shared" si="318"/>
      </c>
      <c r="S127" s="175">
        <f t="shared" si="215"/>
      </c>
      <c r="T127" s="173">
        <f t="shared" si="155"/>
      </c>
      <c r="U127" s="176">
        <f t="shared" si="65"/>
      </c>
      <c r="V127" s="177" t="s">
        <v>108</v>
      </c>
      <c r="W127" s="182" t="s">
        <v>133</v>
      </c>
      <c r="X127" s="205">
        <v>1</v>
      </c>
      <c r="Y127" s="169">
        <v>21221</v>
      </c>
      <c r="Z127" s="169">
        <v>988</v>
      </c>
      <c r="AA127" s="169">
        <v>1553</v>
      </c>
      <c r="AB127" s="169">
        <v>220</v>
      </c>
      <c r="AC127" s="169">
        <v>44</v>
      </c>
      <c r="AD127" s="179">
        <v>2</v>
      </c>
      <c r="AE127" s="180">
        <v>14</v>
      </c>
      <c r="AF127" s="152"/>
      <c r="AG127" s="152"/>
    </row>
    <row r="128">
      <c r="A128" s="166"/>
      <c r="B128" s="194" t="s">
        <v>122</v>
      </c>
      <c r="C128" s="168" t="s">
        <v>115</v>
      </c>
      <c r="D128" s="169">
        <f t="shared" si="261"/>
      </c>
      <c r="E128" s="170">
        <v>3601.31</v>
      </c>
      <c r="F128" s="170">
        <v>650.64</v>
      </c>
      <c r="G128" s="170"/>
      <c r="H128" s="170">
        <v>2</v>
      </c>
      <c r="I128" s="170">
        <v>1885.6800000000003</v>
      </c>
      <c r="J128" s="171">
        <f t="shared" si="185"/>
      </c>
      <c r="K128" s="172">
        <f t="shared" si="95"/>
      </c>
      <c r="L128" s="173">
        <f t="shared" si="35"/>
      </c>
      <c r="M128" s="174">
        <f t="shared" si="125"/>
      </c>
      <c r="N128" s="172">
        <f t="shared" si="5"/>
      </c>
      <c r="O128" s="173">
        <f t="shared" si="456"/>
      </c>
      <c r="P128" s="172">
        <f t="shared" si="426"/>
      </c>
      <c r="Q128" s="172">
        <f t="shared" si="348"/>
      </c>
      <c r="R128" s="173">
        <f t="shared" si="318"/>
      </c>
      <c r="S128" s="175">
        <f t="shared" si="215"/>
      </c>
      <c r="T128" s="173">
        <f t="shared" si="155"/>
      </c>
      <c r="U128" s="176">
        <f t="shared" si="65"/>
      </c>
      <c r="V128" s="177" t="s">
        <v>108</v>
      </c>
      <c r="W128" s="182" t="s">
        <v>133</v>
      </c>
      <c r="X128" s="205">
        <v>2</v>
      </c>
      <c r="Y128" s="169">
        <v>21721</v>
      </c>
      <c r="Z128" s="169">
        <v>1099</v>
      </c>
      <c r="AA128" s="169">
        <v>1829</v>
      </c>
      <c r="AB128" s="169">
        <v>263</v>
      </c>
      <c r="AC128" s="169">
        <v>27</v>
      </c>
      <c r="AD128" s="179">
        <v>3</v>
      </c>
      <c r="AE128" s="180">
        <v>26</v>
      </c>
      <c r="AF128" s="152"/>
      <c r="AG128" s="152"/>
    </row>
    <row r="129">
      <c r="A129" s="166"/>
      <c r="B129" s="184" t="s">
        <v>113</v>
      </c>
      <c r="C129" s="184"/>
      <c r="D129" s="185">
        <f>SUM(D124:D128)</f>
      </c>
      <c r="E129" s="185">
        <f>SUM(E124:E128)</f>
      </c>
      <c r="F129" s="185">
        <f>SUM(F124:F128)</f>
      </c>
      <c r="G129" s="185"/>
      <c r="H129" s="185">
        <f>SUM(H124:H128)</f>
      </c>
      <c r="I129" s="185">
        <f>SUM(I124:I128)</f>
      </c>
      <c r="J129" s="186">
        <f t="shared" si="185"/>
      </c>
      <c r="K129" s="187">
        <f t="shared" si="95"/>
      </c>
      <c r="L129" s="188">
        <f t="shared" si="35"/>
      </c>
      <c r="M129" s="189">
        <f t="shared" si="125"/>
      </c>
      <c r="N129" s="187">
        <f t="shared" si="5"/>
      </c>
      <c r="O129" s="188">
        <f t="shared" si="456"/>
      </c>
      <c r="P129" s="187">
        <f t="shared" si="426"/>
      </c>
      <c r="Q129" s="187">
        <f t="shared" si="348"/>
      </c>
      <c r="R129" s="188">
        <f t="shared" si="318"/>
      </c>
      <c r="S129" s="190">
        <f t="shared" si="215"/>
      </c>
      <c r="T129" s="188">
        <f t="shared" si="155"/>
      </c>
      <c r="U129" s="191">
        <f t="shared" si="65"/>
      </c>
      <c r="V129" s="191"/>
      <c r="W129" s="191"/>
      <c r="X129" s="206">
        <f>SUM(X124:X128)</f>
      </c>
      <c r="Y129" s="185">
        <f>SUM(Y124:Y128)</f>
      </c>
      <c r="Z129" s="185">
        <f>SUM(Z124:Z128)</f>
      </c>
      <c r="AA129" s="185">
        <f>SUM(AA124:AA128)</f>
      </c>
      <c r="AB129" s="185">
        <f>SUM(AB124:AB128)</f>
      </c>
      <c r="AC129" s="185">
        <f>SUM(AC124:AC128)</f>
      </c>
      <c r="AD129" s="185">
        <f>SUM(AD124:AD128)</f>
      </c>
      <c r="AE129" s="185">
        <f>SUM(AE124:AE128)</f>
      </c>
      <c r="AF129" s="152"/>
      <c r="AG129" s="152"/>
    </row>
    <row r="130">
      <c r="A130" s="166"/>
      <c r="B130" s="183" t="s">
        <v>123</v>
      </c>
      <c r="C130" s="168" t="s">
        <v>135</v>
      </c>
      <c r="D130" s="169">
        <f t="shared" ref="D130:D131" si="262">E130+F130</f>
      </c>
      <c r="E130" s="170">
        <v>2552.6099999999997</v>
      </c>
      <c r="F130" s="170">
        <v>730.27</v>
      </c>
      <c r="G130" s="170"/>
      <c r="H130" s="170">
        <v>0</v>
      </c>
      <c r="I130" s="170">
        <v>0</v>
      </c>
      <c r="J130" s="171">
        <f t="shared" si="185"/>
      </c>
      <c r="K130" s="172">
        <f t="shared" si="95"/>
      </c>
      <c r="L130" s="173">
        <f t="shared" si="35"/>
      </c>
      <c r="M130" s="174">
        <f t="shared" si="125"/>
      </c>
      <c r="N130" s="172">
        <f t="shared" si="5"/>
      </c>
      <c r="O130" s="173">
        <f t="shared" si="456"/>
      </c>
      <c r="P130" s="172">
        <f t="shared" si="426"/>
      </c>
      <c r="Q130" s="172">
        <f t="shared" si="348"/>
      </c>
      <c r="R130" s="173">
        <f t="shared" si="318"/>
      </c>
      <c r="S130" s="175">
        <f t="shared" si="215"/>
      </c>
      <c r="T130" s="173">
        <f t="shared" si="155"/>
      </c>
      <c r="U130" s="176">
        <f t="shared" si="65"/>
      </c>
      <c r="V130" s="177" t="s">
        <v>108</v>
      </c>
      <c r="W130" s="182" t="s">
        <v>133</v>
      </c>
      <c r="X130" s="205">
        <v>0</v>
      </c>
      <c r="Y130" s="169">
        <v>16257</v>
      </c>
      <c r="Z130" s="169">
        <v>791</v>
      </c>
      <c r="AA130" s="169">
        <v>1471</v>
      </c>
      <c r="AB130" s="169">
        <v>281</v>
      </c>
      <c r="AC130" s="169">
        <v>19</v>
      </c>
      <c r="AD130" s="179">
        <v>1</v>
      </c>
      <c r="AE130" s="180">
        <v>15</v>
      </c>
      <c r="AF130" s="152"/>
      <c r="AG130" s="152"/>
    </row>
    <row r="131">
      <c r="A131" s="166"/>
      <c r="B131" s="183" t="s">
        <v>124</v>
      </c>
      <c r="C131" s="168" t="s">
        <v>135</v>
      </c>
      <c r="D131" s="169">
        <f t="shared" si="262"/>
      </c>
      <c r="E131" s="170">
        <v>1878.58</v>
      </c>
      <c r="F131" s="170">
        <v>686.32</v>
      </c>
      <c r="G131" s="170"/>
      <c r="H131" s="170">
        <v>0</v>
      </c>
      <c r="I131" s="170">
        <v>0</v>
      </c>
      <c r="J131" s="171">
        <f t="shared" si="185"/>
      </c>
      <c r="K131" s="172">
        <f t="shared" si="95"/>
      </c>
      <c r="L131" s="173">
        <f t="shared" si="35"/>
      </c>
      <c r="M131" s="174">
        <f t="shared" si="125"/>
      </c>
      <c r="N131" s="172">
        <f t="shared" si="5"/>
      </c>
      <c r="O131" s="173">
        <f t="shared" si="456"/>
      </c>
      <c r="P131" s="172">
        <f t="shared" si="426"/>
      </c>
      <c r="Q131" s="172">
        <f t="shared" si="348"/>
      </c>
      <c r="R131" s="173">
        <f t="shared" si="318"/>
      </c>
      <c r="S131" s="175">
        <f t="shared" si="215"/>
      </c>
      <c r="T131" s="173">
        <f t="shared" si="155"/>
      </c>
      <c r="U131" s="176">
        <f t="shared" si="65"/>
      </c>
      <c r="V131" s="177" t="s">
        <v>108</v>
      </c>
      <c r="W131" s="182" t="s">
        <v>133</v>
      </c>
      <c r="X131" s="205">
        <v>0</v>
      </c>
      <c r="Y131" s="169">
        <v>11999</v>
      </c>
      <c r="Z131" s="169">
        <v>718</v>
      </c>
      <c r="AA131" s="169">
        <v>1514</v>
      </c>
      <c r="AB131" s="169">
        <v>245</v>
      </c>
      <c r="AC131" s="169">
        <v>20</v>
      </c>
      <c r="AD131" s="179">
        <v>0</v>
      </c>
      <c r="AE131" s="180">
        <v>17</v>
      </c>
      <c r="AF131" s="152"/>
      <c r="AG131" s="152"/>
    </row>
    <row r="132">
      <c r="A132" s="166"/>
      <c r="B132" s="184" t="s">
        <v>113</v>
      </c>
      <c r="C132" s="184"/>
      <c r="D132" s="185">
        <f>SUM(D130:D131)</f>
      </c>
      <c r="E132" s="185">
        <f>SUM(E130:E131)</f>
      </c>
      <c r="F132" s="185">
        <f>SUM(F130:F131)</f>
      </c>
      <c r="G132" s="185"/>
      <c r="H132" s="185">
        <f>SUM(H130:H131)</f>
      </c>
      <c r="I132" s="185">
        <f>SUM(I130:I131)</f>
      </c>
      <c r="J132" s="186">
        <f t="shared" si="185"/>
      </c>
      <c r="K132" s="187">
        <f t="shared" si="95"/>
      </c>
      <c r="L132" s="188">
        <f t="shared" si="35"/>
      </c>
      <c r="M132" s="189">
        <f t="shared" si="125"/>
      </c>
      <c r="N132" s="187">
        <f t="shared" si="5"/>
      </c>
      <c r="O132" s="188">
        <f t="shared" si="456"/>
      </c>
      <c r="P132" s="187">
        <f t="shared" si="426"/>
      </c>
      <c r="Q132" s="187">
        <f t="shared" si="348"/>
      </c>
      <c r="R132" s="188">
        <f t="shared" si="318"/>
      </c>
      <c r="S132" s="190">
        <f t="shared" si="215"/>
      </c>
      <c r="T132" s="188">
        <f t="shared" si="155"/>
      </c>
      <c r="U132" s="191">
        <f t="shared" si="65"/>
      </c>
      <c r="V132" s="191"/>
      <c r="W132" s="191"/>
      <c r="X132" s="206">
        <f>SUM(X130:X131)</f>
      </c>
      <c r="Y132" s="185">
        <f>SUM(Y130:Y131)</f>
      </c>
      <c r="Z132" s="185">
        <f>SUM(Z130:Z131)</f>
      </c>
      <c r="AA132" s="185">
        <f>SUM(AA130:AA131)</f>
      </c>
      <c r="AB132" s="185">
        <f>SUM(AB130:AB131)</f>
      </c>
      <c r="AC132" s="185">
        <f>SUM(AC130:AC131)</f>
      </c>
      <c r="AD132" s="185">
        <f>SUM(AD130:AD131)</f>
      </c>
      <c r="AE132" s="185">
        <f>SUM(AE130:AE131)</f>
      </c>
      <c r="AF132" s="152"/>
      <c r="AG132" s="152"/>
    </row>
    <row r="133">
      <c r="A133" s="166"/>
      <c r="B133" s="181" t="s">
        <v>125</v>
      </c>
      <c r="C133" s="168" t="s">
        <v>120</v>
      </c>
      <c r="D133" s="169">
        <f t="shared" ref="D133:D136" si="263">E133+F133</f>
      </c>
      <c r="E133" s="170">
        <v>2931.95</v>
      </c>
      <c r="F133" s="170">
        <v>1144.79</v>
      </c>
      <c r="G133" s="170"/>
      <c r="H133" s="170">
        <v>1</v>
      </c>
      <c r="I133" s="170">
        <v>942.8399999999965</v>
      </c>
      <c r="J133" s="171">
        <f t="shared" si="185"/>
      </c>
      <c r="K133" s="172">
        <f t="shared" si="95"/>
      </c>
      <c r="L133" s="173">
        <f t="shared" si="35"/>
      </c>
      <c r="M133" s="174">
        <f t="shared" si="125"/>
      </c>
      <c r="N133" s="172">
        <f t="shared" si="5"/>
      </c>
      <c r="O133" s="173">
        <f t="shared" si="456"/>
      </c>
      <c r="P133" s="172">
        <f t="shared" si="426"/>
      </c>
      <c r="Q133" s="172">
        <f t="shared" si="348"/>
      </c>
      <c r="R133" s="173">
        <f t="shared" si="318"/>
      </c>
      <c r="S133" s="175">
        <f t="shared" si="215"/>
      </c>
      <c r="T133" s="173">
        <f t="shared" si="155"/>
      </c>
      <c r="U133" s="176">
        <f t="shared" si="65"/>
      </c>
      <c r="V133" s="177" t="s">
        <v>108</v>
      </c>
      <c r="W133" s="182" t="s">
        <v>133</v>
      </c>
      <c r="X133" s="205">
        <v>1</v>
      </c>
      <c r="Y133" s="169">
        <v>14316</v>
      </c>
      <c r="Z133" s="169">
        <v>1092</v>
      </c>
      <c r="AA133" s="169">
        <v>1964</v>
      </c>
      <c r="AB133" s="169">
        <v>336</v>
      </c>
      <c r="AC133" s="169">
        <v>30</v>
      </c>
      <c r="AD133" s="179">
        <v>2</v>
      </c>
      <c r="AE133" s="180">
        <v>26</v>
      </c>
      <c r="AF133" s="152"/>
      <c r="AG133" s="152"/>
    </row>
    <row r="134">
      <c r="A134" s="166"/>
      <c r="B134" s="195" t="s">
        <v>127</v>
      </c>
      <c r="C134" s="168" t="s">
        <v>120</v>
      </c>
      <c r="D134" s="169">
        <f t="shared" si="263"/>
      </c>
      <c r="E134" s="170">
        <v>2456.8</v>
      </c>
      <c r="F134" s="170">
        <v>939.03</v>
      </c>
      <c r="G134" s="170"/>
      <c r="H134" s="170">
        <v>2</v>
      </c>
      <c r="I134" s="170">
        <v>7065.840000000011</v>
      </c>
      <c r="J134" s="171">
        <f t="shared" si="185"/>
      </c>
      <c r="K134" s="172">
        <f t="shared" si="95"/>
      </c>
      <c r="L134" s="173">
        <f t="shared" si="35"/>
      </c>
      <c r="M134" s="174">
        <f t="shared" si="125"/>
      </c>
      <c r="N134" s="172">
        <f t="shared" si="5"/>
      </c>
      <c r="O134" s="173">
        <f t="shared" si="456"/>
      </c>
      <c r="P134" s="172">
        <f t="shared" si="426"/>
      </c>
      <c r="Q134" s="172">
        <f t="shared" si="348"/>
      </c>
      <c r="R134" s="173">
        <f t="shared" si="318"/>
      </c>
      <c r="S134" s="175">
        <f t="shared" si="215"/>
      </c>
      <c r="T134" s="173">
        <f t="shared" si="155"/>
      </c>
      <c r="U134" s="176">
        <f t="shared" si="65"/>
      </c>
      <c r="V134" s="177" t="s">
        <v>108</v>
      </c>
      <c r="W134" s="182" t="s">
        <v>133</v>
      </c>
      <c r="X134" s="205">
        <v>1</v>
      </c>
      <c r="Y134" s="169">
        <v>12196</v>
      </c>
      <c r="Z134" s="169">
        <v>767</v>
      </c>
      <c r="AA134" s="169">
        <v>1467</v>
      </c>
      <c r="AB134" s="169">
        <v>252</v>
      </c>
      <c r="AC134" s="169">
        <v>28</v>
      </c>
      <c r="AD134" s="179">
        <v>2</v>
      </c>
      <c r="AE134" s="180">
        <v>19</v>
      </c>
      <c r="AF134" s="152"/>
      <c r="AG134" s="152"/>
    </row>
    <row r="135">
      <c r="A135" s="166"/>
      <c r="B135" s="195" t="s">
        <v>128</v>
      </c>
      <c r="C135" s="168" t="s">
        <v>120</v>
      </c>
      <c r="D135" s="169">
        <f t="shared" si="263"/>
      </c>
      <c r="E135" s="170">
        <v>1501.05</v>
      </c>
      <c r="F135" s="170">
        <v>925.41</v>
      </c>
      <c r="G135" s="170"/>
      <c r="H135" s="170">
        <v>0</v>
      </c>
      <c r="I135" s="170">
        <v>0</v>
      </c>
      <c r="J135" s="171">
        <f t="shared" si="185"/>
      </c>
      <c r="K135" s="172">
        <f t="shared" si="95"/>
      </c>
      <c r="L135" s="173">
        <f t="shared" si="35"/>
      </c>
      <c r="M135" s="174">
        <f t="shared" si="125"/>
      </c>
      <c r="N135" s="172">
        <f t="shared" si="5"/>
      </c>
      <c r="O135" s="173">
        <f t="shared" si="456"/>
      </c>
      <c r="P135" s="172">
        <f t="shared" si="426"/>
      </c>
      <c r="Q135" s="172">
        <f t="shared" si="348"/>
      </c>
      <c r="R135" s="173">
        <f t="shared" si="318"/>
      </c>
      <c r="S135" s="175">
        <f t="shared" si="215"/>
      </c>
      <c r="T135" s="173">
        <f t="shared" si="155"/>
      </c>
      <c r="U135" s="176">
        <f t="shared" si="65"/>
      </c>
      <c r="V135" s="177" t="s">
        <v>108</v>
      </c>
      <c r="W135" s="182" t="s">
        <v>133</v>
      </c>
      <c r="X135" s="205">
        <v>0</v>
      </c>
      <c r="Y135" s="169">
        <v>12930</v>
      </c>
      <c r="Z135" s="169">
        <v>751</v>
      </c>
      <c r="AA135" s="169">
        <v>1385</v>
      </c>
      <c r="AB135" s="169">
        <v>198</v>
      </c>
      <c r="AC135" s="169">
        <v>13</v>
      </c>
      <c r="AD135" s="179">
        <v>0</v>
      </c>
      <c r="AE135" s="180">
        <v>14</v>
      </c>
      <c r="AF135" s="152"/>
      <c r="AG135" s="152"/>
    </row>
    <row r="136">
      <c r="A136" s="166"/>
      <c r="B136" s="167" t="s">
        <v>129</v>
      </c>
      <c r="C136" s="168" t="s">
        <v>120</v>
      </c>
      <c r="D136" s="169">
        <f t="shared" si="263"/>
      </c>
      <c r="E136" s="170">
        <v>1343.31</v>
      </c>
      <c r="F136" s="170">
        <v>746.03</v>
      </c>
      <c r="G136" s="170"/>
      <c r="H136" s="170">
        <v>0</v>
      </c>
      <c r="I136" s="170">
        <v>0</v>
      </c>
      <c r="J136" s="171">
        <f t="shared" si="185"/>
      </c>
      <c r="K136" s="172">
        <f t="shared" si="95"/>
      </c>
      <c r="L136" s="173">
        <f t="shared" si="35"/>
      </c>
      <c r="M136" s="174">
        <f t="shared" si="125"/>
      </c>
      <c r="N136" s="172">
        <f t="shared" si="5"/>
      </c>
      <c r="O136" s="173">
        <f t="shared" si="456"/>
      </c>
      <c r="P136" s="172">
        <f t="shared" si="426"/>
      </c>
      <c r="Q136" s="172">
        <f t="shared" si="348"/>
      </c>
      <c r="R136" s="173">
        <f t="shared" si="318"/>
      </c>
      <c r="S136" s="175">
        <f t="shared" si="215"/>
      </c>
      <c r="T136" s="173">
        <f t="shared" si="155"/>
      </c>
      <c r="U136" s="176">
        <f t="shared" si="65"/>
      </c>
      <c r="V136" s="177" t="s">
        <v>108</v>
      </c>
      <c r="W136" s="182" t="s">
        <v>133</v>
      </c>
      <c r="X136" s="205">
        <v>0</v>
      </c>
      <c r="Y136" s="169">
        <v>9714</v>
      </c>
      <c r="Z136" s="169">
        <v>658</v>
      </c>
      <c r="AA136" s="169">
        <v>1389</v>
      </c>
      <c r="AB136" s="169">
        <v>215</v>
      </c>
      <c r="AC136" s="169">
        <v>6</v>
      </c>
      <c r="AD136" s="179">
        <v>1</v>
      </c>
      <c r="AE136" s="180">
        <v>11</v>
      </c>
      <c r="AF136" s="152"/>
      <c r="AG136" s="152"/>
    </row>
    <row r="137">
      <c r="A137" s="166"/>
      <c r="B137" s="184" t="s">
        <v>113</v>
      </c>
      <c r="C137" s="184"/>
      <c r="D137" s="185">
        <f>SUM(D133:D136)</f>
      </c>
      <c r="E137" s="185">
        <f>SUM(E133:E136)</f>
      </c>
      <c r="F137" s="185">
        <f>SUM(F133:F136)</f>
      </c>
      <c r="G137" s="185"/>
      <c r="H137" s="185">
        <f>SUM(H133:H136)</f>
      </c>
      <c r="I137" s="185">
        <f>SUM(I133:I136)</f>
      </c>
      <c r="J137" s="186">
        <f t="shared" si="185"/>
      </c>
      <c r="K137" s="187">
        <f t="shared" si="95"/>
      </c>
      <c r="L137" s="188">
        <f t="shared" si="35"/>
      </c>
      <c r="M137" s="189">
        <f t="shared" si="125"/>
      </c>
      <c r="N137" s="187">
        <f t="shared" si="5"/>
      </c>
      <c r="O137" s="188">
        <f t="shared" si="456"/>
      </c>
      <c r="P137" s="187">
        <f t="shared" si="426"/>
      </c>
      <c r="Q137" s="187">
        <f t="shared" si="348"/>
      </c>
      <c r="R137" s="188">
        <f t="shared" si="318"/>
      </c>
      <c r="S137" s="190">
        <f t="shared" si="215"/>
      </c>
      <c r="T137" s="188">
        <f t="shared" si="155"/>
      </c>
      <c r="U137" s="191">
        <f t="shared" si="65"/>
      </c>
      <c r="V137" s="191"/>
      <c r="W137" s="191"/>
      <c r="X137" s="207">
        <f>SUM(X133:X136)</f>
      </c>
      <c r="Y137" s="185">
        <f>SUM(Y133:Y136)</f>
      </c>
      <c r="Z137" s="185">
        <f>SUM(Z133:Z136)</f>
      </c>
      <c r="AA137" s="185">
        <f>SUM(AA133:AA136)</f>
      </c>
      <c r="AB137" s="185">
        <f>SUM(AB133:AB136)</f>
      </c>
      <c r="AC137" s="185">
        <f>SUM(AC133:AC136)</f>
      </c>
      <c r="AD137" s="185">
        <f>SUM(AD133:AD136)</f>
      </c>
      <c r="AE137" s="185">
        <f>SUM(AE133:AE136)</f>
      </c>
      <c r="AF137" s="152"/>
      <c r="AG137" s="152"/>
    </row>
    <row r="138">
      <c r="A138" s="166"/>
      <c r="B138" s="196" t="s">
        <v>130</v>
      </c>
      <c r="C138" s="196"/>
      <c r="D138" s="197">
        <f>D123+D129+D132+D137</f>
      </c>
      <c r="E138" s="197">
        <f>E123+E129+E132+E137</f>
      </c>
      <c r="F138" s="197">
        <f>F123+F129+F132+F137</f>
      </c>
      <c r="G138" s="197"/>
      <c r="H138" s="197">
        <f>H123+H129+H132+H137</f>
      </c>
      <c r="I138" s="197">
        <f>I123+I129+I132+I137</f>
      </c>
      <c r="J138" s="198">
        <f t="shared" si="185"/>
      </c>
      <c r="K138" s="199">
        <f t="shared" si="95"/>
      </c>
      <c r="L138" s="200">
        <f t="shared" si="35"/>
      </c>
      <c r="M138" s="201">
        <f t="shared" si="125"/>
      </c>
      <c r="N138" s="201">
        <f t="shared" si="5"/>
      </c>
      <c r="O138" s="200">
        <f t="shared" si="456"/>
      </c>
      <c r="P138" s="201">
        <f t="shared" si="426"/>
      </c>
      <c r="Q138" s="201">
        <f t="shared" si="348"/>
      </c>
      <c r="R138" s="200">
        <f t="shared" si="318"/>
      </c>
      <c r="S138" s="202">
        <f t="shared" si="215"/>
      </c>
      <c r="T138" s="200">
        <f t="shared" si="155"/>
      </c>
      <c r="U138" s="203">
        <f t="shared" si="65"/>
      </c>
      <c r="V138" s="203"/>
      <c r="W138" s="203"/>
      <c r="X138" s="198">
        <f>X123+X129+X132+X137</f>
      </c>
      <c r="Y138" s="198">
        <f>Y123+Y129+Y132+Y137</f>
      </c>
      <c r="Z138" s="198">
        <f>Z123+Z129+Z132+Z137</f>
      </c>
      <c r="AA138" s="198">
        <f>AA123+AA129+AA132+AA137</f>
      </c>
      <c r="AB138" s="198">
        <f>AB123+AB129+AB132+AB137</f>
      </c>
      <c r="AC138" s="198">
        <f>AC123+AC129+AC132+AC137</f>
      </c>
      <c r="AD138" s="198">
        <f>AD123+AD129+AD132+AD137</f>
      </c>
      <c r="AE138" s="198">
        <f>AE123+AE129+AE132+AE137</f>
      </c>
      <c r="AF138" s="152"/>
      <c r="AG138" s="152"/>
    </row>
    <row r="139">
      <c r="A139" s="146" t="s">
        <v>73</v>
      </c>
      <c r="B139" s="146"/>
      <c r="C139" s="146"/>
      <c r="D139" s="147" t="s">
        <v>74</v>
      </c>
      <c r="E139" s="147"/>
      <c r="F139" s="147"/>
      <c r="G139" s="147"/>
      <c r="H139" s="147"/>
      <c r="I139" s="147"/>
      <c r="J139" s="147"/>
      <c r="K139" s="148" t="s">
        <v>75</v>
      </c>
      <c r="L139" s="148"/>
      <c r="M139" s="148"/>
      <c r="N139" s="148"/>
      <c r="O139" s="148"/>
      <c r="P139" s="148"/>
      <c r="Q139" s="148"/>
      <c r="R139" s="148"/>
      <c r="S139" s="148"/>
      <c r="T139" s="148"/>
      <c r="U139" s="149"/>
      <c r="V139" s="149"/>
      <c r="W139" s="149"/>
      <c r="X139" s="150"/>
      <c r="Y139" s="150"/>
      <c r="Z139" s="150"/>
      <c r="AA139" s="150"/>
      <c r="AB139" s="150"/>
      <c r="AC139" s="150"/>
      <c r="AD139" s="150"/>
      <c r="AE139" s="151" t="s">
        <v>76</v>
      </c>
      <c r="AF139" s="152"/>
      <c r="AG139" s="152"/>
    </row>
    <row r="140">
      <c r="A140" s="153" t="s">
        <v>77</v>
      </c>
      <c r="B140" s="146" t="s">
        <v>78</v>
      </c>
      <c r="C140" s="146" t="s">
        <v>79</v>
      </c>
      <c r="D140" s="154" t="s">
        <v>80</v>
      </c>
      <c r="E140" s="155" t="s">
        <v>81</v>
      </c>
      <c r="F140" s="155" t="s">
        <v>82</v>
      </c>
      <c r="G140" s="155"/>
      <c r="H140" s="156" t="s">
        <v>83</v>
      </c>
      <c r="I140" s="157" t="s">
        <v>84</v>
      </c>
      <c r="J140" s="155" t="s">
        <v>85</v>
      </c>
      <c r="K140" s="158" t="s">
        <v>86</v>
      </c>
      <c r="L140" s="158" t="s">
        <v>87</v>
      </c>
      <c r="M140" s="159" t="s">
        <v>88</v>
      </c>
      <c r="N140" s="160" t="s">
        <v>89</v>
      </c>
      <c r="O140" s="148" t="s">
        <v>90</v>
      </c>
      <c r="P140" s="160" t="s">
        <v>91</v>
      </c>
      <c r="Q140" s="160" t="s">
        <v>92</v>
      </c>
      <c r="R140" s="161" t="s">
        <v>93</v>
      </c>
      <c r="S140" s="160" t="s">
        <v>94</v>
      </c>
      <c r="T140" s="161" t="s">
        <v>95</v>
      </c>
      <c r="U140" s="162" t="s">
        <v>96</v>
      </c>
      <c r="V140" s="162" t="s">
        <v>97</v>
      </c>
      <c r="W140" s="162" t="s">
        <v>98</v>
      </c>
      <c r="X140" s="163" t="s">
        <v>99</v>
      </c>
      <c r="Y140" s="164" t="s">
        <v>100</v>
      </c>
      <c r="Z140" s="164" t="s">
        <v>101</v>
      </c>
      <c r="AA140" s="164" t="s">
        <v>102</v>
      </c>
      <c r="AB140" s="164" t="s">
        <v>103</v>
      </c>
      <c r="AC140" s="164" t="s">
        <v>104</v>
      </c>
      <c r="AD140" s="165" t="s">
        <v>105</v>
      </c>
      <c r="AE140" s="151"/>
      <c r="AF140" s="152"/>
      <c r="AG140" s="152"/>
    </row>
    <row r="141">
      <c r="A141" s="166">
        <v>46272</v>
      </c>
      <c r="B141" s="167" t="s">
        <v>106</v>
      </c>
      <c r="C141" s="168" t="s">
        <v>115</v>
      </c>
      <c r="D141" s="169">
        <f t="shared" ref="D141:D145" si="264">E141+F141</f>
      </c>
      <c r="E141" s="170">
        <v>1979.6799999999998</v>
      </c>
      <c r="F141" s="169">
        <v>908.56</v>
      </c>
      <c r="G141" s="169"/>
      <c r="H141" s="170">
        <v>1</v>
      </c>
      <c r="I141" s="170">
        <v>9170.880000000001</v>
      </c>
      <c r="J141" s="171">
        <f t="shared" ref="J141:J161" si="186">I141/D141</f>
      </c>
      <c r="K141" s="172">
        <f t="shared" ref="K141:K161" si="96">Z141/Y141</f>
      </c>
      <c r="L141" s="173">
        <f t="shared" ref="L141:L161" si="36">D141/AA141</f>
      </c>
      <c r="M141" s="174">
        <f t="shared" ref="M141:M161" si="126">AB141/AA141</f>
      </c>
      <c r="N141" s="172">
        <f t="shared" ref="N141:N161" si="6">AC141/AA141</f>
      </c>
      <c r="O141" s="173">
        <f t="shared" ref="O141:O161" si="457">D141/AC141</f>
      </c>
      <c r="P141" s="172">
        <f t="shared" ref="P141:P161" si="427">AD141/AC141</f>
      </c>
      <c r="Q141" s="172">
        <f t="shared" ref="Q141:Q161" si="349">H141/AD141</f>
      </c>
      <c r="R141" s="173">
        <f t="shared" ref="R141:R161" si="319">D141/H141</f>
      </c>
      <c r="S141" s="175">
        <f t="shared" ref="S141:S161" si="216">I141/H141</f>
      </c>
      <c r="T141" s="173">
        <f t="shared" ref="T141:T161" si="156">D141/X141</f>
      </c>
      <c r="U141" s="176">
        <f t="shared" ref="U141:U161" si="66">AE141*1000/D141</f>
      </c>
      <c r="V141" s="177" t="s">
        <v>108</v>
      </c>
      <c r="W141" s="178" t="s">
        <v>132</v>
      </c>
      <c r="X141" s="169">
        <v>1</v>
      </c>
      <c r="Y141" s="169">
        <v>13167</v>
      </c>
      <c r="Z141" s="169">
        <v>1169</v>
      </c>
      <c r="AA141" s="169">
        <v>2452</v>
      </c>
      <c r="AB141" s="169">
        <v>430</v>
      </c>
      <c r="AC141" s="179">
        <v>12</v>
      </c>
      <c r="AD141" s="179">
        <v>2</v>
      </c>
      <c r="AE141" s="180">
        <v>15</v>
      </c>
      <c r="AF141" s="152"/>
      <c r="AG141" s="152"/>
    </row>
    <row r="142">
      <c r="A142" s="166"/>
      <c r="B142" s="181" t="s">
        <v>110</v>
      </c>
      <c r="C142" s="168" t="s">
        <v>115</v>
      </c>
      <c r="D142" s="169">
        <f t="shared" si="264"/>
      </c>
      <c r="E142" s="169">
        <v>557.96</v>
      </c>
      <c r="F142" s="169">
        <v>939.81</v>
      </c>
      <c r="G142" s="169"/>
      <c r="H142" s="170">
        <v>0</v>
      </c>
      <c r="I142" s="170">
        <v>0</v>
      </c>
      <c r="J142" s="171">
        <f t="shared" si="186"/>
      </c>
      <c r="K142" s="172">
        <f t="shared" si="96"/>
      </c>
      <c r="L142" s="173">
        <f t="shared" si="36"/>
      </c>
      <c r="M142" s="174">
        <f t="shared" si="126"/>
      </c>
      <c r="N142" s="172">
        <f t="shared" si="6"/>
      </c>
      <c r="O142" s="173">
        <f t="shared" si="457"/>
      </c>
      <c r="P142" s="172">
        <f t="shared" si="427"/>
      </c>
      <c r="Q142" s="172">
        <f t="shared" si="349"/>
      </c>
      <c r="R142" s="173">
        <f t="shared" si="319"/>
      </c>
      <c r="S142" s="175">
        <f t="shared" si="216"/>
      </c>
      <c r="T142" s="173">
        <f t="shared" si="156"/>
      </c>
      <c r="U142" s="176">
        <f t="shared" si="66"/>
      </c>
      <c r="V142" s="177" t="s">
        <v>108</v>
      </c>
      <c r="W142" s="178" t="s">
        <v>132</v>
      </c>
      <c r="X142" s="205">
        <v>0</v>
      </c>
      <c r="Y142" s="169">
        <v>5148</v>
      </c>
      <c r="Z142" s="169">
        <v>214</v>
      </c>
      <c r="AA142" s="169">
        <v>284</v>
      </c>
      <c r="AB142" s="169">
        <v>40</v>
      </c>
      <c r="AC142" s="169">
        <v>21</v>
      </c>
      <c r="AD142" s="179">
        <v>0</v>
      </c>
      <c r="AE142" s="180">
        <v>14</v>
      </c>
      <c r="AF142" s="152"/>
      <c r="AG142" s="152"/>
    </row>
    <row r="143">
      <c r="A143" s="166"/>
      <c r="B143" s="181" t="s">
        <v>111</v>
      </c>
      <c r="C143" s="168" t="s">
        <v>115</v>
      </c>
      <c r="D143" s="169">
        <f t="shared" si="264"/>
      </c>
      <c r="E143" s="169">
        <v>2303.29</v>
      </c>
      <c r="F143" s="169">
        <v>807.28</v>
      </c>
      <c r="G143" s="169"/>
      <c r="H143" s="170">
        <v>6</v>
      </c>
      <c r="I143" s="169">
        <v>8715.48</v>
      </c>
      <c r="J143" s="171">
        <f t="shared" si="186"/>
      </c>
      <c r="K143" s="172">
        <f t="shared" si="96"/>
      </c>
      <c r="L143" s="173">
        <f t="shared" si="36"/>
      </c>
      <c r="M143" s="174">
        <f t="shared" si="126"/>
      </c>
      <c r="N143" s="172">
        <f t="shared" si="6"/>
      </c>
      <c r="O143" s="173">
        <f t="shared" si="457"/>
      </c>
      <c r="P143" s="172">
        <f t="shared" si="427"/>
      </c>
      <c r="Q143" s="172">
        <f t="shared" si="349"/>
      </c>
      <c r="R143" s="173">
        <f t="shared" si="319"/>
      </c>
      <c r="S143" s="175">
        <f t="shared" si="216"/>
      </c>
      <c r="T143" s="173">
        <f t="shared" si="156"/>
      </c>
      <c r="U143" s="176">
        <f t="shared" si="66"/>
      </c>
      <c r="V143" s="177" t="s">
        <v>108</v>
      </c>
      <c r="W143" s="178" t="s">
        <v>132</v>
      </c>
      <c r="X143" s="205">
        <v>5</v>
      </c>
      <c r="Y143" s="169">
        <v>10096</v>
      </c>
      <c r="Z143" s="169">
        <v>836</v>
      </c>
      <c r="AA143" s="169">
        <v>1538</v>
      </c>
      <c r="AB143" s="169">
        <v>338</v>
      </c>
      <c r="AC143" s="169">
        <v>25</v>
      </c>
      <c r="AD143" s="179">
        <v>7</v>
      </c>
      <c r="AE143" s="180">
        <v>27</v>
      </c>
      <c r="AF143" s="152"/>
      <c r="AG143" s="152"/>
    </row>
    <row r="144">
      <c r="A144" s="166"/>
      <c r="B144" s="183" t="s">
        <v>112</v>
      </c>
      <c r="C144" s="168" t="s">
        <v>115</v>
      </c>
      <c r="D144" s="169">
        <f t="shared" si="264"/>
      </c>
      <c r="E144" s="169">
        <v>2893.45</v>
      </c>
      <c r="F144" s="169">
        <v>461.42</v>
      </c>
      <c r="G144" s="169"/>
      <c r="H144" s="170">
        <v>0</v>
      </c>
      <c r="I144" s="170">
        <v>0</v>
      </c>
      <c r="J144" s="171">
        <f t="shared" si="186"/>
      </c>
      <c r="K144" s="172">
        <f t="shared" si="96"/>
      </c>
      <c r="L144" s="173">
        <f t="shared" si="36"/>
      </c>
      <c r="M144" s="174">
        <f t="shared" si="126"/>
      </c>
      <c r="N144" s="172">
        <f t="shared" si="6"/>
      </c>
      <c r="O144" s="173">
        <f t="shared" si="457"/>
      </c>
      <c r="P144" s="172">
        <f t="shared" si="427"/>
      </c>
      <c r="Q144" s="172">
        <f t="shared" si="349"/>
      </c>
      <c r="R144" s="173">
        <f t="shared" si="319"/>
      </c>
      <c r="S144" s="175">
        <f t="shared" si="216"/>
      </c>
      <c r="T144" s="173">
        <f t="shared" si="156"/>
      </c>
      <c r="U144" s="176">
        <f t="shared" si="66"/>
      </c>
      <c r="V144" s="177" t="s">
        <v>108</v>
      </c>
      <c r="W144" s="178" t="s">
        <v>132</v>
      </c>
      <c r="X144" s="205">
        <v>0</v>
      </c>
      <c r="Y144" s="169">
        <v>14585</v>
      </c>
      <c r="Z144" s="169">
        <v>564</v>
      </c>
      <c r="AA144" s="169">
        <v>770</v>
      </c>
      <c r="AB144" s="169">
        <v>181</v>
      </c>
      <c r="AC144" s="169">
        <v>59</v>
      </c>
      <c r="AD144" s="179">
        <v>2</v>
      </c>
      <c r="AE144" s="180">
        <v>15</v>
      </c>
      <c r="AF144" s="152"/>
      <c r="AG144" s="152"/>
    </row>
    <row r="145">
      <c r="A145" s="166"/>
      <c r="B145" s="181" t="s">
        <v>114</v>
      </c>
      <c r="C145" s="168" t="s">
        <v>115</v>
      </c>
      <c r="D145" s="169">
        <f t="shared" si="264"/>
      </c>
      <c r="E145" s="169">
        <v>2580.09</v>
      </c>
      <c r="F145" s="169">
        <v>601.43</v>
      </c>
      <c r="G145" s="169"/>
      <c r="H145" s="170">
        <v>3</v>
      </c>
      <c r="I145" s="170">
        <v>3451.6800000000003</v>
      </c>
      <c r="J145" s="171">
        <f t="shared" si="186"/>
      </c>
      <c r="K145" s="172">
        <f t="shared" si="96"/>
      </c>
      <c r="L145" s="173">
        <f t="shared" si="36"/>
      </c>
      <c r="M145" s="174">
        <f t="shared" si="126"/>
      </c>
      <c r="N145" s="172">
        <f t="shared" si="6"/>
      </c>
      <c r="O145" s="173">
        <f t="shared" si="457"/>
      </c>
      <c r="P145" s="172">
        <f t="shared" si="427"/>
      </c>
      <c r="Q145" s="172">
        <f t="shared" si="349"/>
      </c>
      <c r="R145" s="173">
        <f t="shared" si="319"/>
      </c>
      <c r="S145" s="175">
        <f t="shared" si="216"/>
      </c>
      <c r="T145" s="173">
        <f t="shared" si="156"/>
      </c>
      <c r="U145" s="176">
        <f t="shared" si="66"/>
      </c>
      <c r="V145" s="177" t="s">
        <v>108</v>
      </c>
      <c r="W145" s="178" t="s">
        <v>132</v>
      </c>
      <c r="X145" s="208">
        <v>3</v>
      </c>
      <c r="Y145" s="169">
        <v>15269</v>
      </c>
      <c r="Z145" s="169">
        <v>784</v>
      </c>
      <c r="AA145" s="169">
        <v>1142</v>
      </c>
      <c r="AB145" s="169">
        <v>239</v>
      </c>
      <c r="AC145" s="169">
        <v>36</v>
      </c>
      <c r="AD145" s="179">
        <v>5</v>
      </c>
      <c r="AE145" s="180">
        <v>30</v>
      </c>
      <c r="AF145" s="152"/>
      <c r="AG145" s="152"/>
    </row>
    <row r="146">
      <c r="A146" s="166"/>
      <c r="B146" s="184" t="s">
        <v>113</v>
      </c>
      <c r="C146" s="184"/>
      <c r="D146" s="185">
        <f>SUM(D141:D145)</f>
      </c>
      <c r="E146" s="185">
        <f>SUM(E141:E145)</f>
      </c>
      <c r="F146" s="185">
        <f>SUM(F141:F145)</f>
      </c>
      <c r="G146" s="185"/>
      <c r="H146" s="185">
        <f>SUM(H141:H145)</f>
      </c>
      <c r="I146" s="185">
        <f>SUM(I141:I145)</f>
      </c>
      <c r="J146" s="186">
        <f t="shared" si="186"/>
      </c>
      <c r="K146" s="187">
        <f t="shared" si="96"/>
      </c>
      <c r="L146" s="188">
        <f t="shared" si="36"/>
      </c>
      <c r="M146" s="189">
        <f t="shared" si="126"/>
      </c>
      <c r="N146" s="187">
        <f t="shared" si="6"/>
      </c>
      <c r="O146" s="188">
        <f t="shared" si="457"/>
      </c>
      <c r="P146" s="187">
        <f t="shared" si="427"/>
      </c>
      <c r="Q146" s="187">
        <f t="shared" si="349"/>
      </c>
      <c r="R146" s="188">
        <f t="shared" si="319"/>
      </c>
      <c r="S146" s="190">
        <f t="shared" si="216"/>
      </c>
      <c r="T146" s="188">
        <f t="shared" si="156"/>
      </c>
      <c r="U146" s="191">
        <f t="shared" si="66"/>
      </c>
      <c r="V146" s="191"/>
      <c r="W146" s="191"/>
      <c r="X146" s="206">
        <f>SUM(X141:X145)</f>
      </c>
      <c r="Y146" s="185">
        <f>SUM(Y141:Y145)</f>
      </c>
      <c r="Z146" s="185">
        <f>SUM(Z141:Z145)</f>
      </c>
      <c r="AA146" s="185">
        <f>SUM(AA141:AA145)</f>
      </c>
      <c r="AB146" s="185">
        <f>SUM(AB141:AB145)</f>
      </c>
      <c r="AC146" s="185">
        <f>SUM(AC141:AC145)</f>
      </c>
      <c r="AD146" s="185">
        <f>SUM(AD141:AD145)</f>
      </c>
      <c r="AE146" s="185">
        <f>SUM(AE141:AE145)</f>
      </c>
      <c r="AF146" s="152"/>
      <c r="AG146" s="152"/>
    </row>
    <row r="147">
      <c r="A147" s="166"/>
      <c r="B147" s="181" t="s">
        <v>116</v>
      </c>
      <c r="C147" s="168" t="s">
        <v>107</v>
      </c>
      <c r="D147" s="169">
        <f t="shared" ref="D147:D151" si="265">E147+F147</f>
      </c>
      <c r="E147" s="169">
        <v>2734.3999999999996</v>
      </c>
      <c r="F147" s="169">
        <v>486.35</v>
      </c>
      <c r="G147" s="169"/>
      <c r="H147" s="170">
        <v>3</v>
      </c>
      <c r="I147" s="170">
        <v>7821.48</v>
      </c>
      <c r="J147" s="171">
        <f t="shared" si="186"/>
      </c>
      <c r="K147" s="172">
        <f t="shared" si="96"/>
      </c>
      <c r="L147" s="173">
        <f t="shared" si="36"/>
      </c>
      <c r="M147" s="174">
        <f t="shared" si="126"/>
      </c>
      <c r="N147" s="172">
        <f t="shared" si="6"/>
      </c>
      <c r="O147" s="173">
        <f t="shared" si="457"/>
      </c>
      <c r="P147" s="172">
        <f t="shared" si="427"/>
      </c>
      <c r="Q147" s="172">
        <f t="shared" si="349"/>
      </c>
      <c r="R147" s="173">
        <f t="shared" si="319"/>
      </c>
      <c r="S147" s="175">
        <f t="shared" si="216"/>
      </c>
      <c r="T147" s="173">
        <f t="shared" si="156"/>
      </c>
      <c r="U147" s="176">
        <f t="shared" si="66"/>
      </c>
      <c r="V147" s="177" t="s">
        <v>108</v>
      </c>
      <c r="W147" s="178" t="s">
        <v>132</v>
      </c>
      <c r="X147" s="205">
        <v>2</v>
      </c>
      <c r="Y147" s="169">
        <v>11403</v>
      </c>
      <c r="Z147" s="169">
        <v>792</v>
      </c>
      <c r="AA147" s="169">
        <v>1075</v>
      </c>
      <c r="AB147" s="169">
        <v>203</v>
      </c>
      <c r="AC147" s="169">
        <v>19</v>
      </c>
      <c r="AD147" s="179">
        <v>6</v>
      </c>
      <c r="AE147" s="180">
        <v>22</v>
      </c>
      <c r="AF147" s="152"/>
      <c r="AG147" s="152"/>
    </row>
    <row r="148">
      <c r="A148" s="166"/>
      <c r="B148" s="181" t="s">
        <v>117</v>
      </c>
      <c r="C148" s="168" t="s">
        <v>107</v>
      </c>
      <c r="D148" s="169">
        <f t="shared" si="265"/>
      </c>
      <c r="E148" s="169">
        <v>4433.78</v>
      </c>
      <c r="F148" s="170">
        <v>447.25</v>
      </c>
      <c r="G148" s="170"/>
      <c r="H148" s="170">
        <v>3</v>
      </c>
      <c r="I148" s="170">
        <v>6344.52</v>
      </c>
      <c r="J148" s="171">
        <f t="shared" si="186"/>
      </c>
      <c r="K148" s="172">
        <f t="shared" si="96"/>
      </c>
      <c r="L148" s="173">
        <f t="shared" si="36"/>
      </c>
      <c r="M148" s="174">
        <f t="shared" si="126"/>
      </c>
      <c r="N148" s="172">
        <f t="shared" si="6"/>
      </c>
      <c r="O148" s="173">
        <f t="shared" si="457"/>
      </c>
      <c r="P148" s="172">
        <f t="shared" si="427"/>
      </c>
      <c r="Q148" s="172">
        <f t="shared" si="349"/>
      </c>
      <c r="R148" s="173">
        <f t="shared" si="319"/>
      </c>
      <c r="S148" s="175">
        <f t="shared" si="216"/>
      </c>
      <c r="T148" s="173">
        <f t="shared" si="156"/>
      </c>
      <c r="U148" s="176">
        <f t="shared" si="66"/>
      </c>
      <c r="V148" s="177" t="s">
        <v>108</v>
      </c>
      <c r="W148" s="178" t="s">
        <v>132</v>
      </c>
      <c r="X148" s="208">
        <v>2</v>
      </c>
      <c r="Y148" s="169">
        <v>17531</v>
      </c>
      <c r="Z148" s="169">
        <v>916</v>
      </c>
      <c r="AA148" s="169">
        <v>1262</v>
      </c>
      <c r="AB148" s="169">
        <v>270</v>
      </c>
      <c r="AC148" s="169">
        <v>62</v>
      </c>
      <c r="AD148" s="179">
        <v>6</v>
      </c>
      <c r="AE148" s="180">
        <v>22</v>
      </c>
      <c r="AF148" s="152"/>
      <c r="AG148" s="152"/>
    </row>
    <row r="149">
      <c r="A149" s="166"/>
      <c r="B149" s="181" t="s">
        <v>118</v>
      </c>
      <c r="C149" s="168" t="s">
        <v>107</v>
      </c>
      <c r="D149" s="169">
        <f t="shared" si="265"/>
      </c>
      <c r="E149" s="169">
        <v>3893.8599999999997</v>
      </c>
      <c r="F149" s="169">
        <v>1758.26</v>
      </c>
      <c r="G149" s="169"/>
      <c r="H149" s="170">
        <v>1</v>
      </c>
      <c r="I149" s="170">
        <v>7728.5999999999985</v>
      </c>
      <c r="J149" s="171">
        <f t="shared" si="186"/>
      </c>
      <c r="K149" s="172">
        <f t="shared" si="96"/>
      </c>
      <c r="L149" s="173">
        <f t="shared" si="36"/>
      </c>
      <c r="M149" s="174">
        <f t="shared" si="126"/>
      </c>
      <c r="N149" s="172">
        <f t="shared" si="6"/>
      </c>
      <c r="O149" s="173">
        <f t="shared" si="457"/>
      </c>
      <c r="P149" s="172">
        <f t="shared" si="427"/>
      </c>
      <c r="Q149" s="172">
        <f t="shared" si="349"/>
      </c>
      <c r="R149" s="173">
        <f t="shared" si="319"/>
      </c>
      <c r="S149" s="175">
        <f t="shared" si="216"/>
      </c>
      <c r="T149" s="173">
        <f t="shared" si="156"/>
      </c>
      <c r="U149" s="176">
        <f t="shared" si="66"/>
      </c>
      <c r="V149" s="177" t="s">
        <v>108</v>
      </c>
      <c r="W149" s="178" t="s">
        <v>132</v>
      </c>
      <c r="X149" s="208">
        <v>1</v>
      </c>
      <c r="Y149" s="169">
        <v>24795</v>
      </c>
      <c r="Z149" s="169">
        <v>1664</v>
      </c>
      <c r="AA149" s="169">
        <v>2651</v>
      </c>
      <c r="AB149" s="169">
        <v>507</v>
      </c>
      <c r="AC149" s="169">
        <v>69</v>
      </c>
      <c r="AD149" s="179">
        <v>5</v>
      </c>
      <c r="AE149" s="180">
        <v>37</v>
      </c>
      <c r="AF149" s="152"/>
      <c r="AG149" s="152"/>
    </row>
    <row r="150">
      <c r="A150" s="166"/>
      <c r="B150" s="192" t="s">
        <v>119</v>
      </c>
      <c r="C150" s="168" t="s">
        <v>107</v>
      </c>
      <c r="D150" s="169">
        <f t="shared" si="265"/>
      </c>
      <c r="E150" s="170">
        <v>3461.3999999999996</v>
      </c>
      <c r="F150" s="170">
        <v>620.96</v>
      </c>
      <c r="G150" s="170"/>
      <c r="H150" s="170">
        <v>0</v>
      </c>
      <c r="I150" s="170">
        <v>0</v>
      </c>
      <c r="J150" s="171">
        <f t="shared" si="186"/>
      </c>
      <c r="K150" s="172">
        <f t="shared" si="96"/>
      </c>
      <c r="L150" s="173">
        <f t="shared" si="36"/>
      </c>
      <c r="M150" s="174">
        <f t="shared" si="126"/>
      </c>
      <c r="N150" s="172">
        <f t="shared" si="6"/>
      </c>
      <c r="O150" s="173">
        <f t="shared" si="457"/>
      </c>
      <c r="P150" s="172">
        <f t="shared" si="427"/>
      </c>
      <c r="Q150" s="172">
        <f t="shared" si="349"/>
      </c>
      <c r="R150" s="173">
        <f t="shared" si="319"/>
      </c>
      <c r="S150" s="175">
        <f t="shared" si="216"/>
      </c>
      <c r="T150" s="173">
        <f t="shared" si="156"/>
      </c>
      <c r="U150" s="176">
        <f t="shared" si="66"/>
      </c>
      <c r="V150" s="177" t="s">
        <v>108</v>
      </c>
      <c r="W150" s="182" t="s">
        <v>133</v>
      </c>
      <c r="X150" s="205">
        <v>0</v>
      </c>
      <c r="Y150" s="169">
        <v>13213</v>
      </c>
      <c r="Z150" s="169">
        <v>774</v>
      </c>
      <c r="AA150" s="169">
        <v>1151</v>
      </c>
      <c r="AB150" s="169">
        <v>257</v>
      </c>
      <c r="AC150" s="169">
        <v>26</v>
      </c>
      <c r="AD150" s="179">
        <v>0</v>
      </c>
      <c r="AE150" s="180">
        <v>23</v>
      </c>
      <c r="AF150" s="152"/>
      <c r="AG150" s="152"/>
    </row>
    <row r="151">
      <c r="A151" s="166"/>
      <c r="B151" s="194" t="s">
        <v>122</v>
      </c>
      <c r="C151" s="168" t="s">
        <v>107</v>
      </c>
      <c r="D151" s="169">
        <f t="shared" si="265"/>
      </c>
      <c r="E151" s="170">
        <v>3480.38</v>
      </c>
      <c r="F151" s="170">
        <v>434.24</v>
      </c>
      <c r="G151" s="170"/>
      <c r="H151" s="170">
        <v>1</v>
      </c>
      <c r="I151" s="170">
        <v>873</v>
      </c>
      <c r="J151" s="171">
        <f t="shared" si="186"/>
      </c>
      <c r="K151" s="172">
        <f t="shared" si="96"/>
      </c>
      <c r="L151" s="173">
        <f t="shared" si="36"/>
      </c>
      <c r="M151" s="174">
        <f t="shared" si="126"/>
      </c>
      <c r="N151" s="172">
        <f t="shared" si="6"/>
      </c>
      <c r="O151" s="173">
        <f t="shared" si="457"/>
      </c>
      <c r="P151" s="172">
        <f t="shared" si="427"/>
      </c>
      <c r="Q151" s="172">
        <f t="shared" si="349"/>
      </c>
      <c r="R151" s="173">
        <f t="shared" si="319"/>
      </c>
      <c r="S151" s="175">
        <f t="shared" si="216"/>
      </c>
      <c r="T151" s="173">
        <f t="shared" si="156"/>
      </c>
      <c r="U151" s="176">
        <f t="shared" si="66"/>
      </c>
      <c r="V151" s="177" t="s">
        <v>108</v>
      </c>
      <c r="W151" s="182" t="s">
        <v>133</v>
      </c>
      <c r="X151" s="205">
        <v>1</v>
      </c>
      <c r="Y151" s="169">
        <v>9597</v>
      </c>
      <c r="Z151" s="169">
        <v>487</v>
      </c>
      <c r="AA151" s="169">
        <v>826</v>
      </c>
      <c r="AB151" s="169">
        <v>141</v>
      </c>
      <c r="AC151" s="169">
        <v>7</v>
      </c>
      <c r="AD151" s="179">
        <v>2</v>
      </c>
      <c r="AE151" s="180">
        <v>24</v>
      </c>
      <c r="AF151" s="152"/>
      <c r="AG151" s="152"/>
    </row>
    <row r="152">
      <c r="A152" s="166"/>
      <c r="B152" s="184" t="s">
        <v>113</v>
      </c>
      <c r="C152" s="184"/>
      <c r="D152" s="185">
        <f>SUM(D147:D151)</f>
      </c>
      <c r="E152" s="185">
        <f>SUM(E147:E151)</f>
      </c>
      <c r="F152" s="185">
        <f>SUM(F147:F151)</f>
      </c>
      <c r="G152" s="185"/>
      <c r="H152" s="185">
        <f>SUM(H147:H151)</f>
      </c>
      <c r="I152" s="185">
        <f>SUM(I147:I151)</f>
      </c>
      <c r="J152" s="186">
        <f t="shared" si="186"/>
      </c>
      <c r="K152" s="187">
        <f t="shared" si="96"/>
      </c>
      <c r="L152" s="188">
        <f t="shared" si="36"/>
      </c>
      <c r="M152" s="189">
        <f t="shared" si="126"/>
      </c>
      <c r="N152" s="187">
        <f t="shared" si="6"/>
      </c>
      <c r="O152" s="188">
        <f t="shared" si="457"/>
      </c>
      <c r="P152" s="187">
        <f t="shared" si="427"/>
      </c>
      <c r="Q152" s="187">
        <f t="shared" si="349"/>
      </c>
      <c r="R152" s="188">
        <f t="shared" si="319"/>
      </c>
      <c r="S152" s="190">
        <f t="shared" si="216"/>
      </c>
      <c r="T152" s="188">
        <f t="shared" si="156"/>
      </c>
      <c r="U152" s="191">
        <f t="shared" si="66"/>
      </c>
      <c r="V152" s="191"/>
      <c r="W152" s="191"/>
      <c r="X152" s="206">
        <f>SUM(X147:X151)</f>
      </c>
      <c r="Y152" s="185">
        <f>SUM(Y147:Y151)</f>
      </c>
      <c r="Z152" s="185">
        <f>SUM(Z147:Z151)</f>
      </c>
      <c r="AA152" s="185">
        <f>SUM(AA147:AA151)</f>
      </c>
      <c r="AB152" s="185">
        <f>SUM(AB147:AB151)</f>
      </c>
      <c r="AC152" s="185">
        <f>SUM(AC147:AC151)</f>
      </c>
      <c r="AD152" s="185">
        <f>SUM(AD147:AD151)</f>
      </c>
      <c r="AE152" s="185">
        <f>SUM(AE147:AE151)</f>
      </c>
      <c r="AF152" s="152"/>
      <c r="AG152" s="152"/>
    </row>
    <row r="153">
      <c r="A153" s="166"/>
      <c r="B153" s="183" t="s">
        <v>123</v>
      </c>
      <c r="C153" s="168" t="s">
        <v>135</v>
      </c>
      <c r="D153" s="169">
        <f t="shared" ref="D153:D154" si="266">E153+F153</f>
      </c>
      <c r="E153" s="170">
        <v>2367.94</v>
      </c>
      <c r="F153" s="170">
        <v>288.71</v>
      </c>
      <c r="G153" s="170"/>
      <c r="H153" s="170">
        <v>1</v>
      </c>
      <c r="I153" s="170">
        <v>942.8399999999965</v>
      </c>
      <c r="J153" s="171">
        <f t="shared" si="186"/>
      </c>
      <c r="K153" s="172">
        <f t="shared" si="96"/>
      </c>
      <c r="L153" s="173">
        <f t="shared" si="36"/>
      </c>
      <c r="M153" s="174">
        <f t="shared" si="126"/>
      </c>
      <c r="N153" s="172">
        <f t="shared" si="6"/>
      </c>
      <c r="O153" s="173">
        <f t="shared" si="457"/>
      </c>
      <c r="P153" s="172">
        <f t="shared" si="427"/>
      </c>
      <c r="Q153" s="172">
        <f t="shared" si="349"/>
      </c>
      <c r="R153" s="173">
        <f t="shared" si="319"/>
      </c>
      <c r="S153" s="175">
        <f t="shared" si="216"/>
      </c>
      <c r="T153" s="173">
        <f t="shared" si="156"/>
      </c>
      <c r="U153" s="176">
        <f t="shared" si="66"/>
      </c>
      <c r="V153" s="177" t="s">
        <v>108</v>
      </c>
      <c r="W153" s="182" t="s">
        <v>133</v>
      </c>
      <c r="X153" s="205">
        <v>1</v>
      </c>
      <c r="Y153" s="169">
        <v>8002</v>
      </c>
      <c r="Z153" s="169">
        <v>496</v>
      </c>
      <c r="AA153" s="169">
        <v>883</v>
      </c>
      <c r="AB153" s="169">
        <v>146</v>
      </c>
      <c r="AC153" s="169">
        <v>9</v>
      </c>
      <c r="AD153" s="179">
        <v>1</v>
      </c>
      <c r="AE153" s="180">
        <v>9</v>
      </c>
      <c r="AF153" s="152"/>
      <c r="AG153" s="152"/>
    </row>
    <row r="154">
      <c r="A154" s="166"/>
      <c r="B154" s="183" t="s">
        <v>124</v>
      </c>
      <c r="C154" s="168" t="s">
        <v>135</v>
      </c>
      <c r="D154" s="169">
        <f t="shared" si="266"/>
      </c>
      <c r="E154" s="170">
        <v>2644.86</v>
      </c>
      <c r="F154" s="170">
        <v>305.54</v>
      </c>
      <c r="G154" s="170"/>
      <c r="H154" s="170">
        <v>0</v>
      </c>
      <c r="I154" s="170">
        <v>0</v>
      </c>
      <c r="J154" s="171">
        <f t="shared" si="186"/>
      </c>
      <c r="K154" s="172">
        <f t="shared" si="96"/>
      </c>
      <c r="L154" s="173">
        <f t="shared" si="36"/>
      </c>
      <c r="M154" s="174">
        <f t="shared" si="126"/>
      </c>
      <c r="N154" s="172">
        <f t="shared" si="6"/>
      </c>
      <c r="O154" s="173">
        <f t="shared" si="457"/>
      </c>
      <c r="P154" s="172">
        <f t="shared" si="427"/>
      </c>
      <c r="Q154" s="172">
        <f t="shared" si="349"/>
      </c>
      <c r="R154" s="173">
        <f t="shared" si="319"/>
      </c>
      <c r="S154" s="175">
        <f t="shared" si="216"/>
      </c>
      <c r="T154" s="173">
        <f t="shared" si="156"/>
      </c>
      <c r="U154" s="176">
        <f t="shared" si="66"/>
      </c>
      <c r="V154" s="177" t="s">
        <v>108</v>
      </c>
      <c r="W154" s="182" t="s">
        <v>133</v>
      </c>
      <c r="X154" s="205">
        <v>0</v>
      </c>
      <c r="Y154" s="169">
        <v>9533</v>
      </c>
      <c r="Z154" s="169">
        <v>477</v>
      </c>
      <c r="AA154" s="169">
        <v>786</v>
      </c>
      <c r="AB154" s="169">
        <v>139</v>
      </c>
      <c r="AC154" s="169">
        <v>6</v>
      </c>
      <c r="AD154" s="179">
        <v>0</v>
      </c>
      <c r="AE154" s="180">
        <v>12</v>
      </c>
      <c r="AF154" s="152"/>
      <c r="AG154" s="152"/>
    </row>
    <row r="155">
      <c r="A155" s="166"/>
      <c r="B155" s="184" t="s">
        <v>113</v>
      </c>
      <c r="C155" s="184"/>
      <c r="D155" s="185">
        <f>SUM(D153:D154)</f>
      </c>
      <c r="E155" s="185">
        <f>SUM(E153:E154)</f>
      </c>
      <c r="F155" s="185">
        <f>SUM(F153:F154)</f>
      </c>
      <c r="G155" s="185"/>
      <c r="H155" s="185">
        <f>SUM(H153:H154)</f>
      </c>
      <c r="I155" s="185">
        <f>SUM(I153:I154)</f>
      </c>
      <c r="J155" s="186">
        <f t="shared" si="186"/>
      </c>
      <c r="K155" s="187">
        <f t="shared" si="96"/>
      </c>
      <c r="L155" s="188">
        <f t="shared" si="36"/>
      </c>
      <c r="M155" s="189">
        <f t="shared" si="126"/>
      </c>
      <c r="N155" s="187">
        <f t="shared" si="6"/>
      </c>
      <c r="O155" s="188">
        <f t="shared" si="457"/>
      </c>
      <c r="P155" s="187">
        <f t="shared" si="427"/>
      </c>
      <c r="Q155" s="187">
        <f t="shared" si="349"/>
      </c>
      <c r="R155" s="188">
        <f t="shared" si="319"/>
      </c>
      <c r="S155" s="190">
        <f t="shared" si="216"/>
      </c>
      <c r="T155" s="188">
        <f t="shared" si="156"/>
      </c>
      <c r="U155" s="191">
        <f t="shared" si="66"/>
      </c>
      <c r="V155" s="191"/>
      <c r="W155" s="191"/>
      <c r="X155" s="206">
        <f>SUM(X153:X154)</f>
      </c>
      <c r="Y155" s="185">
        <f>SUM(Y153:Y154)</f>
      </c>
      <c r="Z155" s="185">
        <f>SUM(Z153:Z154)</f>
      </c>
      <c r="AA155" s="185">
        <f>SUM(AA153:AA154)</f>
      </c>
      <c r="AB155" s="185">
        <f>SUM(AB153:AB154)</f>
      </c>
      <c r="AC155" s="185">
        <f>SUM(AC153:AC154)</f>
      </c>
      <c r="AD155" s="185">
        <f>SUM(AD153:AD154)</f>
      </c>
      <c r="AE155" s="185">
        <f>SUM(AE153:AE154)</f>
      </c>
      <c r="AF155" s="152"/>
      <c r="AG155" s="152"/>
    </row>
    <row r="156">
      <c r="A156" s="166"/>
      <c r="B156" s="181" t="s">
        <v>125</v>
      </c>
      <c r="C156" s="168" t="s">
        <v>120</v>
      </c>
      <c r="D156" s="169">
        <f t="shared" ref="D156:D159" si="267">E156+F156</f>
      </c>
      <c r="E156" s="170">
        <v>2162</v>
      </c>
      <c r="F156" s="170">
        <v>507.82</v>
      </c>
      <c r="G156" s="170"/>
      <c r="H156" s="170">
        <v>3</v>
      </c>
      <c r="I156" s="170">
        <v>1971</v>
      </c>
      <c r="J156" s="171">
        <f t="shared" si="186"/>
      </c>
      <c r="K156" s="172">
        <f t="shared" si="96"/>
      </c>
      <c r="L156" s="173">
        <f t="shared" si="36"/>
      </c>
      <c r="M156" s="174">
        <f t="shared" si="126"/>
      </c>
      <c r="N156" s="172">
        <f t="shared" si="6"/>
      </c>
      <c r="O156" s="173">
        <f t="shared" si="457"/>
      </c>
      <c r="P156" s="172">
        <f t="shared" si="427"/>
      </c>
      <c r="Q156" s="172">
        <f t="shared" si="349"/>
      </c>
      <c r="R156" s="173">
        <f t="shared" si="319"/>
      </c>
      <c r="S156" s="175">
        <f t="shared" si="216"/>
      </c>
      <c r="T156" s="173">
        <f t="shared" si="156"/>
      </c>
      <c r="U156" s="176">
        <f t="shared" si="66"/>
      </c>
      <c r="V156" s="177" t="s">
        <v>108</v>
      </c>
      <c r="W156" s="182" t="s">
        <v>133</v>
      </c>
      <c r="X156" s="205">
        <v>3</v>
      </c>
      <c r="Y156" s="169">
        <v>11126</v>
      </c>
      <c r="Z156" s="169">
        <v>676</v>
      </c>
      <c r="AA156" s="169">
        <v>1048</v>
      </c>
      <c r="AB156" s="169">
        <v>175</v>
      </c>
      <c r="AC156" s="169">
        <v>23</v>
      </c>
      <c r="AD156" s="179">
        <v>3</v>
      </c>
      <c r="AE156" s="180">
        <v>9</v>
      </c>
      <c r="AF156" s="152"/>
      <c r="AG156" s="152"/>
    </row>
    <row r="157">
      <c r="A157" s="166"/>
      <c r="B157" s="195" t="s">
        <v>127</v>
      </c>
      <c r="C157" s="168" t="s">
        <v>120</v>
      </c>
      <c r="D157" s="169">
        <f t="shared" si="267"/>
      </c>
      <c r="E157" s="170">
        <v>2377.76</v>
      </c>
      <c r="F157" s="170">
        <v>431.31</v>
      </c>
      <c r="G157" s="170"/>
      <c r="H157" s="170">
        <v>3</v>
      </c>
      <c r="I157" s="170">
        <v>8685.36</v>
      </c>
      <c r="J157" s="171">
        <f t="shared" si="186"/>
      </c>
      <c r="K157" s="172">
        <f t="shared" si="96"/>
      </c>
      <c r="L157" s="173">
        <f t="shared" si="36"/>
      </c>
      <c r="M157" s="174">
        <f t="shared" si="126"/>
      </c>
      <c r="N157" s="172">
        <f t="shared" si="6"/>
      </c>
      <c r="O157" s="173">
        <f t="shared" si="457"/>
      </c>
      <c r="P157" s="172">
        <f t="shared" si="427"/>
      </c>
      <c r="Q157" s="172">
        <f t="shared" si="349"/>
      </c>
      <c r="R157" s="173">
        <f t="shared" si="319"/>
      </c>
      <c r="S157" s="175">
        <f t="shared" si="216"/>
      </c>
      <c r="T157" s="173">
        <f t="shared" si="156"/>
      </c>
      <c r="U157" s="176">
        <f t="shared" si="66"/>
      </c>
      <c r="V157" s="177" t="s">
        <v>108</v>
      </c>
      <c r="W157" s="182" t="s">
        <v>133</v>
      </c>
      <c r="X157" s="205">
        <v>1</v>
      </c>
      <c r="Y157" s="169">
        <v>7796</v>
      </c>
      <c r="Z157" s="169">
        <v>473</v>
      </c>
      <c r="AA157" s="169">
        <v>659</v>
      </c>
      <c r="AB157" s="169">
        <v>118</v>
      </c>
      <c r="AC157" s="169">
        <v>27</v>
      </c>
      <c r="AD157" s="179">
        <v>4</v>
      </c>
      <c r="AE157" s="180">
        <v>15</v>
      </c>
      <c r="AF157" s="152"/>
      <c r="AG157" s="152"/>
    </row>
    <row r="158">
      <c r="A158" s="166"/>
      <c r="B158" s="195" t="s">
        <v>128</v>
      </c>
      <c r="C158" s="168" t="s">
        <v>120</v>
      </c>
      <c r="D158" s="169">
        <f t="shared" si="267"/>
      </c>
      <c r="E158" s="170">
        <v>2374.29</v>
      </c>
      <c r="F158" s="170">
        <v>455.23</v>
      </c>
      <c r="G158" s="170"/>
      <c r="H158" s="170">
        <v>3</v>
      </c>
      <c r="I158" s="170">
        <v>11805.959999999992</v>
      </c>
      <c r="J158" s="171">
        <f t="shared" si="186"/>
      </c>
      <c r="K158" s="172">
        <f t="shared" si="96"/>
      </c>
      <c r="L158" s="173">
        <f t="shared" si="36"/>
      </c>
      <c r="M158" s="174">
        <f t="shared" si="126"/>
      </c>
      <c r="N158" s="172">
        <f t="shared" si="6"/>
      </c>
      <c r="O158" s="173">
        <f t="shared" si="457"/>
      </c>
      <c r="P158" s="172">
        <f t="shared" si="427"/>
      </c>
      <c r="Q158" s="172">
        <f t="shared" si="349"/>
      </c>
      <c r="R158" s="173">
        <f t="shared" si="319"/>
      </c>
      <c r="S158" s="175">
        <f t="shared" si="216"/>
      </c>
      <c r="T158" s="173">
        <f t="shared" si="156"/>
      </c>
      <c r="U158" s="176">
        <f t="shared" si="66"/>
      </c>
      <c r="V158" s="177" t="s">
        <v>108</v>
      </c>
      <c r="W158" s="182" t="s">
        <v>133</v>
      </c>
      <c r="X158" s="205">
        <v>2</v>
      </c>
      <c r="Y158" s="169">
        <v>9977</v>
      </c>
      <c r="Z158" s="169">
        <v>564</v>
      </c>
      <c r="AA158" s="169">
        <v>836</v>
      </c>
      <c r="AB158" s="169">
        <v>140</v>
      </c>
      <c r="AC158" s="169">
        <v>22</v>
      </c>
      <c r="AD158" s="179">
        <v>4</v>
      </c>
      <c r="AE158" s="180">
        <v>23</v>
      </c>
      <c r="AF158" s="152"/>
      <c r="AG158" s="152"/>
    </row>
    <row r="159">
      <c r="A159" s="166"/>
      <c r="B159" s="167" t="s">
        <v>129</v>
      </c>
      <c r="C159" s="168" t="s">
        <v>120</v>
      </c>
      <c r="D159" s="169">
        <f t="shared" si="267"/>
      </c>
      <c r="E159" s="170">
        <v>2576.28</v>
      </c>
      <c r="F159" s="170">
        <v>363.24</v>
      </c>
      <c r="G159" s="170"/>
      <c r="H159" s="170">
        <v>4</v>
      </c>
      <c r="I159" s="170">
        <v>15311.520000000019</v>
      </c>
      <c r="J159" s="171">
        <f t="shared" si="186"/>
      </c>
      <c r="K159" s="172">
        <f t="shared" si="96"/>
      </c>
      <c r="L159" s="173">
        <f t="shared" si="36"/>
      </c>
      <c r="M159" s="174">
        <f t="shared" si="126"/>
      </c>
      <c r="N159" s="172">
        <f t="shared" si="6"/>
      </c>
      <c r="O159" s="173">
        <f t="shared" si="457"/>
      </c>
      <c r="P159" s="172">
        <f t="shared" si="427"/>
      </c>
      <c r="Q159" s="172">
        <f t="shared" si="349"/>
      </c>
      <c r="R159" s="173">
        <f t="shared" si="319"/>
      </c>
      <c r="S159" s="175">
        <f t="shared" si="216"/>
      </c>
      <c r="T159" s="173">
        <f t="shared" si="156"/>
      </c>
      <c r="U159" s="176">
        <f t="shared" si="66"/>
      </c>
      <c r="V159" s="177" t="s">
        <v>108</v>
      </c>
      <c r="W159" s="182" t="s">
        <v>133</v>
      </c>
      <c r="X159" s="205">
        <v>3</v>
      </c>
      <c r="Y159" s="169">
        <v>29978</v>
      </c>
      <c r="Z159" s="169">
        <v>1098</v>
      </c>
      <c r="AA159" s="169">
        <v>1391</v>
      </c>
      <c r="AB159" s="169">
        <v>270</v>
      </c>
      <c r="AC159" s="169">
        <v>28</v>
      </c>
      <c r="AD159" s="179">
        <v>4</v>
      </c>
      <c r="AE159" s="180">
        <v>21</v>
      </c>
      <c r="AF159" s="152"/>
      <c r="AG159" s="152"/>
    </row>
    <row r="160">
      <c r="A160" s="166"/>
      <c r="B160" s="184" t="s">
        <v>113</v>
      </c>
      <c r="C160" s="184"/>
      <c r="D160" s="185">
        <f>SUM(D156:D159)</f>
      </c>
      <c r="E160" s="185">
        <f>SUM(E156:E159)</f>
      </c>
      <c r="F160" s="185">
        <f>SUM(F156:F159)</f>
      </c>
      <c r="G160" s="185"/>
      <c r="H160" s="185">
        <f>SUM(H156:H159)</f>
      </c>
      <c r="I160" s="185">
        <f>SUM(I156:I159)</f>
      </c>
      <c r="J160" s="186">
        <f t="shared" si="186"/>
      </c>
      <c r="K160" s="187">
        <f t="shared" si="96"/>
      </c>
      <c r="L160" s="188">
        <f t="shared" si="36"/>
      </c>
      <c r="M160" s="189">
        <f t="shared" si="126"/>
      </c>
      <c r="N160" s="187">
        <f t="shared" si="6"/>
      </c>
      <c r="O160" s="188">
        <f t="shared" si="457"/>
      </c>
      <c r="P160" s="187">
        <f t="shared" si="427"/>
      </c>
      <c r="Q160" s="187">
        <f t="shared" si="349"/>
      </c>
      <c r="R160" s="188">
        <f t="shared" si="319"/>
      </c>
      <c r="S160" s="190">
        <f t="shared" si="216"/>
      </c>
      <c r="T160" s="188">
        <f t="shared" si="156"/>
      </c>
      <c r="U160" s="191">
        <f t="shared" si="66"/>
      </c>
      <c r="V160" s="191"/>
      <c r="W160" s="191"/>
      <c r="X160" s="207">
        <f>SUM(X156:X159)</f>
      </c>
      <c r="Y160" s="185">
        <f>SUM(Y156:Y159)</f>
      </c>
      <c r="Z160" s="185">
        <f>SUM(Z156:Z159)</f>
      </c>
      <c r="AA160" s="185">
        <f>SUM(AA156:AA159)</f>
      </c>
      <c r="AB160" s="185">
        <f>SUM(AB156:AB159)</f>
      </c>
      <c r="AC160" s="185">
        <f>SUM(AC156:AC159)</f>
      </c>
      <c r="AD160" s="185">
        <f>SUM(AD156:AD159)</f>
      </c>
      <c r="AE160" s="185">
        <f>SUM(AE156:AE159)</f>
      </c>
      <c r="AF160" s="152"/>
      <c r="AG160" s="152"/>
    </row>
    <row r="161">
      <c r="A161" s="166"/>
      <c r="B161" s="196" t="s">
        <v>130</v>
      </c>
      <c r="C161" s="196"/>
      <c r="D161" s="197">
        <f>D146+D152+D155+D160</f>
      </c>
      <c r="E161" s="197">
        <f>E146+E152+E155+E160</f>
      </c>
      <c r="F161" s="197">
        <f>F146+F152+F155+F160</f>
      </c>
      <c r="G161" s="197"/>
      <c r="H161" s="197">
        <f>H146+H152+H155+H160</f>
      </c>
      <c r="I161" s="197">
        <f>I146+I152+I155+I160</f>
      </c>
      <c r="J161" s="198">
        <f t="shared" si="186"/>
      </c>
      <c r="K161" s="199">
        <f t="shared" si="96"/>
      </c>
      <c r="L161" s="200">
        <f t="shared" si="36"/>
      </c>
      <c r="M161" s="201">
        <f t="shared" si="126"/>
      </c>
      <c r="N161" s="201">
        <f t="shared" si="6"/>
      </c>
      <c r="O161" s="200">
        <f t="shared" si="457"/>
      </c>
      <c r="P161" s="201">
        <f t="shared" si="427"/>
      </c>
      <c r="Q161" s="201">
        <f t="shared" si="349"/>
      </c>
      <c r="R161" s="200">
        <f t="shared" si="319"/>
      </c>
      <c r="S161" s="202">
        <f t="shared" si="216"/>
      </c>
      <c r="T161" s="200">
        <f t="shared" si="156"/>
      </c>
      <c r="U161" s="203">
        <f t="shared" si="66"/>
      </c>
      <c r="V161" s="203"/>
      <c r="W161" s="203"/>
      <c r="X161" s="198">
        <f>X146+X152+X155+X160</f>
      </c>
      <c r="Y161" s="198">
        <f>Y146+Y152+Y155+Y160</f>
      </c>
      <c r="Z161" s="198">
        <f>Z146+Z152+Z155+Z160</f>
      </c>
      <c r="AA161" s="198">
        <f>AA146+AA152+AA155+AA160</f>
      </c>
      <c r="AB161" s="198">
        <f>AB146+AB152+AB155+AB160</f>
      </c>
      <c r="AC161" s="198">
        <f>AC146+AC152+AC155+AC160</f>
      </c>
      <c r="AD161" s="198">
        <f>AD146+AD152+AD155+AD160</f>
      </c>
      <c r="AE161" s="198">
        <f>AE146+AE152+AE155+AE160</f>
      </c>
      <c r="AF161" s="152"/>
      <c r="AG161" s="152"/>
    </row>
    <row r="162">
      <c r="A162" s="146" t="s">
        <v>73</v>
      </c>
      <c r="B162" s="146"/>
      <c r="C162" s="146"/>
      <c r="D162" s="147" t="s">
        <v>74</v>
      </c>
      <c r="E162" s="147"/>
      <c r="F162" s="147"/>
      <c r="G162" s="147"/>
      <c r="H162" s="147"/>
      <c r="I162" s="147"/>
      <c r="J162" s="147"/>
      <c r="K162" s="148" t="s">
        <v>75</v>
      </c>
      <c r="L162" s="148"/>
      <c r="M162" s="148"/>
      <c r="N162" s="148"/>
      <c r="O162" s="148"/>
      <c r="P162" s="148"/>
      <c r="Q162" s="148"/>
      <c r="R162" s="148"/>
      <c r="S162" s="148"/>
      <c r="T162" s="148"/>
      <c r="U162" s="149"/>
      <c r="V162" s="149"/>
      <c r="W162" s="149"/>
      <c r="X162" s="150"/>
      <c r="Y162" s="150"/>
      <c r="Z162" s="150"/>
      <c r="AA162" s="150"/>
      <c r="AB162" s="150"/>
      <c r="AC162" s="150"/>
      <c r="AD162" s="150"/>
      <c r="AE162" s="151" t="s">
        <v>76</v>
      </c>
      <c r="AF162" s="152"/>
      <c r="AG162" s="152"/>
    </row>
    <row r="163">
      <c r="A163" s="153" t="s">
        <v>77</v>
      </c>
      <c r="B163" s="146" t="s">
        <v>78</v>
      </c>
      <c r="C163" s="146" t="s">
        <v>79</v>
      </c>
      <c r="D163" s="154" t="s">
        <v>80</v>
      </c>
      <c r="E163" s="155" t="s">
        <v>81</v>
      </c>
      <c r="F163" s="155" t="s">
        <v>82</v>
      </c>
      <c r="G163" s="155"/>
      <c r="H163" s="156" t="s">
        <v>83</v>
      </c>
      <c r="I163" s="157" t="s">
        <v>84</v>
      </c>
      <c r="J163" s="155" t="s">
        <v>85</v>
      </c>
      <c r="K163" s="158" t="s">
        <v>86</v>
      </c>
      <c r="L163" s="158" t="s">
        <v>87</v>
      </c>
      <c r="M163" s="159" t="s">
        <v>88</v>
      </c>
      <c r="N163" s="160" t="s">
        <v>89</v>
      </c>
      <c r="O163" s="148" t="s">
        <v>90</v>
      </c>
      <c r="P163" s="160" t="s">
        <v>91</v>
      </c>
      <c r="Q163" s="160" t="s">
        <v>92</v>
      </c>
      <c r="R163" s="161" t="s">
        <v>93</v>
      </c>
      <c r="S163" s="160" t="s">
        <v>94</v>
      </c>
      <c r="T163" s="161" t="s">
        <v>95</v>
      </c>
      <c r="U163" s="162" t="s">
        <v>96</v>
      </c>
      <c r="V163" s="162" t="s">
        <v>97</v>
      </c>
      <c r="W163" s="162" t="s">
        <v>98</v>
      </c>
      <c r="X163" s="163" t="s">
        <v>99</v>
      </c>
      <c r="Y163" s="164" t="s">
        <v>100</v>
      </c>
      <c r="Z163" s="164" t="s">
        <v>101</v>
      </c>
      <c r="AA163" s="164" t="s">
        <v>102</v>
      </c>
      <c r="AB163" s="164" t="s">
        <v>103</v>
      </c>
      <c r="AC163" s="164" t="s">
        <v>104</v>
      </c>
      <c r="AD163" s="165" t="s">
        <v>105</v>
      </c>
      <c r="AE163" s="151"/>
      <c r="AF163" s="152"/>
      <c r="AG163" s="152"/>
    </row>
    <row r="164">
      <c r="A164" s="166">
        <v>46273</v>
      </c>
      <c r="B164" s="167" t="s">
        <v>106</v>
      </c>
      <c r="C164" s="168" t="s">
        <v>115</v>
      </c>
      <c r="D164" s="169">
        <f t="shared" ref="D164:D167" si="268">E164+F164</f>
      </c>
      <c r="E164" s="170">
        <v>2000</v>
      </c>
      <c r="F164" s="169">
        <v>962.9</v>
      </c>
      <c r="G164" s="169"/>
      <c r="H164" s="170">
        <v>0</v>
      </c>
      <c r="I164" s="170">
        <v>0</v>
      </c>
      <c r="J164" s="171">
        <f t="shared" ref="J164:J183" si="187">I164/D164</f>
      </c>
      <c r="K164" s="172">
        <f t="shared" ref="K164:K183" si="97">Z164/Y164</f>
      </c>
      <c r="L164" s="173">
        <f t="shared" ref="L164:L183" si="37">D164/AA164</f>
      </c>
      <c r="M164" s="174">
        <f t="shared" ref="M164:M183" si="127">AB164/AA164</f>
      </c>
      <c r="N164" s="172">
        <f t="shared" ref="N164:N183" si="7">AC164/AA164</f>
      </c>
      <c r="O164" s="173">
        <f t="shared" ref="O164:O183" si="458">D164/AC164</f>
      </c>
      <c r="P164" s="172">
        <f t="shared" ref="P164:P183" si="428">AD164/AC164</f>
      </c>
      <c r="Q164" s="172">
        <f t="shared" ref="Q164:Q183" si="350">H164/AD164</f>
      </c>
      <c r="R164" s="173">
        <f t="shared" ref="R164:R183" si="320">D164/H164</f>
      </c>
      <c r="S164" s="175">
        <f t="shared" ref="S164:S183" si="217">I164/H164</f>
      </c>
      <c r="T164" s="173">
        <f t="shared" ref="T164:T183" si="157">D164/X164</f>
      </c>
      <c r="U164" s="176">
        <f t="shared" ref="U164:U183" si="67">AE164*1000/D164</f>
      </c>
      <c r="V164" s="177" t="s">
        <v>108</v>
      </c>
      <c r="W164" s="178" t="s">
        <v>132</v>
      </c>
      <c r="X164" s="169">
        <v>0</v>
      </c>
      <c r="Y164" s="169">
        <v>13507</v>
      </c>
      <c r="Z164" s="169">
        <v>733</v>
      </c>
      <c r="AA164" s="169">
        <v>1276</v>
      </c>
      <c r="AB164" s="169">
        <v>223</v>
      </c>
      <c r="AC164" s="179">
        <v>41</v>
      </c>
      <c r="AD164" s="179">
        <v>1</v>
      </c>
      <c r="AE164" s="180">
        <v>17</v>
      </c>
      <c r="AF164" s="152"/>
      <c r="AG164" s="152"/>
    </row>
    <row r="165">
      <c r="A165" s="166"/>
      <c r="B165" s="181" t="s">
        <v>110</v>
      </c>
      <c r="C165" s="168" t="s">
        <v>115</v>
      </c>
      <c r="D165" s="169">
        <f t="shared" si="268"/>
      </c>
      <c r="E165" s="170">
        <v>1560.73</v>
      </c>
      <c r="F165" s="169">
        <v>429.02</v>
      </c>
      <c r="G165" s="169"/>
      <c r="H165" s="170">
        <v>1</v>
      </c>
      <c r="I165" s="170">
        <v>1104.84</v>
      </c>
      <c r="J165" s="171">
        <f t="shared" si="187"/>
      </c>
      <c r="K165" s="172">
        <f t="shared" si="97"/>
      </c>
      <c r="L165" s="173">
        <f t="shared" si="37"/>
      </c>
      <c r="M165" s="174">
        <f t="shared" si="127"/>
      </c>
      <c r="N165" s="172">
        <f t="shared" si="7"/>
      </c>
      <c r="O165" s="173">
        <f t="shared" si="458"/>
      </c>
      <c r="P165" s="172">
        <f t="shared" si="428"/>
      </c>
      <c r="Q165" s="172">
        <f t="shared" si="350"/>
      </c>
      <c r="R165" s="173">
        <f t="shared" si="320"/>
      </c>
      <c r="S165" s="175">
        <f t="shared" si="217"/>
      </c>
      <c r="T165" s="173">
        <f t="shared" si="157"/>
      </c>
      <c r="U165" s="176">
        <f t="shared" si="67"/>
      </c>
      <c r="V165" s="177" t="s">
        <v>108</v>
      </c>
      <c r="W165" s="178" t="s">
        <v>132</v>
      </c>
      <c r="X165" s="205">
        <v>1</v>
      </c>
      <c r="Y165" s="169">
        <v>6249</v>
      </c>
      <c r="Z165" s="169">
        <v>120</v>
      </c>
      <c r="AA165" s="169">
        <v>134</v>
      </c>
      <c r="AB165" s="169">
        <v>31</v>
      </c>
      <c r="AC165" s="169">
        <v>19</v>
      </c>
      <c r="AD165" s="179">
        <v>1</v>
      </c>
      <c r="AE165" s="180">
        <v>15</v>
      </c>
      <c r="AF165" s="152"/>
      <c r="AG165" s="152"/>
    </row>
    <row r="166">
      <c r="A166" s="166"/>
      <c r="B166" s="181" t="s">
        <v>111</v>
      </c>
      <c r="C166" s="168" t="s">
        <v>115</v>
      </c>
      <c r="D166" s="169">
        <f t="shared" si="268"/>
      </c>
      <c r="E166" s="169">
        <v>2479.36</v>
      </c>
      <c r="F166" s="169">
        <v>390.3</v>
      </c>
      <c r="G166" s="169"/>
      <c r="H166" s="170">
        <v>2</v>
      </c>
      <c r="I166" s="169">
        <v>3861.120000000001</v>
      </c>
      <c r="J166" s="171">
        <f t="shared" si="187"/>
      </c>
      <c r="K166" s="172">
        <f t="shared" si="97"/>
      </c>
      <c r="L166" s="173">
        <f t="shared" si="37"/>
      </c>
      <c r="M166" s="174">
        <f t="shared" si="127"/>
      </c>
      <c r="N166" s="172">
        <f t="shared" si="7"/>
      </c>
      <c r="O166" s="173">
        <f t="shared" si="458"/>
      </c>
      <c r="P166" s="172">
        <f t="shared" si="428"/>
      </c>
      <c r="Q166" s="172">
        <f t="shared" si="350"/>
      </c>
      <c r="R166" s="173">
        <f t="shared" si="320"/>
      </c>
      <c r="S166" s="175">
        <f t="shared" si="217"/>
      </c>
      <c r="T166" s="173">
        <f t="shared" si="157"/>
      </c>
      <c r="U166" s="176">
        <f t="shared" si="67"/>
      </c>
      <c r="V166" s="177" t="s">
        <v>108</v>
      </c>
      <c r="W166" s="178" t="s">
        <v>132</v>
      </c>
      <c r="X166" s="205">
        <v>1</v>
      </c>
      <c r="Y166" s="169">
        <v>11811</v>
      </c>
      <c r="Z166" s="169">
        <v>345</v>
      </c>
      <c r="AA166" s="169">
        <v>448</v>
      </c>
      <c r="AB166" s="169">
        <v>98</v>
      </c>
      <c r="AC166" s="169">
        <v>49</v>
      </c>
      <c r="AD166" s="179">
        <v>2</v>
      </c>
      <c r="AE166" s="180">
        <v>12</v>
      </c>
      <c r="AF166" s="152"/>
      <c r="AG166" s="152"/>
    </row>
    <row r="167">
      <c r="A167" s="166"/>
      <c r="B167" s="183" t="s">
        <v>112</v>
      </c>
      <c r="C167" s="168" t="s">
        <v>115</v>
      </c>
      <c r="D167" s="169">
        <f t="shared" si="268"/>
      </c>
      <c r="E167" s="170">
        <v>2252.78</v>
      </c>
      <c r="F167" s="169">
        <v>473.18</v>
      </c>
      <c r="G167" s="169"/>
      <c r="H167" s="170">
        <v>0</v>
      </c>
      <c r="I167" s="170">
        <v>0</v>
      </c>
      <c r="J167" s="171">
        <f t="shared" si="187"/>
      </c>
      <c r="K167" s="172">
        <f t="shared" si="97"/>
      </c>
      <c r="L167" s="173">
        <f t="shared" si="37"/>
      </c>
      <c r="M167" s="174">
        <f t="shared" si="127"/>
      </c>
      <c r="N167" s="172">
        <f t="shared" si="7"/>
      </c>
      <c r="O167" s="173">
        <f t="shared" si="458"/>
      </c>
      <c r="P167" s="172">
        <f t="shared" si="428"/>
      </c>
      <c r="Q167" s="172">
        <f t="shared" si="350"/>
      </c>
      <c r="R167" s="173">
        <f t="shared" si="320"/>
      </c>
      <c r="S167" s="175">
        <f t="shared" si="217"/>
      </c>
      <c r="T167" s="173">
        <f t="shared" si="157"/>
      </c>
      <c r="U167" s="176">
        <f t="shared" si="67"/>
      </c>
      <c r="V167" s="177" t="s">
        <v>108</v>
      </c>
      <c r="W167" s="178" t="s">
        <v>132</v>
      </c>
      <c r="X167" s="205">
        <v>0</v>
      </c>
      <c r="Y167" s="169">
        <v>8782</v>
      </c>
      <c r="Z167" s="169">
        <v>389</v>
      </c>
      <c r="AA167" s="169">
        <v>558</v>
      </c>
      <c r="AB167" s="169">
        <v>113</v>
      </c>
      <c r="AC167" s="169">
        <v>34</v>
      </c>
      <c r="AD167" s="179">
        <v>0</v>
      </c>
      <c r="AE167" s="180">
        <v>25</v>
      </c>
      <c r="AF167" s="152"/>
      <c r="AG167" s="152"/>
    </row>
    <row r="168">
      <c r="A168" s="166"/>
      <c r="B168" s="184" t="s">
        <v>113</v>
      </c>
      <c r="C168" s="184"/>
      <c r="D168" s="185">
        <f>SUM(D164:D167)</f>
      </c>
      <c r="E168" s="185">
        <f>SUM(E164:E167)</f>
      </c>
      <c r="F168" s="185">
        <f>SUM(F164:F167)</f>
      </c>
      <c r="G168" s="185"/>
      <c r="H168" s="185">
        <f>SUM(H164:H167)</f>
      </c>
      <c r="I168" s="185">
        <f>SUM(I164:I167)</f>
      </c>
      <c r="J168" s="186">
        <f t="shared" si="187"/>
      </c>
      <c r="K168" s="187">
        <f t="shared" si="97"/>
      </c>
      <c r="L168" s="188">
        <f t="shared" si="37"/>
      </c>
      <c r="M168" s="189">
        <f t="shared" si="127"/>
      </c>
      <c r="N168" s="187">
        <f t="shared" si="7"/>
      </c>
      <c r="O168" s="188">
        <f t="shared" si="458"/>
      </c>
      <c r="P168" s="187">
        <f t="shared" si="428"/>
      </c>
      <c r="Q168" s="187">
        <f t="shared" si="350"/>
      </c>
      <c r="R168" s="188">
        <f t="shared" si="320"/>
      </c>
      <c r="S168" s="190">
        <f t="shared" si="217"/>
      </c>
      <c r="T168" s="188">
        <f t="shared" si="157"/>
      </c>
      <c r="U168" s="191">
        <f t="shared" si="67"/>
      </c>
      <c r="V168" s="191"/>
      <c r="W168" s="191"/>
      <c r="X168" s="206">
        <f>SUM(X164:X167)</f>
      </c>
      <c r="Y168" s="185">
        <f>SUM(Y164:Y167)</f>
      </c>
      <c r="Z168" s="185">
        <f>SUM(Z164:Z167)</f>
      </c>
      <c r="AA168" s="185">
        <f>SUM(AA164:AA167)</f>
      </c>
      <c r="AB168" s="185">
        <f>SUM(AB164:AB167)</f>
      </c>
      <c r="AC168" s="185">
        <f>SUM(AC164:AC167)</f>
      </c>
      <c r="AD168" s="185">
        <f>SUM(AD164:AD167)</f>
      </c>
      <c r="AE168" s="185">
        <f>SUM(AE164:AE167)</f>
      </c>
      <c r="AF168" s="152"/>
      <c r="AG168" s="152"/>
    </row>
    <row r="169">
      <c r="A169" s="166"/>
      <c r="B169" s="181" t="s">
        <v>116</v>
      </c>
      <c r="C169" s="168" t="s">
        <v>107</v>
      </c>
      <c r="D169" s="169">
        <f t="shared" ref="D169:D173" si="269">E169+F169</f>
      </c>
      <c r="E169" s="169">
        <v>2530.4</v>
      </c>
      <c r="F169" s="169">
        <v>1000.48</v>
      </c>
      <c r="G169" s="169"/>
      <c r="H169" s="170">
        <v>5</v>
      </c>
      <c r="I169" s="170">
        <v>10442.52</v>
      </c>
      <c r="J169" s="171">
        <f t="shared" si="187"/>
      </c>
      <c r="K169" s="172">
        <f t="shared" si="97"/>
      </c>
      <c r="L169" s="173">
        <f t="shared" si="37"/>
      </c>
      <c r="M169" s="174">
        <f t="shared" si="127"/>
      </c>
      <c r="N169" s="172">
        <f t="shared" si="7"/>
      </c>
      <c r="O169" s="173">
        <f t="shared" si="458"/>
      </c>
      <c r="P169" s="172">
        <f t="shared" si="428"/>
      </c>
      <c r="Q169" s="172">
        <f t="shared" si="350"/>
      </c>
      <c r="R169" s="173">
        <f t="shared" si="320"/>
      </c>
      <c r="S169" s="175">
        <f t="shared" si="217"/>
      </c>
      <c r="T169" s="173">
        <f t="shared" si="157"/>
      </c>
      <c r="U169" s="176">
        <f t="shared" si="67"/>
      </c>
      <c r="V169" s="177" t="s">
        <v>108</v>
      </c>
      <c r="W169" s="178" t="s">
        <v>132</v>
      </c>
      <c r="X169" s="205">
        <v>2</v>
      </c>
      <c r="Y169" s="169">
        <v>15101</v>
      </c>
      <c r="Z169" s="169">
        <v>729</v>
      </c>
      <c r="AA169" s="169">
        <v>1029</v>
      </c>
      <c r="AB169" s="169">
        <v>188</v>
      </c>
      <c r="AC169" s="169">
        <v>27</v>
      </c>
      <c r="AD169" s="179">
        <v>6</v>
      </c>
      <c r="AE169" s="180">
        <v>26</v>
      </c>
      <c r="AF169" s="152"/>
      <c r="AG169" s="152"/>
    </row>
    <row r="170">
      <c r="A170" s="166"/>
      <c r="B170" s="181" t="s">
        <v>117</v>
      </c>
      <c r="C170" s="168" t="s">
        <v>107</v>
      </c>
      <c r="D170" s="169">
        <f t="shared" si="269"/>
      </c>
      <c r="E170" s="169">
        <v>2199.7799999999997</v>
      </c>
      <c r="F170" s="170">
        <v>502.73</v>
      </c>
      <c r="G170" s="170"/>
      <c r="H170" s="170">
        <v>2</v>
      </c>
      <c r="I170" s="170">
        <v>14853.6</v>
      </c>
      <c r="J170" s="171">
        <f t="shared" si="187"/>
      </c>
      <c r="K170" s="172">
        <f t="shared" si="97"/>
      </c>
      <c r="L170" s="173">
        <f t="shared" si="37"/>
      </c>
      <c r="M170" s="174">
        <f t="shared" si="127"/>
      </c>
      <c r="N170" s="172">
        <f t="shared" si="7"/>
      </c>
      <c r="O170" s="173">
        <f t="shared" si="458"/>
      </c>
      <c r="P170" s="172">
        <f t="shared" si="428"/>
      </c>
      <c r="Q170" s="172">
        <f t="shared" si="350"/>
      </c>
      <c r="R170" s="173">
        <f t="shared" si="320"/>
      </c>
      <c r="S170" s="175">
        <f t="shared" si="217"/>
      </c>
      <c r="T170" s="173">
        <f t="shared" si="157"/>
      </c>
      <c r="U170" s="176">
        <f t="shared" si="67"/>
      </c>
      <c r="V170" s="177" t="s">
        <v>108</v>
      </c>
      <c r="W170" s="178" t="s">
        <v>132</v>
      </c>
      <c r="X170" s="208">
        <v>2</v>
      </c>
      <c r="Y170" s="169">
        <v>8869</v>
      </c>
      <c r="Z170" s="169">
        <v>657</v>
      </c>
      <c r="AA170" s="169">
        <v>935</v>
      </c>
      <c r="AB170" s="169">
        <v>206</v>
      </c>
      <c r="AC170" s="169">
        <v>31</v>
      </c>
      <c r="AD170" s="179">
        <v>3</v>
      </c>
      <c r="AE170" s="180">
        <v>20</v>
      </c>
      <c r="AF170" s="152"/>
      <c r="AG170" s="152"/>
    </row>
    <row r="171">
      <c r="A171" s="166"/>
      <c r="B171" s="181" t="s">
        <v>118</v>
      </c>
      <c r="C171" s="168" t="s">
        <v>107</v>
      </c>
      <c r="D171" s="169">
        <f t="shared" si="269"/>
      </c>
      <c r="E171" s="169">
        <v>2232.47</v>
      </c>
      <c r="F171" s="169">
        <v>582.33</v>
      </c>
      <c r="G171" s="169"/>
      <c r="H171" s="170">
        <v>3</v>
      </c>
      <c r="I171" s="170">
        <v>8156.760000000002</v>
      </c>
      <c r="J171" s="171">
        <f t="shared" si="187"/>
      </c>
      <c r="K171" s="172">
        <f t="shared" si="97"/>
      </c>
      <c r="L171" s="173">
        <f t="shared" si="37"/>
      </c>
      <c r="M171" s="174">
        <f t="shared" si="127"/>
      </c>
      <c r="N171" s="172">
        <f t="shared" si="7"/>
      </c>
      <c r="O171" s="173">
        <f t="shared" si="458"/>
      </c>
      <c r="P171" s="172">
        <f t="shared" si="428"/>
      </c>
      <c r="Q171" s="172">
        <f t="shared" si="350"/>
      </c>
      <c r="R171" s="173">
        <f t="shared" si="320"/>
      </c>
      <c r="S171" s="175">
        <f t="shared" si="217"/>
      </c>
      <c r="T171" s="173">
        <f t="shared" si="157"/>
      </c>
      <c r="U171" s="176">
        <f t="shared" si="67"/>
      </c>
      <c r="V171" s="177" t="s">
        <v>108</v>
      </c>
      <c r="W171" s="178" t="s">
        <v>132</v>
      </c>
      <c r="X171" s="208">
        <v>3</v>
      </c>
      <c r="Y171" s="169">
        <v>10038</v>
      </c>
      <c r="Z171" s="169">
        <v>619</v>
      </c>
      <c r="AA171" s="169">
        <v>904</v>
      </c>
      <c r="AB171" s="169">
        <v>189</v>
      </c>
      <c r="AC171" s="169">
        <v>35</v>
      </c>
      <c r="AD171" s="179">
        <v>6</v>
      </c>
      <c r="AE171" s="180">
        <v>25</v>
      </c>
      <c r="AF171" s="152"/>
      <c r="AG171" s="152"/>
    </row>
    <row r="172">
      <c r="A172" s="166"/>
      <c r="B172" s="192" t="s">
        <v>119</v>
      </c>
      <c r="C172" s="168" t="s">
        <v>107</v>
      </c>
      <c r="D172" s="169">
        <f t="shared" si="269"/>
      </c>
      <c r="E172" s="170">
        <v>1497.04</v>
      </c>
      <c r="F172" s="170">
        <v>1125.53</v>
      </c>
      <c r="G172" s="170"/>
      <c r="H172" s="170">
        <v>1</v>
      </c>
      <c r="I172" s="170">
        <v>3395.6400000000067</v>
      </c>
      <c r="J172" s="171">
        <f t="shared" si="187"/>
      </c>
      <c r="K172" s="172">
        <f t="shared" si="97"/>
      </c>
      <c r="L172" s="173">
        <f t="shared" si="37"/>
      </c>
      <c r="M172" s="174">
        <f t="shared" si="127"/>
      </c>
      <c r="N172" s="172">
        <f t="shared" si="7"/>
      </c>
      <c r="O172" s="173">
        <f t="shared" si="458"/>
      </c>
      <c r="P172" s="172">
        <f t="shared" si="428"/>
      </c>
      <c r="Q172" s="172">
        <f t="shared" si="350"/>
      </c>
      <c r="R172" s="173">
        <f t="shared" si="320"/>
      </c>
      <c r="S172" s="175">
        <f t="shared" si="217"/>
      </c>
      <c r="T172" s="173">
        <f t="shared" si="157"/>
      </c>
      <c r="U172" s="176">
        <f t="shared" si="67"/>
      </c>
      <c r="V172" s="177" t="s">
        <v>108</v>
      </c>
      <c r="W172" s="182" t="s">
        <v>133</v>
      </c>
      <c r="X172" s="205">
        <v>1</v>
      </c>
      <c r="Y172" s="169">
        <v>10449</v>
      </c>
      <c r="Z172" s="169">
        <v>626</v>
      </c>
      <c r="AA172" s="169">
        <v>919</v>
      </c>
      <c r="AB172" s="169">
        <v>214</v>
      </c>
      <c r="AC172" s="169">
        <v>33</v>
      </c>
      <c r="AD172" s="179">
        <v>2</v>
      </c>
      <c r="AE172" s="180">
        <v>14</v>
      </c>
      <c r="AF172" s="152"/>
      <c r="AG172" s="152"/>
    </row>
    <row r="173">
      <c r="A173" s="166"/>
      <c r="B173" s="194" t="s">
        <v>122</v>
      </c>
      <c r="C173" s="168" t="s">
        <v>107</v>
      </c>
      <c r="D173" s="169">
        <f t="shared" si="269"/>
      </c>
      <c r="E173" s="170">
        <v>3120.98</v>
      </c>
      <c r="F173" s="170">
        <v>904.47</v>
      </c>
      <c r="G173" s="170"/>
      <c r="H173" s="170">
        <v>3</v>
      </c>
      <c r="I173" s="170">
        <v>4041.239999999998</v>
      </c>
      <c r="J173" s="171">
        <f t="shared" si="187"/>
      </c>
      <c r="K173" s="172">
        <f t="shared" si="97"/>
      </c>
      <c r="L173" s="173">
        <f t="shared" si="37"/>
      </c>
      <c r="M173" s="174">
        <f t="shared" si="127"/>
      </c>
      <c r="N173" s="172">
        <f t="shared" si="7"/>
      </c>
      <c r="O173" s="173">
        <f t="shared" si="458"/>
      </c>
      <c r="P173" s="172">
        <f t="shared" si="428"/>
      </c>
      <c r="Q173" s="172">
        <f t="shared" si="350"/>
      </c>
      <c r="R173" s="173">
        <f t="shared" si="320"/>
      </c>
      <c r="S173" s="175">
        <f t="shared" si="217"/>
      </c>
      <c r="T173" s="173">
        <f t="shared" si="157"/>
      </c>
      <c r="U173" s="176">
        <f t="shared" si="67"/>
      </c>
      <c r="V173" s="177" t="s">
        <v>108</v>
      </c>
      <c r="W173" s="182" t="s">
        <v>133</v>
      </c>
      <c r="X173" s="205">
        <v>3</v>
      </c>
      <c r="Y173" s="169">
        <v>18793</v>
      </c>
      <c r="Z173" s="169">
        <v>983</v>
      </c>
      <c r="AA173" s="169">
        <v>1456</v>
      </c>
      <c r="AB173" s="169">
        <v>294</v>
      </c>
      <c r="AC173" s="169">
        <v>45</v>
      </c>
      <c r="AD173" s="179">
        <v>5</v>
      </c>
      <c r="AE173" s="180">
        <v>21</v>
      </c>
      <c r="AF173" s="152"/>
      <c r="AG173" s="152"/>
    </row>
    <row r="174">
      <c r="A174" s="166"/>
      <c r="B174" s="184" t="s">
        <v>113</v>
      </c>
      <c r="C174" s="184"/>
      <c r="D174" s="185">
        <f>SUM(D169:D173)</f>
      </c>
      <c r="E174" s="185">
        <f>SUM(E169:E173)</f>
      </c>
      <c r="F174" s="185">
        <f>SUM(F169:F173)</f>
      </c>
      <c r="G174" s="185"/>
      <c r="H174" s="185">
        <f>SUM(H169:H173)</f>
      </c>
      <c r="I174" s="185">
        <f>SUM(I169:I173)</f>
      </c>
      <c r="J174" s="186">
        <f t="shared" si="187"/>
      </c>
      <c r="K174" s="187">
        <f t="shared" si="97"/>
      </c>
      <c r="L174" s="188">
        <f t="shared" si="37"/>
      </c>
      <c r="M174" s="189">
        <f t="shared" si="127"/>
      </c>
      <c r="N174" s="187">
        <f t="shared" si="7"/>
      </c>
      <c r="O174" s="188">
        <f t="shared" si="458"/>
      </c>
      <c r="P174" s="187">
        <f t="shared" si="428"/>
      </c>
      <c r="Q174" s="187">
        <f t="shared" si="350"/>
      </c>
      <c r="R174" s="188">
        <f t="shared" si="320"/>
      </c>
      <c r="S174" s="190">
        <f t="shared" si="217"/>
      </c>
      <c r="T174" s="188">
        <f t="shared" si="157"/>
      </c>
      <c r="U174" s="191">
        <f t="shared" si="67"/>
      </c>
      <c r="V174" s="191"/>
      <c r="W174" s="191"/>
      <c r="X174" s="206">
        <f>SUM(X169:X173)</f>
      </c>
      <c r="Y174" s="185">
        <f>SUM(Y169:Y173)</f>
      </c>
      <c r="Z174" s="185">
        <f>SUM(Z169:Z173)</f>
      </c>
      <c r="AA174" s="185">
        <f>SUM(AA169:AA173)</f>
      </c>
      <c r="AB174" s="185">
        <f>SUM(AB169:AB173)</f>
      </c>
      <c r="AC174" s="185">
        <f>SUM(AC169:AC173)</f>
      </c>
      <c r="AD174" s="185">
        <f>SUM(AD169:AD173)</f>
      </c>
      <c r="AE174" s="185">
        <f>SUM(AE169:AE173)</f>
      </c>
      <c r="AF174" s="152"/>
      <c r="AG174" s="152"/>
    </row>
    <row r="175">
      <c r="A175" s="166"/>
      <c r="B175" s="183" t="s">
        <v>123</v>
      </c>
      <c r="C175" s="168" t="s">
        <v>135</v>
      </c>
      <c r="D175" s="169">
        <f t="shared" ref="D175:D176" si="270">E175+F175</f>
      </c>
      <c r="E175" s="170">
        <v>1980.69</v>
      </c>
      <c r="F175" s="170">
        <v>387.92</v>
      </c>
      <c r="G175" s="170"/>
      <c r="H175" s="170">
        <v>0</v>
      </c>
      <c r="I175" s="170">
        <v>0</v>
      </c>
      <c r="J175" s="171">
        <f t="shared" si="187"/>
      </c>
      <c r="K175" s="172">
        <f t="shared" si="97"/>
      </c>
      <c r="L175" s="173">
        <f t="shared" si="37"/>
      </c>
      <c r="M175" s="174">
        <f t="shared" si="127"/>
      </c>
      <c r="N175" s="172">
        <f t="shared" si="7"/>
      </c>
      <c r="O175" s="173">
        <f t="shared" si="458"/>
      </c>
      <c r="P175" s="172">
        <f t="shared" si="428"/>
      </c>
      <c r="Q175" s="172">
        <f t="shared" si="350"/>
      </c>
      <c r="R175" s="173">
        <f t="shared" si="320"/>
      </c>
      <c r="S175" s="175">
        <f t="shared" si="217"/>
      </c>
      <c r="T175" s="173">
        <f t="shared" si="157"/>
      </c>
      <c r="U175" s="176">
        <f t="shared" si="67"/>
      </c>
      <c r="V175" s="177" t="s">
        <v>108</v>
      </c>
      <c r="W175" s="182" t="s">
        <v>133</v>
      </c>
      <c r="X175" s="205">
        <v>0</v>
      </c>
      <c r="Y175" s="169">
        <v>11690</v>
      </c>
      <c r="Z175" s="169">
        <v>552</v>
      </c>
      <c r="AA175" s="169">
        <v>811</v>
      </c>
      <c r="AB175" s="169">
        <v>171</v>
      </c>
      <c r="AC175" s="169">
        <v>19</v>
      </c>
      <c r="AD175" s="179">
        <v>2</v>
      </c>
      <c r="AE175" s="180">
        <v>22</v>
      </c>
      <c r="AF175" s="152"/>
      <c r="AG175" s="152"/>
    </row>
    <row r="176">
      <c r="A176" s="166"/>
      <c r="B176" s="183" t="s">
        <v>124</v>
      </c>
      <c r="C176" s="168" t="s">
        <v>135</v>
      </c>
      <c r="D176" s="169">
        <f t="shared" si="270"/>
      </c>
      <c r="E176" s="170">
        <v>2478.31</v>
      </c>
      <c r="F176" s="170">
        <v>294.34</v>
      </c>
      <c r="G176" s="170"/>
      <c r="H176" s="170">
        <v>1</v>
      </c>
      <c r="I176" s="170">
        <v>1216.0800000000017</v>
      </c>
      <c r="J176" s="171">
        <f t="shared" si="187"/>
      </c>
      <c r="K176" s="172">
        <f t="shared" si="97"/>
      </c>
      <c r="L176" s="173">
        <f t="shared" si="37"/>
      </c>
      <c r="M176" s="174">
        <f t="shared" si="127"/>
      </c>
      <c r="N176" s="172">
        <f t="shared" si="7"/>
      </c>
      <c r="O176" s="173">
        <f t="shared" si="458"/>
      </c>
      <c r="P176" s="172">
        <f t="shared" si="428"/>
      </c>
      <c r="Q176" s="172">
        <f t="shared" si="350"/>
      </c>
      <c r="R176" s="173">
        <f t="shared" si="320"/>
      </c>
      <c r="S176" s="175">
        <f t="shared" si="217"/>
      </c>
      <c r="T176" s="173">
        <f t="shared" si="157"/>
      </c>
      <c r="U176" s="176">
        <f t="shared" si="67"/>
      </c>
      <c r="V176" s="177" t="s">
        <v>108</v>
      </c>
      <c r="W176" s="182" t="s">
        <v>133</v>
      </c>
      <c r="X176" s="205">
        <v>1</v>
      </c>
      <c r="Y176" s="169">
        <v>13059</v>
      </c>
      <c r="Z176" s="169">
        <v>498</v>
      </c>
      <c r="AA176" s="169">
        <v>784</v>
      </c>
      <c r="AB176" s="169">
        <v>162</v>
      </c>
      <c r="AC176" s="169">
        <v>21</v>
      </c>
      <c r="AD176" s="179">
        <v>3</v>
      </c>
      <c r="AE176" s="180">
        <v>17</v>
      </c>
      <c r="AF176" s="152"/>
      <c r="AG176" s="152"/>
    </row>
    <row r="177">
      <c r="A177" s="166"/>
      <c r="B177" s="184" t="s">
        <v>113</v>
      </c>
      <c r="C177" s="184"/>
      <c r="D177" s="185">
        <f>SUM(D175:D176)</f>
      </c>
      <c r="E177" s="185">
        <f>SUM(E175:E176)</f>
      </c>
      <c r="F177" s="185">
        <f>SUM(F175:F176)</f>
      </c>
      <c r="G177" s="185"/>
      <c r="H177" s="185">
        <f>SUM(H175:H176)</f>
      </c>
      <c r="I177" s="185">
        <f>SUM(I175:I176)</f>
      </c>
      <c r="J177" s="186">
        <f t="shared" si="187"/>
      </c>
      <c r="K177" s="187">
        <f t="shared" si="97"/>
      </c>
      <c r="L177" s="188">
        <f t="shared" si="37"/>
      </c>
      <c r="M177" s="189">
        <f t="shared" si="127"/>
      </c>
      <c r="N177" s="187">
        <f t="shared" si="7"/>
      </c>
      <c r="O177" s="188">
        <f t="shared" si="458"/>
      </c>
      <c r="P177" s="187">
        <f t="shared" si="428"/>
      </c>
      <c r="Q177" s="187">
        <f t="shared" si="350"/>
      </c>
      <c r="R177" s="188">
        <f t="shared" si="320"/>
      </c>
      <c r="S177" s="190">
        <f t="shared" si="217"/>
      </c>
      <c r="T177" s="188">
        <f t="shared" si="157"/>
      </c>
      <c r="U177" s="191">
        <f t="shared" si="67"/>
      </c>
      <c r="V177" s="191"/>
      <c r="W177" s="191"/>
      <c r="X177" s="206">
        <f>SUM(X175:X176)</f>
      </c>
      <c r="Y177" s="185">
        <f>SUM(Y175:Y176)</f>
      </c>
      <c r="Z177" s="185">
        <f>SUM(Z175:Z176)</f>
      </c>
      <c r="AA177" s="185">
        <f>SUM(AA175:AA176)</f>
      </c>
      <c r="AB177" s="185">
        <f>SUM(AB175:AB176)</f>
      </c>
      <c r="AC177" s="185">
        <f>SUM(AC175:AC176)</f>
      </c>
      <c r="AD177" s="185">
        <f>SUM(AD175:AD176)</f>
      </c>
      <c r="AE177" s="185">
        <f>SUM(AE175:AE176)</f>
      </c>
      <c r="AF177" s="152"/>
      <c r="AG177" s="152"/>
    </row>
    <row r="178">
      <c r="A178" s="166"/>
      <c r="B178" s="181" t="s">
        <v>125</v>
      </c>
      <c r="C178" s="168" t="s">
        <v>120</v>
      </c>
      <c r="D178" s="169">
        <f t="shared" ref="D178:D181" si="271">E178+F178</f>
      </c>
      <c r="E178" s="170">
        <v>1799.58</v>
      </c>
      <c r="F178" s="170">
        <v>301.93</v>
      </c>
      <c r="G178" s="170"/>
      <c r="H178" s="170">
        <v>1</v>
      </c>
      <c r="I178" s="170">
        <v>3181.3199999999997</v>
      </c>
      <c r="J178" s="171">
        <f t="shared" si="187"/>
      </c>
      <c r="K178" s="172">
        <f t="shared" si="97"/>
      </c>
      <c r="L178" s="173">
        <f t="shared" si="37"/>
      </c>
      <c r="M178" s="174">
        <f t="shared" si="127"/>
      </c>
      <c r="N178" s="172">
        <f t="shared" si="7"/>
      </c>
      <c r="O178" s="173">
        <f t="shared" si="458"/>
      </c>
      <c r="P178" s="172">
        <f t="shared" si="428"/>
      </c>
      <c r="Q178" s="172">
        <f t="shared" si="350"/>
      </c>
      <c r="R178" s="173">
        <f t="shared" si="320"/>
      </c>
      <c r="S178" s="175">
        <f t="shared" si="217"/>
      </c>
      <c r="T178" s="173">
        <f t="shared" si="157"/>
      </c>
      <c r="U178" s="176">
        <f t="shared" si="67"/>
      </c>
      <c r="V178" s="177" t="s">
        <v>108</v>
      </c>
      <c r="W178" s="182" t="s">
        <v>133</v>
      </c>
      <c r="X178" s="205">
        <v>1</v>
      </c>
      <c r="Y178" s="169">
        <v>10330</v>
      </c>
      <c r="Z178" s="169">
        <v>445</v>
      </c>
      <c r="AA178" s="169">
        <v>704</v>
      </c>
      <c r="AB178" s="169">
        <v>152</v>
      </c>
      <c r="AC178" s="169">
        <v>16</v>
      </c>
      <c r="AD178" s="179">
        <v>2</v>
      </c>
      <c r="AE178" s="180">
        <v>15</v>
      </c>
      <c r="AF178" s="152"/>
      <c r="AG178" s="152"/>
    </row>
    <row r="179">
      <c r="A179" s="166"/>
      <c r="B179" s="195" t="s">
        <v>127</v>
      </c>
      <c r="C179" s="168" t="s">
        <v>120</v>
      </c>
      <c r="D179" s="169">
        <f t="shared" si="271"/>
      </c>
      <c r="E179" s="170">
        <v>2423.55</v>
      </c>
      <c r="F179" s="170">
        <v>450.72</v>
      </c>
      <c r="G179" s="170"/>
      <c r="H179" s="170">
        <v>1</v>
      </c>
      <c r="I179" s="170">
        <v>5051.880000000005</v>
      </c>
      <c r="J179" s="171">
        <f t="shared" si="187"/>
      </c>
      <c r="K179" s="172">
        <f t="shared" si="97"/>
      </c>
      <c r="L179" s="173">
        <f t="shared" si="37"/>
      </c>
      <c r="M179" s="174">
        <f t="shared" si="127"/>
      </c>
      <c r="N179" s="172">
        <f t="shared" si="7"/>
      </c>
      <c r="O179" s="173">
        <f t="shared" si="458"/>
      </c>
      <c r="P179" s="172">
        <f t="shared" si="428"/>
      </c>
      <c r="Q179" s="172">
        <f t="shared" si="350"/>
      </c>
      <c r="R179" s="173">
        <f t="shared" si="320"/>
      </c>
      <c r="S179" s="175">
        <f t="shared" si="217"/>
      </c>
      <c r="T179" s="173">
        <f t="shared" si="157"/>
      </c>
      <c r="U179" s="176">
        <f t="shared" si="67"/>
      </c>
      <c r="V179" s="177" t="s">
        <v>108</v>
      </c>
      <c r="W179" s="182" t="s">
        <v>133</v>
      </c>
      <c r="X179" s="205">
        <v>1</v>
      </c>
      <c r="Y179" s="169">
        <v>10715</v>
      </c>
      <c r="Z179" s="169">
        <v>623</v>
      </c>
      <c r="AA179" s="169">
        <v>867</v>
      </c>
      <c r="AB179" s="169">
        <v>154</v>
      </c>
      <c r="AC179" s="169">
        <v>25</v>
      </c>
      <c r="AD179" s="179">
        <v>2</v>
      </c>
      <c r="AE179" s="180">
        <v>19</v>
      </c>
      <c r="AF179" s="152"/>
      <c r="AG179" s="152"/>
    </row>
    <row r="180">
      <c r="A180" s="166"/>
      <c r="B180" s="195" t="s">
        <v>128</v>
      </c>
      <c r="C180" s="168" t="s">
        <v>120</v>
      </c>
      <c r="D180" s="169">
        <f t="shared" si="271"/>
      </c>
      <c r="E180" s="170">
        <v>5066.87</v>
      </c>
      <c r="F180" s="170">
        <v>412.95</v>
      </c>
      <c r="G180" s="170"/>
      <c r="H180" s="170">
        <v>4</v>
      </c>
      <c r="I180" s="170">
        <v>10137.659999999996</v>
      </c>
      <c r="J180" s="171">
        <f t="shared" si="187"/>
      </c>
      <c r="K180" s="172">
        <f t="shared" si="97"/>
      </c>
      <c r="L180" s="173">
        <f t="shared" si="37"/>
      </c>
      <c r="M180" s="174">
        <f t="shared" si="127"/>
      </c>
      <c r="N180" s="172">
        <f t="shared" si="7"/>
      </c>
      <c r="O180" s="173">
        <f t="shared" si="458"/>
      </c>
      <c r="P180" s="172">
        <f t="shared" si="428"/>
      </c>
      <c r="Q180" s="172">
        <f t="shared" si="350"/>
      </c>
      <c r="R180" s="173">
        <f t="shared" si="320"/>
      </c>
      <c r="S180" s="175">
        <f t="shared" si="217"/>
      </c>
      <c r="T180" s="173">
        <f t="shared" si="157"/>
      </c>
      <c r="U180" s="176">
        <f t="shared" si="67"/>
      </c>
      <c r="V180" s="177" t="s">
        <v>108</v>
      </c>
      <c r="W180" s="182" t="s">
        <v>133</v>
      </c>
      <c r="X180" s="205">
        <v>4</v>
      </c>
      <c r="Y180" s="169">
        <v>29496</v>
      </c>
      <c r="Z180" s="169">
        <v>1240</v>
      </c>
      <c r="AA180" s="169">
        <v>1652</v>
      </c>
      <c r="AB180" s="169">
        <v>290</v>
      </c>
      <c r="AC180" s="169">
        <v>36</v>
      </c>
      <c r="AD180" s="179">
        <v>7</v>
      </c>
      <c r="AE180" s="180">
        <v>29</v>
      </c>
      <c r="AF180" s="152"/>
      <c r="AG180" s="152"/>
    </row>
    <row r="181">
      <c r="A181" s="166"/>
      <c r="B181" s="167" t="s">
        <v>129</v>
      </c>
      <c r="C181" s="168" t="s">
        <v>120</v>
      </c>
      <c r="D181" s="169">
        <f t="shared" si="271"/>
      </c>
      <c r="E181" s="170">
        <v>2925.54</v>
      </c>
      <c r="F181" s="170">
        <v>292.25</v>
      </c>
      <c r="G181" s="170"/>
      <c r="H181" s="170">
        <v>1</v>
      </c>
      <c r="I181" s="170">
        <v>737.6400000000067</v>
      </c>
      <c r="J181" s="171">
        <f t="shared" si="187"/>
      </c>
      <c r="K181" s="172">
        <f t="shared" si="97"/>
      </c>
      <c r="L181" s="173">
        <f t="shared" si="37"/>
      </c>
      <c r="M181" s="174">
        <f t="shared" si="127"/>
      </c>
      <c r="N181" s="172">
        <f t="shared" si="7"/>
      </c>
      <c r="O181" s="173">
        <f t="shared" si="458"/>
      </c>
      <c r="P181" s="172">
        <f t="shared" si="428"/>
      </c>
      <c r="Q181" s="172">
        <f t="shared" si="350"/>
      </c>
      <c r="R181" s="173">
        <f t="shared" si="320"/>
      </c>
      <c r="S181" s="175">
        <f t="shared" si="217"/>
      </c>
      <c r="T181" s="173">
        <f t="shared" si="157"/>
      </c>
      <c r="U181" s="176">
        <f t="shared" si="67"/>
      </c>
      <c r="V181" s="177" t="s">
        <v>108</v>
      </c>
      <c r="W181" s="182" t="s">
        <v>133</v>
      </c>
      <c r="X181" s="205">
        <v>1</v>
      </c>
      <c r="Y181" s="169">
        <v>12016</v>
      </c>
      <c r="Z181" s="169">
        <v>574</v>
      </c>
      <c r="AA181" s="169">
        <v>862</v>
      </c>
      <c r="AB181" s="169">
        <v>174</v>
      </c>
      <c r="AC181" s="169">
        <v>22</v>
      </c>
      <c r="AD181" s="179">
        <v>3</v>
      </c>
      <c r="AE181" s="180">
        <v>22</v>
      </c>
      <c r="AF181" s="152"/>
      <c r="AG181" s="152"/>
    </row>
    <row r="182">
      <c r="A182" s="166"/>
      <c r="B182" s="184" t="s">
        <v>113</v>
      </c>
      <c r="C182" s="184"/>
      <c r="D182" s="185">
        <f>SUM(D178:D181)</f>
      </c>
      <c r="E182" s="185">
        <f>SUM(E178:E181)</f>
      </c>
      <c r="F182" s="185">
        <f>SUM(F178:F181)</f>
      </c>
      <c r="G182" s="185"/>
      <c r="H182" s="185">
        <f>SUM(H178:H181)</f>
      </c>
      <c r="I182" s="185">
        <f>SUM(I178:I181)</f>
      </c>
      <c r="J182" s="186">
        <f t="shared" si="187"/>
      </c>
      <c r="K182" s="187">
        <f t="shared" si="97"/>
      </c>
      <c r="L182" s="188">
        <f t="shared" si="37"/>
      </c>
      <c r="M182" s="189">
        <f t="shared" si="127"/>
      </c>
      <c r="N182" s="187">
        <f t="shared" si="7"/>
      </c>
      <c r="O182" s="188">
        <f t="shared" si="458"/>
      </c>
      <c r="P182" s="187">
        <f t="shared" si="428"/>
      </c>
      <c r="Q182" s="187">
        <f t="shared" si="350"/>
      </c>
      <c r="R182" s="188">
        <f t="shared" si="320"/>
      </c>
      <c r="S182" s="190">
        <f t="shared" si="217"/>
      </c>
      <c r="T182" s="188">
        <f t="shared" si="157"/>
      </c>
      <c r="U182" s="191">
        <f t="shared" si="67"/>
      </c>
      <c r="V182" s="191"/>
      <c r="W182" s="191"/>
      <c r="X182" s="207">
        <f>SUM(X178:X181)</f>
      </c>
      <c r="Y182" s="185">
        <f>SUM(Y178:Y181)</f>
      </c>
      <c r="Z182" s="185">
        <f>SUM(Z178:Z181)</f>
      </c>
      <c r="AA182" s="185">
        <f>SUM(AA178:AA181)</f>
      </c>
      <c r="AB182" s="185">
        <f>SUM(AB178:AB181)</f>
      </c>
      <c r="AC182" s="185">
        <f>SUM(AC178:AC181)</f>
      </c>
      <c r="AD182" s="185">
        <f>SUM(AD178:AD181)</f>
      </c>
      <c r="AE182" s="185">
        <f>SUM(AE178:AE181)</f>
      </c>
      <c r="AF182" s="152"/>
      <c r="AG182" s="152"/>
    </row>
    <row r="183">
      <c r="A183" s="166"/>
      <c r="B183" s="196" t="s">
        <v>130</v>
      </c>
      <c r="C183" s="196"/>
      <c r="D183" s="197">
        <f>D168+D174+D177+D182</f>
      </c>
      <c r="E183" s="197">
        <f>E168+E174+E177+E182</f>
      </c>
      <c r="F183" s="197">
        <f>F168+F174+F177+F182</f>
      </c>
      <c r="G183" s="197"/>
      <c r="H183" s="197">
        <f>H168+H174+H177+H182</f>
      </c>
      <c r="I183" s="197">
        <f>I168+I174+I177+I182</f>
      </c>
      <c r="J183" s="198">
        <f t="shared" si="187"/>
      </c>
      <c r="K183" s="199">
        <f t="shared" si="97"/>
      </c>
      <c r="L183" s="200">
        <f t="shared" si="37"/>
      </c>
      <c r="M183" s="201">
        <f t="shared" si="127"/>
      </c>
      <c r="N183" s="201">
        <f t="shared" si="7"/>
      </c>
      <c r="O183" s="200">
        <f t="shared" si="458"/>
      </c>
      <c r="P183" s="201">
        <f t="shared" si="428"/>
      </c>
      <c r="Q183" s="201">
        <f t="shared" si="350"/>
      </c>
      <c r="R183" s="200">
        <f t="shared" si="320"/>
      </c>
      <c r="S183" s="202">
        <f t="shared" si="217"/>
      </c>
      <c r="T183" s="200">
        <f t="shared" si="157"/>
      </c>
      <c r="U183" s="203">
        <f t="shared" si="67"/>
      </c>
      <c r="V183" s="203"/>
      <c r="W183" s="203"/>
      <c r="X183" s="198">
        <f>X168+X174+X177+X182</f>
      </c>
      <c r="Y183" s="198">
        <f>Y168+Y174+Y177+Y182</f>
      </c>
      <c r="Z183" s="198">
        <f>Z168+Z174+Z177+Z182</f>
      </c>
      <c r="AA183" s="198">
        <f>AA168+AA174+AA177+AA182</f>
      </c>
      <c r="AB183" s="198">
        <f>AB168+AB174+AB177+AB182</f>
      </c>
      <c r="AC183" s="198">
        <f>AC168+AC174+AC177+AC182</f>
      </c>
      <c r="AD183" s="198">
        <f>AD168+AD174+AD177+AD182</f>
      </c>
      <c r="AE183" s="198">
        <f>AE168+AE174+AE177+AE182</f>
      </c>
      <c r="AF183" s="152"/>
      <c r="AG183" s="152"/>
    </row>
    <row r="184">
      <c r="A184" s="146" t="s">
        <v>73</v>
      </c>
      <c r="B184" s="146"/>
      <c r="C184" s="146"/>
      <c r="D184" s="147" t="s">
        <v>74</v>
      </c>
      <c r="E184" s="147"/>
      <c r="F184" s="147"/>
      <c r="G184" s="147"/>
      <c r="H184" s="147"/>
      <c r="I184" s="147"/>
      <c r="J184" s="147"/>
      <c r="K184" s="148" t="s">
        <v>75</v>
      </c>
      <c r="L184" s="148"/>
      <c r="M184" s="148"/>
      <c r="N184" s="148"/>
      <c r="O184" s="148"/>
      <c r="P184" s="148"/>
      <c r="Q184" s="148"/>
      <c r="R184" s="148"/>
      <c r="S184" s="148"/>
      <c r="T184" s="148"/>
      <c r="U184" s="149"/>
      <c r="V184" s="149"/>
      <c r="W184" s="149"/>
      <c r="X184" s="150"/>
      <c r="Y184" s="150"/>
      <c r="Z184" s="150"/>
      <c r="AA184" s="150"/>
      <c r="AB184" s="150"/>
      <c r="AC184" s="150"/>
      <c r="AD184" s="150"/>
      <c r="AE184" s="151" t="s">
        <v>76</v>
      </c>
      <c r="AF184" s="152"/>
      <c r="AG184" s="152"/>
    </row>
    <row r="185">
      <c r="A185" s="153" t="s">
        <v>77</v>
      </c>
      <c r="B185" s="146" t="s">
        <v>78</v>
      </c>
      <c r="C185" s="146" t="s">
        <v>79</v>
      </c>
      <c r="D185" s="154" t="s">
        <v>80</v>
      </c>
      <c r="E185" s="155" t="s">
        <v>81</v>
      </c>
      <c r="F185" s="155" t="s">
        <v>82</v>
      </c>
      <c r="G185" s="155"/>
      <c r="H185" s="156" t="s">
        <v>83</v>
      </c>
      <c r="I185" s="157" t="s">
        <v>84</v>
      </c>
      <c r="J185" s="155" t="s">
        <v>85</v>
      </c>
      <c r="K185" s="158" t="s">
        <v>86</v>
      </c>
      <c r="L185" s="158" t="s">
        <v>87</v>
      </c>
      <c r="M185" s="159" t="s">
        <v>88</v>
      </c>
      <c r="N185" s="160" t="s">
        <v>89</v>
      </c>
      <c r="O185" s="148" t="s">
        <v>90</v>
      </c>
      <c r="P185" s="160" t="s">
        <v>91</v>
      </c>
      <c r="Q185" s="160" t="s">
        <v>92</v>
      </c>
      <c r="R185" s="161" t="s">
        <v>93</v>
      </c>
      <c r="S185" s="160" t="s">
        <v>94</v>
      </c>
      <c r="T185" s="161" t="s">
        <v>95</v>
      </c>
      <c r="U185" s="162" t="s">
        <v>96</v>
      </c>
      <c r="V185" s="162" t="s">
        <v>97</v>
      </c>
      <c r="W185" s="162" t="s">
        <v>98</v>
      </c>
      <c r="X185" s="163" t="s">
        <v>99</v>
      </c>
      <c r="Y185" s="164" t="s">
        <v>100</v>
      </c>
      <c r="Z185" s="164" t="s">
        <v>101</v>
      </c>
      <c r="AA185" s="164" t="s">
        <v>102</v>
      </c>
      <c r="AB185" s="164" t="s">
        <v>103</v>
      </c>
      <c r="AC185" s="164" t="s">
        <v>104</v>
      </c>
      <c r="AD185" s="165" t="s">
        <v>105</v>
      </c>
      <c r="AE185" s="151"/>
      <c r="AF185" s="152"/>
      <c r="AG185" s="152"/>
    </row>
    <row r="186">
      <c r="A186" s="166">
        <v>46274</v>
      </c>
      <c r="B186" s="167" t="s">
        <v>106</v>
      </c>
      <c r="C186" s="168" t="s">
        <v>107</v>
      </c>
      <c r="D186" s="169">
        <f t="shared" ref="D186:D189" si="272">E186+F186</f>
      </c>
      <c r="E186" s="170">
        <v>2001.45</v>
      </c>
      <c r="F186" s="169">
        <v>937.58</v>
      </c>
      <c r="G186" s="169"/>
      <c r="H186" s="170">
        <v>4</v>
      </c>
      <c r="I186" s="170">
        <v>3665.16</v>
      </c>
      <c r="J186" s="171">
        <f t="shared" ref="J186:J206" si="188">I186/D186</f>
      </c>
      <c r="K186" s="172">
        <f t="shared" ref="K186:K206" si="98">Z186/Y186</f>
      </c>
      <c r="L186" s="173">
        <f t="shared" ref="L186:L206" si="38">D186/AA186</f>
      </c>
      <c r="M186" s="174">
        <f t="shared" ref="M186:M206" si="128">AB186/AA186</f>
      </c>
      <c r="N186" s="172">
        <f t="shared" ref="N186:N206" si="8">AC186/AA186</f>
      </c>
      <c r="O186" s="173">
        <f t="shared" ref="O186:O206" si="459">D186/AC186</f>
      </c>
      <c r="P186" s="172">
        <f t="shared" ref="P186:P206" si="429">AD186/AC186</f>
      </c>
      <c r="Q186" s="172">
        <f t="shared" ref="Q186:Q206" si="351">H186/AD186</f>
      </c>
      <c r="R186" s="173">
        <f t="shared" ref="R186:R206" si="321">D186/H186</f>
      </c>
      <c r="S186" s="175">
        <f t="shared" ref="S186:S206" si="218">I186/H186</f>
      </c>
      <c r="T186" s="173">
        <f t="shared" ref="T186:T206" si="158">D186/X186</f>
      </c>
      <c r="U186" s="176">
        <f t="shared" ref="U186:U206" si="68">AE186*1000/D186</f>
      </c>
      <c r="V186" s="177" t="s">
        <v>108</v>
      </c>
      <c r="W186" s="178" t="s">
        <v>136</v>
      </c>
      <c r="X186" s="169">
        <v>2</v>
      </c>
      <c r="Y186" s="169">
        <v>13098</v>
      </c>
      <c r="Z186" s="169">
        <v>900</v>
      </c>
      <c r="AA186" s="169">
        <v>1586</v>
      </c>
      <c r="AB186" s="169">
        <v>293</v>
      </c>
      <c r="AC186" s="179">
        <v>46</v>
      </c>
      <c r="AD186" s="179">
        <v>5</v>
      </c>
      <c r="AE186" s="180">
        <v>43</v>
      </c>
      <c r="AF186" s="152"/>
      <c r="AG186" s="152"/>
    </row>
    <row r="187">
      <c r="A187" s="166"/>
      <c r="B187" s="181" t="s">
        <v>110</v>
      </c>
      <c r="C187" s="168" t="s">
        <v>107</v>
      </c>
      <c r="D187" s="169">
        <f t="shared" si="272"/>
      </c>
      <c r="E187" s="169">
        <v>1986.4299999999998</v>
      </c>
      <c r="F187" s="169">
        <v>959.8</v>
      </c>
      <c r="G187" s="169"/>
      <c r="H187" s="170">
        <v>1</v>
      </c>
      <c r="I187" s="170">
        <v>3466.3199999999997</v>
      </c>
      <c r="J187" s="171">
        <f t="shared" si="188"/>
      </c>
      <c r="K187" s="172">
        <f t="shared" si="98"/>
      </c>
      <c r="L187" s="173">
        <f t="shared" si="38"/>
      </c>
      <c r="M187" s="174">
        <f t="shared" si="128"/>
      </c>
      <c r="N187" s="172">
        <f t="shared" si="8"/>
      </c>
      <c r="O187" s="173">
        <f t="shared" si="459"/>
      </c>
      <c r="P187" s="172">
        <f t="shared" si="429"/>
      </c>
      <c r="Q187" s="172">
        <f t="shared" si="351"/>
      </c>
      <c r="R187" s="173">
        <f t="shared" si="321"/>
      </c>
      <c r="S187" s="175">
        <f t="shared" si="218"/>
      </c>
      <c r="T187" s="173">
        <f t="shared" si="158"/>
      </c>
      <c r="U187" s="176">
        <f t="shared" si="68"/>
      </c>
      <c r="V187" s="177" t="s">
        <v>108</v>
      </c>
      <c r="W187" s="178" t="s">
        <v>136</v>
      </c>
      <c r="X187" s="205">
        <v>1</v>
      </c>
      <c r="Y187" s="169">
        <v>10776</v>
      </c>
      <c r="Z187" s="169">
        <v>440</v>
      </c>
      <c r="AA187" s="169">
        <v>748</v>
      </c>
      <c r="AB187" s="169">
        <v>168</v>
      </c>
      <c r="AC187" s="169">
        <v>52</v>
      </c>
      <c r="AD187" s="179">
        <v>5</v>
      </c>
      <c r="AE187" s="180">
        <v>12</v>
      </c>
      <c r="AF187" s="152"/>
      <c r="AG187" s="152"/>
    </row>
    <row r="188">
      <c r="A188" s="166"/>
      <c r="B188" s="181" t="s">
        <v>111</v>
      </c>
      <c r="C188" s="168" t="s">
        <v>107</v>
      </c>
      <c r="D188" s="169">
        <f t="shared" si="272"/>
      </c>
      <c r="E188" s="169">
        <v>1695.69</v>
      </c>
      <c r="F188" s="169">
        <v>595.83</v>
      </c>
      <c r="G188" s="169"/>
      <c r="H188" s="170">
        <v>1</v>
      </c>
      <c r="I188" s="169">
        <v>737.6400000000003</v>
      </c>
      <c r="J188" s="171">
        <f t="shared" si="188"/>
      </c>
      <c r="K188" s="172">
        <f t="shared" si="98"/>
      </c>
      <c r="L188" s="173">
        <f t="shared" si="38"/>
      </c>
      <c r="M188" s="174">
        <f t="shared" si="128"/>
      </c>
      <c r="N188" s="172">
        <f t="shared" si="8"/>
      </c>
      <c r="O188" s="173">
        <f t="shared" si="459"/>
      </c>
      <c r="P188" s="172">
        <f t="shared" si="429"/>
      </c>
      <c r="Q188" s="172">
        <f t="shared" si="351"/>
      </c>
      <c r="R188" s="173">
        <f t="shared" si="321"/>
      </c>
      <c r="S188" s="175">
        <f t="shared" si="218"/>
      </c>
      <c r="T188" s="173">
        <f t="shared" si="158"/>
      </c>
      <c r="U188" s="176">
        <f t="shared" si="68"/>
      </c>
      <c r="V188" s="177" t="s">
        <v>108</v>
      </c>
      <c r="W188" s="178" t="s">
        <v>136</v>
      </c>
      <c r="X188" s="205">
        <v>1</v>
      </c>
      <c r="Y188" s="169">
        <v>7400</v>
      </c>
      <c r="Z188" s="169">
        <v>117</v>
      </c>
      <c r="AA188" s="169">
        <v>122</v>
      </c>
      <c r="AB188" s="169">
        <v>23</v>
      </c>
      <c r="AC188" s="169">
        <v>28</v>
      </c>
      <c r="AD188" s="179">
        <v>1</v>
      </c>
      <c r="AE188" s="180">
        <v>6</v>
      </c>
      <c r="AF188" s="152"/>
      <c r="AG188" s="152"/>
    </row>
    <row r="189">
      <c r="A189" s="166"/>
      <c r="B189" s="183" t="s">
        <v>112</v>
      </c>
      <c r="C189" s="168" t="s">
        <v>107</v>
      </c>
      <c r="D189" s="169">
        <f t="shared" si="272"/>
      </c>
      <c r="E189" s="169">
        <v>1966.05</v>
      </c>
      <c r="F189" s="169">
        <v>1436.6</v>
      </c>
      <c r="G189" s="169"/>
      <c r="H189" s="170">
        <v>1</v>
      </c>
      <c r="I189" s="170">
        <v>8771.400000000001</v>
      </c>
      <c r="J189" s="171">
        <f t="shared" si="188"/>
      </c>
      <c r="K189" s="172">
        <f t="shared" si="98"/>
      </c>
      <c r="L189" s="173">
        <f t="shared" si="38"/>
      </c>
      <c r="M189" s="174">
        <f t="shared" si="128"/>
      </c>
      <c r="N189" s="172">
        <f t="shared" si="8"/>
      </c>
      <c r="O189" s="173">
        <f t="shared" si="459"/>
      </c>
      <c r="P189" s="172">
        <f t="shared" si="429"/>
      </c>
      <c r="Q189" s="172">
        <f t="shared" si="351"/>
      </c>
      <c r="R189" s="173">
        <f t="shared" si="321"/>
      </c>
      <c r="S189" s="175">
        <f t="shared" si="218"/>
      </c>
      <c r="T189" s="173">
        <f t="shared" si="158"/>
      </c>
      <c r="U189" s="176">
        <f t="shared" si="68"/>
      </c>
      <c r="V189" s="177" t="s">
        <v>108</v>
      </c>
      <c r="W189" s="178" t="s">
        <v>136</v>
      </c>
      <c r="X189" s="205">
        <v>1</v>
      </c>
      <c r="Y189" s="169">
        <v>15453</v>
      </c>
      <c r="Z189" s="169">
        <v>759</v>
      </c>
      <c r="AA189" s="169">
        <v>1258</v>
      </c>
      <c r="AB189" s="169">
        <v>265</v>
      </c>
      <c r="AC189" s="169">
        <v>41</v>
      </c>
      <c r="AD189" s="179">
        <v>3</v>
      </c>
      <c r="AE189" s="180">
        <v>17</v>
      </c>
      <c r="AF189" s="152"/>
      <c r="AG189" s="152"/>
    </row>
    <row r="190">
      <c r="A190" s="166"/>
      <c r="B190" s="184" t="s">
        <v>113</v>
      </c>
      <c r="C190" s="184"/>
      <c r="D190" s="185">
        <f>SUM(D186:D189)</f>
      </c>
      <c r="E190" s="185">
        <f>SUM(E186:E189)</f>
      </c>
      <c r="F190" s="185">
        <f>SUM(F186:F189)</f>
      </c>
      <c r="G190" s="185"/>
      <c r="H190" s="185">
        <f>SUM(H186:H189)</f>
      </c>
      <c r="I190" s="185">
        <f>SUM(I186:I189)</f>
      </c>
      <c r="J190" s="186">
        <f t="shared" si="188"/>
      </c>
      <c r="K190" s="187">
        <f t="shared" si="98"/>
      </c>
      <c r="L190" s="188">
        <f t="shared" si="38"/>
      </c>
      <c r="M190" s="189">
        <f t="shared" si="128"/>
      </c>
      <c r="N190" s="187">
        <f t="shared" si="8"/>
      </c>
      <c r="O190" s="188">
        <f t="shared" si="459"/>
      </c>
      <c r="P190" s="187">
        <f t="shared" si="429"/>
      </c>
      <c r="Q190" s="187">
        <f t="shared" si="351"/>
      </c>
      <c r="R190" s="188">
        <f t="shared" si="321"/>
      </c>
      <c r="S190" s="190">
        <f t="shared" si="218"/>
      </c>
      <c r="T190" s="188">
        <f t="shared" si="158"/>
      </c>
      <c r="U190" s="191">
        <f t="shared" si="68"/>
      </c>
      <c r="V190" s="191"/>
      <c r="W190" s="191"/>
      <c r="X190" s="206">
        <f>SUM(X186:X189)</f>
      </c>
      <c r="Y190" s="185">
        <f>SUM(Y186:Y189)</f>
      </c>
      <c r="Z190" s="185">
        <f>SUM(Z186:Z189)</f>
      </c>
      <c r="AA190" s="185">
        <f>SUM(AA186:AA189)</f>
      </c>
      <c r="AB190" s="185">
        <f>SUM(AB186:AB189)</f>
      </c>
      <c r="AC190" s="185">
        <f>SUM(AC186:AC189)</f>
      </c>
      <c r="AD190" s="185">
        <f>SUM(AD186:AD189)</f>
      </c>
      <c r="AE190" s="185">
        <f>SUM(AE186:AE189)</f>
      </c>
      <c r="AF190" s="152"/>
      <c r="AG190" s="152"/>
    </row>
    <row r="191">
      <c r="A191" s="166"/>
      <c r="B191" s="181" t="s">
        <v>114</v>
      </c>
      <c r="C191" s="168" t="s">
        <v>137</v>
      </c>
      <c r="D191" s="169">
        <f t="shared" ref="D191:D195" si="273">E191+F191</f>
      </c>
      <c r="E191" s="169">
        <v>2016.38</v>
      </c>
      <c r="F191" s="169">
        <v>1002.37</v>
      </c>
      <c r="G191" s="169"/>
      <c r="H191" s="170">
        <v>2</v>
      </c>
      <c r="I191" s="170">
        <v>4231.439999999999</v>
      </c>
      <c r="J191" s="171">
        <f t="shared" si="188"/>
      </c>
      <c r="K191" s="172">
        <f t="shared" si="98"/>
      </c>
      <c r="L191" s="173">
        <f t="shared" si="38"/>
      </c>
      <c r="M191" s="174">
        <f t="shared" si="128"/>
      </c>
      <c r="N191" s="172">
        <f t="shared" si="8"/>
      </c>
      <c r="O191" s="173">
        <f t="shared" si="459"/>
      </c>
      <c r="P191" s="172">
        <f t="shared" si="429"/>
      </c>
      <c r="Q191" s="172">
        <f t="shared" si="351"/>
      </c>
      <c r="R191" s="173">
        <f t="shared" si="321"/>
      </c>
      <c r="S191" s="175">
        <f t="shared" si="218"/>
      </c>
      <c r="T191" s="173">
        <f t="shared" si="158"/>
      </c>
      <c r="U191" s="176">
        <f t="shared" si="68"/>
      </c>
      <c r="V191" s="177" t="s">
        <v>108</v>
      </c>
      <c r="W191" s="178" t="s">
        <v>136</v>
      </c>
      <c r="X191" s="205">
        <v>2</v>
      </c>
      <c r="Y191" s="169">
        <v>10516</v>
      </c>
      <c r="Z191" s="169">
        <v>539</v>
      </c>
      <c r="AA191" s="169">
        <v>937</v>
      </c>
      <c r="AB191" s="169">
        <v>188</v>
      </c>
      <c r="AC191" s="169">
        <v>49</v>
      </c>
      <c r="AD191" s="179">
        <v>4</v>
      </c>
      <c r="AE191" s="180">
        <v>20</v>
      </c>
      <c r="AF191" s="152"/>
      <c r="AG191" s="152"/>
    </row>
    <row r="192">
      <c r="A192" s="166"/>
      <c r="B192" s="181" t="s">
        <v>116</v>
      </c>
      <c r="C192" s="168" t="s">
        <v>137</v>
      </c>
      <c r="D192" s="169">
        <f t="shared" si="273"/>
      </c>
      <c r="E192" s="169">
        <v>1976.77</v>
      </c>
      <c r="F192" s="169">
        <v>1395.71</v>
      </c>
      <c r="G192" s="169"/>
      <c r="H192" s="170">
        <v>2</v>
      </c>
      <c r="I192" s="170">
        <v>13585.080000000002</v>
      </c>
      <c r="J192" s="171">
        <f t="shared" si="188"/>
      </c>
      <c r="K192" s="172">
        <f t="shared" si="98"/>
      </c>
      <c r="L192" s="173">
        <f t="shared" si="38"/>
      </c>
      <c r="M192" s="174">
        <f t="shared" si="128"/>
      </c>
      <c r="N192" s="172">
        <f t="shared" si="8"/>
      </c>
      <c r="O192" s="173">
        <f t="shared" si="459"/>
      </c>
      <c r="P192" s="172">
        <f t="shared" si="429"/>
      </c>
      <c r="Q192" s="172">
        <f t="shared" si="351"/>
      </c>
      <c r="R192" s="173">
        <f t="shared" si="321"/>
      </c>
      <c r="S192" s="175">
        <f t="shared" si="218"/>
      </c>
      <c r="T192" s="173">
        <f t="shared" si="158"/>
      </c>
      <c r="U192" s="176">
        <f t="shared" si="68"/>
      </c>
      <c r="V192" s="177" t="s">
        <v>108</v>
      </c>
      <c r="W192" s="178" t="s">
        <v>136</v>
      </c>
      <c r="X192" s="205">
        <v>2</v>
      </c>
      <c r="Y192" s="169">
        <v>15137</v>
      </c>
      <c r="Z192" s="169">
        <v>814</v>
      </c>
      <c r="AA192" s="169">
        <v>1388</v>
      </c>
      <c r="AB192" s="169">
        <v>272</v>
      </c>
      <c r="AC192" s="169">
        <v>52</v>
      </c>
      <c r="AD192" s="179">
        <v>2</v>
      </c>
      <c r="AE192" s="180">
        <v>18</v>
      </c>
      <c r="AF192" s="152"/>
      <c r="AG192" s="152"/>
    </row>
    <row r="193">
      <c r="A193" s="166"/>
      <c r="B193" s="181" t="s">
        <v>117</v>
      </c>
      <c r="C193" s="168" t="s">
        <v>137</v>
      </c>
      <c r="D193" s="169">
        <f t="shared" si="273"/>
      </c>
      <c r="E193" s="169">
        <v>1820.1999999999998</v>
      </c>
      <c r="F193" s="169">
        <v>1052.77</v>
      </c>
      <c r="G193" s="169"/>
      <c r="H193" s="170">
        <v>2</v>
      </c>
      <c r="I193" s="170">
        <v>1019.5999999999985</v>
      </c>
      <c r="J193" s="171">
        <f t="shared" si="188"/>
      </c>
      <c r="K193" s="172">
        <f t="shared" si="98"/>
      </c>
      <c r="L193" s="173">
        <f t="shared" si="38"/>
      </c>
      <c r="M193" s="174">
        <f t="shared" si="128"/>
      </c>
      <c r="N193" s="172">
        <f t="shared" si="8"/>
      </c>
      <c r="O193" s="173">
        <f t="shared" si="459"/>
      </c>
      <c r="P193" s="172">
        <f t="shared" si="429"/>
      </c>
      <c r="Q193" s="172">
        <f t="shared" si="351"/>
      </c>
      <c r="R193" s="173">
        <f t="shared" si="321"/>
      </c>
      <c r="S193" s="175">
        <f t="shared" si="218"/>
      </c>
      <c r="T193" s="173">
        <f t="shared" si="158"/>
      </c>
      <c r="U193" s="176">
        <f t="shared" si="68"/>
      </c>
      <c r="V193" s="177" t="s">
        <v>108</v>
      </c>
      <c r="W193" s="178" t="s">
        <v>136</v>
      </c>
      <c r="X193" s="205">
        <v>2</v>
      </c>
      <c r="Y193" s="169">
        <v>11465</v>
      </c>
      <c r="Z193" s="169">
        <v>591</v>
      </c>
      <c r="AA193" s="169">
        <v>978</v>
      </c>
      <c r="AB193" s="169">
        <v>196</v>
      </c>
      <c r="AC193" s="169">
        <v>51</v>
      </c>
      <c r="AD193" s="179">
        <v>2</v>
      </c>
      <c r="AE193" s="180">
        <v>21</v>
      </c>
      <c r="AF193" s="152"/>
      <c r="AG193" s="152"/>
    </row>
    <row r="194">
      <c r="A194" s="166"/>
      <c r="B194" s="181" t="s">
        <v>118</v>
      </c>
      <c r="C194" s="168" t="s">
        <v>137</v>
      </c>
      <c r="D194" s="169">
        <f t="shared" si="273"/>
      </c>
      <c r="E194" s="170">
        <v>1355.6599999999999</v>
      </c>
      <c r="F194" s="170">
        <v>849.2</v>
      </c>
      <c r="G194" s="170"/>
      <c r="H194" s="170">
        <v>1</v>
      </c>
      <c r="I194" s="170">
        <v>2306.8800000000047</v>
      </c>
      <c r="J194" s="171">
        <f t="shared" si="188"/>
      </c>
      <c r="K194" s="172">
        <f t="shared" si="98"/>
      </c>
      <c r="L194" s="173">
        <f t="shared" si="38"/>
      </c>
      <c r="M194" s="174">
        <f t="shared" si="128"/>
      </c>
      <c r="N194" s="172">
        <f t="shared" si="8"/>
      </c>
      <c r="O194" s="173">
        <f t="shared" si="459"/>
      </c>
      <c r="P194" s="172">
        <f t="shared" si="429"/>
      </c>
      <c r="Q194" s="172">
        <f t="shared" si="351"/>
      </c>
      <c r="R194" s="173">
        <f t="shared" si="321"/>
      </c>
      <c r="S194" s="175">
        <f t="shared" si="218"/>
      </c>
      <c r="T194" s="173">
        <f t="shared" si="158"/>
      </c>
      <c r="U194" s="176">
        <f t="shared" si="68"/>
      </c>
      <c r="V194" s="177" t="s">
        <v>108</v>
      </c>
      <c r="W194" s="178" t="s">
        <v>136</v>
      </c>
      <c r="X194" s="205">
        <v>0</v>
      </c>
      <c r="Y194" s="169">
        <v>7816</v>
      </c>
      <c r="Z194" s="169">
        <v>430</v>
      </c>
      <c r="AA194" s="169">
        <v>691</v>
      </c>
      <c r="AB194" s="169">
        <v>120</v>
      </c>
      <c r="AC194" s="169">
        <v>34</v>
      </c>
      <c r="AD194" s="179">
        <v>3</v>
      </c>
      <c r="AE194" s="180">
        <v>21</v>
      </c>
      <c r="AF194" s="152"/>
      <c r="AG194" s="152"/>
    </row>
    <row customHeight="true" ht="18.452380952380953" r="195">
      <c r="A195" s="166"/>
      <c r="B195" s="192" t="s">
        <v>119</v>
      </c>
      <c r="C195" s="168" t="s">
        <v>137</v>
      </c>
      <c r="D195" s="169">
        <f t="shared" si="273"/>
      </c>
      <c r="E195" s="170">
        <v>2175.7</v>
      </c>
      <c r="F195" s="170">
        <v>1047.62</v>
      </c>
      <c r="G195" s="170"/>
      <c r="H195" s="170">
        <v>1</v>
      </c>
      <c r="I195" s="170">
        <v>2132.519999999997</v>
      </c>
      <c r="J195" s="171">
        <f t="shared" si="188"/>
      </c>
      <c r="K195" s="172">
        <f t="shared" si="98"/>
      </c>
      <c r="L195" s="173">
        <f t="shared" si="38"/>
      </c>
      <c r="M195" s="174">
        <f t="shared" si="128"/>
      </c>
      <c r="N195" s="172">
        <f t="shared" si="8"/>
      </c>
      <c r="O195" s="173">
        <f t="shared" si="459"/>
      </c>
      <c r="P195" s="172">
        <f t="shared" si="429"/>
      </c>
      <c r="Q195" s="172">
        <f t="shared" si="351"/>
      </c>
      <c r="R195" s="173">
        <f t="shared" si="321"/>
      </c>
      <c r="S195" s="175">
        <f t="shared" si="218"/>
      </c>
      <c r="T195" s="173">
        <f t="shared" si="158"/>
      </c>
      <c r="U195" s="176">
        <f t="shared" si="68"/>
      </c>
      <c r="V195" s="177" t="s">
        <v>108</v>
      </c>
      <c r="W195" s="178" t="s">
        <v>133</v>
      </c>
      <c r="X195" s="205">
        <v>1</v>
      </c>
      <c r="Y195" s="169">
        <v>11124</v>
      </c>
      <c r="Z195" s="169">
        <v>386</v>
      </c>
      <c r="AA195" s="169">
        <v>649</v>
      </c>
      <c r="AB195" s="169">
        <v>129</v>
      </c>
      <c r="AC195" s="169">
        <v>44</v>
      </c>
      <c r="AD195" s="179">
        <v>1</v>
      </c>
      <c r="AE195" s="180">
        <v>15</v>
      </c>
      <c r="AF195" s="152"/>
      <c r="AG195" s="152"/>
    </row>
    <row r="196">
      <c r="A196" s="166"/>
      <c r="B196" s="184" t="s">
        <v>113</v>
      </c>
      <c r="C196" s="184"/>
      <c r="D196" s="185">
        <f>SUM(D191:D195)</f>
      </c>
      <c r="E196" s="185">
        <f>SUM(E191:E195)</f>
      </c>
      <c r="F196" s="185">
        <f>SUM(F191:F195)</f>
      </c>
      <c r="G196" s="185"/>
      <c r="H196" s="185">
        <f>SUM(H191:H195)</f>
      </c>
      <c r="I196" s="185">
        <f>SUM(I191:I195)</f>
      </c>
      <c r="J196" s="186">
        <f t="shared" si="188"/>
      </c>
      <c r="K196" s="187">
        <f t="shared" si="98"/>
      </c>
      <c r="L196" s="188">
        <f t="shared" si="38"/>
      </c>
      <c r="M196" s="189">
        <f t="shared" si="128"/>
      </c>
      <c r="N196" s="187">
        <f t="shared" si="8"/>
      </c>
      <c r="O196" s="188">
        <f t="shared" si="459"/>
      </c>
      <c r="P196" s="187">
        <f t="shared" si="429"/>
      </c>
      <c r="Q196" s="187">
        <f t="shared" si="351"/>
      </c>
      <c r="R196" s="188">
        <f t="shared" si="321"/>
      </c>
      <c r="S196" s="190">
        <f t="shared" si="218"/>
      </c>
      <c r="T196" s="188">
        <f t="shared" si="158"/>
      </c>
      <c r="U196" s="191">
        <f t="shared" si="68"/>
      </c>
      <c r="V196" s="191"/>
      <c r="W196" s="191"/>
      <c r="X196" s="206">
        <f>SUM(X191:X195)</f>
      </c>
      <c r="Y196" s="209">
        <f>SUM(Y191:Y195)</f>
      </c>
      <c r="Z196" s="209">
        <f>SUM(Z191:Z195)</f>
      </c>
      <c r="AA196" s="209">
        <f>SUM(AA191:AA195)</f>
      </c>
      <c r="AB196" s="209">
        <f>SUM(AB191:AB195)</f>
      </c>
      <c r="AC196" s="209">
        <f>SUM(AC191:AC195)</f>
      </c>
      <c r="AD196" s="209">
        <f>SUM(AD191:AD195)</f>
      </c>
      <c r="AE196" s="209">
        <f>SUM(AE191:AE195)</f>
      </c>
      <c r="AF196" s="152"/>
      <c r="AG196" s="152"/>
    </row>
    <row r="197">
      <c r="A197" s="166"/>
      <c r="B197" s="194" t="s">
        <v>122</v>
      </c>
      <c r="C197" s="168" t="s">
        <v>120</v>
      </c>
      <c r="D197" s="169">
        <f t="shared" ref="D197:D199" si="274">E197+F197</f>
      </c>
      <c r="E197" s="170">
        <v>1523.97</v>
      </c>
      <c r="F197" s="170">
        <v>693.89</v>
      </c>
      <c r="G197" s="170"/>
      <c r="H197" s="170">
        <v>3</v>
      </c>
      <c r="I197" s="170">
        <v>7562.040000000001</v>
      </c>
      <c r="J197" s="171">
        <f t="shared" si="188"/>
      </c>
      <c r="K197" s="172">
        <f t="shared" si="98"/>
      </c>
      <c r="L197" s="173">
        <f t="shared" si="38"/>
      </c>
      <c r="M197" s="174">
        <f t="shared" si="128"/>
      </c>
      <c r="N197" s="172">
        <f t="shared" si="8"/>
      </c>
      <c r="O197" s="173">
        <f t="shared" si="459"/>
      </c>
      <c r="P197" s="172">
        <f t="shared" si="429"/>
      </c>
      <c r="Q197" s="172">
        <f t="shared" si="351"/>
      </c>
      <c r="R197" s="173">
        <f t="shared" si="321"/>
      </c>
      <c r="S197" s="175">
        <f t="shared" si="218"/>
      </c>
      <c r="T197" s="173">
        <f t="shared" si="158"/>
      </c>
      <c r="U197" s="176">
        <f t="shared" si="68"/>
      </c>
      <c r="V197" s="177" t="s">
        <v>108</v>
      </c>
      <c r="W197" s="182" t="s">
        <v>133</v>
      </c>
      <c r="X197" s="205">
        <v>3</v>
      </c>
      <c r="Y197" s="169">
        <v>10029</v>
      </c>
      <c r="Z197" s="169">
        <v>405</v>
      </c>
      <c r="AA197" s="169">
        <v>674</v>
      </c>
      <c r="AB197" s="169">
        <v>126</v>
      </c>
      <c r="AC197" s="169">
        <v>28</v>
      </c>
      <c r="AD197" s="179">
        <v>4</v>
      </c>
      <c r="AE197" s="180">
        <v>12</v>
      </c>
      <c r="AF197" s="152"/>
      <c r="AG197" s="152"/>
    </row>
    <row r="198">
      <c r="A198" s="166"/>
      <c r="B198" s="183" t="s">
        <v>123</v>
      </c>
      <c r="C198" s="168" t="s">
        <v>120</v>
      </c>
      <c r="D198" s="169">
        <f t="shared" si="274"/>
      </c>
      <c r="E198" s="170">
        <v>2128.22</v>
      </c>
      <c r="F198" s="170">
        <v>572.61</v>
      </c>
      <c r="G198" s="170"/>
      <c r="H198" s="170">
        <v>2</v>
      </c>
      <c r="I198" s="170">
        <v>4841.520000000004</v>
      </c>
      <c r="J198" s="171">
        <f t="shared" si="188"/>
      </c>
      <c r="K198" s="172">
        <f t="shared" si="98"/>
      </c>
      <c r="L198" s="173">
        <f t="shared" si="38"/>
      </c>
      <c r="M198" s="174">
        <f t="shared" si="128"/>
      </c>
      <c r="N198" s="172">
        <f t="shared" si="8"/>
      </c>
      <c r="O198" s="173">
        <f t="shared" si="459"/>
      </c>
      <c r="P198" s="172">
        <f t="shared" si="429"/>
      </c>
      <c r="Q198" s="172">
        <f t="shared" si="351"/>
      </c>
      <c r="R198" s="173">
        <f t="shared" si="321"/>
      </c>
      <c r="S198" s="175">
        <f t="shared" si="218"/>
      </c>
      <c r="T198" s="173">
        <f t="shared" si="158"/>
      </c>
      <c r="U198" s="176">
        <f t="shared" si="68"/>
      </c>
      <c r="V198" s="177" t="s">
        <v>108</v>
      </c>
      <c r="W198" s="182" t="s">
        <v>133</v>
      </c>
      <c r="X198" s="205">
        <v>2</v>
      </c>
      <c r="Y198" s="169">
        <v>12455</v>
      </c>
      <c r="Z198" s="169">
        <v>444</v>
      </c>
      <c r="AA198" s="169">
        <v>709</v>
      </c>
      <c r="AB198" s="169">
        <v>122</v>
      </c>
      <c r="AC198" s="169">
        <v>32</v>
      </c>
      <c r="AD198" s="179">
        <v>2</v>
      </c>
      <c r="AE198" s="180">
        <v>17</v>
      </c>
      <c r="AF198" s="152"/>
      <c r="AG198" s="152"/>
    </row>
    <row r="199">
      <c r="A199" s="166"/>
      <c r="B199" s="183" t="s">
        <v>124</v>
      </c>
      <c r="C199" s="168" t="s">
        <v>120</v>
      </c>
      <c r="D199" s="169">
        <f t="shared" si="274"/>
      </c>
      <c r="E199" s="170">
        <v>861.74</v>
      </c>
      <c r="F199" s="170">
        <v>400.07</v>
      </c>
      <c r="G199" s="170"/>
      <c r="H199" s="170">
        <v>0</v>
      </c>
      <c r="I199" s="170">
        <v>0</v>
      </c>
      <c r="J199" s="171">
        <f t="shared" si="188"/>
      </c>
      <c r="K199" s="172">
        <f t="shared" si="98"/>
      </c>
      <c r="L199" s="173">
        <f t="shared" si="38"/>
      </c>
      <c r="M199" s="174">
        <f t="shared" si="128"/>
      </c>
      <c r="N199" s="172">
        <f t="shared" si="8"/>
      </c>
      <c r="O199" s="173">
        <f t="shared" si="459"/>
      </c>
      <c r="P199" s="172">
        <f t="shared" si="429"/>
      </c>
      <c r="Q199" s="172">
        <f t="shared" si="351"/>
      </c>
      <c r="R199" s="173">
        <f t="shared" si="321"/>
      </c>
      <c r="S199" s="175">
        <f t="shared" si="218"/>
      </c>
      <c r="T199" s="173">
        <f t="shared" si="158"/>
      </c>
      <c r="U199" s="176">
        <f t="shared" si="68"/>
      </c>
      <c r="V199" s="177" t="s">
        <v>108</v>
      </c>
      <c r="W199" s="182" t="s">
        <v>133</v>
      </c>
      <c r="X199" s="205">
        <v>0</v>
      </c>
      <c r="Y199" s="169">
        <v>6515</v>
      </c>
      <c r="Z199" s="169">
        <v>330</v>
      </c>
      <c r="AA199" s="169">
        <v>562</v>
      </c>
      <c r="AB199" s="169">
        <v>86</v>
      </c>
      <c r="AC199" s="169">
        <v>26</v>
      </c>
      <c r="AD199" s="179">
        <v>0</v>
      </c>
      <c r="AE199" s="180">
        <v>8</v>
      </c>
      <c r="AF199" s="152"/>
      <c r="AG199" s="152"/>
    </row>
    <row r="200">
      <c r="A200" s="166"/>
      <c r="B200" s="184" t="s">
        <v>113</v>
      </c>
      <c r="C200" s="184"/>
      <c r="D200" s="185">
        <f>SUM(D197:D199)</f>
      </c>
      <c r="E200" s="185">
        <f>SUM(E197:E199)</f>
      </c>
      <c r="F200" s="185">
        <f>SUM(F197:F199)</f>
      </c>
      <c r="G200" s="185"/>
      <c r="H200" s="185">
        <f>SUM(H197:H199)</f>
      </c>
      <c r="I200" s="185">
        <f>SUM(I197:I199)</f>
      </c>
      <c r="J200" s="186">
        <f t="shared" si="188"/>
      </c>
      <c r="K200" s="187">
        <f t="shared" si="98"/>
      </c>
      <c r="L200" s="188">
        <f t="shared" si="38"/>
      </c>
      <c r="M200" s="189">
        <f t="shared" si="128"/>
      </c>
      <c r="N200" s="187">
        <f t="shared" si="8"/>
      </c>
      <c r="O200" s="188">
        <f t="shared" si="459"/>
      </c>
      <c r="P200" s="187">
        <f t="shared" si="429"/>
      </c>
      <c r="Q200" s="187">
        <f t="shared" si="351"/>
      </c>
      <c r="R200" s="188">
        <f t="shared" si="321"/>
      </c>
      <c r="S200" s="190">
        <f t="shared" si="218"/>
      </c>
      <c r="T200" s="188">
        <f t="shared" si="158"/>
      </c>
      <c r="U200" s="191">
        <f t="shared" si="68"/>
      </c>
      <c r="V200" s="191"/>
      <c r="W200" s="191"/>
      <c r="X200" s="206">
        <f>SUM(X197:X199)</f>
      </c>
      <c r="Y200" s="185">
        <f>SUM(Y197:Y199)</f>
      </c>
      <c r="Z200" s="185">
        <f>SUM(Z197:Z199)</f>
      </c>
      <c r="AA200" s="185">
        <f>SUM(AA197:AA199)</f>
      </c>
      <c r="AB200" s="185">
        <f>SUM(AB197:AB199)</f>
      </c>
      <c r="AC200" s="185">
        <f>SUM(AC197:AC199)</f>
      </c>
      <c r="AD200" s="185">
        <f>SUM(AD197:AD199)</f>
      </c>
      <c r="AE200" s="185">
        <f>SUM(AE197:AE199)</f>
      </c>
      <c r="AF200" s="152"/>
      <c r="AG200" s="152"/>
    </row>
    <row r="201">
      <c r="A201" s="166"/>
      <c r="B201" s="181" t="s">
        <v>125</v>
      </c>
      <c r="C201" s="168" t="s">
        <v>126</v>
      </c>
      <c r="D201" s="169">
        <f t="shared" ref="D201:D204" si="275">E201+F201</f>
      </c>
      <c r="E201" s="170">
        <v>2029.5300000000002</v>
      </c>
      <c r="F201" s="170">
        <v>715.21</v>
      </c>
      <c r="G201" s="170"/>
      <c r="H201" s="170">
        <v>0</v>
      </c>
      <c r="I201" s="170">
        <v>0</v>
      </c>
      <c r="J201" s="171">
        <f t="shared" si="188"/>
      </c>
      <c r="K201" s="172">
        <f t="shared" si="98"/>
      </c>
      <c r="L201" s="173">
        <f t="shared" si="38"/>
      </c>
      <c r="M201" s="174">
        <f t="shared" si="128"/>
      </c>
      <c r="N201" s="172">
        <f t="shared" si="8"/>
      </c>
      <c r="O201" s="173">
        <f t="shared" si="459"/>
      </c>
      <c r="P201" s="172">
        <f t="shared" si="429"/>
      </c>
      <c r="Q201" s="172">
        <f t="shared" si="351"/>
      </c>
      <c r="R201" s="173">
        <f t="shared" si="321"/>
      </c>
      <c r="S201" s="175">
        <f t="shared" si="218"/>
      </c>
      <c r="T201" s="173">
        <f t="shared" si="158"/>
      </c>
      <c r="U201" s="176">
        <f t="shared" si="68"/>
      </c>
      <c r="V201" s="177" t="s">
        <v>108</v>
      </c>
      <c r="W201" s="182" t="s">
        <v>133</v>
      </c>
      <c r="X201" s="205">
        <v>0</v>
      </c>
      <c r="Y201" s="169">
        <v>15244</v>
      </c>
      <c r="Z201" s="169">
        <v>630</v>
      </c>
      <c r="AA201" s="169">
        <v>923</v>
      </c>
      <c r="AB201" s="169">
        <v>141</v>
      </c>
      <c r="AC201" s="169">
        <v>37</v>
      </c>
      <c r="AD201" s="179">
        <v>1</v>
      </c>
      <c r="AE201" s="180">
        <v>18</v>
      </c>
      <c r="AF201" s="152"/>
      <c r="AG201" s="152"/>
    </row>
    <row r="202">
      <c r="A202" s="166"/>
      <c r="B202" s="195" t="s">
        <v>127</v>
      </c>
      <c r="C202" s="168" t="s">
        <v>126</v>
      </c>
      <c r="D202" s="169">
        <f t="shared" si="275"/>
      </c>
      <c r="E202" s="170">
        <v>2005.22</v>
      </c>
      <c r="F202" s="170">
        <v>754.04</v>
      </c>
      <c r="G202" s="170"/>
      <c r="H202" s="170">
        <v>1</v>
      </c>
      <c r="I202" s="170">
        <v>561.5999999999913</v>
      </c>
      <c r="J202" s="171">
        <f t="shared" si="188"/>
      </c>
      <c r="K202" s="172">
        <f t="shared" si="98"/>
      </c>
      <c r="L202" s="173">
        <f t="shared" si="38"/>
      </c>
      <c r="M202" s="174">
        <f t="shared" si="128"/>
      </c>
      <c r="N202" s="172">
        <f t="shared" si="8"/>
      </c>
      <c r="O202" s="173">
        <f t="shared" si="459"/>
      </c>
      <c r="P202" s="172">
        <f t="shared" si="429"/>
      </c>
      <c r="Q202" s="172">
        <f t="shared" si="351"/>
      </c>
      <c r="R202" s="173">
        <f t="shared" si="321"/>
      </c>
      <c r="S202" s="175">
        <f t="shared" si="218"/>
      </c>
      <c r="T202" s="173">
        <f t="shared" si="158"/>
      </c>
      <c r="U202" s="176">
        <f t="shared" si="68"/>
      </c>
      <c r="V202" s="177" t="s">
        <v>108</v>
      </c>
      <c r="W202" s="182" t="s">
        <v>133</v>
      </c>
      <c r="X202" s="205">
        <v>1</v>
      </c>
      <c r="Y202" s="169">
        <v>11736</v>
      </c>
      <c r="Z202" s="169">
        <v>493</v>
      </c>
      <c r="AA202" s="169">
        <v>776</v>
      </c>
      <c r="AB202" s="169">
        <v>117</v>
      </c>
      <c r="AC202" s="169">
        <v>41</v>
      </c>
      <c r="AD202" s="179">
        <v>2</v>
      </c>
      <c r="AE202" s="180">
        <v>13</v>
      </c>
      <c r="AF202" s="152"/>
      <c r="AG202" s="152"/>
    </row>
    <row r="203">
      <c r="A203" s="166"/>
      <c r="B203" s="195" t="s">
        <v>128</v>
      </c>
      <c r="C203" s="168" t="s">
        <v>126</v>
      </c>
      <c r="D203" s="169">
        <f t="shared" si="275"/>
      </c>
      <c r="E203" s="170">
        <v>2011.99</v>
      </c>
      <c r="F203" s="170">
        <v>649.31</v>
      </c>
      <c r="G203" s="170"/>
      <c r="H203" s="169">
        <v>2</v>
      </c>
      <c r="I203" s="169">
        <v>3653.6399999999994</v>
      </c>
      <c r="J203" s="171">
        <f t="shared" si="188"/>
      </c>
      <c r="K203" s="172">
        <f t="shared" si="98"/>
      </c>
      <c r="L203" s="173">
        <f t="shared" si="38"/>
      </c>
      <c r="M203" s="174">
        <f t="shared" si="128"/>
      </c>
      <c r="N203" s="172">
        <f t="shared" si="8"/>
      </c>
      <c r="O203" s="173">
        <f t="shared" si="459"/>
      </c>
      <c r="P203" s="172">
        <f t="shared" si="429"/>
      </c>
      <c r="Q203" s="172">
        <f t="shared" si="351"/>
      </c>
      <c r="R203" s="173">
        <f t="shared" si="321"/>
      </c>
      <c r="S203" s="175">
        <f t="shared" si="218"/>
      </c>
      <c r="T203" s="173">
        <f t="shared" si="158"/>
      </c>
      <c r="U203" s="176">
        <f t="shared" si="68"/>
      </c>
      <c r="V203" s="177" t="s">
        <v>108</v>
      </c>
      <c r="W203" s="182" t="s">
        <v>133</v>
      </c>
      <c r="X203" s="205">
        <v>2</v>
      </c>
      <c r="Y203" s="169">
        <v>13177</v>
      </c>
      <c r="Z203" s="169">
        <v>459</v>
      </c>
      <c r="AA203" s="169">
        <v>799</v>
      </c>
      <c r="AB203" s="169">
        <v>114</v>
      </c>
      <c r="AC203" s="169">
        <v>40</v>
      </c>
      <c r="AD203" s="179">
        <v>2</v>
      </c>
      <c r="AE203" s="180">
        <v>19</v>
      </c>
      <c r="AF203" s="152"/>
      <c r="AG203" s="152"/>
    </row>
    <row r="204">
      <c r="A204" s="166"/>
      <c r="B204" s="167" t="s">
        <v>129</v>
      </c>
      <c r="C204" s="168" t="s">
        <v>126</v>
      </c>
      <c r="D204" s="169">
        <f t="shared" si="275"/>
      </c>
      <c r="E204" s="170">
        <v>0</v>
      </c>
      <c r="F204" s="170">
        <v>235.8</v>
      </c>
      <c r="G204" s="170"/>
      <c r="H204" s="170">
        <v>0</v>
      </c>
      <c r="I204" s="170">
        <v>0</v>
      </c>
      <c r="J204" s="171">
        <f t="shared" si="188"/>
      </c>
      <c r="K204" s="172">
        <f t="shared" si="98"/>
      </c>
      <c r="L204" s="173">
        <f t="shared" si="38"/>
      </c>
      <c r="M204" s="174">
        <f t="shared" si="128"/>
      </c>
      <c r="N204" s="172">
        <f t="shared" si="8"/>
      </c>
      <c r="O204" s="173">
        <f t="shared" si="459"/>
      </c>
      <c r="P204" s="172">
        <f t="shared" si="429"/>
      </c>
      <c r="Q204" s="172">
        <f t="shared" si="351"/>
      </c>
      <c r="R204" s="173">
        <f t="shared" si="321"/>
      </c>
      <c r="S204" s="175">
        <f t="shared" si="218"/>
      </c>
      <c r="T204" s="173">
        <f t="shared" si="158"/>
      </c>
      <c r="U204" s="176">
        <f t="shared" si="68"/>
      </c>
      <c r="V204" s="177" t="s">
        <v>108</v>
      </c>
      <c r="W204" s="182" t="s">
        <v>133</v>
      </c>
      <c r="X204" s="205">
        <v>0</v>
      </c>
      <c r="Y204" s="169">
        <v>1181</v>
      </c>
      <c r="Z204" s="169">
        <v>137</v>
      </c>
      <c r="AA204" s="169">
        <v>281</v>
      </c>
      <c r="AB204" s="169">
        <v>38</v>
      </c>
      <c r="AC204" s="169">
        <v>5</v>
      </c>
      <c r="AD204" s="179">
        <v>0</v>
      </c>
      <c r="AE204" s="180">
        <v>3</v>
      </c>
      <c r="AF204" s="152"/>
      <c r="AG204" s="152"/>
    </row>
    <row r="205">
      <c r="A205" s="166"/>
      <c r="B205" s="184" t="s">
        <v>113</v>
      </c>
      <c r="C205" s="184"/>
      <c r="D205" s="185">
        <f>SUM(D201:D204)</f>
      </c>
      <c r="E205" s="185">
        <f>SUM(E201:E204)</f>
      </c>
      <c r="F205" s="185">
        <f>SUM(F201:F204)</f>
      </c>
      <c r="G205" s="185"/>
      <c r="H205" s="185">
        <f>SUM(H201:H204)</f>
      </c>
      <c r="I205" s="185">
        <f>SUM(I201:I204)</f>
      </c>
      <c r="J205" s="186">
        <f t="shared" si="188"/>
      </c>
      <c r="K205" s="187">
        <f t="shared" si="98"/>
      </c>
      <c r="L205" s="188">
        <f t="shared" si="38"/>
      </c>
      <c r="M205" s="189">
        <f t="shared" si="128"/>
      </c>
      <c r="N205" s="187">
        <f t="shared" si="8"/>
      </c>
      <c r="O205" s="188">
        <f t="shared" si="459"/>
      </c>
      <c r="P205" s="187">
        <f t="shared" si="429"/>
      </c>
      <c r="Q205" s="187">
        <f t="shared" si="351"/>
      </c>
      <c r="R205" s="188">
        <f t="shared" si="321"/>
      </c>
      <c r="S205" s="190">
        <f t="shared" si="218"/>
      </c>
      <c r="T205" s="188">
        <f t="shared" si="158"/>
      </c>
      <c r="U205" s="191">
        <f t="shared" si="68"/>
      </c>
      <c r="V205" s="191"/>
      <c r="W205" s="191"/>
      <c r="X205" s="207">
        <f>SUM(X201:X204)</f>
      </c>
      <c r="Y205" s="185">
        <f>SUM(Y201:Y204)</f>
      </c>
      <c r="Z205" s="185">
        <f>SUM(Z201:Z204)</f>
      </c>
      <c r="AA205" s="185">
        <f>SUM(AA201:AA204)</f>
      </c>
      <c r="AB205" s="185">
        <f>SUM(AB201:AB204)</f>
      </c>
      <c r="AC205" s="185">
        <f>SUM(AC201:AC204)</f>
      </c>
      <c r="AD205" s="185">
        <f>SUM(AD201:AD204)</f>
      </c>
      <c r="AE205" s="185">
        <f>SUM(AE201:AE204)</f>
      </c>
      <c r="AF205" s="152"/>
      <c r="AG205" s="152"/>
    </row>
    <row r="206">
      <c r="A206" s="166"/>
      <c r="B206" s="196" t="s">
        <v>130</v>
      </c>
      <c r="C206" s="196"/>
      <c r="D206" s="197">
        <f>D190+D196+D200+D205</f>
      </c>
      <c r="E206" s="197">
        <f>E190+E196+E200+E205</f>
      </c>
      <c r="F206" s="197">
        <f>F190+F196+F200+F205</f>
      </c>
      <c r="G206" s="197"/>
      <c r="H206" s="197">
        <f>H190+H196+H200+H205</f>
      </c>
      <c r="I206" s="197">
        <f>I190+I196+I200+I205</f>
      </c>
      <c r="J206" s="198">
        <f t="shared" si="188"/>
      </c>
      <c r="K206" s="199">
        <f t="shared" si="98"/>
      </c>
      <c r="L206" s="200">
        <f t="shared" si="38"/>
      </c>
      <c r="M206" s="201">
        <f t="shared" si="128"/>
      </c>
      <c r="N206" s="201">
        <f t="shared" si="8"/>
      </c>
      <c r="O206" s="200">
        <f t="shared" si="459"/>
      </c>
      <c r="P206" s="201">
        <f t="shared" si="429"/>
      </c>
      <c r="Q206" s="201">
        <f t="shared" si="351"/>
      </c>
      <c r="R206" s="200">
        <f t="shared" si="321"/>
      </c>
      <c r="S206" s="202">
        <f t="shared" si="218"/>
      </c>
      <c r="T206" s="200">
        <f t="shared" si="158"/>
      </c>
      <c r="U206" s="203">
        <f t="shared" si="68"/>
      </c>
      <c r="V206" s="203"/>
      <c r="W206" s="203"/>
      <c r="X206" s="198">
        <f>X190+X196+X200+X205</f>
      </c>
      <c r="Y206" s="198">
        <f>Y190+Y196+Y200+Y205</f>
      </c>
      <c r="Z206" s="198">
        <f>Z190+Z196+Z200+Z205</f>
      </c>
      <c r="AA206" s="198">
        <f>AA190+AA196+AA200+AA205</f>
      </c>
      <c r="AB206" s="198">
        <f>AB190+AB196+AB200+AB205</f>
      </c>
      <c r="AC206" s="198">
        <f>AC190+AC196+AC200+AC205</f>
      </c>
      <c r="AD206" s="198">
        <f>AD190+AD196+AD200+AD205</f>
      </c>
      <c r="AE206" s="198">
        <f>AE190+AE196+AE200+AE205</f>
      </c>
      <c r="AF206" s="152"/>
      <c r="AG206" s="152"/>
    </row>
    <row r="207">
      <c r="A207" s="146" t="s">
        <v>73</v>
      </c>
      <c r="B207" s="146"/>
      <c r="C207" s="146"/>
      <c r="D207" s="147" t="s">
        <v>74</v>
      </c>
      <c r="E207" s="147"/>
      <c r="F207" s="147"/>
      <c r="G207" s="147"/>
      <c r="H207" s="147"/>
      <c r="I207" s="147"/>
      <c r="J207" s="147"/>
      <c r="K207" s="148" t="s">
        <v>75</v>
      </c>
      <c r="L207" s="148"/>
      <c r="M207" s="148"/>
      <c r="N207" s="148"/>
      <c r="O207" s="148"/>
      <c r="P207" s="148"/>
      <c r="Q207" s="148"/>
      <c r="R207" s="148"/>
      <c r="S207" s="148"/>
      <c r="T207" s="148"/>
      <c r="U207" s="149"/>
      <c r="V207" s="149"/>
      <c r="W207" s="149"/>
      <c r="X207" s="150"/>
      <c r="Y207" s="150"/>
      <c r="Z207" s="150"/>
      <c r="AA207" s="150"/>
      <c r="AB207" s="150"/>
      <c r="AC207" s="150"/>
      <c r="AD207" s="150"/>
      <c r="AE207" s="151" t="s">
        <v>76</v>
      </c>
      <c r="AF207" s="152"/>
      <c r="AG207" s="152"/>
    </row>
    <row r="208">
      <c r="A208" s="153" t="s">
        <v>77</v>
      </c>
      <c r="B208" s="146" t="s">
        <v>78</v>
      </c>
      <c r="C208" s="146" t="s">
        <v>79</v>
      </c>
      <c r="D208" s="154" t="s">
        <v>80</v>
      </c>
      <c r="E208" s="155" t="s">
        <v>81</v>
      </c>
      <c r="F208" s="155" t="s">
        <v>82</v>
      </c>
      <c r="G208" s="155"/>
      <c r="H208" s="156" t="s">
        <v>83</v>
      </c>
      <c r="I208" s="157" t="s">
        <v>84</v>
      </c>
      <c r="J208" s="155" t="s">
        <v>85</v>
      </c>
      <c r="K208" s="158" t="s">
        <v>86</v>
      </c>
      <c r="L208" s="158" t="s">
        <v>87</v>
      </c>
      <c r="M208" s="159" t="s">
        <v>88</v>
      </c>
      <c r="N208" s="160" t="s">
        <v>89</v>
      </c>
      <c r="O208" s="148" t="s">
        <v>90</v>
      </c>
      <c r="P208" s="160" t="s">
        <v>91</v>
      </c>
      <c r="Q208" s="160" t="s">
        <v>92</v>
      </c>
      <c r="R208" s="161" t="s">
        <v>93</v>
      </c>
      <c r="S208" s="160" t="s">
        <v>94</v>
      </c>
      <c r="T208" s="161" t="s">
        <v>95</v>
      </c>
      <c r="U208" s="162" t="s">
        <v>96</v>
      </c>
      <c r="V208" s="162" t="s">
        <v>97</v>
      </c>
      <c r="W208" s="162" t="s">
        <v>98</v>
      </c>
      <c r="X208" s="163" t="s">
        <v>99</v>
      </c>
      <c r="Y208" s="164" t="s">
        <v>100</v>
      </c>
      <c r="Z208" s="164" t="s">
        <v>101</v>
      </c>
      <c r="AA208" s="164" t="s">
        <v>102</v>
      </c>
      <c r="AB208" s="164" t="s">
        <v>103</v>
      </c>
      <c r="AC208" s="164" t="s">
        <v>104</v>
      </c>
      <c r="AD208" s="165" t="s">
        <v>105</v>
      </c>
      <c r="AE208" s="151"/>
      <c r="AF208" s="152"/>
      <c r="AG208" s="152"/>
    </row>
    <row r="209">
      <c r="A209" s="166">
        <v>46275</v>
      </c>
      <c r="B209" s="167" t="s">
        <v>106</v>
      </c>
      <c r="C209" s="168" t="s">
        <v>107</v>
      </c>
      <c r="D209" s="169">
        <f t="shared" ref="D209:D212" si="276">E209+F209</f>
      </c>
      <c r="E209" s="170">
        <v>2987.25</v>
      </c>
      <c r="F209" s="169">
        <v>993.73</v>
      </c>
      <c r="G209" s="169"/>
      <c r="H209" s="170">
        <v>3</v>
      </c>
      <c r="I209" s="170">
        <v>3989.52</v>
      </c>
      <c r="J209" s="171">
        <f t="shared" ref="J209:J229" si="189">I209/D209</f>
      </c>
      <c r="K209" s="172">
        <f t="shared" ref="K209:K229" si="99">Z209/Y209</f>
      </c>
      <c r="L209" s="173">
        <f t="shared" ref="L209:L229" si="39">D209/AA209</f>
      </c>
      <c r="M209" s="174">
        <f t="shared" ref="M209:M229" si="129">AB209/AA209</f>
      </c>
      <c r="N209" s="172">
        <f t="shared" ref="N209:N229" si="9">AC209/AA209</f>
      </c>
      <c r="O209" s="173">
        <f t="shared" ref="O209:O229" si="460">D209/AC209</f>
      </c>
      <c r="P209" s="172">
        <f t="shared" ref="P209:P229" si="430">AD209/AC209</f>
      </c>
      <c r="Q209" s="172">
        <f t="shared" ref="Q209:Q229" si="352">H209/AD209</f>
      </c>
      <c r="R209" s="173">
        <f t="shared" ref="R209:R229" si="322">D209/H209</f>
      </c>
      <c r="S209" s="175">
        <f t="shared" ref="S209:S229" si="219">I209/H209</f>
      </c>
      <c r="T209" s="173">
        <f t="shared" ref="T209:T229" si="159">D209/X209</f>
      </c>
      <c r="U209" s="176">
        <f t="shared" ref="U209:U229" si="69">AE209*1000/D209</f>
      </c>
      <c r="V209" s="177" t="s">
        <v>108</v>
      </c>
      <c r="W209" s="178" t="s">
        <v>132</v>
      </c>
      <c r="X209" s="169">
        <v>3</v>
      </c>
      <c r="Y209" s="169">
        <v>17126</v>
      </c>
      <c r="Z209" s="169">
        <v>968</v>
      </c>
      <c r="AA209" s="169">
        <v>1451</v>
      </c>
      <c r="AB209" s="169">
        <v>284</v>
      </c>
      <c r="AC209" s="179">
        <v>42</v>
      </c>
      <c r="AD209" s="179">
        <v>4</v>
      </c>
      <c r="AE209" s="180">
        <v>36</v>
      </c>
      <c r="AF209" s="152"/>
      <c r="AG209" s="152"/>
    </row>
    <row r="210">
      <c r="A210" s="166"/>
      <c r="B210" s="181" t="s">
        <v>110</v>
      </c>
      <c r="C210" s="168" t="s">
        <v>107</v>
      </c>
      <c r="D210" s="169">
        <f t="shared" si="276"/>
      </c>
      <c r="E210" s="169">
        <v>1960.2600000000002</v>
      </c>
      <c r="F210" s="169">
        <v>1476.74</v>
      </c>
      <c r="G210" s="169"/>
      <c r="H210" s="170">
        <v>2</v>
      </c>
      <c r="I210" s="170">
        <v>1906.9199999999996</v>
      </c>
      <c r="J210" s="171">
        <f t="shared" si="189"/>
      </c>
      <c r="K210" s="172">
        <f t="shared" si="99"/>
      </c>
      <c r="L210" s="173">
        <f t="shared" si="39"/>
      </c>
      <c r="M210" s="174">
        <f t="shared" si="129"/>
      </c>
      <c r="N210" s="172">
        <f t="shared" si="9"/>
      </c>
      <c r="O210" s="173">
        <f t="shared" si="460"/>
      </c>
      <c r="P210" s="172">
        <f t="shared" si="430"/>
      </c>
      <c r="Q210" s="172">
        <f t="shared" si="352"/>
      </c>
      <c r="R210" s="173">
        <f t="shared" si="322"/>
      </c>
      <c r="S210" s="175">
        <f t="shared" si="219"/>
      </c>
      <c r="T210" s="173">
        <f t="shared" si="159"/>
      </c>
      <c r="U210" s="176">
        <f t="shared" si="69"/>
      </c>
      <c r="V210" s="177" t="s">
        <v>108</v>
      </c>
      <c r="W210" s="178" t="s">
        <v>132</v>
      </c>
      <c r="X210" s="205">
        <v>2</v>
      </c>
      <c r="Y210" s="169">
        <v>8564</v>
      </c>
      <c r="Z210" s="169">
        <v>323</v>
      </c>
      <c r="AA210" s="169">
        <v>398</v>
      </c>
      <c r="AB210" s="169">
        <v>102</v>
      </c>
      <c r="AC210" s="169">
        <v>62</v>
      </c>
      <c r="AD210" s="179">
        <v>5</v>
      </c>
      <c r="AE210" s="180">
        <v>28</v>
      </c>
      <c r="AF210" s="152"/>
      <c r="AG210" s="152"/>
    </row>
    <row r="211">
      <c r="A211" s="166"/>
      <c r="B211" s="181" t="s">
        <v>111</v>
      </c>
      <c r="C211" s="168" t="s">
        <v>107</v>
      </c>
      <c r="D211" s="169">
        <f t="shared" si="276"/>
      </c>
      <c r="E211" s="169">
        <v>2691.08</v>
      </c>
      <c r="F211" s="169">
        <v>420.97</v>
      </c>
      <c r="G211" s="169"/>
      <c r="H211" s="170">
        <v>3</v>
      </c>
      <c r="I211" s="169">
        <v>6490.2</v>
      </c>
      <c r="J211" s="171">
        <f t="shared" si="189"/>
      </c>
      <c r="K211" s="172">
        <f t="shared" si="99"/>
      </c>
      <c r="L211" s="173">
        <f t="shared" si="39"/>
      </c>
      <c r="M211" s="174">
        <f t="shared" si="129"/>
      </c>
      <c r="N211" s="172">
        <f t="shared" si="9"/>
      </c>
      <c r="O211" s="173">
        <f t="shared" si="460"/>
      </c>
      <c r="P211" s="172">
        <f t="shared" si="430"/>
      </c>
      <c r="Q211" s="172">
        <f t="shared" si="352"/>
      </c>
      <c r="R211" s="173">
        <f t="shared" si="322"/>
      </c>
      <c r="S211" s="175">
        <f t="shared" si="219"/>
      </c>
      <c r="T211" s="173">
        <f t="shared" si="159"/>
      </c>
      <c r="U211" s="176">
        <f t="shared" si="69"/>
      </c>
      <c r="V211" s="177" t="s">
        <v>108</v>
      </c>
      <c r="W211" s="178" t="s">
        <v>132</v>
      </c>
      <c r="X211" s="205">
        <v>2</v>
      </c>
      <c r="Y211" s="169">
        <v>10184</v>
      </c>
      <c r="Z211" s="169">
        <v>376</v>
      </c>
      <c r="AA211" s="169">
        <v>545</v>
      </c>
      <c r="AB211" s="169">
        <v>133</v>
      </c>
      <c r="AC211" s="169">
        <v>43</v>
      </c>
      <c r="AD211" s="179">
        <v>4</v>
      </c>
      <c r="AE211" s="180">
        <v>11</v>
      </c>
      <c r="AF211" s="152"/>
      <c r="AG211" s="152"/>
    </row>
    <row r="212">
      <c r="A212" s="166"/>
      <c r="B212" s="183" t="s">
        <v>112</v>
      </c>
      <c r="C212" s="168" t="s">
        <v>107</v>
      </c>
      <c r="D212" s="169">
        <f t="shared" si="276"/>
      </c>
      <c r="E212" s="169">
        <v>3157.87</v>
      </c>
      <c r="F212" s="169">
        <v>756.14</v>
      </c>
      <c r="G212" s="169"/>
      <c r="H212" s="170">
        <v>4</v>
      </c>
      <c r="I212" s="170">
        <v>11446.559999999998</v>
      </c>
      <c r="J212" s="171">
        <f t="shared" si="189"/>
      </c>
      <c r="K212" s="172">
        <f t="shared" si="99"/>
      </c>
      <c r="L212" s="173">
        <f t="shared" si="39"/>
      </c>
      <c r="M212" s="174">
        <f t="shared" si="129"/>
      </c>
      <c r="N212" s="172">
        <f t="shared" si="9"/>
      </c>
      <c r="O212" s="173">
        <f t="shared" si="460"/>
      </c>
      <c r="P212" s="172">
        <f t="shared" si="430"/>
      </c>
      <c r="Q212" s="172">
        <f t="shared" si="352"/>
      </c>
      <c r="R212" s="173">
        <f t="shared" si="322"/>
      </c>
      <c r="S212" s="175">
        <f t="shared" si="219"/>
      </c>
      <c r="T212" s="173">
        <f t="shared" si="159"/>
      </c>
      <c r="U212" s="176">
        <f t="shared" si="69"/>
      </c>
      <c r="V212" s="177" t="s">
        <v>108</v>
      </c>
      <c r="W212" s="178" t="s">
        <v>132</v>
      </c>
      <c r="X212" s="205">
        <v>1</v>
      </c>
      <c r="Y212" s="169">
        <v>13657</v>
      </c>
      <c r="Z212" s="169">
        <v>588</v>
      </c>
      <c r="AA212" s="169">
        <v>796</v>
      </c>
      <c r="AB212" s="169">
        <v>170</v>
      </c>
      <c r="AC212" s="169">
        <v>57</v>
      </c>
      <c r="AD212" s="179">
        <v>6</v>
      </c>
      <c r="AE212" s="180">
        <v>25</v>
      </c>
      <c r="AF212" s="152"/>
      <c r="AG212" s="152"/>
    </row>
    <row r="213">
      <c r="A213" s="166"/>
      <c r="B213" s="184" t="s">
        <v>113</v>
      </c>
      <c r="C213" s="184"/>
      <c r="D213" s="185">
        <f>SUM(D209:D212)</f>
      </c>
      <c r="E213" s="185">
        <f>SUM(E209:E212)</f>
      </c>
      <c r="F213" s="185">
        <f>SUM(F209:F212)</f>
      </c>
      <c r="G213" s="185"/>
      <c r="H213" s="185">
        <f>SUM(H209:H212)</f>
      </c>
      <c r="I213" s="185">
        <f>SUM(I209:I212)</f>
      </c>
      <c r="J213" s="186">
        <f t="shared" si="189"/>
      </c>
      <c r="K213" s="187">
        <f t="shared" si="99"/>
      </c>
      <c r="L213" s="188">
        <f t="shared" si="39"/>
      </c>
      <c r="M213" s="189">
        <f t="shared" si="129"/>
      </c>
      <c r="N213" s="187">
        <f t="shared" si="9"/>
      </c>
      <c r="O213" s="188">
        <f t="shared" si="460"/>
      </c>
      <c r="P213" s="187">
        <f t="shared" si="430"/>
      </c>
      <c r="Q213" s="187">
        <f t="shared" si="352"/>
      </c>
      <c r="R213" s="188">
        <f t="shared" si="322"/>
      </c>
      <c r="S213" s="190">
        <f t="shared" si="219"/>
      </c>
      <c r="T213" s="188">
        <f t="shared" si="159"/>
      </c>
      <c r="U213" s="191">
        <f t="shared" si="69"/>
      </c>
      <c r="V213" s="191"/>
      <c r="W213" s="191"/>
      <c r="X213" s="206">
        <f>SUM(X209:X212)</f>
      </c>
      <c r="Y213" s="185">
        <f>SUM(Y209:Y212)</f>
      </c>
      <c r="Z213" s="185">
        <f>SUM(Z209:Z212)</f>
      </c>
      <c r="AA213" s="185">
        <f>SUM(AA209:AA212)</f>
      </c>
      <c r="AB213" s="185">
        <f>SUM(AB209:AB212)</f>
      </c>
      <c r="AC213" s="185">
        <f>SUM(AC209:AC212)</f>
      </c>
      <c r="AD213" s="185">
        <f>SUM(AD209:AD212)</f>
      </c>
      <c r="AE213" s="185">
        <f>SUM(AE209:AE212)</f>
      </c>
      <c r="AF213" s="152"/>
      <c r="AG213" s="152"/>
    </row>
    <row r="214">
      <c r="A214" s="166"/>
      <c r="B214" s="181" t="s">
        <v>114</v>
      </c>
      <c r="C214" s="168" t="s">
        <v>115</v>
      </c>
      <c r="D214" s="169">
        <f t="shared" ref="D214:D217" si="277">E214+F214</f>
      </c>
      <c r="E214" s="169">
        <v>2808.85</v>
      </c>
      <c r="F214" s="169">
        <v>227.83</v>
      </c>
      <c r="G214" s="169"/>
      <c r="H214" s="170">
        <v>6</v>
      </c>
      <c r="I214" s="170">
        <v>10826.280000000006</v>
      </c>
      <c r="J214" s="171">
        <f t="shared" si="189"/>
      </c>
      <c r="K214" s="172">
        <f t="shared" si="99"/>
      </c>
      <c r="L214" s="173">
        <f t="shared" si="39"/>
      </c>
      <c r="M214" s="174">
        <f t="shared" si="129"/>
      </c>
      <c r="N214" s="172">
        <f t="shared" si="9"/>
      </c>
      <c r="O214" s="173">
        <f t="shared" si="460"/>
      </c>
      <c r="P214" s="172">
        <f t="shared" si="430"/>
      </c>
      <c r="Q214" s="172">
        <f t="shared" si="352"/>
      </c>
      <c r="R214" s="173">
        <f t="shared" si="322"/>
      </c>
      <c r="S214" s="175">
        <f t="shared" si="219"/>
      </c>
      <c r="T214" s="173">
        <f t="shared" si="159"/>
      </c>
      <c r="U214" s="176">
        <f t="shared" si="69"/>
      </c>
      <c r="V214" s="177" t="s">
        <v>108</v>
      </c>
      <c r="W214" s="178" t="s">
        <v>132</v>
      </c>
      <c r="X214" s="205">
        <v>5</v>
      </c>
      <c r="Y214" s="169">
        <v>11795</v>
      </c>
      <c r="Z214" s="169">
        <v>487</v>
      </c>
      <c r="AA214" s="169">
        <v>583</v>
      </c>
      <c r="AB214" s="169">
        <v>135</v>
      </c>
      <c r="AC214" s="169">
        <v>58</v>
      </c>
      <c r="AD214" s="179">
        <v>8</v>
      </c>
      <c r="AE214" s="180">
        <v>24</v>
      </c>
      <c r="AF214" s="152"/>
      <c r="AG214" s="152"/>
    </row>
    <row r="215">
      <c r="A215" s="166"/>
      <c r="B215" s="181" t="s">
        <v>116</v>
      </c>
      <c r="C215" s="168" t="s">
        <v>115</v>
      </c>
      <c r="D215" s="169">
        <f t="shared" si="277"/>
      </c>
      <c r="E215" s="169">
        <v>3919</v>
      </c>
      <c r="F215" s="169">
        <v>986.54</v>
      </c>
      <c r="G215" s="169"/>
      <c r="H215" s="170">
        <v>2</v>
      </c>
      <c r="I215" s="170">
        <v>12881.039999999994</v>
      </c>
      <c r="J215" s="171">
        <f t="shared" si="189"/>
      </c>
      <c r="K215" s="172">
        <f t="shared" si="99"/>
      </c>
      <c r="L215" s="173">
        <f t="shared" si="39"/>
      </c>
      <c r="M215" s="174">
        <f t="shared" si="129"/>
      </c>
      <c r="N215" s="172">
        <f t="shared" si="9"/>
      </c>
      <c r="O215" s="173">
        <f t="shared" si="460"/>
      </c>
      <c r="P215" s="172">
        <f t="shared" si="430"/>
      </c>
      <c r="Q215" s="172">
        <f t="shared" si="352"/>
      </c>
      <c r="R215" s="173">
        <f t="shared" si="322"/>
      </c>
      <c r="S215" s="175">
        <f t="shared" si="219"/>
      </c>
      <c r="T215" s="173">
        <f t="shared" si="159"/>
      </c>
      <c r="U215" s="176">
        <f t="shared" si="69"/>
      </c>
      <c r="V215" s="177" t="s">
        <v>108</v>
      </c>
      <c r="W215" s="178" t="s">
        <v>132</v>
      </c>
      <c r="X215" s="205">
        <v>1</v>
      </c>
      <c r="Y215" s="169">
        <v>15391</v>
      </c>
      <c r="Z215" s="169">
        <v>836</v>
      </c>
      <c r="AA215" s="169">
        <v>1085</v>
      </c>
      <c r="AB215" s="169">
        <v>211</v>
      </c>
      <c r="AC215" s="169">
        <v>72</v>
      </c>
      <c r="AD215" s="179">
        <v>3</v>
      </c>
      <c r="AE215" s="180">
        <v>34</v>
      </c>
      <c r="AF215" s="152"/>
      <c r="AG215" s="152"/>
    </row>
    <row r="216">
      <c r="A216" s="166"/>
      <c r="B216" s="181" t="s">
        <v>117</v>
      </c>
      <c r="C216" s="168" t="s">
        <v>115</v>
      </c>
      <c r="D216" s="169">
        <f t="shared" si="277"/>
      </c>
      <c r="E216" s="169">
        <v>4178.58</v>
      </c>
      <c r="F216" s="169">
        <v>1041.79</v>
      </c>
      <c r="G216" s="169"/>
      <c r="H216" s="170">
        <v>3</v>
      </c>
      <c r="I216" s="170">
        <v>5141.879999999997</v>
      </c>
      <c r="J216" s="171">
        <f t="shared" si="189"/>
      </c>
      <c r="K216" s="172">
        <f t="shared" si="99"/>
      </c>
      <c r="L216" s="173">
        <f t="shared" si="39"/>
      </c>
      <c r="M216" s="174">
        <f t="shared" si="129"/>
      </c>
      <c r="N216" s="172">
        <f t="shared" si="9"/>
      </c>
      <c r="O216" s="173">
        <f t="shared" si="460"/>
      </c>
      <c r="P216" s="172">
        <f t="shared" si="430"/>
      </c>
      <c r="Q216" s="172">
        <f t="shared" si="352"/>
      </c>
      <c r="R216" s="173">
        <f t="shared" si="322"/>
      </c>
      <c r="S216" s="175">
        <f t="shared" si="219"/>
      </c>
      <c r="T216" s="173">
        <f t="shared" si="159"/>
      </c>
      <c r="U216" s="176">
        <f t="shared" si="69"/>
      </c>
      <c r="V216" s="177" t="s">
        <v>108</v>
      </c>
      <c r="W216" s="178" t="s">
        <v>132</v>
      </c>
      <c r="X216" s="205">
        <v>4</v>
      </c>
      <c r="Y216" s="169">
        <v>12153</v>
      </c>
      <c r="Z216" s="169">
        <v>617</v>
      </c>
      <c r="AA216" s="169">
        <v>788</v>
      </c>
      <c r="AB216" s="169">
        <v>218</v>
      </c>
      <c r="AC216" s="169">
        <v>44</v>
      </c>
      <c r="AD216" s="179">
        <v>5</v>
      </c>
      <c r="AE216" s="180">
        <v>18</v>
      </c>
      <c r="AF216" s="152"/>
      <c r="AG216" s="152"/>
    </row>
    <row r="217">
      <c r="A217" s="166"/>
      <c r="B217" s="181" t="s">
        <v>118</v>
      </c>
      <c r="C217" s="168" t="s">
        <v>115</v>
      </c>
      <c r="D217" s="169">
        <f t="shared" si="277"/>
      </c>
      <c r="E217" s="170">
        <v>3601.4700000000003</v>
      </c>
      <c r="F217" s="170">
        <v>202.74</v>
      </c>
      <c r="G217" s="170"/>
      <c r="H217" s="170">
        <v>2</v>
      </c>
      <c r="I217" s="170">
        <v>8108.640000000007</v>
      </c>
      <c r="J217" s="171">
        <f t="shared" si="189"/>
      </c>
      <c r="K217" s="172">
        <f t="shared" si="99"/>
      </c>
      <c r="L217" s="173">
        <f t="shared" si="39"/>
      </c>
      <c r="M217" s="174">
        <f t="shared" si="129"/>
      </c>
      <c r="N217" s="172">
        <f t="shared" si="9"/>
      </c>
      <c r="O217" s="173">
        <f t="shared" si="460"/>
      </c>
      <c r="P217" s="172">
        <f t="shared" si="430"/>
      </c>
      <c r="Q217" s="172">
        <f t="shared" si="352"/>
      </c>
      <c r="R217" s="173">
        <f t="shared" si="322"/>
      </c>
      <c r="S217" s="175">
        <f t="shared" si="219"/>
      </c>
      <c r="T217" s="173">
        <f t="shared" si="159"/>
      </c>
      <c r="U217" s="176">
        <f t="shared" si="69"/>
      </c>
      <c r="V217" s="177" t="s">
        <v>108</v>
      </c>
      <c r="W217" s="178" t="s">
        <v>132</v>
      </c>
      <c r="X217" s="205">
        <v>2</v>
      </c>
      <c r="Y217" s="169">
        <v>11892</v>
      </c>
      <c r="Z217" s="169">
        <v>545</v>
      </c>
      <c r="AA217" s="169">
        <v>681</v>
      </c>
      <c r="AB217" s="169">
        <v>186</v>
      </c>
      <c r="AC217" s="169">
        <v>48</v>
      </c>
      <c r="AD217" s="179">
        <v>2</v>
      </c>
      <c r="AE217" s="180">
        <v>17</v>
      </c>
      <c r="AF217" s="152"/>
      <c r="AG217" s="152"/>
    </row>
    <row r="218">
      <c r="A218" s="166"/>
      <c r="B218" s="184" t="s">
        <v>113</v>
      </c>
      <c r="C218" s="184"/>
      <c r="D218" s="185">
        <f>SUM(D214:D217)</f>
      </c>
      <c r="E218" s="185">
        <f>SUM(E214:E217)</f>
      </c>
      <c r="F218" s="185">
        <f>SUM(F214:F217)</f>
      </c>
      <c r="G218" s="185"/>
      <c r="H218" s="185">
        <f>SUM(H214:H217)</f>
      </c>
      <c r="I218" s="185">
        <f>SUM(I214:I217)</f>
      </c>
      <c r="J218" s="186">
        <f t="shared" si="189"/>
      </c>
      <c r="K218" s="187">
        <f t="shared" si="99"/>
      </c>
      <c r="L218" s="188">
        <f t="shared" si="39"/>
      </c>
      <c r="M218" s="189">
        <f t="shared" si="129"/>
      </c>
      <c r="N218" s="187">
        <f t="shared" si="9"/>
      </c>
      <c r="O218" s="188">
        <f t="shared" si="460"/>
      </c>
      <c r="P218" s="187">
        <f t="shared" si="430"/>
      </c>
      <c r="Q218" s="187">
        <f t="shared" si="352"/>
      </c>
      <c r="R218" s="188">
        <f t="shared" si="322"/>
      </c>
      <c r="S218" s="190">
        <f t="shared" si="219"/>
      </c>
      <c r="T218" s="188">
        <f t="shared" si="159"/>
      </c>
      <c r="U218" s="191">
        <f t="shared" si="69"/>
      </c>
      <c r="V218" s="191"/>
      <c r="W218" s="191"/>
      <c r="X218" s="206">
        <f>SUM(X214:X217)</f>
      </c>
      <c r="Y218" s="209">
        <f>SUM(Y214:Y217)</f>
      </c>
      <c r="Z218" s="209">
        <f>SUM(Z214:Z217)</f>
      </c>
      <c r="AA218" s="209">
        <f>SUM(AA214:AA217)</f>
      </c>
      <c r="AB218" s="209">
        <f>SUM(AB214:AB217)</f>
      </c>
      <c r="AC218" s="209">
        <f>SUM(AC214:AC217)</f>
      </c>
      <c r="AD218" s="209">
        <f>SUM(AD214:AD217)</f>
      </c>
      <c r="AE218" s="209">
        <f>SUM(AE214:AE217)</f>
      </c>
      <c r="AF218" s="152"/>
      <c r="AG218" s="152"/>
    </row>
    <row customHeight="true" ht="18.452380952380953" r="219">
      <c r="A219" s="166"/>
      <c r="B219" s="192" t="s">
        <v>119</v>
      </c>
      <c r="C219" s="168" t="s">
        <v>120</v>
      </c>
      <c r="D219" s="169">
        <f t="shared" ref="D219:D222" si="278">E219+F219</f>
      </c>
      <c r="E219" s="170">
        <v>3247.32</v>
      </c>
      <c r="F219" s="170">
        <v>1370.75</v>
      </c>
      <c r="G219" s="170"/>
      <c r="H219" s="170">
        <v>2</v>
      </c>
      <c r="I219" s="170">
        <v>1018.4400000000023</v>
      </c>
      <c r="J219" s="171">
        <f t="shared" si="189"/>
      </c>
      <c r="K219" s="172">
        <f t="shared" si="99"/>
      </c>
      <c r="L219" s="173">
        <f t="shared" si="39"/>
      </c>
      <c r="M219" s="174">
        <f t="shared" si="129"/>
      </c>
      <c r="N219" s="172">
        <f t="shared" si="9"/>
      </c>
      <c r="O219" s="173">
        <f t="shared" si="460"/>
      </c>
      <c r="P219" s="172">
        <f t="shared" si="430"/>
      </c>
      <c r="Q219" s="172">
        <f t="shared" si="352"/>
      </c>
      <c r="R219" s="173">
        <f t="shared" si="322"/>
      </c>
      <c r="S219" s="175">
        <f t="shared" si="219"/>
      </c>
      <c r="T219" s="173">
        <f t="shared" si="159"/>
      </c>
      <c r="U219" s="176">
        <f t="shared" si="69"/>
      </c>
      <c r="V219" s="177" t="s">
        <v>108</v>
      </c>
      <c r="W219" s="178" t="s">
        <v>133</v>
      </c>
      <c r="X219" s="205">
        <v>2</v>
      </c>
      <c r="Y219" s="169">
        <v>12775</v>
      </c>
      <c r="Z219" s="169">
        <v>765</v>
      </c>
      <c r="AA219" s="169">
        <v>1216</v>
      </c>
      <c r="AB219" s="169">
        <v>289</v>
      </c>
      <c r="AC219" s="169">
        <v>44</v>
      </c>
      <c r="AD219" s="179">
        <v>3</v>
      </c>
      <c r="AE219" s="180">
        <v>33</v>
      </c>
      <c r="AF219" s="152"/>
      <c r="AG219" s="152"/>
    </row>
    <row r="220">
      <c r="A220" s="166"/>
      <c r="B220" s="194" t="s">
        <v>122</v>
      </c>
      <c r="C220" s="168" t="s">
        <v>120</v>
      </c>
      <c r="D220" s="169">
        <f t="shared" si="278"/>
      </c>
      <c r="E220" s="170">
        <v>2261.12</v>
      </c>
      <c r="F220" s="170">
        <v>1709.07</v>
      </c>
      <c r="G220" s="170"/>
      <c r="H220" s="170">
        <v>4</v>
      </c>
      <c r="I220" s="170">
        <v>6851.519999999997</v>
      </c>
      <c r="J220" s="171">
        <f t="shared" si="189"/>
      </c>
      <c r="K220" s="172">
        <f t="shared" si="99"/>
      </c>
      <c r="L220" s="173">
        <f t="shared" si="39"/>
      </c>
      <c r="M220" s="174">
        <f t="shared" si="129"/>
      </c>
      <c r="N220" s="172">
        <f t="shared" si="9"/>
      </c>
      <c r="O220" s="173">
        <f t="shared" si="460"/>
      </c>
      <c r="P220" s="172">
        <f t="shared" si="430"/>
      </c>
      <c r="Q220" s="172">
        <f t="shared" si="352"/>
      </c>
      <c r="R220" s="173">
        <f t="shared" si="322"/>
      </c>
      <c r="S220" s="175">
        <f t="shared" si="219"/>
      </c>
      <c r="T220" s="173">
        <f t="shared" si="159"/>
      </c>
      <c r="U220" s="176">
        <f t="shared" si="69"/>
      </c>
      <c r="V220" s="177" t="s">
        <v>108</v>
      </c>
      <c r="W220" s="182" t="s">
        <v>133</v>
      </c>
      <c r="X220" s="205">
        <v>5</v>
      </c>
      <c r="Y220" s="169">
        <v>14043</v>
      </c>
      <c r="Z220" s="169">
        <v>786</v>
      </c>
      <c r="AA220" s="169">
        <v>1379</v>
      </c>
      <c r="AB220" s="169">
        <v>303</v>
      </c>
      <c r="AC220" s="169">
        <v>61</v>
      </c>
      <c r="AD220" s="179">
        <v>5</v>
      </c>
      <c r="AE220" s="180">
        <v>26</v>
      </c>
      <c r="AF220" s="152"/>
      <c r="AG220" s="152"/>
    </row>
    <row r="221">
      <c r="A221" s="166"/>
      <c r="B221" s="183" t="s">
        <v>123</v>
      </c>
      <c r="C221" s="168" t="s">
        <v>120</v>
      </c>
      <c r="D221" s="169">
        <f t="shared" si="278"/>
      </c>
      <c r="E221" s="170">
        <v>2868.83</v>
      </c>
      <c r="F221" s="170">
        <v>1077.03</v>
      </c>
      <c r="G221" s="170"/>
      <c r="H221" s="170">
        <v>1</v>
      </c>
      <c r="I221" s="170">
        <v>1943.0400000000081</v>
      </c>
      <c r="J221" s="171">
        <f t="shared" si="189"/>
      </c>
      <c r="K221" s="172">
        <f t="shared" si="99"/>
      </c>
      <c r="L221" s="173">
        <f t="shared" si="39"/>
      </c>
      <c r="M221" s="174">
        <f t="shared" si="129"/>
      </c>
      <c r="N221" s="172">
        <f t="shared" si="9"/>
      </c>
      <c r="O221" s="173">
        <f t="shared" si="460"/>
      </c>
      <c r="P221" s="172">
        <f t="shared" si="430"/>
      </c>
      <c r="Q221" s="172">
        <f t="shared" si="352"/>
      </c>
      <c r="R221" s="173">
        <f t="shared" si="322"/>
      </c>
      <c r="S221" s="175">
        <f t="shared" si="219"/>
      </c>
      <c r="T221" s="173">
        <f t="shared" si="159"/>
      </c>
      <c r="U221" s="176">
        <f t="shared" si="69"/>
      </c>
      <c r="V221" s="177" t="s">
        <v>108</v>
      </c>
      <c r="W221" s="182" t="s">
        <v>133</v>
      </c>
      <c r="X221" s="205">
        <v>0</v>
      </c>
      <c r="Y221" s="169">
        <v>16126</v>
      </c>
      <c r="Z221" s="169">
        <v>724</v>
      </c>
      <c r="AA221" s="169">
        <v>1242</v>
      </c>
      <c r="AB221" s="169">
        <v>243</v>
      </c>
      <c r="AC221" s="169">
        <v>76</v>
      </c>
      <c r="AD221" s="179">
        <v>3</v>
      </c>
      <c r="AE221" s="180">
        <v>29</v>
      </c>
      <c r="AF221" s="152"/>
      <c r="AG221" s="152"/>
    </row>
    <row r="222">
      <c r="A222" s="166"/>
      <c r="B222" s="183" t="s">
        <v>124</v>
      </c>
      <c r="C222" s="168" t="s">
        <v>120</v>
      </c>
      <c r="D222" s="169">
        <f t="shared" si="278"/>
      </c>
      <c r="E222" s="170">
        <v>3679.8</v>
      </c>
      <c r="F222" s="170">
        <v>2299.28</v>
      </c>
      <c r="G222" s="170"/>
      <c r="H222" s="170">
        <v>4</v>
      </c>
      <c r="I222" s="170">
        <v>12541.679999999993</v>
      </c>
      <c r="J222" s="171">
        <f t="shared" si="189"/>
      </c>
      <c r="K222" s="172">
        <f t="shared" si="99"/>
      </c>
      <c r="L222" s="173">
        <f t="shared" si="39"/>
      </c>
      <c r="M222" s="174">
        <f t="shared" si="129"/>
      </c>
      <c r="N222" s="172">
        <f t="shared" si="9"/>
      </c>
      <c r="O222" s="173">
        <f t="shared" si="460"/>
      </c>
      <c r="P222" s="172">
        <f t="shared" si="430"/>
      </c>
      <c r="Q222" s="172">
        <f t="shared" si="352"/>
      </c>
      <c r="R222" s="173">
        <f t="shared" si="322"/>
      </c>
      <c r="S222" s="175">
        <f t="shared" si="219"/>
      </c>
      <c r="T222" s="173">
        <f t="shared" si="159"/>
      </c>
      <c r="U222" s="176">
        <f t="shared" si="69"/>
      </c>
      <c r="V222" s="177" t="s">
        <v>108</v>
      </c>
      <c r="W222" s="182" t="s">
        <v>133</v>
      </c>
      <c r="X222" s="205">
        <v>3</v>
      </c>
      <c r="Y222" s="169">
        <v>20725</v>
      </c>
      <c r="Z222" s="169">
        <v>1091</v>
      </c>
      <c r="AA222" s="169">
        <v>1863</v>
      </c>
      <c r="AB222" s="169">
        <v>356</v>
      </c>
      <c r="AC222" s="169">
        <v>104</v>
      </c>
      <c r="AD222" s="179">
        <v>6</v>
      </c>
      <c r="AE222" s="180">
        <v>39</v>
      </c>
      <c r="AF222" s="152"/>
      <c r="AG222" s="152"/>
    </row>
    <row r="223">
      <c r="A223" s="166"/>
      <c r="B223" s="184" t="s">
        <v>113</v>
      </c>
      <c r="C223" s="184"/>
      <c r="D223" s="185">
        <f>SUM(D219:D222)</f>
      </c>
      <c r="E223" s="185">
        <f>SUM(E219:E222)</f>
      </c>
      <c r="F223" s="185">
        <f>SUM(F219:F222)</f>
      </c>
      <c r="G223" s="185"/>
      <c r="H223" s="185">
        <f>SUM(H219:H222)</f>
      </c>
      <c r="I223" s="185">
        <f>SUM(I219:I222)</f>
      </c>
      <c r="J223" s="186">
        <f t="shared" si="189"/>
      </c>
      <c r="K223" s="187">
        <f t="shared" si="99"/>
      </c>
      <c r="L223" s="188">
        <f t="shared" si="39"/>
      </c>
      <c r="M223" s="189">
        <f t="shared" si="129"/>
      </c>
      <c r="N223" s="187">
        <f t="shared" si="9"/>
      </c>
      <c r="O223" s="188">
        <f t="shared" si="460"/>
      </c>
      <c r="P223" s="187">
        <f t="shared" si="430"/>
      </c>
      <c r="Q223" s="187">
        <f t="shared" si="352"/>
      </c>
      <c r="R223" s="188">
        <f t="shared" si="322"/>
      </c>
      <c r="S223" s="190">
        <f t="shared" si="219"/>
      </c>
      <c r="T223" s="188">
        <f t="shared" si="159"/>
      </c>
      <c r="U223" s="191">
        <f t="shared" si="69"/>
      </c>
      <c r="V223" s="191"/>
      <c r="W223" s="191"/>
      <c r="X223" s="206">
        <f>SUM(X219:X222)</f>
      </c>
      <c r="Y223" s="209">
        <f>SUM(Y219:Y222)</f>
      </c>
      <c r="Z223" s="209">
        <f>SUM(Z219:Z222)</f>
      </c>
      <c r="AA223" s="209">
        <f>SUM(AA219:AA222)</f>
      </c>
      <c r="AB223" s="209">
        <f>SUM(AB219:AB222)</f>
      </c>
      <c r="AC223" s="209">
        <f>SUM(AC219:AC222)</f>
      </c>
      <c r="AD223" s="209">
        <f>SUM(AD219:AD222)</f>
      </c>
      <c r="AE223" s="209">
        <f>SUM(AE219:AE222)</f>
      </c>
      <c r="AF223" s="152"/>
      <c r="AG223" s="152"/>
    </row>
    <row r="224">
      <c r="A224" s="166"/>
      <c r="B224" s="181" t="s">
        <v>125</v>
      </c>
      <c r="C224" s="168" t="s">
        <v>126</v>
      </c>
      <c r="D224" s="169">
        <f t="shared" ref="D224:D227" si="279">E224+F224</f>
      </c>
      <c r="E224" s="170">
        <v>3565.4500000000003</v>
      </c>
      <c r="F224" s="170">
        <v>2073.26</v>
      </c>
      <c r="G224" s="170"/>
      <c r="H224" s="170">
        <v>4</v>
      </c>
      <c r="I224" s="170">
        <v>11479.320000000007</v>
      </c>
      <c r="J224" s="171">
        <f t="shared" si="189"/>
      </c>
      <c r="K224" s="172">
        <f t="shared" si="99"/>
      </c>
      <c r="L224" s="173">
        <f t="shared" si="39"/>
      </c>
      <c r="M224" s="174">
        <f t="shared" si="129"/>
      </c>
      <c r="N224" s="172">
        <f t="shared" si="9"/>
      </c>
      <c r="O224" s="173">
        <f t="shared" si="460"/>
      </c>
      <c r="P224" s="172">
        <f t="shared" si="430"/>
      </c>
      <c r="Q224" s="172">
        <f t="shared" si="352"/>
      </c>
      <c r="R224" s="173">
        <f t="shared" si="322"/>
      </c>
      <c r="S224" s="175">
        <f t="shared" si="219"/>
      </c>
      <c r="T224" s="173">
        <f t="shared" si="159"/>
      </c>
      <c r="U224" s="176">
        <f t="shared" si="69"/>
      </c>
      <c r="V224" s="177" t="s">
        <v>108</v>
      </c>
      <c r="W224" s="182" t="s">
        <v>133</v>
      </c>
      <c r="X224" s="205">
        <v>2</v>
      </c>
      <c r="Y224" s="169">
        <v>15608</v>
      </c>
      <c r="Z224" s="169">
        <v>671</v>
      </c>
      <c r="AA224" s="169">
        <v>1095</v>
      </c>
      <c r="AB224" s="169">
        <v>220</v>
      </c>
      <c r="AC224" s="169">
        <v>66</v>
      </c>
      <c r="AD224" s="179">
        <v>5</v>
      </c>
      <c r="AE224" s="180">
        <v>28</v>
      </c>
      <c r="AF224" s="152"/>
      <c r="AG224" s="152"/>
    </row>
    <row r="225">
      <c r="A225" s="166"/>
      <c r="B225" s="195" t="s">
        <v>127</v>
      </c>
      <c r="C225" s="168" t="s">
        <v>126</v>
      </c>
      <c r="D225" s="169">
        <f t="shared" si="279"/>
      </c>
      <c r="E225" s="170">
        <v>3215.2200000000003</v>
      </c>
      <c r="F225" s="170">
        <v>1338.59</v>
      </c>
      <c r="G225" s="170"/>
      <c r="H225" s="170">
        <v>4</v>
      </c>
      <c r="I225" s="170">
        <v>9004.559999999998</v>
      </c>
      <c r="J225" s="171">
        <f t="shared" si="189"/>
      </c>
      <c r="K225" s="172">
        <f t="shared" si="99"/>
      </c>
      <c r="L225" s="173">
        <f t="shared" si="39"/>
      </c>
      <c r="M225" s="174">
        <f t="shared" si="129"/>
      </c>
      <c r="N225" s="172">
        <f t="shared" si="9"/>
      </c>
      <c r="O225" s="173">
        <f t="shared" si="460"/>
      </c>
      <c r="P225" s="172">
        <f t="shared" si="430"/>
      </c>
      <c r="Q225" s="172">
        <f t="shared" si="352"/>
      </c>
      <c r="R225" s="173">
        <f t="shared" si="322"/>
      </c>
      <c r="S225" s="175">
        <f t="shared" si="219"/>
      </c>
      <c r="T225" s="173">
        <f t="shared" si="159"/>
      </c>
      <c r="U225" s="176">
        <f t="shared" si="69"/>
      </c>
      <c r="V225" s="177" t="s">
        <v>108</v>
      </c>
      <c r="W225" s="182" t="s">
        <v>133</v>
      </c>
      <c r="X225" s="205">
        <v>2</v>
      </c>
      <c r="Y225" s="169">
        <v>16897</v>
      </c>
      <c r="Z225" s="169">
        <v>845</v>
      </c>
      <c r="AA225" s="169">
        <v>1384</v>
      </c>
      <c r="AB225" s="169">
        <v>239</v>
      </c>
      <c r="AC225" s="169">
        <v>62</v>
      </c>
      <c r="AD225" s="179">
        <v>4</v>
      </c>
      <c r="AE225" s="180">
        <v>27</v>
      </c>
      <c r="AF225" s="152"/>
      <c r="AG225" s="152"/>
    </row>
    <row r="226">
      <c r="A226" s="166"/>
      <c r="B226" s="195" t="s">
        <v>128</v>
      </c>
      <c r="C226" s="168" t="s">
        <v>126</v>
      </c>
      <c r="D226" s="169">
        <f t="shared" si="279"/>
      </c>
      <c r="E226" s="170">
        <v>3229.39</v>
      </c>
      <c r="F226" s="170">
        <v>1817.17</v>
      </c>
      <c r="G226" s="170"/>
      <c r="H226" s="169">
        <v>2</v>
      </c>
      <c r="I226" s="169">
        <v>1353.9599999999919</v>
      </c>
      <c r="J226" s="171">
        <f t="shared" si="189"/>
      </c>
      <c r="K226" s="172">
        <f t="shared" si="99"/>
      </c>
      <c r="L226" s="173">
        <f t="shared" si="39"/>
      </c>
      <c r="M226" s="174">
        <f t="shared" si="129"/>
      </c>
      <c r="N226" s="172">
        <f t="shared" si="9"/>
      </c>
      <c r="O226" s="173">
        <f t="shared" si="460"/>
      </c>
      <c r="P226" s="172">
        <f t="shared" si="430"/>
      </c>
      <c r="Q226" s="172">
        <f t="shared" si="352"/>
      </c>
      <c r="R226" s="173">
        <f t="shared" si="322"/>
      </c>
      <c r="S226" s="175">
        <f t="shared" si="219"/>
      </c>
      <c r="T226" s="173">
        <f t="shared" si="159"/>
      </c>
      <c r="U226" s="176">
        <f t="shared" si="69"/>
      </c>
      <c r="V226" s="177" t="s">
        <v>108</v>
      </c>
      <c r="W226" s="182" t="s">
        <v>133</v>
      </c>
      <c r="X226" s="205">
        <v>1</v>
      </c>
      <c r="Y226" s="169">
        <v>16623</v>
      </c>
      <c r="Z226" s="169">
        <v>889</v>
      </c>
      <c r="AA226" s="169">
        <v>1476</v>
      </c>
      <c r="AB226" s="169">
        <v>241</v>
      </c>
      <c r="AC226" s="169">
        <v>78</v>
      </c>
      <c r="AD226" s="179">
        <v>3</v>
      </c>
      <c r="AE226" s="180">
        <v>25</v>
      </c>
      <c r="AF226" s="152"/>
      <c r="AG226" s="152"/>
    </row>
    <row r="227">
      <c r="A227" s="166"/>
      <c r="B227" s="167" t="s">
        <v>129</v>
      </c>
      <c r="C227" s="168" t="s">
        <v>126</v>
      </c>
      <c r="D227" s="169">
        <f t="shared" si="279"/>
      </c>
      <c r="E227" s="170">
        <v>3680.93</v>
      </c>
      <c r="F227" s="170">
        <v>1350.49</v>
      </c>
      <c r="G227" s="170"/>
      <c r="H227" s="170">
        <v>2</v>
      </c>
      <c r="I227" s="170">
        <v>4053.520000000004</v>
      </c>
      <c r="J227" s="171">
        <f t="shared" si="189"/>
      </c>
      <c r="K227" s="172">
        <f t="shared" si="99"/>
      </c>
      <c r="L227" s="173">
        <f t="shared" si="39"/>
      </c>
      <c r="M227" s="174">
        <f t="shared" si="129"/>
      </c>
      <c r="N227" s="172">
        <f t="shared" si="9"/>
      </c>
      <c r="O227" s="173">
        <f t="shared" si="460"/>
      </c>
      <c r="P227" s="172">
        <f t="shared" si="430"/>
      </c>
      <c r="Q227" s="172">
        <f t="shared" si="352"/>
      </c>
      <c r="R227" s="173">
        <f t="shared" si="322"/>
      </c>
      <c r="S227" s="175">
        <f t="shared" si="219"/>
      </c>
      <c r="T227" s="173">
        <f t="shared" si="159"/>
      </c>
      <c r="U227" s="176">
        <f t="shared" si="69"/>
      </c>
      <c r="V227" s="177" t="s">
        <v>108</v>
      </c>
      <c r="W227" s="182" t="s">
        <v>133</v>
      </c>
      <c r="X227" s="205">
        <v>1</v>
      </c>
      <c r="Y227" s="169">
        <v>16277</v>
      </c>
      <c r="Z227" s="169">
        <v>777</v>
      </c>
      <c r="AA227" s="169">
        <v>1249</v>
      </c>
      <c r="AB227" s="169">
        <v>187</v>
      </c>
      <c r="AC227" s="169">
        <v>66</v>
      </c>
      <c r="AD227" s="179">
        <v>4</v>
      </c>
      <c r="AE227" s="180">
        <v>26</v>
      </c>
      <c r="AF227" s="152"/>
      <c r="AG227" s="152"/>
    </row>
    <row r="228">
      <c r="A228" s="166"/>
      <c r="B228" s="184" t="s">
        <v>113</v>
      </c>
      <c r="C228" s="184"/>
      <c r="D228" s="185">
        <f>SUM(D224:D227)</f>
      </c>
      <c r="E228" s="185">
        <f>SUM(E224:E227)</f>
      </c>
      <c r="F228" s="185">
        <f>SUM(F224:F227)</f>
      </c>
      <c r="G228" s="185"/>
      <c r="H228" s="185">
        <f>SUM(H224:H227)</f>
      </c>
      <c r="I228" s="185">
        <f>SUM(I224:I227)</f>
      </c>
      <c r="J228" s="186">
        <f t="shared" si="189"/>
      </c>
      <c r="K228" s="187">
        <f t="shared" si="99"/>
      </c>
      <c r="L228" s="188">
        <f t="shared" si="39"/>
      </c>
      <c r="M228" s="189">
        <f t="shared" si="129"/>
      </c>
      <c r="N228" s="187">
        <f t="shared" si="9"/>
      </c>
      <c r="O228" s="188">
        <f t="shared" si="460"/>
      </c>
      <c r="P228" s="187">
        <f t="shared" si="430"/>
      </c>
      <c r="Q228" s="187">
        <f t="shared" si="352"/>
      </c>
      <c r="R228" s="188">
        <f t="shared" si="322"/>
      </c>
      <c r="S228" s="190">
        <f t="shared" si="219"/>
      </c>
      <c r="T228" s="188">
        <f t="shared" si="159"/>
      </c>
      <c r="U228" s="191">
        <f t="shared" si="69"/>
      </c>
      <c r="V228" s="191"/>
      <c r="W228" s="191"/>
      <c r="X228" s="207">
        <f>SUM(X224:X227)</f>
      </c>
      <c r="Y228" s="185">
        <f>SUM(Y224:Y227)</f>
      </c>
      <c r="Z228" s="185">
        <f>SUM(Z224:Z227)</f>
      </c>
      <c r="AA228" s="185">
        <f>SUM(AA224:AA227)</f>
      </c>
      <c r="AB228" s="185">
        <f>SUM(AB224:AB227)</f>
      </c>
      <c r="AC228" s="185">
        <f>SUM(AC224:AC227)</f>
      </c>
      <c r="AD228" s="185">
        <f>SUM(AD224:AD227)</f>
      </c>
      <c r="AE228" s="185">
        <f>SUM(AE224:AE227)</f>
      </c>
      <c r="AF228" s="152"/>
      <c r="AG228" s="152"/>
    </row>
    <row r="229">
      <c r="A229" s="166"/>
      <c r="B229" s="196" t="s">
        <v>130</v>
      </c>
      <c r="C229" s="196"/>
      <c r="D229" s="197">
        <f>D213+D218+D223+D228</f>
      </c>
      <c r="E229" s="197">
        <f>E213+E218+E223+E228</f>
      </c>
      <c r="F229" s="197">
        <f>F213+F218+F223+F228</f>
      </c>
      <c r="G229" s="197"/>
      <c r="H229" s="197">
        <f>H213+H218+H223+H228</f>
      </c>
      <c r="I229" s="197">
        <f>I213+I218+I223+I228</f>
      </c>
      <c r="J229" s="198">
        <f t="shared" si="189"/>
      </c>
      <c r="K229" s="199">
        <f t="shared" si="99"/>
      </c>
      <c r="L229" s="200">
        <f t="shared" si="39"/>
      </c>
      <c r="M229" s="201">
        <f t="shared" si="129"/>
      </c>
      <c r="N229" s="201">
        <f t="shared" si="9"/>
      </c>
      <c r="O229" s="200">
        <f t="shared" si="460"/>
      </c>
      <c r="P229" s="201">
        <f t="shared" si="430"/>
      </c>
      <c r="Q229" s="201">
        <f t="shared" si="352"/>
      </c>
      <c r="R229" s="200">
        <f t="shared" si="322"/>
      </c>
      <c r="S229" s="202">
        <f t="shared" si="219"/>
      </c>
      <c r="T229" s="200">
        <f t="shared" si="159"/>
      </c>
      <c r="U229" s="203">
        <f t="shared" si="69"/>
      </c>
      <c r="V229" s="203"/>
      <c r="W229" s="203"/>
      <c r="X229" s="198">
        <f>X213+X218+X223+X228</f>
      </c>
      <c r="Y229" s="198">
        <f>Y213+Y218+Y223+Y228</f>
      </c>
      <c r="Z229" s="198">
        <f>Z213+Z218+Z223+Z228</f>
      </c>
      <c r="AA229" s="198">
        <f>AA213+AA218+AA223+AA228</f>
      </c>
      <c r="AB229" s="198">
        <f>AB213+AB218+AB223+AB228</f>
      </c>
      <c r="AC229" s="198">
        <f>AC213+AC218+AC223+AC228</f>
      </c>
      <c r="AD229" s="198">
        <f>AD213+AD218+AD223+AD228</f>
      </c>
      <c r="AE229" s="198">
        <f>AE213+AE218+AE223+AE228</f>
      </c>
      <c r="AF229" s="152"/>
      <c r="AG229" s="152"/>
    </row>
    <row r="230">
      <c r="A230" s="146" t="s">
        <v>73</v>
      </c>
      <c r="B230" s="146"/>
      <c r="C230" s="146"/>
      <c r="D230" s="147" t="s">
        <v>74</v>
      </c>
      <c r="E230" s="147"/>
      <c r="F230" s="147"/>
      <c r="G230" s="147"/>
      <c r="H230" s="147"/>
      <c r="I230" s="147"/>
      <c r="J230" s="147"/>
      <c r="K230" s="148" t="s">
        <v>75</v>
      </c>
      <c r="L230" s="148"/>
      <c r="M230" s="148"/>
      <c r="N230" s="148"/>
      <c r="O230" s="148"/>
      <c r="P230" s="148"/>
      <c r="Q230" s="148"/>
      <c r="R230" s="148"/>
      <c r="S230" s="148"/>
      <c r="T230" s="148"/>
      <c r="U230" s="149"/>
      <c r="V230" s="149"/>
      <c r="W230" s="149"/>
      <c r="X230" s="150"/>
      <c r="Y230" s="150"/>
      <c r="Z230" s="150"/>
      <c r="AA230" s="150"/>
      <c r="AB230" s="150"/>
      <c r="AC230" s="150"/>
      <c r="AD230" s="150"/>
      <c r="AE230" s="151" t="s">
        <v>76</v>
      </c>
      <c r="AF230" s="152"/>
      <c r="AG230" s="152"/>
    </row>
    <row r="231">
      <c r="A231" s="153" t="s">
        <v>77</v>
      </c>
      <c r="B231" s="146" t="s">
        <v>78</v>
      </c>
      <c r="C231" s="146" t="s">
        <v>79</v>
      </c>
      <c r="D231" s="154" t="s">
        <v>80</v>
      </c>
      <c r="E231" s="155" t="s">
        <v>81</v>
      </c>
      <c r="F231" s="155" t="s">
        <v>82</v>
      </c>
      <c r="G231" s="155"/>
      <c r="H231" s="156" t="s">
        <v>83</v>
      </c>
      <c r="I231" s="157" t="s">
        <v>84</v>
      </c>
      <c r="J231" s="155" t="s">
        <v>85</v>
      </c>
      <c r="K231" s="158" t="s">
        <v>86</v>
      </c>
      <c r="L231" s="158" t="s">
        <v>87</v>
      </c>
      <c r="M231" s="159" t="s">
        <v>88</v>
      </c>
      <c r="N231" s="160" t="s">
        <v>89</v>
      </c>
      <c r="O231" s="148" t="s">
        <v>90</v>
      </c>
      <c r="P231" s="160" t="s">
        <v>91</v>
      </c>
      <c r="Q231" s="160" t="s">
        <v>92</v>
      </c>
      <c r="R231" s="161" t="s">
        <v>93</v>
      </c>
      <c r="S231" s="160" t="s">
        <v>94</v>
      </c>
      <c r="T231" s="161" t="s">
        <v>95</v>
      </c>
      <c r="U231" s="162" t="s">
        <v>96</v>
      </c>
      <c r="V231" s="162" t="s">
        <v>97</v>
      </c>
      <c r="W231" s="162" t="s">
        <v>98</v>
      </c>
      <c r="X231" s="163" t="s">
        <v>99</v>
      </c>
      <c r="Y231" s="164" t="s">
        <v>100</v>
      </c>
      <c r="Z231" s="164" t="s">
        <v>101</v>
      </c>
      <c r="AA231" s="164" t="s">
        <v>102</v>
      </c>
      <c r="AB231" s="164" t="s">
        <v>103</v>
      </c>
      <c r="AC231" s="164" t="s">
        <v>104</v>
      </c>
      <c r="AD231" s="165" t="s">
        <v>105</v>
      </c>
      <c r="AE231" s="151"/>
      <c r="AF231" s="152"/>
      <c r="AG231" s="152"/>
    </row>
    <row r="232">
      <c r="A232" s="166">
        <v>46276</v>
      </c>
      <c r="B232" s="167" t="s">
        <v>106</v>
      </c>
      <c r="C232" s="168" t="s">
        <v>115</v>
      </c>
      <c r="D232" s="169">
        <f t="shared" ref="D232:D235" si="280">E232+F232</f>
      </c>
      <c r="E232" s="170">
        <v>3001.95</v>
      </c>
      <c r="F232" s="169">
        <v>966.24</v>
      </c>
      <c r="G232" s="169"/>
      <c r="H232" s="170">
        <v>3</v>
      </c>
      <c r="I232" s="170">
        <v>12477.72</v>
      </c>
      <c r="J232" s="171">
        <f t="shared" ref="J232:J252" si="190">I232/D232</f>
      </c>
      <c r="K232" s="172">
        <f t="shared" ref="K232:K252" si="100">Z232/Y232</f>
      </c>
      <c r="L232" s="173">
        <f t="shared" ref="L232:L252" si="40">D232/AA232</f>
      </c>
      <c r="M232" s="174">
        <f t="shared" ref="M232:M252" si="130">AB232/AA232</f>
      </c>
      <c r="N232" s="172">
        <f t="shared" ref="N232:N252" si="10">AC232/AA232</f>
      </c>
      <c r="O232" s="173">
        <f t="shared" ref="O232:O252" si="461">D232/AC232</f>
      </c>
      <c r="P232" s="172">
        <f t="shared" ref="P232:P252" si="431">AD232/AC232</f>
      </c>
      <c r="Q232" s="172">
        <f t="shared" ref="Q232:Q252" si="353">H232/AD232</f>
      </c>
      <c r="R232" s="173">
        <f t="shared" ref="R232:R252" si="323">D232/H232</f>
      </c>
      <c r="S232" s="175">
        <f t="shared" ref="S232:S252" si="220">I232/H232</f>
      </c>
      <c r="T232" s="173">
        <f t="shared" ref="T232:T252" si="160">D232/X232</f>
      </c>
      <c r="U232" s="176">
        <f t="shared" ref="U232:U252" si="70">AE232*1000/D232</f>
      </c>
      <c r="V232" s="177" t="s">
        <v>108</v>
      </c>
      <c r="W232" s="178" t="s">
        <v>132</v>
      </c>
      <c r="X232" s="169">
        <v>2</v>
      </c>
      <c r="Y232" s="169">
        <v>15862</v>
      </c>
      <c r="Z232" s="169">
        <v>1064</v>
      </c>
      <c r="AA232" s="169">
        <v>1895</v>
      </c>
      <c r="AB232" s="169">
        <v>369</v>
      </c>
      <c r="AC232" s="179">
        <v>44</v>
      </c>
      <c r="AD232" s="179">
        <v>5</v>
      </c>
      <c r="AE232" s="180">
        <v>40</v>
      </c>
      <c r="AF232" s="152"/>
      <c r="AG232" s="152"/>
    </row>
    <row r="233">
      <c r="A233" s="166"/>
      <c r="B233" s="181" t="s">
        <v>110</v>
      </c>
      <c r="C233" s="168" t="s">
        <v>115</v>
      </c>
      <c r="D233" s="169">
        <f t="shared" si="280"/>
      </c>
      <c r="E233" s="169">
        <v>2518.67</v>
      </c>
      <c r="F233" s="169">
        <v>756.27</v>
      </c>
      <c r="G233" s="169"/>
      <c r="H233" s="170">
        <v>4</v>
      </c>
      <c r="I233" s="170">
        <v>8556.24</v>
      </c>
      <c r="J233" s="171">
        <f t="shared" si="190"/>
      </c>
      <c r="K233" s="172">
        <f t="shared" si="100"/>
      </c>
      <c r="L233" s="173">
        <f t="shared" si="40"/>
      </c>
      <c r="M233" s="174">
        <f t="shared" si="130"/>
      </c>
      <c r="N233" s="172">
        <f t="shared" si="10"/>
      </c>
      <c r="O233" s="173">
        <f t="shared" si="461"/>
      </c>
      <c r="P233" s="172">
        <f t="shared" si="431"/>
      </c>
      <c r="Q233" s="172">
        <f t="shared" si="353"/>
      </c>
      <c r="R233" s="173">
        <f t="shared" si="323"/>
      </c>
      <c r="S233" s="175">
        <f t="shared" si="220"/>
      </c>
      <c r="T233" s="173">
        <f t="shared" si="160"/>
      </c>
      <c r="U233" s="176">
        <f t="shared" si="70"/>
      </c>
      <c r="V233" s="177" t="s">
        <v>108</v>
      </c>
      <c r="W233" s="178" t="s">
        <v>132</v>
      </c>
      <c r="X233" s="205">
        <v>1</v>
      </c>
      <c r="Y233" s="169">
        <v>7761</v>
      </c>
      <c r="Z233" s="169">
        <v>254</v>
      </c>
      <c r="AA233" s="169">
        <v>315</v>
      </c>
      <c r="AB233" s="169">
        <v>78</v>
      </c>
      <c r="AC233" s="169">
        <v>48</v>
      </c>
      <c r="AD233" s="179">
        <v>4</v>
      </c>
      <c r="AE233" s="180">
        <v>14</v>
      </c>
      <c r="AF233" s="152"/>
      <c r="AG233" s="152"/>
    </row>
    <row r="234">
      <c r="A234" s="166"/>
      <c r="B234" s="181" t="s">
        <v>111</v>
      </c>
      <c r="C234" s="168" t="s">
        <v>115</v>
      </c>
      <c r="D234" s="169">
        <f t="shared" si="280"/>
      </c>
      <c r="E234" s="169">
        <v>3578.62</v>
      </c>
      <c r="F234" s="169">
        <v>2063.2</v>
      </c>
      <c r="G234" s="169"/>
      <c r="H234" s="170">
        <v>4</v>
      </c>
      <c r="I234" s="169">
        <v>14985.120000000003</v>
      </c>
      <c r="J234" s="171">
        <f t="shared" si="190"/>
      </c>
      <c r="K234" s="172">
        <f t="shared" si="100"/>
      </c>
      <c r="L234" s="173">
        <f t="shared" si="40"/>
      </c>
      <c r="M234" s="174">
        <f t="shared" si="130"/>
      </c>
      <c r="N234" s="172">
        <f t="shared" si="10"/>
      </c>
      <c r="O234" s="173">
        <f t="shared" si="461"/>
      </c>
      <c r="P234" s="172">
        <f t="shared" si="431"/>
      </c>
      <c r="Q234" s="172">
        <f t="shared" si="353"/>
      </c>
      <c r="R234" s="173">
        <f t="shared" si="323"/>
      </c>
      <c r="S234" s="175">
        <f t="shared" si="220"/>
      </c>
      <c r="T234" s="173">
        <f t="shared" si="160"/>
      </c>
      <c r="U234" s="176">
        <f t="shared" si="70"/>
      </c>
      <c r="V234" s="177" t="s">
        <v>108</v>
      </c>
      <c r="W234" s="178" t="s">
        <v>132</v>
      </c>
      <c r="X234" s="205">
        <v>2</v>
      </c>
      <c r="Y234" s="169">
        <v>14983</v>
      </c>
      <c r="Z234" s="169">
        <v>1023</v>
      </c>
      <c r="AA234" s="169">
        <v>1840</v>
      </c>
      <c r="AB234" s="169">
        <v>357</v>
      </c>
      <c r="AC234" s="169">
        <v>45</v>
      </c>
      <c r="AD234" s="179">
        <v>5</v>
      </c>
      <c r="AE234" s="180">
        <v>23</v>
      </c>
      <c r="AF234" s="152"/>
      <c r="AG234" s="152"/>
    </row>
    <row r="235">
      <c r="A235" s="166"/>
      <c r="B235" s="183" t="s">
        <v>112</v>
      </c>
      <c r="C235" s="168" t="s">
        <v>115</v>
      </c>
      <c r="D235" s="169">
        <f t="shared" si="280"/>
      </c>
      <c r="E235" s="169">
        <v>3453.6099999999997</v>
      </c>
      <c r="F235" s="169">
        <v>1748.34</v>
      </c>
      <c r="G235" s="169"/>
      <c r="H235" s="170">
        <v>2</v>
      </c>
      <c r="I235" s="170">
        <v>12399</v>
      </c>
      <c r="J235" s="171">
        <f t="shared" si="190"/>
      </c>
      <c r="K235" s="172">
        <f t="shared" si="100"/>
      </c>
      <c r="L235" s="173">
        <f t="shared" si="40"/>
      </c>
      <c r="M235" s="174">
        <f t="shared" si="130"/>
      </c>
      <c r="N235" s="172">
        <f t="shared" si="10"/>
      </c>
      <c r="O235" s="173">
        <f t="shared" si="461"/>
      </c>
      <c r="P235" s="172">
        <f t="shared" si="431"/>
      </c>
      <c r="Q235" s="172">
        <f t="shared" si="353"/>
      </c>
      <c r="R235" s="173">
        <f t="shared" si="323"/>
      </c>
      <c r="S235" s="175">
        <f t="shared" si="220"/>
      </c>
      <c r="T235" s="173">
        <f t="shared" si="160"/>
      </c>
      <c r="U235" s="176">
        <f t="shared" si="70"/>
      </c>
      <c r="V235" s="177" t="s">
        <v>108</v>
      </c>
      <c r="W235" s="178" t="s">
        <v>132</v>
      </c>
      <c r="X235" s="205">
        <v>1</v>
      </c>
      <c r="Y235" s="169">
        <v>14178</v>
      </c>
      <c r="Z235" s="169">
        <v>886</v>
      </c>
      <c r="AA235" s="169">
        <v>1437</v>
      </c>
      <c r="AB235" s="169">
        <v>272</v>
      </c>
      <c r="AC235" s="169">
        <v>72</v>
      </c>
      <c r="AD235" s="179">
        <v>3</v>
      </c>
      <c r="AE235" s="180">
        <v>34</v>
      </c>
      <c r="AF235" s="152"/>
      <c r="AG235" s="152"/>
    </row>
    <row r="236">
      <c r="A236" s="166"/>
      <c r="B236" s="184" t="s">
        <v>113</v>
      </c>
      <c r="C236" s="184"/>
      <c r="D236" s="185">
        <f>SUM(D232:D235)</f>
      </c>
      <c r="E236" s="185">
        <f>SUM(E232:E235)</f>
      </c>
      <c r="F236" s="185">
        <f>SUM(F232:F235)</f>
      </c>
      <c r="G236" s="185"/>
      <c r="H236" s="185">
        <f>SUM(H232:H235)</f>
      </c>
      <c r="I236" s="185">
        <f>SUM(I232:I235)</f>
      </c>
      <c r="J236" s="186">
        <f t="shared" si="190"/>
      </c>
      <c r="K236" s="187">
        <f t="shared" si="100"/>
      </c>
      <c r="L236" s="188">
        <f t="shared" si="40"/>
      </c>
      <c r="M236" s="189">
        <f t="shared" si="130"/>
      </c>
      <c r="N236" s="187">
        <f t="shared" si="10"/>
      </c>
      <c r="O236" s="188">
        <f t="shared" si="461"/>
      </c>
      <c r="P236" s="187">
        <f t="shared" si="431"/>
      </c>
      <c r="Q236" s="187">
        <f t="shared" si="353"/>
      </c>
      <c r="R236" s="188">
        <f t="shared" si="323"/>
      </c>
      <c r="S236" s="190">
        <f t="shared" si="220"/>
      </c>
      <c r="T236" s="188">
        <f t="shared" si="160"/>
      </c>
      <c r="U236" s="191">
        <f t="shared" si="70"/>
      </c>
      <c r="V236" s="191"/>
      <c r="W236" s="191"/>
      <c r="X236" s="206">
        <f>SUM(X232:X235)</f>
      </c>
      <c r="Y236" s="185">
        <f>SUM(Y232:Y235)</f>
      </c>
      <c r="Z236" s="185">
        <f>SUM(Z232:Z235)</f>
      </c>
      <c r="AA236" s="185">
        <f>SUM(AA232:AA235)</f>
      </c>
      <c r="AB236" s="185">
        <f>SUM(AB232:AB235)</f>
      </c>
      <c r="AC236" s="185">
        <f>SUM(AC232:AC235)</f>
      </c>
      <c r="AD236" s="185">
        <f>SUM(AD232:AD235)</f>
      </c>
      <c r="AE236" s="185">
        <f>SUM(AE232:AE235)</f>
      </c>
      <c r="AF236" s="152"/>
      <c r="AG236" s="152"/>
    </row>
    <row r="237">
      <c r="A237" s="166"/>
      <c r="B237" s="181" t="s">
        <v>114</v>
      </c>
      <c r="C237" s="168" t="s">
        <v>120</v>
      </c>
      <c r="D237" s="169">
        <f t="shared" ref="D237:D240" si="281">E237+F237</f>
      </c>
      <c r="E237" s="169">
        <v>3089.73</v>
      </c>
      <c r="F237" s="169">
        <v>876.72</v>
      </c>
      <c r="G237" s="169"/>
      <c r="H237" s="170">
        <v>3</v>
      </c>
      <c r="I237" s="170">
        <v>4228.639999999999</v>
      </c>
      <c r="J237" s="171">
        <f t="shared" si="190"/>
      </c>
      <c r="K237" s="172">
        <f t="shared" si="100"/>
      </c>
      <c r="L237" s="173">
        <f t="shared" si="40"/>
      </c>
      <c r="M237" s="174">
        <f t="shared" si="130"/>
      </c>
      <c r="N237" s="172">
        <f t="shared" si="10"/>
      </c>
      <c r="O237" s="173">
        <f t="shared" si="461"/>
      </c>
      <c r="P237" s="172">
        <f t="shared" si="431"/>
      </c>
      <c r="Q237" s="172">
        <f t="shared" si="353"/>
      </c>
      <c r="R237" s="173">
        <f t="shared" si="323"/>
      </c>
      <c r="S237" s="175">
        <f t="shared" si="220"/>
      </c>
      <c r="T237" s="173">
        <f t="shared" si="160"/>
      </c>
      <c r="U237" s="176">
        <f t="shared" si="70"/>
      </c>
      <c r="V237" s="177" t="s">
        <v>108</v>
      </c>
      <c r="W237" s="178" t="s">
        <v>132</v>
      </c>
      <c r="X237" s="205">
        <v>3</v>
      </c>
      <c r="Y237" s="169">
        <v>13941</v>
      </c>
      <c r="Z237" s="169">
        <v>518</v>
      </c>
      <c r="AA237" s="169">
        <v>711</v>
      </c>
      <c r="AB237" s="169">
        <v>152</v>
      </c>
      <c r="AC237" s="169">
        <v>39</v>
      </c>
      <c r="AD237" s="179">
        <v>4</v>
      </c>
      <c r="AE237" s="180">
        <v>23</v>
      </c>
      <c r="AF237" s="152"/>
      <c r="AG237" s="152"/>
    </row>
    <row r="238">
      <c r="A238" s="166"/>
      <c r="B238" s="181" t="s">
        <v>116</v>
      </c>
      <c r="C238" s="168" t="s">
        <v>120</v>
      </c>
      <c r="D238" s="169">
        <f t="shared" si="281"/>
      </c>
      <c r="E238" s="169">
        <v>4405.35</v>
      </c>
      <c r="F238" s="169">
        <v>234.93</v>
      </c>
      <c r="G238" s="169"/>
      <c r="H238" s="170">
        <v>0</v>
      </c>
      <c r="I238" s="170">
        <v>0</v>
      </c>
      <c r="J238" s="171">
        <f t="shared" si="190"/>
      </c>
      <c r="K238" s="172">
        <f t="shared" si="100"/>
      </c>
      <c r="L238" s="173">
        <f t="shared" si="40"/>
      </c>
      <c r="M238" s="174">
        <f t="shared" si="130"/>
      </c>
      <c r="N238" s="172">
        <f t="shared" si="10"/>
      </c>
      <c r="O238" s="173">
        <f t="shared" si="461"/>
      </c>
      <c r="P238" s="172">
        <f t="shared" si="431"/>
      </c>
      <c r="Q238" s="172">
        <f t="shared" si="353"/>
      </c>
      <c r="R238" s="173">
        <f t="shared" si="323"/>
      </c>
      <c r="S238" s="175">
        <f t="shared" si="220"/>
      </c>
      <c r="T238" s="173">
        <f t="shared" si="160"/>
      </c>
      <c r="U238" s="176">
        <f t="shared" si="70"/>
      </c>
      <c r="V238" s="177" t="s">
        <v>108</v>
      </c>
      <c r="W238" s="178" t="s">
        <v>132</v>
      </c>
      <c r="X238" s="205">
        <v>0</v>
      </c>
      <c r="Y238" s="169">
        <v>15978</v>
      </c>
      <c r="Z238" s="169">
        <v>517</v>
      </c>
      <c r="AA238" s="169">
        <v>625</v>
      </c>
      <c r="AB238" s="169">
        <v>115</v>
      </c>
      <c r="AC238" s="169">
        <v>56</v>
      </c>
      <c r="AD238" s="179">
        <v>2</v>
      </c>
      <c r="AE238" s="180">
        <v>19</v>
      </c>
      <c r="AF238" s="152"/>
      <c r="AG238" s="152"/>
    </row>
    <row r="239">
      <c r="A239" s="166"/>
      <c r="B239" s="181" t="s">
        <v>117</v>
      </c>
      <c r="C239" s="168" t="s">
        <v>120</v>
      </c>
      <c r="D239" s="169">
        <f t="shared" si="281"/>
      </c>
      <c r="E239" s="169">
        <v>4057.6099999999997</v>
      </c>
      <c r="F239" s="169">
        <v>338.56</v>
      </c>
      <c r="G239" s="169"/>
      <c r="H239" s="170">
        <v>0</v>
      </c>
      <c r="I239" s="170">
        <v>0</v>
      </c>
      <c r="J239" s="171">
        <f t="shared" si="190"/>
      </c>
      <c r="K239" s="172">
        <f t="shared" si="100"/>
      </c>
      <c r="L239" s="173">
        <f t="shared" si="40"/>
      </c>
      <c r="M239" s="174">
        <f t="shared" si="130"/>
      </c>
      <c r="N239" s="172">
        <f t="shared" si="10"/>
      </c>
      <c r="O239" s="173">
        <f t="shared" si="461"/>
      </c>
      <c r="P239" s="172">
        <f t="shared" si="431"/>
      </c>
      <c r="Q239" s="172">
        <f t="shared" si="353"/>
      </c>
      <c r="R239" s="173">
        <f t="shared" si="323"/>
      </c>
      <c r="S239" s="175">
        <f t="shared" si="220"/>
      </c>
      <c r="T239" s="173">
        <f t="shared" si="160"/>
      </c>
      <c r="U239" s="176">
        <f t="shared" si="70"/>
      </c>
      <c r="V239" s="177" t="s">
        <v>108</v>
      </c>
      <c r="W239" s="178" t="s">
        <v>132</v>
      </c>
      <c r="X239" s="205">
        <v>0</v>
      </c>
      <c r="Y239" s="169">
        <v>14593</v>
      </c>
      <c r="Z239" s="169">
        <v>725</v>
      </c>
      <c r="AA239" s="169">
        <v>957</v>
      </c>
      <c r="AB239" s="169">
        <v>211</v>
      </c>
      <c r="AC239" s="169">
        <v>37</v>
      </c>
      <c r="AD239" s="179">
        <v>2</v>
      </c>
      <c r="AE239" s="180">
        <v>34</v>
      </c>
      <c r="AF239" s="152"/>
      <c r="AG239" s="152"/>
    </row>
    <row r="240">
      <c r="A240" s="166"/>
      <c r="B240" s="181" t="s">
        <v>118</v>
      </c>
      <c r="C240" s="168" t="s">
        <v>120</v>
      </c>
      <c r="D240" s="169">
        <f t="shared" si="281"/>
      </c>
      <c r="E240" s="170">
        <v>1626.69</v>
      </c>
      <c r="F240" s="170">
        <v>388.3</v>
      </c>
      <c r="G240" s="170"/>
      <c r="H240" s="170">
        <v>4</v>
      </c>
      <c r="I240" s="170">
        <v>24072.440000000002</v>
      </c>
      <c r="J240" s="171">
        <f t="shared" si="190"/>
      </c>
      <c r="K240" s="172">
        <f t="shared" si="100"/>
      </c>
      <c r="L240" s="173">
        <f t="shared" si="40"/>
      </c>
      <c r="M240" s="174">
        <f t="shared" si="130"/>
      </c>
      <c r="N240" s="172">
        <f t="shared" si="10"/>
      </c>
      <c r="O240" s="173">
        <f t="shared" si="461"/>
      </c>
      <c r="P240" s="172">
        <f t="shared" si="431"/>
      </c>
      <c r="Q240" s="172">
        <f t="shared" si="353"/>
      </c>
      <c r="R240" s="173">
        <f t="shared" si="323"/>
      </c>
      <c r="S240" s="175">
        <f t="shared" si="220"/>
      </c>
      <c r="T240" s="173">
        <f t="shared" si="160"/>
      </c>
      <c r="U240" s="176">
        <f t="shared" si="70"/>
      </c>
      <c r="V240" s="177" t="s">
        <v>108</v>
      </c>
      <c r="W240" s="178" t="s">
        <v>132</v>
      </c>
      <c r="X240" s="205">
        <v>4</v>
      </c>
      <c r="Y240" s="169">
        <v>6398</v>
      </c>
      <c r="Z240" s="169">
        <v>387</v>
      </c>
      <c r="AA240" s="169">
        <v>588</v>
      </c>
      <c r="AB240" s="169">
        <v>154</v>
      </c>
      <c r="AC240" s="169">
        <v>22</v>
      </c>
      <c r="AD240" s="179">
        <v>4</v>
      </c>
      <c r="AE240" s="180">
        <v>16</v>
      </c>
      <c r="AF240" s="152"/>
      <c r="AG240" s="152"/>
    </row>
    <row r="241">
      <c r="A241" s="166"/>
      <c r="B241" s="184" t="s">
        <v>113</v>
      </c>
      <c r="C241" s="184"/>
      <c r="D241" s="185">
        <f>SUM(D237:D240)</f>
      </c>
      <c r="E241" s="185">
        <f>SUM(E237:E240)</f>
      </c>
      <c r="F241" s="185">
        <f>SUM(F237:F240)</f>
      </c>
      <c r="G241" s="185"/>
      <c r="H241" s="185">
        <f>SUM(H237:H240)</f>
      </c>
      <c r="I241" s="185">
        <f>SUM(I237:I240)</f>
      </c>
      <c r="J241" s="186">
        <f t="shared" si="190"/>
      </c>
      <c r="K241" s="187">
        <f t="shared" si="100"/>
      </c>
      <c r="L241" s="188">
        <f t="shared" si="40"/>
      </c>
      <c r="M241" s="189">
        <f t="shared" si="130"/>
      </c>
      <c r="N241" s="187">
        <f t="shared" si="10"/>
      </c>
      <c r="O241" s="188">
        <f t="shared" si="461"/>
      </c>
      <c r="P241" s="187">
        <f t="shared" si="431"/>
      </c>
      <c r="Q241" s="187">
        <f t="shared" si="353"/>
      </c>
      <c r="R241" s="188">
        <f t="shared" si="323"/>
      </c>
      <c r="S241" s="190">
        <f t="shared" si="220"/>
      </c>
      <c r="T241" s="188">
        <f t="shared" si="160"/>
      </c>
      <c r="U241" s="191">
        <f t="shared" si="70"/>
      </c>
      <c r="V241" s="191"/>
      <c r="W241" s="191"/>
      <c r="X241" s="206">
        <f>SUM(X237:X240)</f>
      </c>
      <c r="Y241" s="209">
        <f>SUM(Y237:Y240)</f>
      </c>
      <c r="Z241" s="209">
        <f>SUM(Z237:Z240)</f>
      </c>
      <c r="AA241" s="209">
        <f>SUM(AA237:AA240)</f>
      </c>
      <c r="AB241" s="209">
        <f>SUM(AB237:AB240)</f>
      </c>
      <c r="AC241" s="209">
        <f>SUM(AC237:AC240)</f>
      </c>
      <c r="AD241" s="209">
        <f>SUM(AD237:AD240)</f>
      </c>
      <c r="AE241" s="209">
        <f>SUM(AE237:AE240)</f>
      </c>
      <c r="AF241" s="152"/>
      <c r="AG241" s="152"/>
    </row>
    <row r="242">
      <c r="A242" s="166"/>
      <c r="B242" s="192" t="s">
        <v>119</v>
      </c>
      <c r="C242" s="168" t="s">
        <v>107</v>
      </c>
      <c r="D242" s="169">
        <f t="shared" ref="D242:D245" si="282">E242+F242</f>
      </c>
      <c r="E242" s="170">
        <v>3471</v>
      </c>
      <c r="F242" s="170">
        <v>912.88</v>
      </c>
      <c r="G242" s="170"/>
      <c r="H242" s="170">
        <v>1</v>
      </c>
      <c r="I242" s="170">
        <v>2602.800000000003</v>
      </c>
      <c r="J242" s="171">
        <f t="shared" si="190"/>
      </c>
      <c r="K242" s="172">
        <f t="shared" si="100"/>
      </c>
      <c r="L242" s="173">
        <f t="shared" si="40"/>
      </c>
      <c r="M242" s="174">
        <f t="shared" si="130"/>
      </c>
      <c r="N242" s="172">
        <f t="shared" si="10"/>
      </c>
      <c r="O242" s="173">
        <f t="shared" si="461"/>
      </c>
      <c r="P242" s="172">
        <f t="shared" si="431"/>
      </c>
      <c r="Q242" s="172">
        <f t="shared" si="353"/>
      </c>
      <c r="R242" s="173">
        <f t="shared" si="323"/>
      </c>
      <c r="S242" s="175">
        <f t="shared" si="220"/>
      </c>
      <c r="T242" s="173">
        <f t="shared" si="160"/>
      </c>
      <c r="U242" s="176">
        <f t="shared" si="70"/>
      </c>
      <c r="V242" s="177" t="s">
        <v>108</v>
      </c>
      <c r="W242" s="178" t="s">
        <v>133</v>
      </c>
      <c r="X242" s="205">
        <v>1</v>
      </c>
      <c r="Y242" s="169">
        <v>12958</v>
      </c>
      <c r="Z242" s="169">
        <v>824</v>
      </c>
      <c r="AA242" s="169">
        <v>1438</v>
      </c>
      <c r="AB242" s="169">
        <v>273</v>
      </c>
      <c r="AC242" s="169">
        <v>36</v>
      </c>
      <c r="AD242" s="179">
        <v>3</v>
      </c>
      <c r="AE242" s="180">
        <v>30</v>
      </c>
      <c r="AF242" s="152"/>
      <c r="AG242" s="152"/>
    </row>
    <row r="243">
      <c r="A243" s="166"/>
      <c r="B243" s="194" t="s">
        <v>122</v>
      </c>
      <c r="C243" s="168" t="s">
        <v>107</v>
      </c>
      <c r="D243" s="169">
        <f t="shared" si="282"/>
      </c>
      <c r="E243" s="170">
        <v>1728.47</v>
      </c>
      <c r="F243" s="170">
        <v>1402.77</v>
      </c>
      <c r="G243" s="170"/>
      <c r="H243" s="170">
        <v>1</v>
      </c>
      <c r="I243" s="170">
        <v>1033.5599999999977</v>
      </c>
      <c r="J243" s="171">
        <f t="shared" si="190"/>
      </c>
      <c r="K243" s="172">
        <f t="shared" si="100"/>
      </c>
      <c r="L243" s="173">
        <f t="shared" si="40"/>
      </c>
      <c r="M243" s="174">
        <f t="shared" si="130"/>
      </c>
      <c r="N243" s="172">
        <f t="shared" si="10"/>
      </c>
      <c r="O243" s="173">
        <f t="shared" si="461"/>
      </c>
      <c r="P243" s="172">
        <f t="shared" si="431"/>
      </c>
      <c r="Q243" s="172">
        <f t="shared" si="353"/>
      </c>
      <c r="R243" s="173">
        <f t="shared" si="323"/>
      </c>
      <c r="S243" s="175">
        <f t="shared" si="220"/>
      </c>
      <c r="T243" s="173">
        <f t="shared" si="160"/>
      </c>
      <c r="U243" s="176">
        <f t="shared" si="70"/>
      </c>
      <c r="V243" s="177" t="s">
        <v>108</v>
      </c>
      <c r="W243" s="182" t="s">
        <v>133</v>
      </c>
      <c r="X243" s="205">
        <v>1</v>
      </c>
      <c r="Y243" s="169">
        <v>8668</v>
      </c>
      <c r="Z243" s="169">
        <v>686</v>
      </c>
      <c r="AA243" s="169">
        <v>1367</v>
      </c>
      <c r="AB243" s="169">
        <v>245</v>
      </c>
      <c r="AC243" s="169">
        <v>29</v>
      </c>
      <c r="AD243" s="179">
        <v>2</v>
      </c>
      <c r="AE243" s="180">
        <v>14</v>
      </c>
      <c r="AF243" s="152"/>
      <c r="AG243" s="152"/>
    </row>
    <row r="244">
      <c r="A244" s="166"/>
      <c r="B244" s="183" t="s">
        <v>123</v>
      </c>
      <c r="C244" s="168" t="s">
        <v>107</v>
      </c>
      <c r="D244" s="169">
        <f t="shared" si="282"/>
      </c>
      <c r="E244" s="170">
        <v>2097.7200000000003</v>
      </c>
      <c r="F244" s="170">
        <v>712.8</v>
      </c>
      <c r="G244" s="170"/>
      <c r="H244" s="170">
        <v>1</v>
      </c>
      <c r="I244" s="170">
        <v>1771.199999999997</v>
      </c>
      <c r="J244" s="171">
        <f t="shared" si="190"/>
      </c>
      <c r="K244" s="172">
        <f t="shared" si="100"/>
      </c>
      <c r="L244" s="173">
        <f t="shared" si="40"/>
      </c>
      <c r="M244" s="174">
        <f t="shared" si="130"/>
      </c>
      <c r="N244" s="172">
        <f t="shared" si="10"/>
      </c>
      <c r="O244" s="173">
        <f t="shared" si="461"/>
      </c>
      <c r="P244" s="172">
        <f t="shared" si="431"/>
      </c>
      <c r="Q244" s="172">
        <f t="shared" si="353"/>
      </c>
      <c r="R244" s="173">
        <f t="shared" si="323"/>
      </c>
      <c r="S244" s="175">
        <f t="shared" si="220"/>
      </c>
      <c r="T244" s="173">
        <f t="shared" si="160"/>
      </c>
      <c r="U244" s="176">
        <f t="shared" si="70"/>
      </c>
      <c r="V244" s="177" t="s">
        <v>108</v>
      </c>
      <c r="W244" s="182" t="s">
        <v>133</v>
      </c>
      <c r="X244" s="205">
        <v>1</v>
      </c>
      <c r="Y244" s="169">
        <v>8879</v>
      </c>
      <c r="Z244" s="169">
        <v>603</v>
      </c>
      <c r="AA244" s="169">
        <v>1016</v>
      </c>
      <c r="AB244" s="169">
        <v>202</v>
      </c>
      <c r="AC244" s="169">
        <v>28</v>
      </c>
      <c r="AD244" s="179">
        <v>2</v>
      </c>
      <c r="AE244" s="180">
        <v>16</v>
      </c>
      <c r="AF244" s="152"/>
      <c r="AG244" s="152"/>
    </row>
    <row r="245">
      <c r="A245" s="166"/>
      <c r="B245" s="183" t="s">
        <v>124</v>
      </c>
      <c r="C245" s="168" t="s">
        <v>107</v>
      </c>
      <c r="D245" s="169">
        <f t="shared" si="282"/>
      </c>
      <c r="E245" s="170">
        <v>6177.66</v>
      </c>
      <c r="F245" s="170">
        <v>564.87</v>
      </c>
      <c r="G245" s="170"/>
      <c r="H245" s="170">
        <v>9</v>
      </c>
      <c r="I245" s="170">
        <v>21067.559999999998</v>
      </c>
      <c r="J245" s="171">
        <f t="shared" si="190"/>
      </c>
      <c r="K245" s="172">
        <f t="shared" si="100"/>
      </c>
      <c r="L245" s="173">
        <f t="shared" si="40"/>
      </c>
      <c r="M245" s="174">
        <f t="shared" si="130"/>
      </c>
      <c r="N245" s="172">
        <f t="shared" si="10"/>
      </c>
      <c r="O245" s="173">
        <f t="shared" si="461"/>
      </c>
      <c r="P245" s="172">
        <f t="shared" si="431"/>
      </c>
      <c r="Q245" s="172">
        <f t="shared" si="353"/>
      </c>
      <c r="R245" s="173">
        <f t="shared" si="323"/>
      </c>
      <c r="S245" s="175">
        <f t="shared" si="220"/>
      </c>
      <c r="T245" s="173">
        <f t="shared" si="160"/>
      </c>
      <c r="U245" s="176">
        <f t="shared" si="70"/>
      </c>
      <c r="V245" s="177" t="s">
        <v>108</v>
      </c>
      <c r="W245" s="182" t="s">
        <v>133</v>
      </c>
      <c r="X245" s="205">
        <v>8</v>
      </c>
      <c r="Y245" s="169">
        <v>36752</v>
      </c>
      <c r="Z245" s="169">
        <v>1235</v>
      </c>
      <c r="AA245" s="169">
        <v>1788</v>
      </c>
      <c r="AB245" s="169">
        <v>326</v>
      </c>
      <c r="AC245" s="169">
        <v>26</v>
      </c>
      <c r="AD245" s="179">
        <v>13</v>
      </c>
      <c r="AE245" s="180">
        <v>34</v>
      </c>
      <c r="AF245" s="152"/>
      <c r="AG245" s="152"/>
    </row>
    <row r="246">
      <c r="A246" s="166"/>
      <c r="B246" s="184" t="s">
        <v>113</v>
      </c>
      <c r="C246" s="184"/>
      <c r="D246" s="185">
        <f>SUM(D242:D245)</f>
      </c>
      <c r="E246" s="185">
        <f>SUM(E242:E245)</f>
      </c>
      <c r="F246" s="185">
        <f>SUM(F242:F245)</f>
      </c>
      <c r="G246" s="185"/>
      <c r="H246" s="185">
        <f>SUM(H242:H245)</f>
      </c>
      <c r="I246" s="185">
        <f>SUM(I242:I245)</f>
      </c>
      <c r="J246" s="186">
        <f t="shared" si="190"/>
      </c>
      <c r="K246" s="187">
        <f t="shared" si="100"/>
      </c>
      <c r="L246" s="188">
        <f t="shared" si="40"/>
      </c>
      <c r="M246" s="189">
        <f t="shared" si="130"/>
      </c>
      <c r="N246" s="187">
        <f t="shared" si="10"/>
      </c>
      <c r="O246" s="188">
        <f t="shared" si="461"/>
      </c>
      <c r="P246" s="187">
        <f t="shared" si="431"/>
      </c>
      <c r="Q246" s="187">
        <f t="shared" si="353"/>
      </c>
      <c r="R246" s="188">
        <f t="shared" si="323"/>
      </c>
      <c r="S246" s="190">
        <f t="shared" si="220"/>
      </c>
      <c r="T246" s="188">
        <f t="shared" si="160"/>
      </c>
      <c r="U246" s="191">
        <f t="shared" si="70"/>
      </c>
      <c r="V246" s="191"/>
      <c r="W246" s="191"/>
      <c r="X246" s="206">
        <f>SUM(X242:X245)</f>
      </c>
      <c r="Y246" s="209">
        <f>SUM(Y242:Y245)</f>
      </c>
      <c r="Z246" s="209">
        <f>SUM(Z242:Z245)</f>
      </c>
      <c r="AA246" s="209">
        <f>SUM(AA242:AA245)</f>
      </c>
      <c r="AB246" s="209">
        <f>SUM(AB242:AB245)</f>
      </c>
      <c r="AC246" s="209">
        <f>SUM(AC242:AC245)</f>
      </c>
      <c r="AD246" s="209">
        <f>SUM(AD242:AD245)</f>
      </c>
      <c r="AE246" s="209">
        <f>SUM(AE242:AE245)</f>
      </c>
      <c r="AF246" s="152"/>
      <c r="AG246" s="152"/>
    </row>
    <row r="247">
      <c r="A247" s="166"/>
      <c r="B247" s="181" t="s">
        <v>125</v>
      </c>
      <c r="C247" s="168" t="s">
        <v>126</v>
      </c>
      <c r="D247" s="169">
        <f t="shared" ref="D247:D250" si="283">E247+F247</f>
      </c>
      <c r="E247" s="170">
        <v>3256.63</v>
      </c>
      <c r="F247" s="170">
        <v>1155.81</v>
      </c>
      <c r="G247" s="170"/>
      <c r="H247" s="170">
        <v>2</v>
      </c>
      <c r="I247" s="170">
        <v>5211.8399999999965</v>
      </c>
      <c r="J247" s="171">
        <f t="shared" si="190"/>
      </c>
      <c r="K247" s="172">
        <f t="shared" si="100"/>
      </c>
      <c r="L247" s="173">
        <f t="shared" si="40"/>
      </c>
      <c r="M247" s="174">
        <f t="shared" si="130"/>
      </c>
      <c r="N247" s="172">
        <f t="shared" si="10"/>
      </c>
      <c r="O247" s="173">
        <f t="shared" si="461"/>
      </c>
      <c r="P247" s="172">
        <f t="shared" si="431"/>
      </c>
      <c r="Q247" s="172">
        <f t="shared" si="353"/>
      </c>
      <c r="R247" s="173">
        <f t="shared" si="323"/>
      </c>
      <c r="S247" s="175">
        <f t="shared" si="220"/>
      </c>
      <c r="T247" s="173">
        <f t="shared" si="160"/>
      </c>
      <c r="U247" s="176">
        <f t="shared" si="70"/>
      </c>
      <c r="V247" s="177" t="s">
        <v>108</v>
      </c>
      <c r="W247" s="182" t="s">
        <v>133</v>
      </c>
      <c r="X247" s="208">
        <v>1</v>
      </c>
      <c r="Y247" s="169">
        <v>21330</v>
      </c>
      <c r="Z247" s="169">
        <v>902</v>
      </c>
      <c r="AA247" s="169">
        <v>1493</v>
      </c>
      <c r="AB247" s="169">
        <v>264</v>
      </c>
      <c r="AC247" s="169">
        <v>48</v>
      </c>
      <c r="AD247" s="179">
        <v>2</v>
      </c>
      <c r="AE247" s="180">
        <v>24</v>
      </c>
      <c r="AF247" s="152"/>
      <c r="AG247" s="152"/>
    </row>
    <row r="248">
      <c r="A248" s="166"/>
      <c r="B248" s="195" t="s">
        <v>127</v>
      </c>
      <c r="C248" s="168" t="s">
        <v>126</v>
      </c>
      <c r="D248" s="169">
        <f t="shared" si="283"/>
      </c>
      <c r="E248" s="170">
        <v>6240.37</v>
      </c>
      <c r="F248" s="170">
        <v>337.16</v>
      </c>
      <c r="G248" s="170"/>
      <c r="H248" s="170">
        <v>1</v>
      </c>
      <c r="I248" s="170">
        <v>1216.0800000000017</v>
      </c>
      <c r="J248" s="171">
        <f t="shared" si="190"/>
      </c>
      <c r="K248" s="172">
        <f t="shared" si="100"/>
      </c>
      <c r="L248" s="173">
        <f t="shared" si="40"/>
      </c>
      <c r="M248" s="174">
        <f t="shared" si="130"/>
      </c>
      <c r="N248" s="172">
        <f t="shared" si="10"/>
      </c>
      <c r="O248" s="173">
        <f t="shared" si="461"/>
      </c>
      <c r="P248" s="172">
        <f t="shared" si="431"/>
      </c>
      <c r="Q248" s="172">
        <f t="shared" si="353"/>
      </c>
      <c r="R248" s="173">
        <f t="shared" si="323"/>
      </c>
      <c r="S248" s="175">
        <f t="shared" si="220"/>
      </c>
      <c r="T248" s="173">
        <f t="shared" si="160"/>
      </c>
      <c r="U248" s="176">
        <f t="shared" si="70"/>
      </c>
      <c r="V248" s="177" t="s">
        <v>108</v>
      </c>
      <c r="W248" s="182" t="s">
        <v>133</v>
      </c>
      <c r="X248" s="205">
        <v>1</v>
      </c>
      <c r="Y248" s="169">
        <v>49498</v>
      </c>
      <c r="Z248" s="169">
        <v>966</v>
      </c>
      <c r="AA248" s="169">
        <v>1313</v>
      </c>
      <c r="AB248" s="169">
        <v>249</v>
      </c>
      <c r="AC248" s="169">
        <v>6</v>
      </c>
      <c r="AD248" s="179">
        <v>4</v>
      </c>
      <c r="AE248" s="180">
        <v>35</v>
      </c>
      <c r="AF248" s="152"/>
      <c r="AG248" s="152"/>
    </row>
    <row r="249">
      <c r="A249" s="166"/>
      <c r="B249" s="195" t="s">
        <v>128</v>
      </c>
      <c r="C249" s="168" t="s">
        <v>126</v>
      </c>
      <c r="D249" s="169">
        <f t="shared" si="283"/>
      </c>
      <c r="E249" s="170">
        <v>3483.33</v>
      </c>
      <c r="F249" s="170">
        <v>994.88</v>
      </c>
      <c r="G249" s="170"/>
      <c r="H249" s="169">
        <v>1</v>
      </c>
      <c r="I249" s="169">
        <v>737.6399999999994</v>
      </c>
      <c r="J249" s="171">
        <f t="shared" si="190"/>
      </c>
      <c r="K249" s="172">
        <f t="shared" si="100"/>
      </c>
      <c r="L249" s="173">
        <f t="shared" si="40"/>
      </c>
      <c r="M249" s="174">
        <f t="shared" si="130"/>
      </c>
      <c r="N249" s="172">
        <f t="shared" si="10"/>
      </c>
      <c r="O249" s="173">
        <f t="shared" si="461"/>
      </c>
      <c r="P249" s="172">
        <f t="shared" si="431"/>
      </c>
      <c r="Q249" s="172">
        <f t="shared" si="353"/>
      </c>
      <c r="R249" s="173">
        <f t="shared" si="323"/>
      </c>
      <c r="S249" s="175">
        <f t="shared" si="220"/>
      </c>
      <c r="T249" s="173">
        <f t="shared" si="160"/>
      </c>
      <c r="U249" s="176">
        <f t="shared" si="70"/>
      </c>
      <c r="V249" s="177" t="s">
        <v>108</v>
      </c>
      <c r="W249" s="182" t="s">
        <v>133</v>
      </c>
      <c r="X249" s="205">
        <v>1</v>
      </c>
      <c r="Y249" s="169">
        <v>8055</v>
      </c>
      <c r="Z249" s="169">
        <v>706</v>
      </c>
      <c r="AA249" s="169">
        <v>1299</v>
      </c>
      <c r="AB249" s="169">
        <v>200</v>
      </c>
      <c r="AC249" s="169">
        <v>25</v>
      </c>
      <c r="AD249" s="179">
        <v>4</v>
      </c>
      <c r="AE249" s="180">
        <v>25</v>
      </c>
      <c r="AF249" s="152"/>
      <c r="AG249" s="152"/>
    </row>
    <row r="250">
      <c r="A250" s="166"/>
      <c r="B250" s="167" t="s">
        <v>129</v>
      </c>
      <c r="C250" s="168" t="s">
        <v>126</v>
      </c>
      <c r="D250" s="169">
        <f t="shared" si="283"/>
      </c>
      <c r="E250" s="170">
        <v>1020.9200000000001</v>
      </c>
      <c r="F250" s="170">
        <v>478.94</v>
      </c>
      <c r="G250" s="170"/>
      <c r="H250" s="170">
        <v>0</v>
      </c>
      <c r="I250" s="170">
        <v>0</v>
      </c>
      <c r="J250" s="171">
        <f t="shared" si="190"/>
      </c>
      <c r="K250" s="172">
        <f t="shared" si="100"/>
      </c>
      <c r="L250" s="173">
        <f t="shared" si="40"/>
      </c>
      <c r="M250" s="174">
        <f t="shared" si="130"/>
      </c>
      <c r="N250" s="172">
        <f t="shared" si="10"/>
      </c>
      <c r="O250" s="173">
        <f t="shared" si="461"/>
      </c>
      <c r="P250" s="172">
        <f t="shared" si="431"/>
      </c>
      <c r="Q250" s="172">
        <f t="shared" si="353"/>
      </c>
      <c r="R250" s="173">
        <f t="shared" si="323"/>
      </c>
      <c r="S250" s="175">
        <f t="shared" si="220"/>
      </c>
      <c r="T250" s="173">
        <f t="shared" si="160"/>
      </c>
      <c r="U250" s="176">
        <f t="shared" si="70"/>
      </c>
      <c r="V250" s="177" t="s">
        <v>108</v>
      </c>
      <c r="W250" s="182" t="s">
        <v>133</v>
      </c>
      <c r="X250" s="205">
        <v>0</v>
      </c>
      <c r="Y250" s="169">
        <v>5150</v>
      </c>
      <c r="Z250" s="169">
        <v>323</v>
      </c>
      <c r="AA250" s="169">
        <v>677</v>
      </c>
      <c r="AB250" s="169">
        <v>100</v>
      </c>
      <c r="AC250" s="169">
        <v>20</v>
      </c>
      <c r="AD250" s="179">
        <v>0</v>
      </c>
      <c r="AE250" s="180">
        <v>8</v>
      </c>
      <c r="AF250" s="152"/>
      <c r="AG250" s="152"/>
    </row>
    <row r="251">
      <c r="A251" s="166"/>
      <c r="B251" s="184" t="s">
        <v>113</v>
      </c>
      <c r="C251" s="184"/>
      <c r="D251" s="185">
        <f>SUM(D247:D250)</f>
      </c>
      <c r="E251" s="185">
        <f>SUM(E247:E250)</f>
      </c>
      <c r="F251" s="185">
        <f>SUM(F247:F250)</f>
      </c>
      <c r="G251" s="185"/>
      <c r="H251" s="185">
        <f>SUM(H247:H250)</f>
      </c>
      <c r="I251" s="185">
        <f>SUM(I247:I250)</f>
      </c>
      <c r="J251" s="186">
        <f t="shared" si="190"/>
      </c>
      <c r="K251" s="187">
        <f t="shared" si="100"/>
      </c>
      <c r="L251" s="188">
        <f t="shared" si="40"/>
      </c>
      <c r="M251" s="189">
        <f t="shared" si="130"/>
      </c>
      <c r="N251" s="187">
        <f t="shared" si="10"/>
      </c>
      <c r="O251" s="188">
        <f t="shared" si="461"/>
      </c>
      <c r="P251" s="187">
        <f t="shared" si="431"/>
      </c>
      <c r="Q251" s="187">
        <f t="shared" si="353"/>
      </c>
      <c r="R251" s="188">
        <f t="shared" si="323"/>
      </c>
      <c r="S251" s="190">
        <f t="shared" si="220"/>
      </c>
      <c r="T251" s="188">
        <f t="shared" si="160"/>
      </c>
      <c r="U251" s="191">
        <f t="shared" si="70"/>
      </c>
      <c r="V251" s="191"/>
      <c r="W251" s="191"/>
      <c r="X251" s="207">
        <f>SUM(X247:X250)</f>
      </c>
      <c r="Y251" s="185">
        <f>SUM(Y247:Y250)</f>
      </c>
      <c r="Z251" s="185">
        <f>SUM(Z247:Z250)</f>
      </c>
      <c r="AA251" s="185">
        <f>SUM(AA247:AA250)</f>
      </c>
      <c r="AB251" s="185">
        <f>SUM(AB247:AB250)</f>
      </c>
      <c r="AC251" s="185">
        <f>SUM(AC247:AC250)</f>
      </c>
      <c r="AD251" s="185">
        <f>SUM(AD247:AD250)</f>
      </c>
      <c r="AE251" s="185">
        <f>SUM(AE247:AE250)</f>
      </c>
      <c r="AF251" s="152"/>
      <c r="AG251" s="152"/>
    </row>
    <row r="252">
      <c r="A252" s="166"/>
      <c r="B252" s="196" t="s">
        <v>130</v>
      </c>
      <c r="C252" s="196"/>
      <c r="D252" s="197">
        <f>D236+D241+D246+D251</f>
      </c>
      <c r="E252" s="197">
        <f>E236+E241+E246+E251</f>
      </c>
      <c r="F252" s="197">
        <f>F236+F241+F246+F251</f>
      </c>
      <c r="G252" s="197"/>
      <c r="H252" s="197">
        <f>H236+H241+H246+H251</f>
      </c>
      <c r="I252" s="197">
        <f>I236+I241+I246+I251</f>
      </c>
      <c r="J252" s="198">
        <f t="shared" si="190"/>
      </c>
      <c r="K252" s="199">
        <f t="shared" si="100"/>
      </c>
      <c r="L252" s="200">
        <f t="shared" si="40"/>
      </c>
      <c r="M252" s="201">
        <f t="shared" si="130"/>
      </c>
      <c r="N252" s="201">
        <f t="shared" si="10"/>
      </c>
      <c r="O252" s="200">
        <f t="shared" si="461"/>
      </c>
      <c r="P252" s="201">
        <f t="shared" si="431"/>
      </c>
      <c r="Q252" s="201">
        <f t="shared" si="353"/>
      </c>
      <c r="R252" s="200">
        <f t="shared" si="323"/>
      </c>
      <c r="S252" s="202">
        <f t="shared" si="220"/>
      </c>
      <c r="T252" s="200">
        <f t="shared" si="160"/>
      </c>
      <c r="U252" s="203">
        <f t="shared" si="70"/>
      </c>
      <c r="V252" s="203"/>
      <c r="W252" s="203"/>
      <c r="X252" s="198">
        <f>X236+X241+X246+X251</f>
      </c>
      <c r="Y252" s="198">
        <f>Y236+Y241+Y246+Y251</f>
      </c>
      <c r="Z252" s="198">
        <f>Z236+Z241+Z246+Z251</f>
      </c>
      <c r="AA252" s="198">
        <f>AA236+AA241+AA246+AA251</f>
      </c>
      <c r="AB252" s="198">
        <f>AB236+AB241+AB246+AB251</f>
      </c>
      <c r="AC252" s="198">
        <f>AC236+AC241+AC246+AC251</f>
      </c>
      <c r="AD252" s="198">
        <f>AD236+AD241+AD246+AD251</f>
      </c>
      <c r="AE252" s="198">
        <f>AE236+AE241+AE246+AE251</f>
      </c>
      <c r="AF252" s="152"/>
      <c r="AG252" s="152"/>
    </row>
    <row r="253">
      <c r="A253" s="146" t="s">
        <v>73</v>
      </c>
      <c r="B253" s="146"/>
      <c r="C253" s="146"/>
      <c r="D253" s="147" t="s">
        <v>74</v>
      </c>
      <c r="E253" s="147"/>
      <c r="F253" s="147"/>
      <c r="G253" s="147"/>
      <c r="H253" s="147"/>
      <c r="I253" s="147"/>
      <c r="J253" s="147"/>
      <c r="K253" s="148" t="s">
        <v>75</v>
      </c>
      <c r="L253" s="148"/>
      <c r="M253" s="148"/>
      <c r="N253" s="148"/>
      <c r="O253" s="148"/>
      <c r="P253" s="148"/>
      <c r="Q253" s="148"/>
      <c r="R253" s="148"/>
      <c r="S253" s="148"/>
      <c r="T253" s="148"/>
      <c r="U253" s="149"/>
      <c r="V253" s="149"/>
      <c r="W253" s="149"/>
      <c r="X253" s="150"/>
      <c r="Y253" s="150"/>
      <c r="Z253" s="150"/>
      <c r="AA253" s="150"/>
      <c r="AB253" s="150"/>
      <c r="AC253" s="150"/>
      <c r="AD253" s="150"/>
      <c r="AE253" s="151" t="s">
        <v>76</v>
      </c>
      <c r="AF253" s="152"/>
      <c r="AG253" s="152"/>
    </row>
    <row r="254">
      <c r="A254" s="153" t="s">
        <v>77</v>
      </c>
      <c r="B254" s="146" t="s">
        <v>78</v>
      </c>
      <c r="C254" s="146" t="s">
        <v>79</v>
      </c>
      <c r="D254" s="154" t="s">
        <v>80</v>
      </c>
      <c r="E254" s="155" t="s">
        <v>81</v>
      </c>
      <c r="F254" s="155" t="s">
        <v>82</v>
      </c>
      <c r="G254" s="155"/>
      <c r="H254" s="156" t="s">
        <v>83</v>
      </c>
      <c r="I254" s="157" t="s">
        <v>84</v>
      </c>
      <c r="J254" s="155" t="s">
        <v>85</v>
      </c>
      <c r="K254" s="158" t="s">
        <v>86</v>
      </c>
      <c r="L254" s="158" t="s">
        <v>87</v>
      </c>
      <c r="M254" s="159" t="s">
        <v>88</v>
      </c>
      <c r="N254" s="160" t="s">
        <v>89</v>
      </c>
      <c r="O254" s="148" t="s">
        <v>90</v>
      </c>
      <c r="P254" s="160" t="s">
        <v>91</v>
      </c>
      <c r="Q254" s="160" t="s">
        <v>92</v>
      </c>
      <c r="R254" s="161" t="s">
        <v>93</v>
      </c>
      <c r="S254" s="160" t="s">
        <v>94</v>
      </c>
      <c r="T254" s="161" t="s">
        <v>95</v>
      </c>
      <c r="U254" s="162" t="s">
        <v>96</v>
      </c>
      <c r="V254" s="162" t="s">
        <v>97</v>
      </c>
      <c r="W254" s="162" t="s">
        <v>98</v>
      </c>
      <c r="X254" s="163" t="s">
        <v>99</v>
      </c>
      <c r="Y254" s="164" t="s">
        <v>100</v>
      </c>
      <c r="Z254" s="164" t="s">
        <v>101</v>
      </c>
      <c r="AA254" s="164" t="s">
        <v>102</v>
      </c>
      <c r="AB254" s="164" t="s">
        <v>103</v>
      </c>
      <c r="AC254" s="164" t="s">
        <v>104</v>
      </c>
      <c r="AD254" s="165" t="s">
        <v>105</v>
      </c>
      <c r="AE254" s="151"/>
      <c r="AF254" s="152"/>
      <c r="AG254" s="152"/>
    </row>
    <row r="255">
      <c r="A255" s="166">
        <v>46277</v>
      </c>
      <c r="B255" s="167" t="s">
        <v>106</v>
      </c>
      <c r="C255" s="168" t="s">
        <v>120</v>
      </c>
      <c r="D255" s="169">
        <f t="shared" ref="D255:D258" si="284">E255+F255</f>
      </c>
      <c r="E255" s="170">
        <v>2995.43</v>
      </c>
      <c r="F255" s="169">
        <v>986.95</v>
      </c>
      <c r="G255" s="169"/>
      <c r="H255" s="170">
        <v>5</v>
      </c>
      <c r="I255" s="170">
        <v>9190.760000000002</v>
      </c>
      <c r="J255" s="171">
        <f t="shared" ref="J255:J275" si="191">I255/D255</f>
      </c>
      <c r="K255" s="172">
        <f t="shared" ref="K255:K275" si="101">Z255/Y255</f>
      </c>
      <c r="L255" s="173">
        <f t="shared" ref="L255:L275" si="41">D255/AA255</f>
      </c>
      <c r="M255" s="174">
        <f t="shared" ref="M255:M275" si="131">AB255/AA255</f>
      </c>
      <c r="N255" s="172">
        <f t="shared" ref="N255:N275" si="11">AC255/AA255</f>
      </c>
      <c r="O255" s="173">
        <f t="shared" ref="O255:O275" si="462">D255/AC255</f>
      </c>
      <c r="P255" s="172">
        <f t="shared" ref="P255:P275" si="432">AD255/AC255</f>
      </c>
      <c r="Q255" s="172">
        <f t="shared" ref="Q255:Q275" si="354">H255/AD255</f>
      </c>
      <c r="R255" s="173">
        <f t="shared" ref="R255:R275" si="324">D255/H255</f>
      </c>
      <c r="S255" s="175">
        <f t="shared" ref="S255:S275" si="221">I255/H255</f>
      </c>
      <c r="T255" s="173">
        <f t="shared" ref="T255:T275" si="161">D255/X255</f>
      </c>
      <c r="U255" s="176">
        <f t="shared" ref="U255:U275" si="71">AE255*1000/D255</f>
      </c>
      <c r="V255" s="177" t="s">
        <v>108</v>
      </c>
      <c r="W255" s="178" t="s">
        <v>132</v>
      </c>
      <c r="X255" s="169">
        <v>5</v>
      </c>
      <c r="Y255" s="169">
        <v>19237</v>
      </c>
      <c r="Z255" s="169">
        <v>1048</v>
      </c>
      <c r="AA255" s="169">
        <v>1995</v>
      </c>
      <c r="AB255" s="169">
        <v>403</v>
      </c>
      <c r="AC255" s="179">
        <v>30</v>
      </c>
      <c r="AD255" s="179">
        <v>7</v>
      </c>
      <c r="AE255" s="180">
        <v>30</v>
      </c>
      <c r="AF255" s="152"/>
      <c r="AG255" s="152"/>
    </row>
    <row r="256">
      <c r="A256" s="166"/>
      <c r="B256" s="181" t="s">
        <v>110</v>
      </c>
      <c r="C256" s="168" t="s">
        <v>120</v>
      </c>
      <c r="D256" s="169">
        <f t="shared" si="284"/>
      </c>
      <c r="E256" s="169">
        <v>2970.05</v>
      </c>
      <c r="F256" s="169">
        <v>954.62</v>
      </c>
      <c r="G256" s="169"/>
      <c r="H256" s="170">
        <v>3</v>
      </c>
      <c r="I256" s="170">
        <v>4574.279999999999</v>
      </c>
      <c r="J256" s="171">
        <f t="shared" si="191"/>
      </c>
      <c r="K256" s="172">
        <f t="shared" si="101"/>
      </c>
      <c r="L256" s="173">
        <f t="shared" si="41"/>
      </c>
      <c r="M256" s="174">
        <f t="shared" si="131"/>
      </c>
      <c r="N256" s="172">
        <f t="shared" si="11"/>
      </c>
      <c r="O256" s="173">
        <f t="shared" si="462"/>
      </c>
      <c r="P256" s="172">
        <f t="shared" si="432"/>
      </c>
      <c r="Q256" s="172">
        <f t="shared" si="354"/>
      </c>
      <c r="R256" s="173">
        <f t="shared" si="324"/>
      </c>
      <c r="S256" s="175">
        <f t="shared" si="221"/>
      </c>
      <c r="T256" s="173">
        <f t="shared" si="161"/>
      </c>
      <c r="U256" s="176">
        <f t="shared" si="71"/>
      </c>
      <c r="V256" s="177" t="s">
        <v>108</v>
      </c>
      <c r="W256" s="178" t="s">
        <v>132</v>
      </c>
      <c r="X256" s="205">
        <v>3</v>
      </c>
      <c r="Y256" s="169">
        <v>13071</v>
      </c>
      <c r="Z256" s="169">
        <v>398</v>
      </c>
      <c r="AA256" s="169">
        <v>455</v>
      </c>
      <c r="AB256" s="169">
        <v>101</v>
      </c>
      <c r="AC256" s="169">
        <v>55</v>
      </c>
      <c r="AD256" s="179">
        <v>4</v>
      </c>
      <c r="AE256" s="180">
        <v>17</v>
      </c>
      <c r="AF256" s="152"/>
      <c r="AG256" s="152"/>
    </row>
    <row r="257">
      <c r="A257" s="166"/>
      <c r="B257" s="181" t="s">
        <v>111</v>
      </c>
      <c r="C257" s="168" t="s">
        <v>120</v>
      </c>
      <c r="D257" s="169">
        <f t="shared" si="284"/>
      </c>
      <c r="E257" s="169">
        <v>1127.5700000000002</v>
      </c>
      <c r="F257" s="169">
        <v>942.82</v>
      </c>
      <c r="G257" s="169"/>
      <c r="H257" s="170">
        <v>2</v>
      </c>
      <c r="I257" s="169">
        <v>7484.279999999999</v>
      </c>
      <c r="J257" s="171">
        <f t="shared" si="191"/>
      </c>
      <c r="K257" s="172">
        <f t="shared" si="101"/>
      </c>
      <c r="L257" s="173">
        <f t="shared" si="41"/>
      </c>
      <c r="M257" s="174">
        <f t="shared" si="131"/>
      </c>
      <c r="N257" s="172">
        <f t="shared" si="11"/>
      </c>
      <c r="O257" s="173">
        <f t="shared" si="462"/>
      </c>
      <c r="P257" s="172">
        <f t="shared" si="432"/>
      </c>
      <c r="Q257" s="172">
        <f t="shared" si="354"/>
      </c>
      <c r="R257" s="173">
        <f t="shared" si="324"/>
      </c>
      <c r="S257" s="175">
        <f t="shared" si="221"/>
      </c>
      <c r="T257" s="173">
        <f t="shared" si="161"/>
      </c>
      <c r="U257" s="176">
        <f t="shared" si="71"/>
      </c>
      <c r="V257" s="177" t="s">
        <v>108</v>
      </c>
      <c r="W257" s="178" t="s">
        <v>132</v>
      </c>
      <c r="X257" s="205">
        <v>1</v>
      </c>
      <c r="Y257" s="169">
        <v>7236</v>
      </c>
      <c r="Z257" s="169">
        <v>154</v>
      </c>
      <c r="AA257" s="169">
        <v>173</v>
      </c>
      <c r="AB257" s="169">
        <v>39</v>
      </c>
      <c r="AC257" s="169">
        <v>35</v>
      </c>
      <c r="AD257" s="179">
        <v>3</v>
      </c>
      <c r="AE257" s="180">
        <v>15</v>
      </c>
      <c r="AF257" s="152"/>
      <c r="AG257" s="152"/>
    </row>
    <row r="258">
      <c r="A258" s="166"/>
      <c r="B258" s="183" t="s">
        <v>112</v>
      </c>
      <c r="C258" s="168" t="s">
        <v>120</v>
      </c>
      <c r="D258" s="169">
        <f t="shared" si="284"/>
      </c>
      <c r="E258" s="169">
        <v>6603.8099999999995</v>
      </c>
      <c r="F258" s="169">
        <v>945.27</v>
      </c>
      <c r="G258" s="169"/>
      <c r="H258" s="170">
        <v>5</v>
      </c>
      <c r="I258" s="170">
        <v>7791.959999999999</v>
      </c>
      <c r="J258" s="171">
        <f t="shared" si="191"/>
      </c>
      <c r="K258" s="172">
        <f t="shared" si="101"/>
      </c>
      <c r="L258" s="173">
        <f t="shared" si="41"/>
      </c>
      <c r="M258" s="174">
        <f t="shared" si="131"/>
      </c>
      <c r="N258" s="172">
        <f t="shared" si="11"/>
      </c>
      <c r="O258" s="173">
        <f t="shared" si="462"/>
      </c>
      <c r="P258" s="172">
        <f t="shared" si="432"/>
      </c>
      <c r="Q258" s="172">
        <f t="shared" si="354"/>
      </c>
      <c r="R258" s="173">
        <f t="shared" si="324"/>
      </c>
      <c r="S258" s="175">
        <f t="shared" si="221"/>
      </c>
      <c r="T258" s="173">
        <f t="shared" si="161"/>
      </c>
      <c r="U258" s="176">
        <f t="shared" si="71"/>
      </c>
      <c r="V258" s="177" t="s">
        <v>108</v>
      </c>
      <c r="W258" s="178" t="s">
        <v>132</v>
      </c>
      <c r="X258" s="205">
        <v>5</v>
      </c>
      <c r="Y258" s="169">
        <v>32276</v>
      </c>
      <c r="Z258" s="169">
        <v>1021</v>
      </c>
      <c r="AA258" s="169">
        <v>1183</v>
      </c>
      <c r="AB258" s="169">
        <v>235</v>
      </c>
      <c r="AC258" s="169">
        <v>94</v>
      </c>
      <c r="AD258" s="179">
        <v>7</v>
      </c>
      <c r="AE258" s="180">
        <v>40</v>
      </c>
      <c r="AF258" s="152"/>
      <c r="AG258" s="152"/>
    </row>
    <row r="259">
      <c r="A259" s="166"/>
      <c r="B259" s="184" t="s">
        <v>113</v>
      </c>
      <c r="C259" s="184"/>
      <c r="D259" s="185">
        <f>SUM(D255:D258)</f>
      </c>
      <c r="E259" s="185">
        <f>SUM(E255:E258)</f>
      </c>
      <c r="F259" s="185">
        <f>SUM(F255:F258)</f>
      </c>
      <c r="G259" s="185"/>
      <c r="H259" s="185">
        <f>SUM(H255:H258)</f>
      </c>
      <c r="I259" s="185">
        <f>SUM(I255:I258)</f>
      </c>
      <c r="J259" s="186">
        <f t="shared" si="191"/>
      </c>
      <c r="K259" s="187">
        <f t="shared" si="101"/>
      </c>
      <c r="L259" s="188">
        <f t="shared" si="41"/>
      </c>
      <c r="M259" s="189">
        <f t="shared" si="131"/>
      </c>
      <c r="N259" s="187">
        <f t="shared" si="11"/>
      </c>
      <c r="O259" s="188">
        <f t="shared" si="462"/>
      </c>
      <c r="P259" s="187">
        <f t="shared" si="432"/>
      </c>
      <c r="Q259" s="187">
        <f t="shared" si="354"/>
      </c>
      <c r="R259" s="188">
        <f t="shared" si="324"/>
      </c>
      <c r="S259" s="190">
        <f t="shared" si="221"/>
      </c>
      <c r="T259" s="188">
        <f t="shared" si="161"/>
      </c>
      <c r="U259" s="191">
        <f t="shared" si="71"/>
      </c>
      <c r="V259" s="191"/>
      <c r="W259" s="191"/>
      <c r="X259" s="206">
        <f>SUM(X255:X258)</f>
      </c>
      <c r="Y259" s="185">
        <f>SUM(Y255:Y258)</f>
      </c>
      <c r="Z259" s="185">
        <f>SUM(Z255:Z258)</f>
      </c>
      <c r="AA259" s="185">
        <f>SUM(AA255:AA258)</f>
      </c>
      <c r="AB259" s="185">
        <f>SUM(AB255:AB258)</f>
      </c>
      <c r="AC259" s="185">
        <f>SUM(AC255:AC258)</f>
      </c>
      <c r="AD259" s="185">
        <f>SUM(AD255:AD258)</f>
      </c>
      <c r="AE259" s="185">
        <f>SUM(AE255:AE258)</f>
      </c>
      <c r="AF259" s="152"/>
      <c r="AG259" s="152"/>
    </row>
    <row r="260">
      <c r="A260" s="166"/>
      <c r="B260" s="181" t="s">
        <v>114</v>
      </c>
      <c r="C260" s="168" t="s">
        <v>107</v>
      </c>
      <c r="D260" s="169">
        <f t="shared" ref="D260:D263" si="285">E260+F260</f>
      </c>
      <c r="E260" s="169">
        <v>2951.39</v>
      </c>
      <c r="F260" s="169">
        <v>1997.96</v>
      </c>
      <c r="G260" s="169"/>
      <c r="H260" s="170">
        <v>5</v>
      </c>
      <c r="I260" s="170">
        <v>15775.199999999997</v>
      </c>
      <c r="J260" s="171">
        <f t="shared" si="191"/>
      </c>
      <c r="K260" s="172">
        <f t="shared" si="101"/>
      </c>
      <c r="L260" s="173">
        <f t="shared" si="41"/>
      </c>
      <c r="M260" s="174">
        <f t="shared" si="131"/>
      </c>
      <c r="N260" s="172">
        <f t="shared" si="11"/>
      </c>
      <c r="O260" s="173">
        <f t="shared" si="462"/>
      </c>
      <c r="P260" s="172">
        <f t="shared" si="432"/>
      </c>
      <c r="Q260" s="172">
        <f t="shared" si="354"/>
      </c>
      <c r="R260" s="173">
        <f t="shared" si="324"/>
      </c>
      <c r="S260" s="175">
        <f t="shared" si="221"/>
      </c>
      <c r="T260" s="173">
        <f t="shared" si="161"/>
      </c>
      <c r="U260" s="176">
        <f t="shared" si="71"/>
      </c>
      <c r="V260" s="177" t="s">
        <v>108</v>
      </c>
      <c r="W260" s="178" t="s">
        <v>132</v>
      </c>
      <c r="X260" s="205">
        <v>4</v>
      </c>
      <c r="Y260" s="169">
        <v>21745</v>
      </c>
      <c r="Z260" s="169">
        <v>1949</v>
      </c>
      <c r="AA260" s="169">
        <v>4034</v>
      </c>
      <c r="AB260" s="169">
        <v>790</v>
      </c>
      <c r="AC260" s="169">
        <v>45</v>
      </c>
      <c r="AD260" s="179">
        <v>7</v>
      </c>
      <c r="AE260" s="180">
        <v>50</v>
      </c>
      <c r="AF260" s="152"/>
      <c r="AG260" s="152"/>
    </row>
    <row r="261">
      <c r="A261" s="166"/>
      <c r="B261" s="181" t="s">
        <v>116</v>
      </c>
      <c r="C261" s="168" t="s">
        <v>107</v>
      </c>
      <c r="D261" s="169">
        <f t="shared" si="285"/>
      </c>
      <c r="E261" s="169">
        <v>2127.9500000000003</v>
      </c>
      <c r="F261" s="169">
        <v>3208.13</v>
      </c>
      <c r="G261" s="169"/>
      <c r="H261" s="170">
        <v>4</v>
      </c>
      <c r="I261" s="170">
        <v>8703.36</v>
      </c>
      <c r="J261" s="171">
        <f t="shared" si="191"/>
      </c>
      <c r="K261" s="172">
        <f t="shared" si="101"/>
      </c>
      <c r="L261" s="173">
        <f t="shared" si="41"/>
      </c>
      <c r="M261" s="174">
        <f t="shared" si="131"/>
      </c>
      <c r="N261" s="172">
        <f t="shared" si="11"/>
      </c>
      <c r="O261" s="173">
        <f t="shared" si="462"/>
      </c>
      <c r="P261" s="172">
        <f t="shared" si="432"/>
      </c>
      <c r="Q261" s="172">
        <f t="shared" si="354"/>
      </c>
      <c r="R261" s="173">
        <f t="shared" si="324"/>
      </c>
      <c r="S261" s="175">
        <f t="shared" si="221"/>
      </c>
      <c r="T261" s="173">
        <f t="shared" si="161"/>
      </c>
      <c r="U261" s="176">
        <f t="shared" si="71"/>
      </c>
      <c r="V261" s="177" t="s">
        <v>108</v>
      </c>
      <c r="W261" s="178" t="s">
        <v>132</v>
      </c>
      <c r="X261" s="205">
        <v>4</v>
      </c>
      <c r="Y261" s="169">
        <v>16261</v>
      </c>
      <c r="Z261" s="169">
        <v>1765</v>
      </c>
      <c r="AA261" s="169">
        <v>4090</v>
      </c>
      <c r="AB261" s="169">
        <v>778</v>
      </c>
      <c r="AC261" s="169">
        <v>65</v>
      </c>
      <c r="AD261" s="179">
        <v>5</v>
      </c>
      <c r="AE261" s="180">
        <v>35</v>
      </c>
      <c r="AF261" s="152"/>
      <c r="AG261" s="152"/>
    </row>
    <row r="262">
      <c r="A262" s="166"/>
      <c r="B262" s="181" t="s">
        <v>117</v>
      </c>
      <c r="C262" s="168" t="s">
        <v>107</v>
      </c>
      <c r="D262" s="169">
        <f t="shared" si="285"/>
      </c>
      <c r="E262" s="169">
        <v>1313.1299999999999</v>
      </c>
      <c r="F262" s="169">
        <v>2421.72</v>
      </c>
      <c r="G262" s="169"/>
      <c r="H262" s="170">
        <v>3</v>
      </c>
      <c r="I262" s="170">
        <v>2616.4000000000015</v>
      </c>
      <c r="J262" s="171">
        <f t="shared" si="191"/>
      </c>
      <c r="K262" s="172">
        <f t="shared" si="101"/>
      </c>
      <c r="L262" s="173">
        <f t="shared" si="41"/>
      </c>
      <c r="M262" s="174">
        <f t="shared" si="131"/>
      </c>
      <c r="N262" s="172">
        <f t="shared" si="11"/>
      </c>
      <c r="O262" s="173">
        <f t="shared" si="462"/>
      </c>
      <c r="P262" s="172">
        <f t="shared" si="432"/>
      </c>
      <c r="Q262" s="172">
        <f t="shared" si="354"/>
      </c>
      <c r="R262" s="173">
        <f t="shared" si="324"/>
      </c>
      <c r="S262" s="175">
        <f t="shared" si="221"/>
      </c>
      <c r="T262" s="173">
        <f t="shared" si="161"/>
      </c>
      <c r="U262" s="176">
        <f t="shared" si="71"/>
      </c>
      <c r="V262" s="177" t="s">
        <v>108</v>
      </c>
      <c r="W262" s="178" t="s">
        <v>132</v>
      </c>
      <c r="X262" s="205">
        <v>2</v>
      </c>
      <c r="Y262" s="169">
        <v>14568</v>
      </c>
      <c r="Z262" s="169">
        <v>1655</v>
      </c>
      <c r="AA262" s="169">
        <v>3734</v>
      </c>
      <c r="AB262" s="169">
        <v>686</v>
      </c>
      <c r="AC262" s="169">
        <v>34</v>
      </c>
      <c r="AD262" s="179">
        <v>6</v>
      </c>
      <c r="AE262" s="180">
        <v>22</v>
      </c>
      <c r="AF262" s="152"/>
      <c r="AG262" s="152"/>
    </row>
    <row r="263">
      <c r="A263" s="166"/>
      <c r="B263" s="181" t="s">
        <v>118</v>
      </c>
      <c r="C263" s="168" t="s">
        <v>107</v>
      </c>
      <c r="D263" s="169">
        <f t="shared" si="285"/>
      </c>
      <c r="E263" s="170">
        <v>3091.03</v>
      </c>
      <c r="F263" s="170">
        <v>1940.75</v>
      </c>
      <c r="G263" s="170"/>
      <c r="H263" s="170">
        <v>1</v>
      </c>
      <c r="I263" s="170">
        <v>1216.0800000000017</v>
      </c>
      <c r="J263" s="171">
        <f t="shared" si="191"/>
      </c>
      <c r="K263" s="172">
        <f t="shared" si="101"/>
      </c>
      <c r="L263" s="173">
        <f t="shared" si="41"/>
      </c>
      <c r="M263" s="174">
        <f t="shared" si="131"/>
      </c>
      <c r="N263" s="172">
        <f t="shared" si="11"/>
      </c>
      <c r="O263" s="173">
        <f t="shared" si="462"/>
      </c>
      <c r="P263" s="172">
        <f t="shared" si="432"/>
      </c>
      <c r="Q263" s="172">
        <f t="shared" si="354"/>
      </c>
      <c r="R263" s="173">
        <f t="shared" si="324"/>
      </c>
      <c r="S263" s="175">
        <f t="shared" si="221"/>
      </c>
      <c r="T263" s="173">
        <f t="shared" si="161"/>
      </c>
      <c r="U263" s="176">
        <f t="shared" si="71"/>
      </c>
      <c r="V263" s="177" t="s">
        <v>108</v>
      </c>
      <c r="W263" s="178" t="s">
        <v>132</v>
      </c>
      <c r="X263" s="205">
        <v>0</v>
      </c>
      <c r="Y263" s="169">
        <v>19367</v>
      </c>
      <c r="Z263" s="169">
        <v>1775</v>
      </c>
      <c r="AA263" s="169">
        <v>3630</v>
      </c>
      <c r="AB263" s="169">
        <v>788</v>
      </c>
      <c r="AC263" s="169">
        <v>51</v>
      </c>
      <c r="AD263" s="179">
        <v>2</v>
      </c>
      <c r="AE263" s="180">
        <v>24</v>
      </c>
      <c r="AF263" s="152"/>
      <c r="AG263" s="152"/>
    </row>
    <row r="264">
      <c r="A264" s="166"/>
      <c r="B264" s="184" t="s">
        <v>113</v>
      </c>
      <c r="C264" s="184"/>
      <c r="D264" s="185">
        <f>SUM(D260:D263)</f>
      </c>
      <c r="E264" s="185">
        <f>SUM(E260:E263)</f>
      </c>
      <c r="F264" s="185">
        <f>SUM(F260:F263)</f>
      </c>
      <c r="G264" s="185"/>
      <c r="H264" s="185">
        <f>SUM(H260:H263)</f>
      </c>
      <c r="I264" s="185">
        <f>SUM(I260:I263)</f>
      </c>
      <c r="J264" s="186">
        <f t="shared" si="191"/>
      </c>
      <c r="K264" s="187">
        <f t="shared" si="101"/>
      </c>
      <c r="L264" s="188">
        <f t="shared" si="41"/>
      </c>
      <c r="M264" s="189">
        <f t="shared" si="131"/>
      </c>
      <c r="N264" s="187">
        <f t="shared" si="11"/>
      </c>
      <c r="O264" s="188">
        <f t="shared" si="462"/>
      </c>
      <c r="P264" s="187">
        <f t="shared" si="432"/>
      </c>
      <c r="Q264" s="187">
        <f t="shared" si="354"/>
      </c>
      <c r="R264" s="188">
        <f t="shared" si="324"/>
      </c>
      <c r="S264" s="190">
        <f t="shared" si="221"/>
      </c>
      <c r="T264" s="188">
        <f t="shared" si="161"/>
      </c>
      <c r="U264" s="191">
        <f t="shared" si="71"/>
      </c>
      <c r="V264" s="191"/>
      <c r="W264" s="191"/>
      <c r="X264" s="206">
        <f>SUM(X260:X263)</f>
      </c>
      <c r="Y264" s="209">
        <f>SUM(Y260:Y263)</f>
      </c>
      <c r="Z264" s="209">
        <f>SUM(Z260:Z263)</f>
      </c>
      <c r="AA264" s="209">
        <f>SUM(AA260:AA263)</f>
      </c>
      <c r="AB264" s="209">
        <f>SUM(AB260:AB263)</f>
      </c>
      <c r="AC264" s="209">
        <f>SUM(AC260:AC263)</f>
      </c>
      <c r="AD264" s="209">
        <f>SUM(AD260:AD263)</f>
      </c>
      <c r="AE264" s="209">
        <f>SUM(AE260:AE263)</f>
      </c>
      <c r="AF264" s="152"/>
      <c r="AG264" s="152"/>
    </row>
    <row r="265">
      <c r="A265" s="166"/>
      <c r="B265" s="192" t="s">
        <v>119</v>
      </c>
      <c r="C265" s="168" t="s">
        <v>115</v>
      </c>
      <c r="D265" s="169">
        <f t="shared" ref="D265:D268" si="286">E265+F265</f>
      </c>
      <c r="E265" s="170">
        <v>1471.69</v>
      </c>
      <c r="F265" s="170">
        <v>703.53</v>
      </c>
      <c r="G265" s="170"/>
      <c r="H265" s="170">
        <v>1</v>
      </c>
      <c r="I265" s="170">
        <v>2599.2000000000044</v>
      </c>
      <c r="J265" s="171">
        <f t="shared" si="191"/>
      </c>
      <c r="K265" s="172">
        <f t="shared" si="101"/>
      </c>
      <c r="L265" s="173">
        <f t="shared" si="41"/>
      </c>
      <c r="M265" s="174">
        <f t="shared" si="131"/>
      </c>
      <c r="N265" s="172">
        <f t="shared" si="11"/>
      </c>
      <c r="O265" s="173">
        <f t="shared" si="462"/>
      </c>
      <c r="P265" s="172">
        <f t="shared" si="432"/>
      </c>
      <c r="Q265" s="172">
        <f t="shared" si="354"/>
      </c>
      <c r="R265" s="173">
        <f t="shared" si="324"/>
      </c>
      <c r="S265" s="175">
        <f t="shared" si="221"/>
      </c>
      <c r="T265" s="173">
        <f t="shared" si="161"/>
      </c>
      <c r="U265" s="176">
        <f t="shared" si="71"/>
      </c>
      <c r="V265" s="177" t="s">
        <v>108</v>
      </c>
      <c r="W265" s="178" t="s">
        <v>133</v>
      </c>
      <c r="X265" s="205">
        <v>1</v>
      </c>
      <c r="Y265" s="169">
        <v>6058</v>
      </c>
      <c r="Z265" s="169">
        <v>573</v>
      </c>
      <c r="AA265" s="169">
        <v>1116</v>
      </c>
      <c r="AB265" s="169">
        <v>236</v>
      </c>
      <c r="AC265" s="169">
        <v>19</v>
      </c>
      <c r="AD265" s="179">
        <v>2</v>
      </c>
      <c r="AE265" s="180">
        <v>15</v>
      </c>
      <c r="AF265" s="152"/>
      <c r="AG265" s="152"/>
    </row>
    <row r="266">
      <c r="A266" s="166"/>
      <c r="B266" s="194" t="s">
        <v>122</v>
      </c>
      <c r="C266" s="168" t="s">
        <v>115</v>
      </c>
      <c r="D266" s="169">
        <f t="shared" si="286"/>
      </c>
      <c r="E266" s="170">
        <v>1333.31</v>
      </c>
      <c r="F266" s="170">
        <v>935.51</v>
      </c>
      <c r="G266" s="170"/>
      <c r="H266" s="170">
        <v>1</v>
      </c>
      <c r="I266" s="170">
        <v>466.5599999999977</v>
      </c>
      <c r="J266" s="171">
        <f t="shared" si="191"/>
      </c>
      <c r="K266" s="172">
        <f t="shared" si="101"/>
      </c>
      <c r="L266" s="173">
        <f t="shared" si="41"/>
      </c>
      <c r="M266" s="174">
        <f t="shared" si="131"/>
      </c>
      <c r="N266" s="172">
        <f t="shared" si="11"/>
      </c>
      <c r="O266" s="173">
        <f t="shared" si="462"/>
      </c>
      <c r="P266" s="172">
        <f t="shared" si="432"/>
      </c>
      <c r="Q266" s="172">
        <f t="shared" si="354"/>
      </c>
      <c r="R266" s="173">
        <f t="shared" si="324"/>
      </c>
      <c r="S266" s="175">
        <f t="shared" si="221"/>
      </c>
      <c r="T266" s="173">
        <f t="shared" si="161"/>
      </c>
      <c r="U266" s="176">
        <f t="shared" si="71"/>
      </c>
      <c r="V266" s="177" t="s">
        <v>108</v>
      </c>
      <c r="W266" s="182" t="s">
        <v>133</v>
      </c>
      <c r="X266" s="205">
        <v>1</v>
      </c>
      <c r="Y266" s="169">
        <v>10256</v>
      </c>
      <c r="Z266" s="169">
        <v>1075</v>
      </c>
      <c r="AA266" s="169">
        <v>2443</v>
      </c>
      <c r="AB266" s="169">
        <v>436</v>
      </c>
      <c r="AC266" s="169">
        <v>22</v>
      </c>
      <c r="AD266" s="179">
        <v>2</v>
      </c>
      <c r="AE266" s="180">
        <v>19</v>
      </c>
      <c r="AF266" s="152"/>
      <c r="AG266" s="152"/>
    </row>
    <row r="267">
      <c r="A267" s="166"/>
      <c r="B267" s="183" t="s">
        <v>123</v>
      </c>
      <c r="C267" s="168" t="s">
        <v>115</v>
      </c>
      <c r="D267" s="169">
        <f t="shared" si="286"/>
      </c>
      <c r="E267" s="170">
        <v>1616.55</v>
      </c>
      <c r="F267" s="170">
        <v>1236.27</v>
      </c>
      <c r="G267" s="170"/>
      <c r="H267" s="170">
        <v>0</v>
      </c>
      <c r="I267" s="170">
        <v>0</v>
      </c>
      <c r="J267" s="171">
        <f t="shared" si="191"/>
      </c>
      <c r="K267" s="172">
        <f t="shared" si="101"/>
      </c>
      <c r="L267" s="173">
        <f t="shared" si="41"/>
      </c>
      <c r="M267" s="174">
        <f t="shared" si="131"/>
      </c>
      <c r="N267" s="172">
        <f t="shared" si="11"/>
      </c>
      <c r="O267" s="173">
        <f t="shared" si="462"/>
      </c>
      <c r="P267" s="172">
        <f t="shared" si="432"/>
      </c>
      <c r="Q267" s="172">
        <f t="shared" si="354"/>
      </c>
      <c r="R267" s="173">
        <f t="shared" si="324"/>
      </c>
      <c r="S267" s="175">
        <f t="shared" si="221"/>
      </c>
      <c r="T267" s="173">
        <f t="shared" si="161"/>
      </c>
      <c r="U267" s="176">
        <f t="shared" si="71"/>
      </c>
      <c r="V267" s="177" t="s">
        <v>108</v>
      </c>
      <c r="W267" s="182" t="s">
        <v>133</v>
      </c>
      <c r="X267" s="205">
        <v>0</v>
      </c>
      <c r="Y267" s="169">
        <v>14897</v>
      </c>
      <c r="Z267" s="169">
        <v>1453</v>
      </c>
      <c r="AA267" s="169">
        <v>3089</v>
      </c>
      <c r="AB267" s="169">
        <v>541</v>
      </c>
      <c r="AC267" s="169">
        <v>45</v>
      </c>
      <c r="AD267" s="179">
        <v>0</v>
      </c>
      <c r="AE267" s="180">
        <v>28</v>
      </c>
      <c r="AF267" s="152"/>
      <c r="AG267" s="152"/>
    </row>
    <row r="268">
      <c r="A268" s="166"/>
      <c r="B268" s="183" t="s">
        <v>124</v>
      </c>
      <c r="C268" s="168" t="s">
        <v>115</v>
      </c>
      <c r="D268" s="169">
        <f t="shared" si="286"/>
      </c>
      <c r="E268" s="170">
        <v>3512.88</v>
      </c>
      <c r="F268" s="170">
        <v>298.54</v>
      </c>
      <c r="G268" s="170"/>
      <c r="H268" s="170">
        <v>6</v>
      </c>
      <c r="I268" s="170">
        <v>10787.160000000003</v>
      </c>
      <c r="J268" s="171">
        <f t="shared" si="191"/>
      </c>
      <c r="K268" s="172">
        <f t="shared" si="101"/>
      </c>
      <c r="L268" s="173">
        <f t="shared" si="41"/>
      </c>
      <c r="M268" s="174">
        <f t="shared" si="131"/>
      </c>
      <c r="N268" s="172">
        <f t="shared" si="11"/>
      </c>
      <c r="O268" s="173">
        <f t="shared" si="462"/>
      </c>
      <c r="P268" s="172">
        <f t="shared" si="432"/>
      </c>
      <c r="Q268" s="172">
        <f t="shared" si="354"/>
      </c>
      <c r="R268" s="173">
        <f t="shared" si="324"/>
      </c>
      <c r="S268" s="175">
        <f t="shared" si="221"/>
      </c>
      <c r="T268" s="173">
        <f t="shared" si="161"/>
      </c>
      <c r="U268" s="176">
        <f t="shared" si="71"/>
      </c>
      <c r="V268" s="177" t="s">
        <v>108</v>
      </c>
      <c r="W268" s="182" t="s">
        <v>133</v>
      </c>
      <c r="X268" s="205">
        <v>5</v>
      </c>
      <c r="Y268" s="169">
        <v>27250</v>
      </c>
      <c r="Z268" s="169">
        <v>794</v>
      </c>
      <c r="AA268" s="169">
        <v>1138</v>
      </c>
      <c r="AB268" s="169">
        <v>222</v>
      </c>
      <c r="AC268" s="169">
        <v>25</v>
      </c>
      <c r="AD268" s="179">
        <v>7</v>
      </c>
      <c r="AE268" s="180">
        <v>26</v>
      </c>
      <c r="AF268" s="152"/>
      <c r="AG268" s="152"/>
    </row>
    <row r="269">
      <c r="A269" s="166"/>
      <c r="B269" s="184" t="s">
        <v>113</v>
      </c>
      <c r="C269" s="184"/>
      <c r="D269" s="185">
        <f>SUM(D265:D268)</f>
      </c>
      <c r="E269" s="185">
        <f>SUM(E265:E268)</f>
      </c>
      <c r="F269" s="185">
        <f>SUM(F265:F268)</f>
      </c>
      <c r="G269" s="185"/>
      <c r="H269" s="185">
        <f>SUM(H265:H268)</f>
      </c>
      <c r="I269" s="185">
        <f>SUM(I265:I268)</f>
      </c>
      <c r="J269" s="186">
        <f t="shared" si="191"/>
      </c>
      <c r="K269" s="187">
        <f t="shared" si="101"/>
      </c>
      <c r="L269" s="188">
        <f t="shared" si="41"/>
      </c>
      <c r="M269" s="189">
        <f t="shared" si="131"/>
      </c>
      <c r="N269" s="187">
        <f t="shared" si="11"/>
      </c>
      <c r="O269" s="188">
        <f t="shared" si="462"/>
      </c>
      <c r="P269" s="187">
        <f t="shared" si="432"/>
      </c>
      <c r="Q269" s="187">
        <f t="shared" si="354"/>
      </c>
      <c r="R269" s="188">
        <f t="shared" si="324"/>
      </c>
      <c r="S269" s="190">
        <f t="shared" si="221"/>
      </c>
      <c r="T269" s="188">
        <f t="shared" si="161"/>
      </c>
      <c r="U269" s="191">
        <f t="shared" si="71"/>
      </c>
      <c r="V269" s="191"/>
      <c r="W269" s="191"/>
      <c r="X269" s="206">
        <f>SUM(X265:X268)</f>
      </c>
      <c r="Y269" s="209">
        <f>SUM(Y265:Y268)</f>
      </c>
      <c r="Z269" s="209">
        <f>SUM(Z265:Z268)</f>
      </c>
      <c r="AA269" s="209">
        <f>SUM(AA265:AA268)</f>
      </c>
      <c r="AB269" s="209">
        <f>SUM(AB265:AB268)</f>
      </c>
      <c r="AC269" s="209">
        <f>SUM(AC265:AC268)</f>
      </c>
      <c r="AD269" s="209">
        <f>SUM(AD265:AD268)</f>
      </c>
      <c r="AE269" s="209">
        <f>SUM(AE265:AE268)</f>
      </c>
      <c r="AF269" s="152"/>
      <c r="AG269" s="152"/>
    </row>
    <row r="270">
      <c r="A270" s="166"/>
      <c r="B270" s="181" t="s">
        <v>125</v>
      </c>
      <c r="C270" s="168" t="s">
        <v>131</v>
      </c>
      <c r="D270" s="169">
        <f t="shared" ref="D270:D273" si="287">E270+F270</f>
      </c>
      <c r="E270" s="170">
        <v>2755.12</v>
      </c>
      <c r="F270" s="170">
        <v>1796.15</v>
      </c>
      <c r="G270" s="170"/>
      <c r="H270" s="170">
        <v>1</v>
      </c>
      <c r="I270" s="170">
        <v>1512.3600000000006</v>
      </c>
      <c r="J270" s="171">
        <f t="shared" si="191"/>
      </c>
      <c r="K270" s="172">
        <f t="shared" si="101"/>
      </c>
      <c r="L270" s="173">
        <f t="shared" si="41"/>
      </c>
      <c r="M270" s="174">
        <f t="shared" si="131"/>
      </c>
      <c r="N270" s="172">
        <f t="shared" si="11"/>
      </c>
      <c r="O270" s="173">
        <f t="shared" si="462"/>
      </c>
      <c r="P270" s="172">
        <f t="shared" si="432"/>
      </c>
      <c r="Q270" s="172">
        <f t="shared" si="354"/>
      </c>
      <c r="R270" s="173">
        <f t="shared" si="324"/>
      </c>
      <c r="S270" s="175">
        <f t="shared" si="221"/>
      </c>
      <c r="T270" s="173">
        <f t="shared" si="161"/>
      </c>
      <c r="U270" s="176">
        <f t="shared" si="71"/>
      </c>
      <c r="V270" s="177" t="s">
        <v>108</v>
      </c>
      <c r="W270" s="182" t="s">
        <v>133</v>
      </c>
      <c r="X270" s="208">
        <v>1</v>
      </c>
      <c r="Y270" s="169">
        <v>18614</v>
      </c>
      <c r="Z270" s="169">
        <v>1671</v>
      </c>
      <c r="AA270" s="169">
        <v>3160</v>
      </c>
      <c r="AB270" s="169">
        <v>613</v>
      </c>
      <c r="AC270" s="169">
        <v>43</v>
      </c>
      <c r="AD270" s="179">
        <v>4</v>
      </c>
      <c r="AE270" s="180">
        <v>30</v>
      </c>
      <c r="AF270" s="152"/>
      <c r="AG270" s="152"/>
    </row>
    <row r="271">
      <c r="A271" s="166"/>
      <c r="B271" s="195" t="s">
        <v>127</v>
      </c>
      <c r="C271" s="168" t="s">
        <v>131</v>
      </c>
      <c r="D271" s="169">
        <f t="shared" si="287"/>
      </c>
      <c r="E271" s="170">
        <v>2763.04</v>
      </c>
      <c r="F271" s="170">
        <v>1355.41</v>
      </c>
      <c r="G271" s="170"/>
      <c r="H271" s="170">
        <v>2</v>
      </c>
      <c r="I271" s="170">
        <v>9676.679999999993</v>
      </c>
      <c r="J271" s="171">
        <f t="shared" si="191"/>
      </c>
      <c r="K271" s="172">
        <f t="shared" si="101"/>
      </c>
      <c r="L271" s="173">
        <f t="shared" si="41"/>
      </c>
      <c r="M271" s="174">
        <f t="shared" si="131"/>
      </c>
      <c r="N271" s="172">
        <f t="shared" si="11"/>
      </c>
      <c r="O271" s="173">
        <f t="shared" si="462"/>
      </c>
      <c r="P271" s="172">
        <f t="shared" si="432"/>
      </c>
      <c r="Q271" s="172">
        <f t="shared" si="354"/>
      </c>
      <c r="R271" s="173">
        <f t="shared" si="324"/>
      </c>
      <c r="S271" s="175">
        <f t="shared" si="221"/>
      </c>
      <c r="T271" s="173">
        <f t="shared" si="161"/>
      </c>
      <c r="U271" s="176">
        <f t="shared" si="71"/>
      </c>
      <c r="V271" s="177" t="s">
        <v>108</v>
      </c>
      <c r="W271" s="182" t="s">
        <v>133</v>
      </c>
      <c r="X271" s="205">
        <v>1</v>
      </c>
      <c r="Y271" s="169">
        <v>13541</v>
      </c>
      <c r="Z271" s="169">
        <v>844</v>
      </c>
      <c r="AA271" s="169">
        <v>1841</v>
      </c>
      <c r="AB271" s="169">
        <v>302</v>
      </c>
      <c r="AC271" s="169">
        <v>45</v>
      </c>
      <c r="AD271" s="179">
        <v>4</v>
      </c>
      <c r="AE271" s="180">
        <v>20</v>
      </c>
      <c r="AF271" s="152"/>
      <c r="AG271" s="152"/>
    </row>
    <row r="272">
      <c r="A272" s="166"/>
      <c r="B272" s="195" t="s">
        <v>128</v>
      </c>
      <c r="C272" s="168" t="s">
        <v>131</v>
      </c>
      <c r="D272" s="169">
        <f t="shared" si="287"/>
      </c>
      <c r="E272" s="170">
        <v>2888.55</v>
      </c>
      <c r="F272" s="170">
        <v>1417.85</v>
      </c>
      <c r="G272" s="170"/>
      <c r="H272" s="169">
        <v>5</v>
      </c>
      <c r="I272" s="169">
        <v>18507.96000000002</v>
      </c>
      <c r="J272" s="171">
        <f t="shared" si="191"/>
      </c>
      <c r="K272" s="172">
        <f t="shared" si="101"/>
      </c>
      <c r="L272" s="173">
        <f t="shared" si="41"/>
      </c>
      <c r="M272" s="174">
        <f t="shared" si="131"/>
      </c>
      <c r="N272" s="172">
        <f t="shared" si="11"/>
      </c>
      <c r="O272" s="173">
        <f t="shared" si="462"/>
      </c>
      <c r="P272" s="172">
        <f t="shared" si="432"/>
      </c>
      <c r="Q272" s="172">
        <f t="shared" si="354"/>
      </c>
      <c r="R272" s="173">
        <f t="shared" si="324"/>
      </c>
      <c r="S272" s="175">
        <f t="shared" si="221"/>
      </c>
      <c r="T272" s="173">
        <f t="shared" si="161"/>
      </c>
      <c r="U272" s="176">
        <f t="shared" si="71"/>
      </c>
      <c r="V272" s="177" t="s">
        <v>108</v>
      </c>
      <c r="W272" s="182" t="s">
        <v>133</v>
      </c>
      <c r="X272" s="205">
        <v>5</v>
      </c>
      <c r="Y272" s="169">
        <v>15521</v>
      </c>
      <c r="Z272" s="169">
        <v>946</v>
      </c>
      <c r="AA272" s="169">
        <v>1749</v>
      </c>
      <c r="AB272" s="169">
        <v>305</v>
      </c>
      <c r="AC272" s="169">
        <v>71</v>
      </c>
      <c r="AD272" s="179">
        <v>5</v>
      </c>
      <c r="AE272" s="180">
        <v>24</v>
      </c>
      <c r="AF272" s="152"/>
      <c r="AG272" s="152"/>
    </row>
    <row r="273">
      <c r="A273" s="166"/>
      <c r="B273" s="167" t="s">
        <v>129</v>
      </c>
      <c r="C273" s="168" t="s">
        <v>131</v>
      </c>
      <c r="D273" s="169">
        <f t="shared" si="287"/>
      </c>
      <c r="E273" s="170">
        <v>563.19</v>
      </c>
      <c r="F273" s="170">
        <v>336.88</v>
      </c>
      <c r="G273" s="170"/>
      <c r="H273" s="170">
        <v>1</v>
      </c>
      <c r="I273" s="170">
        <v>1216.0799999999872</v>
      </c>
      <c r="J273" s="171">
        <f t="shared" si="191"/>
      </c>
      <c r="K273" s="172">
        <f t="shared" si="101"/>
      </c>
      <c r="L273" s="173">
        <f t="shared" si="41"/>
      </c>
      <c r="M273" s="174">
        <f t="shared" si="131"/>
      </c>
      <c r="N273" s="172">
        <f t="shared" si="11"/>
      </c>
      <c r="O273" s="173">
        <f t="shared" si="462"/>
      </c>
      <c r="P273" s="172">
        <f t="shared" si="432"/>
      </c>
      <c r="Q273" s="172">
        <f t="shared" si="354"/>
      </c>
      <c r="R273" s="173">
        <f t="shared" si="324"/>
      </c>
      <c r="S273" s="175">
        <f t="shared" si="221"/>
      </c>
      <c r="T273" s="173">
        <f t="shared" si="161"/>
      </c>
      <c r="U273" s="176">
        <f t="shared" si="71"/>
      </c>
      <c r="V273" s="177" t="s">
        <v>108</v>
      </c>
      <c r="W273" s="182" t="s">
        <v>133</v>
      </c>
      <c r="X273" s="205">
        <v>1</v>
      </c>
      <c r="Y273" s="169">
        <v>2682</v>
      </c>
      <c r="Z273" s="169">
        <v>235</v>
      </c>
      <c r="AA273" s="169">
        <v>531</v>
      </c>
      <c r="AB273" s="169">
        <v>95</v>
      </c>
      <c r="AC273" s="169">
        <v>15</v>
      </c>
      <c r="AD273" s="179">
        <v>1</v>
      </c>
      <c r="AE273" s="180">
        <v>8</v>
      </c>
      <c r="AF273" s="152"/>
      <c r="AG273" s="152"/>
    </row>
    <row r="274">
      <c r="A274" s="166"/>
      <c r="B274" s="184" t="s">
        <v>113</v>
      </c>
      <c r="C274" s="184"/>
      <c r="D274" s="185">
        <f>SUM(D270:D273)</f>
      </c>
      <c r="E274" s="185">
        <f>SUM(E270:E273)</f>
      </c>
      <c r="F274" s="185">
        <f>SUM(F270:F273)</f>
      </c>
      <c r="G274" s="185"/>
      <c r="H274" s="185">
        <f>SUM(H270:H273)</f>
      </c>
      <c r="I274" s="185">
        <f>SUM(I270:I273)</f>
      </c>
      <c r="J274" s="186">
        <f t="shared" si="191"/>
      </c>
      <c r="K274" s="187">
        <f t="shared" si="101"/>
      </c>
      <c r="L274" s="188">
        <f t="shared" si="41"/>
      </c>
      <c r="M274" s="189">
        <f t="shared" si="131"/>
      </c>
      <c r="N274" s="187">
        <f t="shared" si="11"/>
      </c>
      <c r="O274" s="188">
        <f t="shared" si="462"/>
      </c>
      <c r="P274" s="187">
        <f t="shared" si="432"/>
      </c>
      <c r="Q274" s="187">
        <f t="shared" si="354"/>
      </c>
      <c r="R274" s="188">
        <f t="shared" si="324"/>
      </c>
      <c r="S274" s="190">
        <f t="shared" si="221"/>
      </c>
      <c r="T274" s="188">
        <f t="shared" si="161"/>
      </c>
      <c r="U274" s="191">
        <f t="shared" si="71"/>
      </c>
      <c r="V274" s="191"/>
      <c r="W274" s="191"/>
      <c r="X274" s="207">
        <f>SUM(X270:X273)</f>
      </c>
      <c r="Y274" s="185">
        <f>SUM(Y270:Y273)</f>
      </c>
      <c r="Z274" s="185">
        <f>SUM(Z270:Z273)</f>
      </c>
      <c r="AA274" s="185">
        <f>SUM(AA270:AA273)</f>
      </c>
      <c r="AB274" s="185">
        <f>SUM(AB270:AB273)</f>
      </c>
      <c r="AC274" s="185">
        <f>SUM(AC270:AC273)</f>
      </c>
      <c r="AD274" s="185">
        <f>SUM(AD270:AD273)</f>
      </c>
      <c r="AE274" s="185">
        <f>SUM(AE270:AE273)</f>
      </c>
      <c r="AF274" s="152"/>
      <c r="AG274" s="152"/>
    </row>
    <row r="275">
      <c r="A275" s="166"/>
      <c r="B275" s="196" t="s">
        <v>130</v>
      </c>
      <c r="C275" s="196"/>
      <c r="D275" s="197">
        <f>D259+D264+D269+D274</f>
      </c>
      <c r="E275" s="197">
        <f>E259+E264+E269+E274</f>
      </c>
      <c r="F275" s="197">
        <f>F259+F264+F269+F274</f>
      </c>
      <c r="G275" s="197"/>
      <c r="H275" s="197">
        <f>H259+H264+H269+H274</f>
      </c>
      <c r="I275" s="197">
        <f>I259+I264+I269+I274</f>
      </c>
      <c r="J275" s="198">
        <f t="shared" si="191"/>
      </c>
      <c r="K275" s="199">
        <f t="shared" si="101"/>
      </c>
      <c r="L275" s="200">
        <f t="shared" si="41"/>
      </c>
      <c r="M275" s="201">
        <f t="shared" si="131"/>
      </c>
      <c r="N275" s="201">
        <f t="shared" si="11"/>
      </c>
      <c r="O275" s="200">
        <f t="shared" si="462"/>
      </c>
      <c r="P275" s="201">
        <f t="shared" si="432"/>
      </c>
      <c r="Q275" s="201">
        <f t="shared" si="354"/>
      </c>
      <c r="R275" s="200">
        <f t="shared" si="324"/>
      </c>
      <c r="S275" s="202">
        <f t="shared" si="221"/>
      </c>
      <c r="T275" s="200">
        <f t="shared" si="161"/>
      </c>
      <c r="U275" s="203">
        <f t="shared" si="71"/>
      </c>
      <c r="V275" s="203"/>
      <c r="W275" s="203"/>
      <c r="X275" s="198">
        <f>X259+X264+X269+X274</f>
      </c>
      <c r="Y275" s="198">
        <f>Y259+Y264+Y269+Y274</f>
      </c>
      <c r="Z275" s="198">
        <f>Z259+Z264+Z269+Z274</f>
      </c>
      <c r="AA275" s="198">
        <f>AA259+AA264+AA269+AA274</f>
      </c>
      <c r="AB275" s="198">
        <f>AB259+AB264+AB269+AB274</f>
      </c>
      <c r="AC275" s="198">
        <f>AC259+AC264+AC269+AC274</f>
      </c>
      <c r="AD275" s="198">
        <f>AD259+AD264+AD269+AD274</f>
      </c>
      <c r="AE275" s="198">
        <f>AE259+AE264+AE269+AE274</f>
      </c>
      <c r="AF275" s="152"/>
      <c r="AG275" s="152"/>
    </row>
    <row r="276">
      <c r="A276" s="146" t="s">
        <v>73</v>
      </c>
      <c r="B276" s="146"/>
      <c r="C276" s="146"/>
      <c r="D276" s="147" t="s">
        <v>74</v>
      </c>
      <c r="E276" s="147"/>
      <c r="F276" s="147"/>
      <c r="G276" s="147"/>
      <c r="H276" s="147"/>
      <c r="I276" s="147"/>
      <c r="J276" s="147"/>
      <c r="K276" s="148" t="s">
        <v>75</v>
      </c>
      <c r="L276" s="148"/>
      <c r="M276" s="148"/>
      <c r="N276" s="148"/>
      <c r="O276" s="148"/>
      <c r="P276" s="148"/>
      <c r="Q276" s="148"/>
      <c r="R276" s="148"/>
      <c r="S276" s="148"/>
      <c r="T276" s="148"/>
      <c r="U276" s="149"/>
      <c r="V276" s="149"/>
      <c r="W276" s="149"/>
      <c r="X276" s="150"/>
      <c r="Y276" s="150"/>
      <c r="Z276" s="150"/>
      <c r="AA276" s="150"/>
      <c r="AB276" s="150"/>
      <c r="AC276" s="150"/>
      <c r="AD276" s="150"/>
      <c r="AE276" s="151" t="s">
        <v>76</v>
      </c>
      <c r="AF276" s="152"/>
      <c r="AG276" s="152"/>
    </row>
    <row r="277">
      <c r="A277" s="153" t="s">
        <v>77</v>
      </c>
      <c r="B277" s="146" t="s">
        <v>78</v>
      </c>
      <c r="C277" s="146" t="s">
        <v>79</v>
      </c>
      <c r="D277" s="154" t="s">
        <v>80</v>
      </c>
      <c r="E277" s="155" t="s">
        <v>81</v>
      </c>
      <c r="F277" s="155" t="s">
        <v>82</v>
      </c>
      <c r="G277" s="155"/>
      <c r="H277" s="156" t="s">
        <v>83</v>
      </c>
      <c r="I277" s="157" t="s">
        <v>84</v>
      </c>
      <c r="J277" s="155" t="s">
        <v>85</v>
      </c>
      <c r="K277" s="158" t="s">
        <v>86</v>
      </c>
      <c r="L277" s="158" t="s">
        <v>87</v>
      </c>
      <c r="M277" s="159" t="s">
        <v>88</v>
      </c>
      <c r="N277" s="160" t="s">
        <v>89</v>
      </c>
      <c r="O277" s="148" t="s">
        <v>90</v>
      </c>
      <c r="P277" s="160" t="s">
        <v>91</v>
      </c>
      <c r="Q277" s="160" t="s">
        <v>92</v>
      </c>
      <c r="R277" s="161" t="s">
        <v>93</v>
      </c>
      <c r="S277" s="160" t="s">
        <v>94</v>
      </c>
      <c r="T277" s="161" t="s">
        <v>95</v>
      </c>
      <c r="U277" s="162" t="s">
        <v>96</v>
      </c>
      <c r="V277" s="162" t="s">
        <v>97</v>
      </c>
      <c r="W277" s="162" t="s">
        <v>98</v>
      </c>
      <c r="X277" s="163" t="s">
        <v>99</v>
      </c>
      <c r="Y277" s="164" t="s">
        <v>100</v>
      </c>
      <c r="Z277" s="164" t="s">
        <v>101</v>
      </c>
      <c r="AA277" s="164" t="s">
        <v>102</v>
      </c>
      <c r="AB277" s="164" t="s">
        <v>103</v>
      </c>
      <c r="AC277" s="164" t="s">
        <v>104</v>
      </c>
      <c r="AD277" s="165" t="s">
        <v>105</v>
      </c>
      <c r="AE277" s="151"/>
      <c r="AF277" s="152"/>
      <c r="AG277" s="152"/>
    </row>
    <row r="278">
      <c r="A278" s="166">
        <v>46278</v>
      </c>
      <c r="B278" s="167" t="s">
        <v>106</v>
      </c>
      <c r="C278" s="168" t="s">
        <v>107</v>
      </c>
      <c r="D278" s="169">
        <f t="shared" ref="D278:D281" si="288">E278+F278</f>
      </c>
      <c r="E278" s="170">
        <v>2992.43</v>
      </c>
      <c r="F278" s="169">
        <v>934.72</v>
      </c>
      <c r="G278" s="169"/>
      <c r="H278" s="170">
        <v>0</v>
      </c>
      <c r="I278" s="170">
        <v>0</v>
      </c>
      <c r="J278" s="171">
        <f t="shared" ref="J278:J298" si="192">I278/D278</f>
      </c>
      <c r="K278" s="172">
        <f t="shared" ref="K278:K298" si="102">Z278/Y278</f>
      </c>
      <c r="L278" s="173">
        <f t="shared" ref="L278:L298" si="42">D278/AA278</f>
      </c>
      <c r="M278" s="174">
        <f t="shared" ref="M278:M298" si="132">AB278/AA278</f>
      </c>
      <c r="N278" s="172">
        <f t="shared" ref="N278:N298" si="12">AC278/AA278</f>
      </c>
      <c r="O278" s="173">
        <f t="shared" ref="O278:O298" si="463">D278/AC278</f>
      </c>
      <c r="P278" s="172">
        <f t="shared" ref="P278:P298" si="433">AD278/AC278</f>
      </c>
      <c r="Q278" s="172">
        <f t="shared" ref="Q278:Q298" si="355">H278/AD278</f>
      </c>
      <c r="R278" s="173">
        <f t="shared" ref="R278:R298" si="325">D278/H278</f>
      </c>
      <c r="S278" s="175">
        <f t="shared" ref="S278:S298" si="222">I278/H278</f>
      </c>
      <c r="T278" s="173">
        <f t="shared" ref="T278:T298" si="162">D278/X278</f>
      </c>
      <c r="U278" s="176">
        <f t="shared" ref="U278:U298" si="72">AE278*1000/D278</f>
      </c>
      <c r="V278" s="177" t="s">
        <v>108</v>
      </c>
      <c r="W278" s="178" t="s">
        <v>136</v>
      </c>
      <c r="X278" s="170">
        <v>0</v>
      </c>
      <c r="Y278" s="169">
        <v>22177</v>
      </c>
      <c r="Z278" s="169">
        <v>988</v>
      </c>
      <c r="AA278" s="169">
        <v>1928</v>
      </c>
      <c r="AB278" s="169">
        <v>335</v>
      </c>
      <c r="AC278" s="179">
        <v>28</v>
      </c>
      <c r="AD278" s="179">
        <v>0</v>
      </c>
      <c r="AE278" s="180">
        <v>36</v>
      </c>
      <c r="AF278" s="152"/>
      <c r="AG278" s="152"/>
    </row>
    <row r="279">
      <c r="A279" s="166"/>
      <c r="B279" s="181" t="s">
        <v>110</v>
      </c>
      <c r="C279" s="168" t="s">
        <v>107</v>
      </c>
      <c r="D279" s="169">
        <f t="shared" si="288"/>
      </c>
      <c r="E279" s="169">
        <v>1186.76</v>
      </c>
      <c r="F279" s="169">
        <v>542.66</v>
      </c>
      <c r="G279" s="169"/>
      <c r="H279" s="170">
        <v>1</v>
      </c>
      <c r="I279" s="170">
        <v>6275.280000000001</v>
      </c>
      <c r="J279" s="171">
        <f t="shared" si="192"/>
      </c>
      <c r="K279" s="172">
        <f t="shared" si="102"/>
      </c>
      <c r="L279" s="173">
        <f t="shared" si="42"/>
      </c>
      <c r="M279" s="174">
        <f t="shared" si="132"/>
      </c>
      <c r="N279" s="172">
        <f t="shared" si="12"/>
      </c>
      <c r="O279" s="173">
        <f t="shared" si="463"/>
      </c>
      <c r="P279" s="172">
        <f t="shared" si="433"/>
      </c>
      <c r="Q279" s="172">
        <f t="shared" si="355"/>
      </c>
      <c r="R279" s="173">
        <f t="shared" si="325"/>
      </c>
      <c r="S279" s="175">
        <f t="shared" si="222"/>
      </c>
      <c r="T279" s="173">
        <f t="shared" si="162"/>
      </c>
      <c r="U279" s="176">
        <f t="shared" si="72"/>
      </c>
      <c r="V279" s="177" t="s">
        <v>108</v>
      </c>
      <c r="W279" s="178" t="s">
        <v>136</v>
      </c>
      <c r="X279" s="208">
        <v>1</v>
      </c>
      <c r="Y279" s="169">
        <v>7415</v>
      </c>
      <c r="Z279" s="169">
        <v>242</v>
      </c>
      <c r="AA279" s="169">
        <v>300</v>
      </c>
      <c r="AB279" s="169">
        <v>57</v>
      </c>
      <c r="AC279" s="169">
        <v>15</v>
      </c>
      <c r="AD279" s="179">
        <v>1</v>
      </c>
      <c r="AE279" s="180">
        <v>10</v>
      </c>
      <c r="AF279" s="152"/>
      <c r="AG279" s="152"/>
    </row>
    <row r="280">
      <c r="A280" s="166"/>
      <c r="B280" s="181" t="s">
        <v>111</v>
      </c>
      <c r="C280" s="168" t="s">
        <v>107</v>
      </c>
      <c r="D280" s="169">
        <f t="shared" si="288"/>
      </c>
      <c r="E280" s="169">
        <v>3291.03</v>
      </c>
      <c r="F280" s="169">
        <v>1524.73</v>
      </c>
      <c r="G280" s="169"/>
      <c r="H280" s="170">
        <v>2</v>
      </c>
      <c r="I280" s="169">
        <v>2580.120000000001</v>
      </c>
      <c r="J280" s="171">
        <f t="shared" si="192"/>
      </c>
      <c r="K280" s="172">
        <f t="shared" si="102"/>
      </c>
      <c r="L280" s="173">
        <f t="shared" si="42"/>
      </c>
      <c r="M280" s="174">
        <f t="shared" si="132"/>
      </c>
      <c r="N280" s="172">
        <f t="shared" si="12"/>
      </c>
      <c r="O280" s="173">
        <f t="shared" si="463"/>
      </c>
      <c r="P280" s="172">
        <f t="shared" si="433"/>
      </c>
      <c r="Q280" s="172">
        <f t="shared" si="355"/>
      </c>
      <c r="R280" s="173">
        <f t="shared" si="325"/>
      </c>
      <c r="S280" s="175">
        <f t="shared" si="222"/>
      </c>
      <c r="T280" s="173">
        <f t="shared" si="162"/>
      </c>
      <c r="U280" s="176">
        <f t="shared" si="72"/>
      </c>
      <c r="V280" s="177" t="s">
        <v>108</v>
      </c>
      <c r="W280" s="178" t="s">
        <v>136</v>
      </c>
      <c r="X280" s="205">
        <v>2</v>
      </c>
      <c r="Y280" s="169">
        <v>17295</v>
      </c>
      <c r="Z280" s="169">
        <v>1072</v>
      </c>
      <c r="AA280" s="169">
        <v>1930</v>
      </c>
      <c r="AB280" s="169">
        <v>405</v>
      </c>
      <c r="AC280" s="169">
        <v>55</v>
      </c>
      <c r="AD280" s="179">
        <v>2</v>
      </c>
      <c r="AE280" s="180">
        <v>19</v>
      </c>
      <c r="AF280" s="152"/>
      <c r="AG280" s="152"/>
    </row>
    <row r="281">
      <c r="A281" s="166"/>
      <c r="B281" s="183" t="s">
        <v>112</v>
      </c>
      <c r="C281" s="168" t="s">
        <v>107</v>
      </c>
      <c r="D281" s="169">
        <f t="shared" si="288"/>
      </c>
      <c r="E281" s="169">
        <v>3823.35</v>
      </c>
      <c r="F281" s="169">
        <v>1823.67</v>
      </c>
      <c r="G281" s="169"/>
      <c r="H281" s="170">
        <v>8</v>
      </c>
      <c r="I281" s="170">
        <v>22529.400000000005</v>
      </c>
      <c r="J281" s="171">
        <f t="shared" si="192"/>
      </c>
      <c r="K281" s="172">
        <f t="shared" si="102"/>
      </c>
      <c r="L281" s="173">
        <f t="shared" si="42"/>
      </c>
      <c r="M281" s="174">
        <f t="shared" si="132"/>
      </c>
      <c r="N281" s="172">
        <f t="shared" si="12"/>
      </c>
      <c r="O281" s="173">
        <f t="shared" si="463"/>
      </c>
      <c r="P281" s="172">
        <f t="shared" si="433"/>
      </c>
      <c r="Q281" s="172">
        <f t="shared" si="355"/>
      </c>
      <c r="R281" s="173">
        <f t="shared" si="325"/>
      </c>
      <c r="S281" s="175">
        <f t="shared" si="222"/>
      </c>
      <c r="T281" s="173">
        <f t="shared" si="162"/>
      </c>
      <c r="U281" s="176">
        <f t="shared" si="72"/>
      </c>
      <c r="V281" s="177" t="s">
        <v>108</v>
      </c>
      <c r="W281" s="178" t="s">
        <v>136</v>
      </c>
      <c r="X281" s="205">
        <v>5</v>
      </c>
      <c r="Y281" s="169">
        <v>18234</v>
      </c>
      <c r="Z281" s="169">
        <v>1324</v>
      </c>
      <c r="AA281" s="169">
        <v>2381</v>
      </c>
      <c r="AB281" s="169">
        <v>555</v>
      </c>
      <c r="AC281" s="169">
        <v>45</v>
      </c>
      <c r="AD281" s="179">
        <v>10</v>
      </c>
      <c r="AE281" s="180">
        <v>33</v>
      </c>
      <c r="AF281" s="152"/>
      <c r="AG281" s="152"/>
    </row>
    <row r="282">
      <c r="A282" s="166"/>
      <c r="B282" s="184" t="s">
        <v>113</v>
      </c>
      <c r="C282" s="184"/>
      <c r="D282" s="185">
        <f>SUM(D278:D281)</f>
      </c>
      <c r="E282" s="185">
        <f>SUM(E278:E281)</f>
      </c>
      <c r="F282" s="185">
        <f>SUM(F278:F281)</f>
      </c>
      <c r="G282" s="185"/>
      <c r="H282" s="185">
        <f>SUM(H278:H281)</f>
      </c>
      <c r="I282" s="185">
        <f>SUM(I278:I281)</f>
      </c>
      <c r="J282" s="186">
        <f t="shared" si="192"/>
      </c>
      <c r="K282" s="187">
        <f t="shared" si="102"/>
      </c>
      <c r="L282" s="188">
        <f t="shared" si="42"/>
      </c>
      <c r="M282" s="189">
        <f t="shared" si="132"/>
      </c>
      <c r="N282" s="187">
        <f t="shared" si="12"/>
      </c>
      <c r="O282" s="188">
        <f t="shared" si="463"/>
      </c>
      <c r="P282" s="187">
        <f t="shared" si="433"/>
      </c>
      <c r="Q282" s="187">
        <f t="shared" si="355"/>
      </c>
      <c r="R282" s="188">
        <f t="shared" si="325"/>
      </c>
      <c r="S282" s="190">
        <f t="shared" si="222"/>
      </c>
      <c r="T282" s="188">
        <f t="shared" si="162"/>
      </c>
      <c r="U282" s="191">
        <f t="shared" si="72"/>
      </c>
      <c r="V282" s="191"/>
      <c r="W282" s="191"/>
      <c r="X282" s="206">
        <f>SUM(X278:X281)</f>
      </c>
      <c r="Y282" s="185">
        <f>SUM(Y278:Y281)</f>
      </c>
      <c r="Z282" s="185">
        <f>SUM(Z278:Z281)</f>
      </c>
      <c r="AA282" s="185">
        <f>SUM(AA278:AA281)</f>
      </c>
      <c r="AB282" s="185">
        <f>SUM(AB278:AB281)</f>
      </c>
      <c r="AC282" s="185">
        <f>SUM(AC278:AC281)</f>
      </c>
      <c r="AD282" s="185">
        <f>SUM(AD278:AD281)</f>
      </c>
      <c r="AE282" s="185">
        <f>SUM(AE278:AE281)</f>
      </c>
      <c r="AF282" s="152"/>
      <c r="AG282" s="152"/>
    </row>
    <row r="283">
      <c r="A283" s="166"/>
      <c r="B283" s="181" t="s">
        <v>114</v>
      </c>
      <c r="C283" s="168" t="s">
        <v>120</v>
      </c>
      <c r="D283" s="169">
        <f t="shared" ref="D283:D285" si="289">E283+F283</f>
      </c>
      <c r="E283" s="169">
        <v>1891.9999999999998</v>
      </c>
      <c r="F283" s="169">
        <v>2819.72</v>
      </c>
      <c r="G283" s="169"/>
      <c r="H283" s="170">
        <v>0</v>
      </c>
      <c r="I283" s="170">
        <v>0</v>
      </c>
      <c r="J283" s="171">
        <f t="shared" si="192"/>
      </c>
      <c r="K283" s="172">
        <f t="shared" si="102"/>
      </c>
      <c r="L283" s="173">
        <f t="shared" si="42"/>
      </c>
      <c r="M283" s="174">
        <f t="shared" si="132"/>
      </c>
      <c r="N283" s="172">
        <f t="shared" si="12"/>
      </c>
      <c r="O283" s="173">
        <f t="shared" si="463"/>
      </c>
      <c r="P283" s="172">
        <f t="shared" si="433"/>
      </c>
      <c r="Q283" s="172">
        <f t="shared" si="355"/>
      </c>
      <c r="R283" s="173">
        <f t="shared" si="325"/>
      </c>
      <c r="S283" s="175">
        <f t="shared" si="222"/>
      </c>
      <c r="T283" s="173">
        <f t="shared" si="162"/>
      </c>
      <c r="U283" s="176">
        <f t="shared" si="72"/>
      </c>
      <c r="V283" s="177" t="s">
        <v>108</v>
      </c>
      <c r="W283" s="178" t="s">
        <v>136</v>
      </c>
      <c r="X283" s="205">
        <v>0</v>
      </c>
      <c r="Y283" s="169">
        <v>19383</v>
      </c>
      <c r="Z283" s="169">
        <v>2047</v>
      </c>
      <c r="AA283" s="169">
        <v>4425</v>
      </c>
      <c r="AB283" s="169">
        <v>876</v>
      </c>
      <c r="AC283" s="169">
        <v>38</v>
      </c>
      <c r="AD283" s="179">
        <v>2</v>
      </c>
      <c r="AE283" s="180">
        <v>34</v>
      </c>
      <c r="AF283" s="152"/>
      <c r="AG283" s="152"/>
    </row>
    <row r="284">
      <c r="A284" s="166"/>
      <c r="B284" s="181" t="s">
        <v>116</v>
      </c>
      <c r="C284" s="168" t="s">
        <v>120</v>
      </c>
      <c r="D284" s="169">
        <f t="shared" si="289"/>
      </c>
      <c r="E284" s="169">
        <v>3805.46</v>
      </c>
      <c r="F284" s="169">
        <v>1696.72</v>
      </c>
      <c r="G284" s="169"/>
      <c r="H284" s="170">
        <v>3</v>
      </c>
      <c r="I284" s="170">
        <v>6303.960000000003</v>
      </c>
      <c r="J284" s="171">
        <f t="shared" si="192"/>
      </c>
      <c r="K284" s="172">
        <f t="shared" si="102"/>
      </c>
      <c r="L284" s="173">
        <f t="shared" si="42"/>
      </c>
      <c r="M284" s="174">
        <f t="shared" si="132"/>
      </c>
      <c r="N284" s="172">
        <f t="shared" si="12"/>
      </c>
      <c r="O284" s="173">
        <f t="shared" si="463"/>
      </c>
      <c r="P284" s="172">
        <f t="shared" si="433"/>
      </c>
      <c r="Q284" s="172">
        <f t="shared" si="355"/>
      </c>
      <c r="R284" s="173">
        <f t="shared" si="325"/>
      </c>
      <c r="S284" s="175">
        <f t="shared" si="222"/>
      </c>
      <c r="T284" s="173">
        <f t="shared" si="162"/>
      </c>
      <c r="U284" s="176">
        <f t="shared" si="72"/>
      </c>
      <c r="V284" s="177" t="s">
        <v>108</v>
      </c>
      <c r="W284" s="178" t="s">
        <v>136</v>
      </c>
      <c r="X284" s="205">
        <v>3</v>
      </c>
      <c r="Y284" s="169">
        <v>18965</v>
      </c>
      <c r="Z284" s="169">
        <v>1453</v>
      </c>
      <c r="AA284" s="169">
        <v>3172</v>
      </c>
      <c r="AB284" s="169">
        <v>578</v>
      </c>
      <c r="AC284" s="169">
        <v>42</v>
      </c>
      <c r="AD284" s="179">
        <v>4</v>
      </c>
      <c r="AE284" s="180">
        <v>23</v>
      </c>
      <c r="AF284" s="152"/>
      <c r="AG284" s="152"/>
    </row>
    <row r="285">
      <c r="A285" s="166"/>
      <c r="B285" s="181" t="s">
        <v>117</v>
      </c>
      <c r="C285" s="168" t="s">
        <v>120</v>
      </c>
      <c r="D285" s="169">
        <f t="shared" si="289"/>
      </c>
      <c r="E285" s="170">
        <v>1389.69</v>
      </c>
      <c r="F285" s="170">
        <v>2419.33</v>
      </c>
      <c r="G285" s="170"/>
      <c r="H285" s="170">
        <v>1</v>
      </c>
      <c r="I285" s="170">
        <v>737.6399999999994</v>
      </c>
      <c r="J285" s="171">
        <f t="shared" si="192"/>
      </c>
      <c r="K285" s="172">
        <f t="shared" si="102"/>
      </c>
      <c r="L285" s="173">
        <f t="shared" si="42"/>
      </c>
      <c r="M285" s="174">
        <f t="shared" si="132"/>
      </c>
      <c r="N285" s="172">
        <f t="shared" si="12"/>
      </c>
      <c r="O285" s="173">
        <f t="shared" si="463"/>
      </c>
      <c r="P285" s="172">
        <f t="shared" si="433"/>
      </c>
      <c r="Q285" s="172">
        <f t="shared" si="355"/>
      </c>
      <c r="R285" s="173">
        <f t="shared" si="325"/>
      </c>
      <c r="S285" s="175">
        <f t="shared" si="222"/>
      </c>
      <c r="T285" s="173">
        <f t="shared" si="162"/>
      </c>
      <c r="U285" s="176">
        <f t="shared" si="72"/>
      </c>
      <c r="V285" s="177" t="s">
        <v>108</v>
      </c>
      <c r="W285" s="178" t="s">
        <v>136</v>
      </c>
      <c r="X285" s="205">
        <v>1</v>
      </c>
      <c r="Y285" s="169">
        <v>14086</v>
      </c>
      <c r="Z285" s="169">
        <v>1866</v>
      </c>
      <c r="AA285" s="169">
        <v>4384</v>
      </c>
      <c r="AB285" s="169">
        <v>820</v>
      </c>
      <c r="AC285" s="169">
        <v>55</v>
      </c>
      <c r="AD285" s="179">
        <v>3</v>
      </c>
      <c r="AE285" s="180">
        <v>24</v>
      </c>
      <c r="AF285" s="152"/>
      <c r="AG285" s="152"/>
    </row>
    <row r="286">
      <c r="A286" s="166"/>
      <c r="B286" s="184" t="s">
        <v>113</v>
      </c>
      <c r="C286" s="184"/>
      <c r="D286" s="185">
        <f>SUM(D283:D285)</f>
      </c>
      <c r="E286" s="185">
        <f>SUM(E283:E285)</f>
      </c>
      <c r="F286" s="185">
        <f>SUM(F283:F285)</f>
      </c>
      <c r="G286" s="185"/>
      <c r="H286" s="185">
        <f>SUM(H283:H285)</f>
      </c>
      <c r="I286" s="185">
        <f>SUM(I283:I285)</f>
      </c>
      <c r="J286" s="186">
        <f t="shared" si="192"/>
      </c>
      <c r="K286" s="187">
        <f t="shared" si="102"/>
      </c>
      <c r="L286" s="188">
        <f t="shared" si="42"/>
      </c>
      <c r="M286" s="189">
        <f t="shared" si="132"/>
      </c>
      <c r="N286" s="187">
        <f t="shared" si="12"/>
      </c>
      <c r="O286" s="188">
        <f t="shared" si="463"/>
      </c>
      <c r="P286" s="187">
        <f t="shared" si="433"/>
      </c>
      <c r="Q286" s="187">
        <f t="shared" si="355"/>
      </c>
      <c r="R286" s="188">
        <f t="shared" si="325"/>
      </c>
      <c r="S286" s="190">
        <f t="shared" si="222"/>
      </c>
      <c r="T286" s="188">
        <f t="shared" si="162"/>
      </c>
      <c r="U286" s="191">
        <f t="shared" si="72"/>
      </c>
      <c r="V286" s="191"/>
      <c r="W286" s="191"/>
      <c r="X286" s="206">
        <f>SUM(X283:X285)</f>
      </c>
      <c r="Y286" s="209">
        <f>SUM(Y283:Y285)</f>
      </c>
      <c r="Z286" s="209">
        <f>SUM(Z283:Z285)</f>
      </c>
      <c r="AA286" s="209">
        <f>SUM(AA283:AA285)</f>
      </c>
      <c r="AB286" s="209">
        <f>SUM(AB283:AB285)</f>
      </c>
      <c r="AC286" s="209">
        <f>SUM(AC283:AC285)</f>
      </c>
      <c r="AD286" s="209">
        <f>SUM(AD283:AD285)</f>
      </c>
      <c r="AE286" s="209">
        <f>SUM(AE283:AE285)</f>
      </c>
      <c r="AF286" s="152"/>
      <c r="AG286" s="152"/>
    </row>
    <row r="287">
      <c r="A287" s="166"/>
      <c r="B287" s="181" t="s">
        <v>118</v>
      </c>
      <c r="C287" s="168" t="s">
        <v>115</v>
      </c>
      <c r="D287" s="169">
        <f t="shared" ref="D287:D291" si="290">E287+F287</f>
      </c>
      <c r="E287" s="170">
        <v>2123.56</v>
      </c>
      <c r="F287" s="170">
        <v>1566.11</v>
      </c>
      <c r="G287" s="170"/>
      <c r="H287" s="170">
        <v>0</v>
      </c>
      <c r="I287" s="170">
        <v>0</v>
      </c>
      <c r="J287" s="171">
        <f t="shared" si="192"/>
      </c>
      <c r="K287" s="172">
        <f t="shared" si="102"/>
      </c>
      <c r="L287" s="173">
        <f t="shared" si="42"/>
      </c>
      <c r="M287" s="174">
        <f t="shared" si="132"/>
      </c>
      <c r="N287" s="172">
        <f t="shared" si="12"/>
      </c>
      <c r="O287" s="173">
        <f t="shared" si="463"/>
      </c>
      <c r="P287" s="172">
        <f t="shared" si="433"/>
      </c>
      <c r="Q287" s="172">
        <f t="shared" si="355"/>
      </c>
      <c r="R287" s="173">
        <f t="shared" si="325"/>
      </c>
      <c r="S287" s="175">
        <f t="shared" si="222"/>
      </c>
      <c r="T287" s="173">
        <f t="shared" si="162"/>
      </c>
      <c r="U287" s="176">
        <f t="shared" si="72"/>
      </c>
      <c r="V287" s="177" t="s">
        <v>108</v>
      </c>
      <c r="W287" s="178" t="s">
        <v>136</v>
      </c>
      <c r="X287" s="205">
        <v>0</v>
      </c>
      <c r="Y287" s="169">
        <v>10282</v>
      </c>
      <c r="Z287" s="169">
        <v>1300</v>
      </c>
      <c r="AA287" s="169">
        <v>2887</v>
      </c>
      <c r="AB287" s="169">
        <v>540</v>
      </c>
      <c r="AC287" s="169">
        <v>40</v>
      </c>
      <c r="AD287" s="179">
        <v>1</v>
      </c>
      <c r="AE287" s="180">
        <v>22</v>
      </c>
      <c r="AF287" s="152"/>
      <c r="AG287" s="152"/>
    </row>
    <row r="288">
      <c r="A288" s="166"/>
      <c r="B288" s="192" t="s">
        <v>119</v>
      </c>
      <c r="C288" s="168" t="s">
        <v>115</v>
      </c>
      <c r="D288" s="169">
        <f t="shared" si="290"/>
      </c>
      <c r="E288" s="170">
        <v>4248.64</v>
      </c>
      <c r="F288" s="170">
        <v>1291.14</v>
      </c>
      <c r="G288" s="170"/>
      <c r="H288" s="170">
        <v>4</v>
      </c>
      <c r="I288" s="170">
        <v>10427.879999999997</v>
      </c>
      <c r="J288" s="171">
        <f t="shared" si="192"/>
      </c>
      <c r="K288" s="172">
        <f t="shared" si="102"/>
      </c>
      <c r="L288" s="173">
        <f t="shared" si="42"/>
      </c>
      <c r="M288" s="174">
        <f t="shared" si="132"/>
      </c>
      <c r="N288" s="172">
        <f t="shared" si="12"/>
      </c>
      <c r="O288" s="173">
        <f t="shared" si="463"/>
      </c>
      <c r="P288" s="172">
        <f t="shared" si="433"/>
      </c>
      <c r="Q288" s="172">
        <f t="shared" si="355"/>
      </c>
      <c r="R288" s="173">
        <f t="shared" si="325"/>
      </c>
      <c r="S288" s="175">
        <f t="shared" si="222"/>
      </c>
      <c r="T288" s="173">
        <f t="shared" si="162"/>
      </c>
      <c r="U288" s="176">
        <f t="shared" si="72"/>
      </c>
      <c r="V288" s="177" t="s">
        <v>108</v>
      </c>
      <c r="W288" s="182" t="s">
        <v>133</v>
      </c>
      <c r="X288" s="205">
        <v>3</v>
      </c>
      <c r="Y288" s="169">
        <v>22058</v>
      </c>
      <c r="Z288" s="169">
        <v>1303</v>
      </c>
      <c r="AA288" s="169">
        <v>2359</v>
      </c>
      <c r="AB288" s="169">
        <v>498</v>
      </c>
      <c r="AC288" s="169">
        <v>49</v>
      </c>
      <c r="AD288" s="179">
        <v>5</v>
      </c>
      <c r="AE288" s="180">
        <v>25</v>
      </c>
      <c r="AF288" s="152"/>
      <c r="AG288" s="152"/>
    </row>
    <row customHeight="true" ht="18.452380952380953" r="289">
      <c r="A289" s="166"/>
      <c r="B289" s="192" t="s">
        <v>122</v>
      </c>
      <c r="C289" s="168" t="s">
        <v>115</v>
      </c>
      <c r="D289" s="169">
        <f t="shared" si="290"/>
      </c>
      <c r="E289" s="170">
        <v>2610.2499999999995</v>
      </c>
      <c r="F289" s="170">
        <v>543.38</v>
      </c>
      <c r="G289" s="170"/>
      <c r="H289" s="170">
        <v>6</v>
      </c>
      <c r="I289" s="170">
        <v>12577.800000000003</v>
      </c>
      <c r="J289" s="171">
        <f t="shared" si="192"/>
      </c>
      <c r="K289" s="172">
        <f t="shared" si="102"/>
      </c>
      <c r="L289" s="173">
        <f t="shared" si="42"/>
      </c>
      <c r="M289" s="174">
        <f t="shared" si="132"/>
      </c>
      <c r="N289" s="172">
        <f t="shared" si="12"/>
      </c>
      <c r="O289" s="173">
        <f t="shared" si="463"/>
      </c>
      <c r="P289" s="172">
        <f t="shared" si="433"/>
      </c>
      <c r="Q289" s="172">
        <f t="shared" si="355"/>
      </c>
      <c r="R289" s="173">
        <f t="shared" si="325"/>
      </c>
      <c r="S289" s="175">
        <f t="shared" si="222"/>
      </c>
      <c r="T289" s="173">
        <f t="shared" si="162"/>
      </c>
      <c r="U289" s="176">
        <f t="shared" si="72"/>
      </c>
      <c r="V289" s="177" t="s">
        <v>108</v>
      </c>
      <c r="W289" s="182" t="s">
        <v>133</v>
      </c>
      <c r="X289" s="205">
        <v>4</v>
      </c>
      <c r="Y289" s="169">
        <v>10687</v>
      </c>
      <c r="Z289" s="169">
        <v>460</v>
      </c>
      <c r="AA289" s="169">
        <v>768</v>
      </c>
      <c r="AB289" s="169">
        <v>181</v>
      </c>
      <c r="AC289" s="169">
        <v>30</v>
      </c>
      <c r="AD289" s="179">
        <v>8</v>
      </c>
      <c r="AE289" s="180">
        <v>23</v>
      </c>
      <c r="AF289" s="152"/>
      <c r="AG289" s="152"/>
    </row>
    <row r="290">
      <c r="A290" s="166"/>
      <c r="B290" s="210" t="s">
        <v>123</v>
      </c>
      <c r="C290" s="168" t="s">
        <v>115</v>
      </c>
      <c r="D290" s="169">
        <f t="shared" si="290"/>
      </c>
      <c r="E290" s="170">
        <v>3423.32</v>
      </c>
      <c r="F290" s="170">
        <v>162.84</v>
      </c>
      <c r="G290" s="170"/>
      <c r="H290" s="170">
        <v>1</v>
      </c>
      <c r="I290" s="170">
        <v>6347.160000000011</v>
      </c>
      <c r="J290" s="171">
        <f t="shared" si="192"/>
      </c>
      <c r="K290" s="172">
        <f t="shared" si="102"/>
      </c>
      <c r="L290" s="173">
        <f t="shared" si="42"/>
      </c>
      <c r="M290" s="174">
        <f t="shared" si="132"/>
      </c>
      <c r="N290" s="172">
        <f t="shared" si="12"/>
      </c>
      <c r="O290" s="173">
        <f t="shared" si="463"/>
      </c>
      <c r="P290" s="172">
        <f t="shared" si="433"/>
      </c>
      <c r="Q290" s="172">
        <f t="shared" si="355"/>
      </c>
      <c r="R290" s="173">
        <f t="shared" si="325"/>
      </c>
      <c r="S290" s="175">
        <f t="shared" si="222"/>
      </c>
      <c r="T290" s="173">
        <f t="shared" si="162"/>
      </c>
      <c r="U290" s="176">
        <f t="shared" si="72"/>
      </c>
      <c r="V290" s="177" t="s">
        <v>108</v>
      </c>
      <c r="W290" s="182" t="s">
        <v>133</v>
      </c>
      <c r="X290" s="205">
        <v>1</v>
      </c>
      <c r="Y290" s="169">
        <v>17828</v>
      </c>
      <c r="Z290" s="169">
        <v>507</v>
      </c>
      <c r="AA290" s="169">
        <v>764</v>
      </c>
      <c r="AB290" s="169">
        <v>174</v>
      </c>
      <c r="AC290" s="169">
        <v>33</v>
      </c>
      <c r="AD290" s="179">
        <v>2</v>
      </c>
      <c r="AE290" s="180">
        <v>23</v>
      </c>
      <c r="AF290" s="152"/>
      <c r="AG290" s="152"/>
    </row>
    <row r="291">
      <c r="A291" s="166"/>
      <c r="B291" s="183" t="s">
        <v>124</v>
      </c>
      <c r="C291" s="168" t="s">
        <v>115</v>
      </c>
      <c r="D291" s="169">
        <f t="shared" si="290"/>
      </c>
      <c r="E291" s="170">
        <v>3247.02</v>
      </c>
      <c r="F291" s="170">
        <v>230.88</v>
      </c>
      <c r="G291" s="170"/>
      <c r="H291" s="170">
        <v>1</v>
      </c>
      <c r="I291" s="170">
        <v>4685.039999999994</v>
      </c>
      <c r="J291" s="171">
        <f t="shared" si="192"/>
      </c>
      <c r="K291" s="172">
        <f t="shared" si="102"/>
      </c>
      <c r="L291" s="173">
        <f t="shared" si="42"/>
      </c>
      <c r="M291" s="174">
        <f t="shared" si="132"/>
      </c>
      <c r="N291" s="172">
        <f t="shared" si="12"/>
      </c>
      <c r="O291" s="173">
        <f t="shared" si="463"/>
      </c>
      <c r="P291" s="172">
        <f t="shared" si="433"/>
      </c>
      <c r="Q291" s="172">
        <f t="shared" si="355"/>
      </c>
      <c r="R291" s="173">
        <f t="shared" si="325"/>
      </c>
      <c r="S291" s="175">
        <f t="shared" si="222"/>
      </c>
      <c r="T291" s="173">
        <f t="shared" si="162"/>
      </c>
      <c r="U291" s="176">
        <f t="shared" si="72"/>
      </c>
      <c r="V291" s="177" t="s">
        <v>108</v>
      </c>
      <c r="W291" s="182" t="s">
        <v>133</v>
      </c>
      <c r="X291" s="205">
        <v>1</v>
      </c>
      <c r="Y291" s="169">
        <v>14682</v>
      </c>
      <c r="Z291" s="169">
        <v>497</v>
      </c>
      <c r="AA291" s="169">
        <v>730</v>
      </c>
      <c r="AB291" s="169">
        <v>137</v>
      </c>
      <c r="AC291" s="169">
        <v>30</v>
      </c>
      <c r="AD291" s="179">
        <v>3</v>
      </c>
      <c r="AE291" s="180">
        <v>23</v>
      </c>
      <c r="AF291" s="152"/>
      <c r="AG291" s="152"/>
    </row>
    <row r="292">
      <c r="A292" s="166"/>
      <c r="B292" s="184" t="s">
        <v>113</v>
      </c>
      <c r="C292" s="184"/>
      <c r="D292" s="185">
        <f>SUM(D287:D291)</f>
      </c>
      <c r="E292" s="185">
        <f>SUM(E287:E291)</f>
      </c>
      <c r="F292" s="185">
        <f>SUM(F287:F291)</f>
      </c>
      <c r="G292" s="185"/>
      <c r="H292" s="185">
        <f>SUM(H287:H291)</f>
      </c>
      <c r="I292" s="185">
        <f>SUM(I287:I291)</f>
      </c>
      <c r="J292" s="186">
        <f t="shared" si="192"/>
      </c>
      <c r="K292" s="187">
        <f t="shared" si="102"/>
      </c>
      <c r="L292" s="188">
        <f t="shared" si="42"/>
      </c>
      <c r="M292" s="189">
        <f t="shared" si="132"/>
      </c>
      <c r="N292" s="187">
        <f t="shared" si="12"/>
      </c>
      <c r="O292" s="188">
        <f t="shared" si="463"/>
      </c>
      <c r="P292" s="187">
        <f t="shared" si="433"/>
      </c>
      <c r="Q292" s="187">
        <f t="shared" si="355"/>
      </c>
      <c r="R292" s="188">
        <f t="shared" si="325"/>
      </c>
      <c r="S292" s="190">
        <f t="shared" si="222"/>
      </c>
      <c r="T292" s="188">
        <f t="shared" si="162"/>
      </c>
      <c r="U292" s="191">
        <f t="shared" si="72"/>
      </c>
      <c r="V292" s="191"/>
      <c r="W292" s="191"/>
      <c r="X292" s="206">
        <f>SUM(X287:X291)</f>
      </c>
      <c r="Y292" s="209">
        <f>SUM(Y287:Y291)</f>
      </c>
      <c r="Z292" s="209">
        <f>SUM(Z287:Z291)</f>
      </c>
      <c r="AA292" s="209">
        <f>SUM(AA287:AA291)</f>
      </c>
      <c r="AB292" s="209">
        <f>SUM(AB287:AB291)</f>
      </c>
      <c r="AC292" s="209">
        <f>SUM(AC287:AC291)</f>
      </c>
      <c r="AD292" s="209">
        <f>SUM(AD287:AD291)</f>
      </c>
      <c r="AE292" s="209">
        <f>SUM(AE287:AE291)</f>
      </c>
      <c r="AF292" s="152"/>
      <c r="AG292" s="152"/>
    </row>
    <row r="293">
      <c r="A293" s="166"/>
      <c r="B293" s="181" t="s">
        <v>125</v>
      </c>
      <c r="C293" s="168" t="s">
        <v>131</v>
      </c>
      <c r="D293" s="169">
        <f t="shared" ref="D293:D296" si="291">E293+F293</f>
      </c>
      <c r="E293" s="170">
        <v>5195.08</v>
      </c>
      <c r="F293" s="170">
        <v>352.96</v>
      </c>
      <c r="G293" s="170"/>
      <c r="H293" s="170">
        <v>2</v>
      </c>
      <c r="I293" s="170">
        <v>1504.4400000000023</v>
      </c>
      <c r="J293" s="171">
        <f t="shared" si="192"/>
      </c>
      <c r="K293" s="172">
        <f t="shared" si="102"/>
      </c>
      <c r="L293" s="173">
        <f t="shared" si="42"/>
      </c>
      <c r="M293" s="174">
        <f t="shared" si="132"/>
      </c>
      <c r="N293" s="172">
        <f t="shared" si="12"/>
      </c>
      <c r="O293" s="173">
        <f t="shared" si="463"/>
      </c>
      <c r="P293" s="172">
        <f t="shared" si="433"/>
      </c>
      <c r="Q293" s="172">
        <f t="shared" si="355"/>
      </c>
      <c r="R293" s="173">
        <f t="shared" si="325"/>
      </c>
      <c r="S293" s="175">
        <f t="shared" si="222"/>
      </c>
      <c r="T293" s="173">
        <f t="shared" si="162"/>
      </c>
      <c r="U293" s="176">
        <f t="shared" si="72"/>
      </c>
      <c r="V293" s="177" t="s">
        <v>108</v>
      </c>
      <c r="W293" s="182" t="s">
        <v>133</v>
      </c>
      <c r="X293" s="208">
        <v>2</v>
      </c>
      <c r="Y293" s="169">
        <v>22463</v>
      </c>
      <c r="Z293" s="169">
        <v>829</v>
      </c>
      <c r="AA293" s="169">
        <v>1340</v>
      </c>
      <c r="AB293" s="169">
        <v>293</v>
      </c>
      <c r="AC293" s="169">
        <v>53</v>
      </c>
      <c r="AD293" s="179">
        <v>5</v>
      </c>
      <c r="AE293" s="180">
        <v>39</v>
      </c>
      <c r="AF293" s="152"/>
      <c r="AG293" s="152"/>
    </row>
    <row r="294">
      <c r="A294" s="166"/>
      <c r="B294" s="195" t="s">
        <v>127</v>
      </c>
      <c r="C294" s="168" t="s">
        <v>131</v>
      </c>
      <c r="D294" s="169">
        <f t="shared" si="291"/>
      </c>
      <c r="E294" s="170">
        <v>1881.41</v>
      </c>
      <c r="F294" s="170">
        <v>1887.95</v>
      </c>
      <c r="G294" s="170"/>
      <c r="H294" s="170">
        <v>3</v>
      </c>
      <c r="I294" s="170">
        <v>6085.800000000003</v>
      </c>
      <c r="J294" s="171">
        <f t="shared" si="192"/>
      </c>
      <c r="K294" s="172">
        <f t="shared" si="102"/>
      </c>
      <c r="L294" s="173">
        <f t="shared" si="42"/>
      </c>
      <c r="M294" s="174">
        <f t="shared" si="132"/>
      </c>
      <c r="N294" s="172">
        <f t="shared" si="12"/>
      </c>
      <c r="O294" s="173">
        <f t="shared" si="463"/>
      </c>
      <c r="P294" s="172">
        <f t="shared" si="433"/>
      </c>
      <c r="Q294" s="172">
        <f t="shared" si="355"/>
      </c>
      <c r="R294" s="173">
        <f t="shared" si="325"/>
      </c>
      <c r="S294" s="175">
        <f t="shared" si="222"/>
      </c>
      <c r="T294" s="173">
        <f t="shared" si="162"/>
      </c>
      <c r="U294" s="176">
        <f t="shared" si="72"/>
      </c>
      <c r="V294" s="177" t="s">
        <v>108</v>
      </c>
      <c r="W294" s="182" t="s">
        <v>133</v>
      </c>
      <c r="X294" s="205">
        <v>2</v>
      </c>
      <c r="Y294" s="169">
        <v>16914</v>
      </c>
      <c r="Z294" s="169">
        <v>1494</v>
      </c>
      <c r="AA294" s="169">
        <v>3091</v>
      </c>
      <c r="AB294" s="169">
        <v>618</v>
      </c>
      <c r="AC294" s="169">
        <v>31</v>
      </c>
      <c r="AD294" s="179">
        <v>4</v>
      </c>
      <c r="AE294" s="180">
        <v>36</v>
      </c>
      <c r="AF294" s="152"/>
      <c r="AG294" s="152"/>
    </row>
    <row r="295">
      <c r="A295" s="166"/>
      <c r="B295" s="195" t="s">
        <v>128</v>
      </c>
      <c r="C295" s="168" t="s">
        <v>131</v>
      </c>
      <c r="D295" s="169">
        <f t="shared" si="291"/>
      </c>
      <c r="E295" s="170">
        <v>2000</v>
      </c>
      <c r="F295" s="170">
        <v>1652.3</v>
      </c>
      <c r="G295" s="170"/>
      <c r="H295" s="169">
        <v>2</v>
      </c>
      <c r="I295" s="169">
        <v>6099.959999999992</v>
      </c>
      <c r="J295" s="171">
        <f t="shared" si="192"/>
      </c>
      <c r="K295" s="172">
        <f t="shared" si="102"/>
      </c>
      <c r="L295" s="173">
        <f t="shared" si="42"/>
      </c>
      <c r="M295" s="174">
        <f t="shared" si="132"/>
      </c>
      <c r="N295" s="172">
        <f t="shared" si="12"/>
      </c>
      <c r="O295" s="173">
        <f t="shared" si="463"/>
      </c>
      <c r="P295" s="172">
        <f t="shared" si="433"/>
      </c>
      <c r="Q295" s="172">
        <f t="shared" si="355"/>
      </c>
      <c r="R295" s="173">
        <f t="shared" si="325"/>
      </c>
      <c r="S295" s="175">
        <f t="shared" si="222"/>
      </c>
      <c r="T295" s="173">
        <f t="shared" si="162"/>
      </c>
      <c r="U295" s="176">
        <f t="shared" si="72"/>
      </c>
      <c r="V295" s="177" t="s">
        <v>108</v>
      </c>
      <c r="W295" s="182" t="s">
        <v>133</v>
      </c>
      <c r="X295" s="205">
        <v>2</v>
      </c>
      <c r="Y295" s="169">
        <v>12146</v>
      </c>
      <c r="Z295" s="169">
        <v>812</v>
      </c>
      <c r="AA295" s="169">
        <v>1738</v>
      </c>
      <c r="AB295" s="169">
        <v>327</v>
      </c>
      <c r="AC295" s="169">
        <v>52</v>
      </c>
      <c r="AD295" s="179">
        <v>3</v>
      </c>
      <c r="AE295" s="180">
        <v>23</v>
      </c>
      <c r="AF295" s="152"/>
      <c r="AG295" s="152"/>
    </row>
    <row r="296">
      <c r="A296" s="166"/>
      <c r="B296" s="167" t="s">
        <v>129</v>
      </c>
      <c r="C296" s="168" t="s">
        <v>131</v>
      </c>
      <c r="D296" s="169">
        <f t="shared" si="291"/>
      </c>
      <c r="E296" s="170">
        <v>558.08</v>
      </c>
      <c r="F296" s="170">
        <v>879.71</v>
      </c>
      <c r="G296" s="170"/>
      <c r="H296" s="170">
        <v>1</v>
      </c>
      <c r="I296" s="170">
        <v>2538.899999999994</v>
      </c>
      <c r="J296" s="171">
        <f t="shared" si="192"/>
      </c>
      <c r="K296" s="172">
        <f t="shared" si="102"/>
      </c>
      <c r="L296" s="173">
        <f t="shared" si="42"/>
      </c>
      <c r="M296" s="174">
        <f t="shared" si="132"/>
      </c>
      <c r="N296" s="172">
        <f t="shared" si="12"/>
      </c>
      <c r="O296" s="173">
        <f t="shared" si="463"/>
      </c>
      <c r="P296" s="172">
        <f t="shared" si="433"/>
      </c>
      <c r="Q296" s="172">
        <f t="shared" si="355"/>
      </c>
      <c r="R296" s="173">
        <f t="shared" si="325"/>
      </c>
      <c r="S296" s="175">
        <f t="shared" si="222"/>
      </c>
      <c r="T296" s="173">
        <f t="shared" si="162"/>
      </c>
      <c r="U296" s="176">
        <f t="shared" si="72"/>
      </c>
      <c r="V296" s="177" t="s">
        <v>108</v>
      </c>
      <c r="W296" s="182" t="s">
        <v>133</v>
      </c>
      <c r="X296" s="205">
        <v>1</v>
      </c>
      <c r="Y296" s="169">
        <v>7755</v>
      </c>
      <c r="Z296" s="169">
        <v>618</v>
      </c>
      <c r="AA296" s="169">
        <v>1302</v>
      </c>
      <c r="AB296" s="169">
        <v>196</v>
      </c>
      <c r="AC296" s="169">
        <v>23</v>
      </c>
      <c r="AD296" s="179">
        <v>1</v>
      </c>
      <c r="AE296" s="180">
        <v>11</v>
      </c>
      <c r="AF296" s="152"/>
      <c r="AG296" s="152"/>
    </row>
    <row r="297">
      <c r="A297" s="166"/>
      <c r="B297" s="184" t="s">
        <v>113</v>
      </c>
      <c r="C297" s="184"/>
      <c r="D297" s="185">
        <f>SUM(D293:D296)</f>
      </c>
      <c r="E297" s="185">
        <f>SUM(E293:E296)</f>
      </c>
      <c r="F297" s="185">
        <f>SUM(F293:F296)</f>
      </c>
      <c r="G297" s="185"/>
      <c r="H297" s="185">
        <f>SUM(H293:H296)</f>
      </c>
      <c r="I297" s="185">
        <f>SUM(I293:I296)</f>
      </c>
      <c r="J297" s="186">
        <f t="shared" si="192"/>
      </c>
      <c r="K297" s="187">
        <f t="shared" si="102"/>
      </c>
      <c r="L297" s="188">
        <f t="shared" si="42"/>
      </c>
      <c r="M297" s="189">
        <f t="shared" si="132"/>
      </c>
      <c r="N297" s="187">
        <f t="shared" si="12"/>
      </c>
      <c r="O297" s="188">
        <f t="shared" si="463"/>
      </c>
      <c r="P297" s="187">
        <f t="shared" si="433"/>
      </c>
      <c r="Q297" s="187">
        <f t="shared" si="355"/>
      </c>
      <c r="R297" s="188">
        <f t="shared" si="325"/>
      </c>
      <c r="S297" s="190">
        <f t="shared" si="222"/>
      </c>
      <c r="T297" s="188">
        <f t="shared" si="162"/>
      </c>
      <c r="U297" s="191">
        <f t="shared" si="72"/>
      </c>
      <c r="V297" s="191"/>
      <c r="W297" s="191"/>
      <c r="X297" s="207">
        <f>SUM(X293:X296)</f>
      </c>
      <c r="Y297" s="185">
        <f>SUM(Y293:Y296)</f>
      </c>
      <c r="Z297" s="185">
        <f>SUM(Z293:Z296)</f>
      </c>
      <c r="AA297" s="185">
        <f>SUM(AA293:AA296)</f>
      </c>
      <c r="AB297" s="185">
        <f>SUM(AB293:AB296)</f>
      </c>
      <c r="AC297" s="185">
        <f>SUM(AC293:AC296)</f>
      </c>
      <c r="AD297" s="185">
        <f>SUM(AD293:AD296)</f>
      </c>
      <c r="AE297" s="185">
        <f>SUM(AE293:AE296)</f>
      </c>
      <c r="AF297" s="152"/>
      <c r="AG297" s="152"/>
    </row>
    <row r="298">
      <c r="A298" s="166"/>
      <c r="B298" s="196" t="s">
        <v>130</v>
      </c>
      <c r="C298" s="196"/>
      <c r="D298" s="197">
        <f>D282+D286+D292+D297</f>
      </c>
      <c r="E298" s="197">
        <f>E282+E286+E292+E297</f>
      </c>
      <c r="F298" s="197">
        <f>F282+F286+F292+F297</f>
      </c>
      <c r="G298" s="197"/>
      <c r="H298" s="197">
        <f>H282+H286+H292+H297</f>
      </c>
      <c r="I298" s="197">
        <f>I282+I286+I292+I297</f>
      </c>
      <c r="J298" s="198">
        <f t="shared" si="192"/>
      </c>
      <c r="K298" s="199">
        <f t="shared" si="102"/>
      </c>
      <c r="L298" s="200">
        <f t="shared" si="42"/>
      </c>
      <c r="M298" s="201">
        <f t="shared" si="132"/>
      </c>
      <c r="N298" s="201">
        <f t="shared" si="12"/>
      </c>
      <c r="O298" s="200">
        <f t="shared" si="463"/>
      </c>
      <c r="P298" s="201">
        <f t="shared" si="433"/>
      </c>
      <c r="Q298" s="201">
        <f t="shared" si="355"/>
      </c>
      <c r="R298" s="200">
        <f t="shared" si="325"/>
      </c>
      <c r="S298" s="202">
        <f t="shared" si="222"/>
      </c>
      <c r="T298" s="200">
        <f t="shared" si="162"/>
      </c>
      <c r="U298" s="203">
        <f t="shared" si="72"/>
      </c>
      <c r="V298" s="203"/>
      <c r="W298" s="203"/>
      <c r="X298" s="198">
        <f>X282+X286+X292+X297</f>
      </c>
      <c r="Y298" s="198">
        <f>Y282+Y286+Y292+Y297</f>
      </c>
      <c r="Z298" s="198">
        <f>Z282+Z286+Z292+Z297</f>
      </c>
      <c r="AA298" s="198">
        <f>AA282+AA286+AA292+AA297</f>
      </c>
      <c r="AB298" s="198">
        <f>AB282+AB286+AB292+AB297</f>
      </c>
      <c r="AC298" s="198">
        <f>AC282+AC286+AC292+AC297</f>
      </c>
      <c r="AD298" s="198">
        <f>AD282+AD286+AD292+AD297</f>
      </c>
      <c r="AE298" s="198">
        <f>AE282+AE286+AE292+AE297</f>
      </c>
      <c r="AF298" s="152"/>
      <c r="AG298" s="152"/>
    </row>
    <row r="299">
      <c r="A299" s="146" t="s">
        <v>73</v>
      </c>
      <c r="B299" s="146"/>
      <c r="C299" s="146"/>
      <c r="D299" s="147" t="s">
        <v>74</v>
      </c>
      <c r="E299" s="147"/>
      <c r="F299" s="147"/>
      <c r="G299" s="147"/>
      <c r="H299" s="147"/>
      <c r="I299" s="147"/>
      <c r="J299" s="147"/>
      <c r="K299" s="148" t="s">
        <v>75</v>
      </c>
      <c r="L299" s="148"/>
      <c r="M299" s="148"/>
      <c r="N299" s="148"/>
      <c r="O299" s="148"/>
      <c r="P299" s="148"/>
      <c r="Q299" s="148"/>
      <c r="R299" s="148"/>
      <c r="S299" s="148"/>
      <c r="T299" s="148"/>
      <c r="U299" s="149"/>
      <c r="V299" s="149"/>
      <c r="W299" s="149"/>
      <c r="X299" s="150"/>
      <c r="Y299" s="150"/>
      <c r="Z299" s="150"/>
      <c r="AA299" s="150"/>
      <c r="AB299" s="150"/>
      <c r="AC299" s="150"/>
      <c r="AD299" s="150"/>
      <c r="AE299" s="151" t="s">
        <v>76</v>
      </c>
      <c r="AF299" s="152"/>
      <c r="AG299" s="152"/>
    </row>
    <row r="300">
      <c r="A300" s="153" t="s">
        <v>77</v>
      </c>
      <c r="B300" s="146" t="s">
        <v>78</v>
      </c>
      <c r="C300" s="146" t="s">
        <v>79</v>
      </c>
      <c r="D300" s="154" t="s">
        <v>80</v>
      </c>
      <c r="E300" s="155" t="s">
        <v>81</v>
      </c>
      <c r="F300" s="155" t="s">
        <v>82</v>
      </c>
      <c r="G300" s="155"/>
      <c r="H300" s="156" t="s">
        <v>83</v>
      </c>
      <c r="I300" s="157" t="s">
        <v>84</v>
      </c>
      <c r="J300" s="155" t="s">
        <v>85</v>
      </c>
      <c r="K300" s="158" t="s">
        <v>86</v>
      </c>
      <c r="L300" s="158" t="s">
        <v>87</v>
      </c>
      <c r="M300" s="159" t="s">
        <v>88</v>
      </c>
      <c r="N300" s="160" t="s">
        <v>89</v>
      </c>
      <c r="O300" s="148" t="s">
        <v>90</v>
      </c>
      <c r="P300" s="160" t="s">
        <v>91</v>
      </c>
      <c r="Q300" s="160" t="s">
        <v>92</v>
      </c>
      <c r="R300" s="161" t="s">
        <v>93</v>
      </c>
      <c r="S300" s="160" t="s">
        <v>94</v>
      </c>
      <c r="T300" s="161" t="s">
        <v>95</v>
      </c>
      <c r="U300" s="162" t="s">
        <v>96</v>
      </c>
      <c r="V300" s="162" t="s">
        <v>97</v>
      </c>
      <c r="W300" s="162" t="s">
        <v>98</v>
      </c>
      <c r="X300" s="163" t="s">
        <v>99</v>
      </c>
      <c r="Y300" s="164" t="s">
        <v>100</v>
      </c>
      <c r="Z300" s="164" t="s">
        <v>101</v>
      </c>
      <c r="AA300" s="164" t="s">
        <v>102</v>
      </c>
      <c r="AB300" s="164" t="s">
        <v>103</v>
      </c>
      <c r="AC300" s="164" t="s">
        <v>104</v>
      </c>
      <c r="AD300" s="165" t="s">
        <v>105</v>
      </c>
      <c r="AE300" s="151"/>
      <c r="AF300" s="152"/>
      <c r="AG300" s="152"/>
    </row>
    <row r="301">
      <c r="A301" s="166">
        <v>46279</v>
      </c>
      <c r="B301" s="167" t="s">
        <v>106</v>
      </c>
      <c r="C301" s="168" t="s">
        <v>115</v>
      </c>
      <c r="D301" s="169">
        <f t="shared" ref="D301:D304" si="292">E301+F301</f>
      </c>
      <c r="E301" s="170">
        <v>3000</v>
      </c>
      <c r="F301" s="170">
        <v>935.7</v>
      </c>
      <c r="G301" s="170"/>
      <c r="H301" s="170">
        <v>3</v>
      </c>
      <c r="I301" s="170">
        <v>8120.88</v>
      </c>
      <c r="J301" s="171">
        <f t="shared" ref="J301:J322" si="193">I301/D301</f>
      </c>
      <c r="K301" s="172">
        <f t="shared" ref="K301:K322" si="103">Z301/Y301</f>
      </c>
      <c r="L301" s="173">
        <f t="shared" ref="L301:L322" si="43">D301/AA301</f>
      </c>
      <c r="M301" s="174">
        <f t="shared" ref="M301:M322" si="133">AB301/AA301</f>
      </c>
      <c r="N301" s="172">
        <f t="shared" ref="N301:N322" si="13">AC301/AA301</f>
      </c>
      <c r="O301" s="173">
        <f t="shared" ref="O301:O322" si="464">D301/AC301</f>
      </c>
      <c r="P301" s="172">
        <f t="shared" ref="P301:P322" si="434">AD301/AC301</f>
      </c>
      <c r="Q301" s="172">
        <f t="shared" ref="Q301:Q322" si="356">H301/AD301</f>
      </c>
      <c r="R301" s="173">
        <f t="shared" ref="R301:R322" si="326">D301/H301</f>
      </c>
      <c r="S301" s="175">
        <f t="shared" ref="S301:S322" si="223">I301/H301</f>
      </c>
      <c r="T301" s="173">
        <f t="shared" ref="T301:T322" si="163">D301/X301</f>
      </c>
      <c r="U301" s="176">
        <f t="shared" ref="U301:U322" si="73">AE301*1000/D301</f>
      </c>
      <c r="V301" s="177" t="s">
        <v>108</v>
      </c>
      <c r="W301" s="178" t="s">
        <v>132</v>
      </c>
      <c r="X301" s="170">
        <v>3</v>
      </c>
      <c r="Y301" s="169">
        <v>14738</v>
      </c>
      <c r="Z301" s="169">
        <v>1176</v>
      </c>
      <c r="AA301" s="169">
        <v>2336</v>
      </c>
      <c r="AB301" s="169">
        <v>453</v>
      </c>
      <c r="AC301" s="179">
        <v>34</v>
      </c>
      <c r="AD301" s="179">
        <v>4</v>
      </c>
      <c r="AE301" s="180">
        <v>26</v>
      </c>
      <c r="AF301" s="152"/>
      <c r="AG301" s="152"/>
    </row>
    <row r="302">
      <c r="A302" s="166"/>
      <c r="B302" s="181" t="s">
        <v>110</v>
      </c>
      <c r="C302" s="168" t="s">
        <v>115</v>
      </c>
      <c r="D302" s="169">
        <f t="shared" si="292"/>
      </c>
      <c r="E302" s="169">
        <v>1621.19</v>
      </c>
      <c r="F302" s="169">
        <v>574.97</v>
      </c>
      <c r="G302" s="169"/>
      <c r="H302" s="170">
        <v>3</v>
      </c>
      <c r="I302" s="170">
        <v>6009.12</v>
      </c>
      <c r="J302" s="171">
        <f t="shared" si="193"/>
      </c>
      <c r="K302" s="172">
        <f t="shared" si="103"/>
      </c>
      <c r="L302" s="173">
        <f t="shared" si="43"/>
      </c>
      <c r="M302" s="174">
        <f t="shared" si="133"/>
      </c>
      <c r="N302" s="172">
        <f t="shared" si="13"/>
      </c>
      <c r="O302" s="173">
        <f t="shared" si="464"/>
      </c>
      <c r="P302" s="172">
        <f t="shared" si="434"/>
      </c>
      <c r="Q302" s="172">
        <f t="shared" si="356"/>
      </c>
      <c r="R302" s="173">
        <f t="shared" si="326"/>
      </c>
      <c r="S302" s="175">
        <f t="shared" si="223"/>
      </c>
      <c r="T302" s="173">
        <f t="shared" si="163"/>
      </c>
      <c r="U302" s="176">
        <f t="shared" si="73"/>
      </c>
      <c r="V302" s="177" t="s">
        <v>108</v>
      </c>
      <c r="W302" s="178" t="s">
        <v>132</v>
      </c>
      <c r="X302" s="208">
        <v>2</v>
      </c>
      <c r="Y302" s="169">
        <v>6443</v>
      </c>
      <c r="Z302" s="169">
        <v>157</v>
      </c>
      <c r="AA302" s="169">
        <v>182</v>
      </c>
      <c r="AB302" s="169">
        <v>39</v>
      </c>
      <c r="AC302" s="169">
        <v>25</v>
      </c>
      <c r="AD302" s="179">
        <v>4</v>
      </c>
      <c r="AE302" s="180">
        <v>12</v>
      </c>
      <c r="AF302" s="152"/>
      <c r="AG302" s="152"/>
    </row>
    <row r="303">
      <c r="A303" s="166"/>
      <c r="B303" s="181" t="s">
        <v>111</v>
      </c>
      <c r="C303" s="168" t="s">
        <v>115</v>
      </c>
      <c r="D303" s="169">
        <f t="shared" si="292"/>
      </c>
      <c r="E303" s="169">
        <v>4560.66</v>
      </c>
      <c r="F303" s="169">
        <v>1552.87</v>
      </c>
      <c r="G303" s="169"/>
      <c r="H303" s="170">
        <v>10</v>
      </c>
      <c r="I303" s="169">
        <v>11770.239999999994</v>
      </c>
      <c r="J303" s="171">
        <f t="shared" si="193"/>
      </c>
      <c r="K303" s="172">
        <f t="shared" si="103"/>
      </c>
      <c r="L303" s="173">
        <f t="shared" si="43"/>
      </c>
      <c r="M303" s="174">
        <f t="shared" si="133"/>
      </c>
      <c r="N303" s="172">
        <f t="shared" si="13"/>
      </c>
      <c r="O303" s="173">
        <f t="shared" si="464"/>
      </c>
      <c r="P303" s="172">
        <f t="shared" si="434"/>
      </c>
      <c r="Q303" s="172">
        <f t="shared" si="356"/>
      </c>
      <c r="R303" s="173">
        <f t="shared" si="326"/>
      </c>
      <c r="S303" s="175">
        <f t="shared" si="223"/>
      </c>
      <c r="T303" s="173">
        <f t="shared" si="163"/>
      </c>
      <c r="U303" s="176">
        <f t="shared" si="73"/>
      </c>
      <c r="V303" s="177" t="s">
        <v>108</v>
      </c>
      <c r="W303" s="178" t="s">
        <v>132</v>
      </c>
      <c r="X303" s="205">
        <v>7</v>
      </c>
      <c r="Y303" s="169">
        <v>19046</v>
      </c>
      <c r="Z303" s="169">
        <v>913</v>
      </c>
      <c r="AA303" s="169">
        <v>1451</v>
      </c>
      <c r="AB303" s="169">
        <v>370</v>
      </c>
      <c r="AC303" s="169">
        <v>56</v>
      </c>
      <c r="AD303" s="179">
        <v>13</v>
      </c>
      <c r="AE303" s="180">
        <v>34</v>
      </c>
      <c r="AF303" s="152"/>
      <c r="AG303" s="152"/>
    </row>
    <row r="304">
      <c r="A304" s="166"/>
      <c r="B304" s="183" t="s">
        <v>112</v>
      </c>
      <c r="C304" s="168" t="s">
        <v>115</v>
      </c>
      <c r="D304" s="169">
        <f t="shared" si="292"/>
      </c>
      <c r="E304" s="169">
        <v>3233.21</v>
      </c>
      <c r="F304" s="169">
        <v>803.47</v>
      </c>
      <c r="G304" s="169"/>
      <c r="H304" s="170">
        <v>3</v>
      </c>
      <c r="I304" s="170">
        <v>17613.239999999994</v>
      </c>
      <c r="J304" s="171">
        <f t="shared" si="193"/>
      </c>
      <c r="K304" s="172">
        <f t="shared" si="103"/>
      </c>
      <c r="L304" s="173">
        <f t="shared" si="43"/>
      </c>
      <c r="M304" s="174">
        <f t="shared" si="133"/>
      </c>
      <c r="N304" s="172">
        <f t="shared" si="13"/>
      </c>
      <c r="O304" s="173">
        <f t="shared" si="464"/>
      </c>
      <c r="P304" s="172">
        <f t="shared" si="434"/>
      </c>
      <c r="Q304" s="172">
        <f t="shared" si="356"/>
      </c>
      <c r="R304" s="173">
        <f t="shared" si="326"/>
      </c>
      <c r="S304" s="175">
        <f t="shared" si="223"/>
      </c>
      <c r="T304" s="173">
        <f t="shared" si="163"/>
      </c>
      <c r="U304" s="176">
        <f t="shared" si="73"/>
      </c>
      <c r="V304" s="177" t="s">
        <v>108</v>
      </c>
      <c r="W304" s="178" t="s">
        <v>132</v>
      </c>
      <c r="X304" s="205">
        <v>2</v>
      </c>
      <c r="Y304" s="169">
        <v>15606</v>
      </c>
      <c r="Z304" s="169">
        <v>885</v>
      </c>
      <c r="AA304" s="169">
        <v>1564</v>
      </c>
      <c r="AB304" s="169">
        <v>357</v>
      </c>
      <c r="AC304" s="169">
        <v>16</v>
      </c>
      <c r="AD304" s="179">
        <v>3</v>
      </c>
      <c r="AE304" s="180">
        <v>22</v>
      </c>
      <c r="AF304" s="152"/>
      <c r="AG304" s="152"/>
    </row>
    <row r="305">
      <c r="A305" s="166"/>
      <c r="B305" s="184" t="s">
        <v>113</v>
      </c>
      <c r="C305" s="184"/>
      <c r="D305" s="185">
        <f>SUM(D301:D304)</f>
      </c>
      <c r="E305" s="185">
        <f>SUM(E301:E304)</f>
      </c>
      <c r="F305" s="185">
        <f>SUM(F301:F304)</f>
      </c>
      <c r="G305" s="185"/>
      <c r="H305" s="185">
        <f>SUM(H301:H304)</f>
      </c>
      <c r="I305" s="185">
        <f>SUM(I301:I304)</f>
      </c>
      <c r="J305" s="186">
        <f t="shared" si="193"/>
      </c>
      <c r="K305" s="187">
        <f t="shared" si="103"/>
      </c>
      <c r="L305" s="188">
        <f t="shared" si="43"/>
      </c>
      <c r="M305" s="189">
        <f t="shared" si="133"/>
      </c>
      <c r="N305" s="187">
        <f t="shared" si="13"/>
      </c>
      <c r="O305" s="188">
        <f t="shared" si="464"/>
      </c>
      <c r="P305" s="187">
        <f t="shared" si="434"/>
      </c>
      <c r="Q305" s="187">
        <f t="shared" si="356"/>
      </c>
      <c r="R305" s="188">
        <f t="shared" si="326"/>
      </c>
      <c r="S305" s="190">
        <f t="shared" si="223"/>
      </c>
      <c r="T305" s="188">
        <f t="shared" si="163"/>
      </c>
      <c r="U305" s="191">
        <f t="shared" si="73"/>
      </c>
      <c r="V305" s="191"/>
      <c r="W305" s="191"/>
      <c r="X305" s="206">
        <f>SUM(X301:X304)</f>
      </c>
      <c r="Y305" s="185">
        <f>SUM(Y301:Y304)</f>
      </c>
      <c r="Z305" s="185">
        <f>SUM(Z301:Z304)</f>
      </c>
      <c r="AA305" s="185">
        <f>SUM(AA301:AA304)</f>
      </c>
      <c r="AB305" s="185">
        <f>SUM(AB301:AB304)</f>
      </c>
      <c r="AC305" s="185">
        <f>SUM(AC301:AC304)</f>
      </c>
      <c r="AD305" s="185">
        <f>SUM(AD301:AD304)</f>
      </c>
      <c r="AE305" s="185">
        <f>SUM(AE301:AE304)</f>
      </c>
      <c r="AF305" s="152"/>
      <c r="AG305" s="152"/>
    </row>
    <row r="306">
      <c r="A306" s="166"/>
      <c r="B306" s="181" t="s">
        <v>114</v>
      </c>
      <c r="C306" s="168" t="s">
        <v>107</v>
      </c>
      <c r="D306" s="169">
        <f t="shared" ref="D306:D309" si="293">E306+F306</f>
      </c>
      <c r="E306" s="169">
        <v>5258.4400000000005</v>
      </c>
      <c r="F306" s="169">
        <v>995.91</v>
      </c>
      <c r="G306" s="169"/>
      <c r="H306" s="170">
        <v>6</v>
      </c>
      <c r="I306" s="170">
        <v>13232.159999999996</v>
      </c>
      <c r="J306" s="171">
        <f t="shared" si="193"/>
      </c>
      <c r="K306" s="172">
        <f t="shared" si="103"/>
      </c>
      <c r="L306" s="173">
        <f t="shared" si="43"/>
      </c>
      <c r="M306" s="174">
        <f t="shared" si="133"/>
      </c>
      <c r="N306" s="172">
        <f t="shared" si="13"/>
      </c>
      <c r="O306" s="173">
        <f t="shared" si="464"/>
      </c>
      <c r="P306" s="172">
        <f t="shared" si="434"/>
      </c>
      <c r="Q306" s="172">
        <f t="shared" si="356"/>
      </c>
      <c r="R306" s="173">
        <f t="shared" si="326"/>
      </c>
      <c r="S306" s="175">
        <f t="shared" si="223"/>
      </c>
      <c r="T306" s="173">
        <f t="shared" si="163"/>
      </c>
      <c r="U306" s="176">
        <f t="shared" si="73"/>
      </c>
      <c r="V306" s="177" t="s">
        <v>108</v>
      </c>
      <c r="W306" s="178" t="s">
        <v>132</v>
      </c>
      <c r="X306" s="205">
        <v>5</v>
      </c>
      <c r="Y306" s="169">
        <v>24447</v>
      </c>
      <c r="Z306" s="169">
        <v>809</v>
      </c>
      <c r="AA306" s="169">
        <v>960</v>
      </c>
      <c r="AB306" s="169">
        <v>182</v>
      </c>
      <c r="AC306" s="169">
        <v>68</v>
      </c>
      <c r="AD306" s="179">
        <v>7</v>
      </c>
      <c r="AE306" s="180">
        <v>31</v>
      </c>
      <c r="AF306" s="152"/>
      <c r="AG306" s="152"/>
    </row>
    <row r="307">
      <c r="A307" s="166"/>
      <c r="B307" s="181" t="s">
        <v>116</v>
      </c>
      <c r="C307" s="168" t="s">
        <v>107</v>
      </c>
      <c r="D307" s="169">
        <f t="shared" si="293"/>
      </c>
      <c r="E307" s="169">
        <v>4488.129999999999</v>
      </c>
      <c r="F307" s="169">
        <v>955.02</v>
      </c>
      <c r="G307" s="169"/>
      <c r="H307" s="170">
        <v>2</v>
      </c>
      <c r="I307" s="170">
        <v>17710.320000000007</v>
      </c>
      <c r="J307" s="171">
        <f t="shared" si="193"/>
      </c>
      <c r="K307" s="172">
        <f t="shared" si="103"/>
      </c>
      <c r="L307" s="173">
        <f t="shared" si="43"/>
      </c>
      <c r="M307" s="174">
        <f t="shared" si="133"/>
      </c>
      <c r="N307" s="172">
        <f t="shared" si="13"/>
      </c>
      <c r="O307" s="173">
        <f t="shared" si="464"/>
      </c>
      <c r="P307" s="172">
        <f t="shared" si="434"/>
      </c>
      <c r="Q307" s="172">
        <f t="shared" si="356"/>
      </c>
      <c r="R307" s="173">
        <f t="shared" si="326"/>
      </c>
      <c r="S307" s="175">
        <f t="shared" si="223"/>
      </c>
      <c r="T307" s="173">
        <f t="shared" si="163"/>
      </c>
      <c r="U307" s="176">
        <f t="shared" si="73"/>
      </c>
      <c r="V307" s="177" t="s">
        <v>108</v>
      </c>
      <c r="W307" s="178" t="s">
        <v>132</v>
      </c>
      <c r="X307" s="205">
        <v>2</v>
      </c>
      <c r="Y307" s="169">
        <v>20475</v>
      </c>
      <c r="Z307" s="169">
        <v>635</v>
      </c>
      <c r="AA307" s="169">
        <v>774</v>
      </c>
      <c r="AB307" s="169">
        <v>139</v>
      </c>
      <c r="AC307" s="169">
        <v>62</v>
      </c>
      <c r="AD307" s="179">
        <v>3</v>
      </c>
      <c r="AE307" s="180">
        <v>24</v>
      </c>
      <c r="AF307" s="152"/>
      <c r="AG307" s="152"/>
    </row>
    <row r="308">
      <c r="A308" s="166"/>
      <c r="B308" s="181" t="s">
        <v>117</v>
      </c>
      <c r="C308" s="168" t="s">
        <v>107</v>
      </c>
      <c r="D308" s="169">
        <f t="shared" si="293"/>
      </c>
      <c r="E308" s="170">
        <v>4097.9400000000005</v>
      </c>
      <c r="F308" s="170">
        <v>735.54</v>
      </c>
      <c r="G308" s="170"/>
      <c r="H308" s="170">
        <v>5</v>
      </c>
      <c r="I308" s="170">
        <v>6317.279999999999</v>
      </c>
      <c r="J308" s="171">
        <f t="shared" si="193"/>
      </c>
      <c r="K308" s="172">
        <f t="shared" si="103"/>
      </c>
      <c r="L308" s="173">
        <f t="shared" si="43"/>
      </c>
      <c r="M308" s="174">
        <f t="shared" si="133"/>
      </c>
      <c r="N308" s="172">
        <f t="shared" si="13"/>
      </c>
      <c r="O308" s="173">
        <f t="shared" si="464"/>
      </c>
      <c r="P308" s="172">
        <f t="shared" si="434"/>
      </c>
      <c r="Q308" s="172">
        <f t="shared" si="356"/>
      </c>
      <c r="R308" s="173">
        <f t="shared" si="326"/>
      </c>
      <c r="S308" s="175">
        <f t="shared" si="223"/>
      </c>
      <c r="T308" s="173">
        <f t="shared" si="163"/>
      </c>
      <c r="U308" s="176">
        <f t="shared" si="73"/>
      </c>
      <c r="V308" s="177" t="s">
        <v>108</v>
      </c>
      <c r="W308" s="178" t="s">
        <v>132</v>
      </c>
      <c r="X308" s="205">
        <v>4</v>
      </c>
      <c r="Y308" s="169">
        <v>17157</v>
      </c>
      <c r="Z308" s="169">
        <v>553</v>
      </c>
      <c r="AA308" s="169">
        <v>691</v>
      </c>
      <c r="AB308" s="169">
        <v>170</v>
      </c>
      <c r="AC308" s="169">
        <v>64</v>
      </c>
      <c r="AD308" s="179">
        <v>7</v>
      </c>
      <c r="AE308" s="180">
        <v>32</v>
      </c>
      <c r="AF308" s="152"/>
      <c r="AG308" s="152"/>
    </row>
    <row customHeight="true" ht="18.452380952380953" r="309">
      <c r="A309" s="166"/>
      <c r="B309" s="181" t="s">
        <v>118</v>
      </c>
      <c r="C309" s="168" t="s">
        <v>107</v>
      </c>
      <c r="D309" s="169">
        <f t="shared" si="293"/>
      </c>
      <c r="E309" s="170">
        <v>4281.68</v>
      </c>
      <c r="F309" s="170">
        <v>775.72</v>
      </c>
      <c r="G309" s="170"/>
      <c r="H309" s="170">
        <v>3</v>
      </c>
      <c r="I309" s="170">
        <v>18790.440000000002</v>
      </c>
      <c r="J309" s="171">
        <f t="shared" si="193"/>
      </c>
      <c r="K309" s="172">
        <f t="shared" si="103"/>
      </c>
      <c r="L309" s="173">
        <f t="shared" si="43"/>
      </c>
      <c r="M309" s="174">
        <f t="shared" si="133"/>
      </c>
      <c r="N309" s="172">
        <f t="shared" si="13"/>
      </c>
      <c r="O309" s="173">
        <f t="shared" si="464"/>
      </c>
      <c r="P309" s="172">
        <f t="shared" si="434"/>
      </c>
      <c r="Q309" s="172">
        <f t="shared" si="356"/>
      </c>
      <c r="R309" s="173">
        <f t="shared" si="326"/>
      </c>
      <c r="S309" s="175">
        <f t="shared" si="223"/>
      </c>
      <c r="T309" s="173">
        <f t="shared" si="163"/>
      </c>
      <c r="U309" s="176">
        <f t="shared" si="73"/>
      </c>
      <c r="V309" s="177" t="s">
        <v>108</v>
      </c>
      <c r="W309" s="178" t="s">
        <v>132</v>
      </c>
      <c r="X309" s="205">
        <v>1</v>
      </c>
      <c r="Y309" s="169">
        <v>24683</v>
      </c>
      <c r="Z309" s="169">
        <v>1193</v>
      </c>
      <c r="AA309" s="169">
        <v>2185</v>
      </c>
      <c r="AB309" s="169">
        <v>399</v>
      </c>
      <c r="AC309" s="169">
        <v>58</v>
      </c>
      <c r="AD309" s="179">
        <v>7</v>
      </c>
      <c r="AE309" s="180">
        <v>20</v>
      </c>
      <c r="AF309" s="152"/>
      <c r="AG309" s="152"/>
    </row>
    <row r="310">
      <c r="A310" s="166"/>
      <c r="B310" s="184" t="s">
        <v>113</v>
      </c>
      <c r="C310" s="184"/>
      <c r="D310" s="185">
        <f>SUM(D306:D309)</f>
      </c>
      <c r="E310" s="185">
        <f>SUM(E306:E309)</f>
      </c>
      <c r="F310" s="185">
        <f>SUM(F306:F309)</f>
      </c>
      <c r="G310" s="185"/>
      <c r="H310" s="185">
        <f>SUM(H306:H309)</f>
      </c>
      <c r="I310" s="185">
        <f>SUM(I306:I309)</f>
      </c>
      <c r="J310" s="186">
        <f t="shared" si="193"/>
      </c>
      <c r="K310" s="187">
        <f t="shared" si="103"/>
      </c>
      <c r="L310" s="188">
        <f t="shared" si="43"/>
      </c>
      <c r="M310" s="189">
        <f t="shared" si="133"/>
      </c>
      <c r="N310" s="187">
        <f t="shared" si="13"/>
      </c>
      <c r="O310" s="188">
        <f t="shared" si="464"/>
      </c>
      <c r="P310" s="187">
        <f t="shared" si="434"/>
      </c>
      <c r="Q310" s="187">
        <f t="shared" si="356"/>
      </c>
      <c r="R310" s="188">
        <f t="shared" si="326"/>
      </c>
      <c r="S310" s="190">
        <f t="shared" si="223"/>
      </c>
      <c r="T310" s="188">
        <f t="shared" si="163"/>
      </c>
      <c r="U310" s="191">
        <f t="shared" si="73"/>
      </c>
      <c r="V310" s="191"/>
      <c r="W310" s="191"/>
      <c r="X310" s="206">
        <f>SUM(X306:X309)</f>
      </c>
      <c r="Y310" s="185">
        <f>SUM(Y306:Y309)</f>
      </c>
      <c r="Z310" s="185">
        <f>SUM(Z306:Z309)</f>
      </c>
      <c r="AA310" s="185">
        <f>SUM(AA306:AA309)</f>
      </c>
      <c r="AB310" s="185">
        <f>SUM(AB306:AB309)</f>
      </c>
      <c r="AC310" s="185">
        <f>SUM(AC306:AC309)</f>
      </c>
      <c r="AD310" s="185">
        <f>SUM(AD306:AD309)</f>
      </c>
      <c r="AE310" s="185">
        <f>SUM(AE306:AE309)</f>
      </c>
      <c r="AF310" s="152"/>
      <c r="AG310" s="152"/>
    </row>
    <row r="311">
      <c r="A311" s="166"/>
      <c r="B311" s="192" t="s">
        <v>119</v>
      </c>
      <c r="C311" s="168" t="s">
        <v>131</v>
      </c>
      <c r="D311" s="169">
        <f t="shared" ref="D311:D312" si="294">E311+F311</f>
      </c>
      <c r="E311" s="170">
        <v>3616.8999999999996</v>
      </c>
      <c r="F311" s="170">
        <v>1110.65</v>
      </c>
      <c r="G311" s="170"/>
      <c r="H311" s="170">
        <v>1</v>
      </c>
      <c r="I311" s="170">
        <v>1216.0800000000017</v>
      </c>
      <c r="J311" s="171">
        <f t="shared" si="193"/>
      </c>
      <c r="K311" s="172">
        <f t="shared" si="103"/>
      </c>
      <c r="L311" s="173">
        <f t="shared" si="43"/>
      </c>
      <c r="M311" s="174">
        <f t="shared" si="133"/>
      </c>
      <c r="N311" s="172">
        <f t="shared" si="13"/>
      </c>
      <c r="O311" s="173">
        <f t="shared" si="464"/>
      </c>
      <c r="P311" s="172">
        <f t="shared" si="434"/>
      </c>
      <c r="Q311" s="172">
        <f t="shared" si="356"/>
      </c>
      <c r="R311" s="173">
        <f t="shared" si="326"/>
      </c>
      <c r="S311" s="175">
        <f t="shared" si="223"/>
      </c>
      <c r="T311" s="173">
        <f t="shared" si="163"/>
      </c>
      <c r="U311" s="176">
        <f t="shared" si="73"/>
      </c>
      <c r="V311" s="177" t="s">
        <v>108</v>
      </c>
      <c r="W311" s="178" t="s">
        <v>133</v>
      </c>
      <c r="X311" s="205">
        <v>1</v>
      </c>
      <c r="Y311" s="169">
        <v>20151</v>
      </c>
      <c r="Z311" s="169">
        <v>1145</v>
      </c>
      <c r="AA311" s="169">
        <v>2214</v>
      </c>
      <c r="AB311" s="169">
        <v>420</v>
      </c>
      <c r="AC311" s="169">
        <v>52</v>
      </c>
      <c r="AD311" s="179">
        <v>2</v>
      </c>
      <c r="AE311" s="180">
        <v>22</v>
      </c>
      <c r="AF311" s="152"/>
      <c r="AG311" s="152"/>
    </row>
    <row r="312">
      <c r="A312" s="166"/>
      <c r="B312" s="194" t="s">
        <v>122</v>
      </c>
      <c r="C312" s="168" t="s">
        <v>131</v>
      </c>
      <c r="D312" s="169">
        <f t="shared" si="294"/>
      </c>
      <c r="E312" s="170">
        <v>2111.29</v>
      </c>
      <c r="F312" s="170">
        <v>2205.62</v>
      </c>
      <c r="G312" s="170"/>
      <c r="H312" s="170">
        <v>3</v>
      </c>
      <c r="I312" s="170">
        <v>3683.1600000000035</v>
      </c>
      <c r="J312" s="171">
        <f t="shared" si="193"/>
      </c>
      <c r="K312" s="172">
        <f t="shared" si="103"/>
      </c>
      <c r="L312" s="173">
        <f t="shared" si="43"/>
      </c>
      <c r="M312" s="174">
        <f t="shared" si="133"/>
      </c>
      <c r="N312" s="172">
        <f t="shared" si="13"/>
      </c>
      <c r="O312" s="173">
        <f t="shared" si="464"/>
      </c>
      <c r="P312" s="172">
        <f t="shared" si="434"/>
      </c>
      <c r="Q312" s="172">
        <f t="shared" si="356"/>
      </c>
      <c r="R312" s="173">
        <f t="shared" si="326"/>
      </c>
      <c r="S312" s="175">
        <f t="shared" si="223"/>
      </c>
      <c r="T312" s="173">
        <f t="shared" si="163"/>
      </c>
      <c r="U312" s="176">
        <f t="shared" si="73"/>
      </c>
      <c r="V312" s="177" t="s">
        <v>108</v>
      </c>
      <c r="W312" s="182" t="s">
        <v>133</v>
      </c>
      <c r="X312" s="205">
        <v>2</v>
      </c>
      <c r="Y312" s="169">
        <v>17851</v>
      </c>
      <c r="Z312" s="169">
        <v>1235</v>
      </c>
      <c r="AA312" s="169">
        <v>2741</v>
      </c>
      <c r="AB312" s="169">
        <v>508</v>
      </c>
      <c r="AC312" s="169">
        <v>45</v>
      </c>
      <c r="AD312" s="179">
        <v>4</v>
      </c>
      <c r="AE312" s="180">
        <v>20</v>
      </c>
      <c r="AF312" s="152"/>
      <c r="AG312" s="152"/>
    </row>
    <row customHeight="true" ht="18.452380952380953" r="313">
      <c r="A313" s="166"/>
      <c r="B313" s="184" t="s">
        <v>113</v>
      </c>
      <c r="C313" s="184"/>
      <c r="D313" s="185">
        <f>SUM(D311:D312)</f>
      </c>
      <c r="E313" s="185">
        <f>SUM(E311:E312)</f>
      </c>
      <c r="F313" s="185">
        <f>SUM(F311:F312)</f>
      </c>
      <c r="G313" s="185"/>
      <c r="H313" s="185">
        <f>SUM(H311:H312)</f>
      </c>
      <c r="I313" s="185">
        <f>SUM(I311:I312)</f>
      </c>
      <c r="J313" s="186">
        <f t="shared" si="193"/>
      </c>
      <c r="K313" s="187">
        <f t="shared" si="103"/>
      </c>
      <c r="L313" s="188">
        <f t="shared" si="43"/>
      </c>
      <c r="M313" s="189">
        <f t="shared" si="133"/>
      </c>
      <c r="N313" s="187">
        <f t="shared" si="13"/>
      </c>
      <c r="O313" s="188">
        <f t="shared" si="464"/>
      </c>
      <c r="P313" s="187">
        <f t="shared" si="434"/>
      </c>
      <c r="Q313" s="187">
        <f t="shared" si="356"/>
      </c>
      <c r="R313" s="188">
        <f t="shared" si="326"/>
      </c>
      <c r="S313" s="190">
        <f t="shared" si="223"/>
      </c>
      <c r="T313" s="188">
        <f t="shared" si="163"/>
      </c>
      <c r="U313" s="191">
        <f t="shared" si="73"/>
      </c>
      <c r="V313" s="191"/>
      <c r="W313" s="191"/>
      <c r="X313" s="206">
        <f>SUM(X311:X312)</f>
      </c>
      <c r="Y313" s="211">
        <f>SUM(Y311:Y312)</f>
      </c>
      <c r="Z313" s="211">
        <f>SUM(Z311:Z312)</f>
      </c>
      <c r="AA313" s="211">
        <f>SUM(AA311:AA312)</f>
      </c>
      <c r="AB313" s="211">
        <f>SUM(AB311:AB312)</f>
      </c>
      <c r="AC313" s="211">
        <f>SUM(AC311:AC312)</f>
      </c>
      <c r="AD313" s="211">
        <f>SUM(AD311:AD312)</f>
      </c>
      <c r="AE313" s="211">
        <f>SUM(AE311:AE312)</f>
      </c>
      <c r="AF313" s="152"/>
      <c r="AG313" s="152"/>
    </row>
    <row r="314">
      <c r="A314" s="166"/>
      <c r="B314" s="210" t="s">
        <v>123</v>
      </c>
      <c r="C314" s="168" t="s">
        <v>120</v>
      </c>
      <c r="D314" s="169">
        <f t="shared" ref="D314:D315" si="295">E314+F314</f>
      </c>
      <c r="E314" s="170">
        <v>2838.59</v>
      </c>
      <c r="F314" s="170">
        <v>1103.4</v>
      </c>
      <c r="G314" s="170"/>
      <c r="H314" s="170">
        <v>1</v>
      </c>
      <c r="I314" s="170">
        <v>2952</v>
      </c>
      <c r="J314" s="171">
        <f t="shared" si="193"/>
      </c>
      <c r="K314" s="172">
        <f t="shared" si="103"/>
      </c>
      <c r="L314" s="173">
        <f t="shared" si="43"/>
      </c>
      <c r="M314" s="174">
        <f t="shared" si="133"/>
      </c>
      <c r="N314" s="172">
        <f t="shared" si="13"/>
      </c>
      <c r="O314" s="173">
        <f t="shared" si="464"/>
      </c>
      <c r="P314" s="172">
        <f t="shared" si="434"/>
      </c>
      <c r="Q314" s="172">
        <f t="shared" si="356"/>
      </c>
      <c r="R314" s="173">
        <f t="shared" si="326"/>
      </c>
      <c r="S314" s="175">
        <f t="shared" si="223"/>
      </c>
      <c r="T314" s="173">
        <f t="shared" si="163"/>
      </c>
      <c r="U314" s="176">
        <f t="shared" si="73"/>
      </c>
      <c r="V314" s="177" t="s">
        <v>108</v>
      </c>
      <c r="W314" s="182" t="s">
        <v>133</v>
      </c>
      <c r="X314" s="205">
        <v>1</v>
      </c>
      <c r="Y314" s="169">
        <v>17324</v>
      </c>
      <c r="Z314" s="169">
        <v>853</v>
      </c>
      <c r="AA314" s="169">
        <v>1862</v>
      </c>
      <c r="AB314" s="169">
        <v>320</v>
      </c>
      <c r="AC314" s="169">
        <v>21</v>
      </c>
      <c r="AD314" s="179">
        <v>1</v>
      </c>
      <c r="AE314" s="180">
        <v>22</v>
      </c>
      <c r="AF314" s="152"/>
      <c r="AG314" s="152"/>
    </row>
    <row r="315">
      <c r="A315" s="166"/>
      <c r="B315" s="183" t="s">
        <v>124</v>
      </c>
      <c r="C315" s="168" t="s">
        <v>120</v>
      </c>
      <c r="D315" s="169">
        <f t="shared" si="295"/>
      </c>
      <c r="E315" s="170">
        <v>2712.15</v>
      </c>
      <c r="F315" s="170">
        <v>1157.42</v>
      </c>
      <c r="G315" s="170"/>
      <c r="H315" s="170">
        <v>0</v>
      </c>
      <c r="I315" s="170">
        <v>0</v>
      </c>
      <c r="J315" s="171">
        <f t="shared" si="193"/>
      </c>
      <c r="K315" s="172">
        <f t="shared" si="103"/>
      </c>
      <c r="L315" s="173">
        <f t="shared" si="43"/>
      </c>
      <c r="M315" s="174">
        <f t="shared" si="133"/>
      </c>
      <c r="N315" s="172">
        <f t="shared" si="13"/>
      </c>
      <c r="O315" s="173">
        <f t="shared" si="464"/>
      </c>
      <c r="P315" s="172">
        <f t="shared" si="434"/>
      </c>
      <c r="Q315" s="172">
        <f t="shared" si="356"/>
      </c>
      <c r="R315" s="173">
        <f t="shared" si="326"/>
      </c>
      <c r="S315" s="175">
        <f t="shared" si="223"/>
      </c>
      <c r="T315" s="173">
        <f t="shared" si="163"/>
      </c>
      <c r="U315" s="176">
        <f t="shared" si="73"/>
      </c>
      <c r="V315" s="177" t="s">
        <v>108</v>
      </c>
      <c r="W315" s="182" t="s">
        <v>133</v>
      </c>
      <c r="X315" s="205">
        <v>0</v>
      </c>
      <c r="Y315" s="169">
        <v>18761</v>
      </c>
      <c r="Z315" s="169">
        <v>951</v>
      </c>
      <c r="AA315" s="169">
        <v>1910</v>
      </c>
      <c r="AB315" s="169">
        <v>301</v>
      </c>
      <c r="AC315" s="169">
        <v>51</v>
      </c>
      <c r="AD315" s="179">
        <v>1</v>
      </c>
      <c r="AE315" s="180">
        <v>24</v>
      </c>
      <c r="AF315" s="152"/>
      <c r="AG315" s="152"/>
    </row>
    <row r="316">
      <c r="A316" s="166"/>
      <c r="B316" s="184" t="s">
        <v>113</v>
      </c>
      <c r="C316" s="184"/>
      <c r="D316" s="185">
        <f>SUM(D314:D315)</f>
      </c>
      <c r="E316" s="185">
        <f>SUM(E314:E315)</f>
      </c>
      <c r="F316" s="185">
        <f>SUM(F314:F315)</f>
      </c>
      <c r="G316" s="185"/>
      <c r="H316" s="185">
        <f>SUM(H314:H315)</f>
      </c>
      <c r="I316" s="185">
        <f>SUM(I314:I315)</f>
      </c>
      <c r="J316" s="186">
        <f t="shared" si="193"/>
      </c>
      <c r="K316" s="187">
        <f t="shared" si="103"/>
      </c>
      <c r="L316" s="188">
        <f t="shared" si="43"/>
      </c>
      <c r="M316" s="189">
        <f t="shared" si="133"/>
      </c>
      <c r="N316" s="187">
        <f t="shared" si="13"/>
      </c>
      <c r="O316" s="188">
        <f t="shared" si="464"/>
      </c>
      <c r="P316" s="187">
        <f t="shared" si="434"/>
      </c>
      <c r="Q316" s="187">
        <f t="shared" si="356"/>
      </c>
      <c r="R316" s="188">
        <f t="shared" si="326"/>
      </c>
      <c r="S316" s="190">
        <f t="shared" si="223"/>
      </c>
      <c r="T316" s="188">
        <f t="shared" si="163"/>
      </c>
      <c r="U316" s="191">
        <f t="shared" si="73"/>
      </c>
      <c r="V316" s="191"/>
      <c r="W316" s="191"/>
      <c r="X316" s="206">
        <f>SUM(X314:X315)</f>
      </c>
      <c r="Y316" s="211">
        <f>SUM(Y314:Y315)</f>
      </c>
      <c r="Z316" s="211">
        <f>SUM(Z314:Z315)</f>
      </c>
      <c r="AA316" s="211">
        <f>SUM(AA314:AA315)</f>
      </c>
      <c r="AB316" s="211">
        <f>SUM(AB314:AB315)</f>
      </c>
      <c r="AC316" s="211">
        <f>SUM(AC314:AC315)</f>
      </c>
      <c r="AD316" s="211">
        <f>SUM(AD314:AD315)</f>
      </c>
      <c r="AE316" s="211">
        <f>SUM(AE314:AE315)</f>
      </c>
      <c r="AF316" s="152"/>
      <c r="AG316" s="152"/>
    </row>
    <row r="317">
      <c r="A317" s="166"/>
      <c r="B317" s="181" t="s">
        <v>125</v>
      </c>
      <c r="C317" s="168" t="s">
        <v>126</v>
      </c>
      <c r="D317" s="169">
        <f t="shared" ref="D317:D320" si="296">E317+F317</f>
      </c>
      <c r="E317" s="170">
        <v>1433.62</v>
      </c>
      <c r="F317" s="170">
        <v>689.04</v>
      </c>
      <c r="G317" s="170"/>
      <c r="H317" s="170">
        <v>0</v>
      </c>
      <c r="I317" s="170">
        <v>0</v>
      </c>
      <c r="J317" s="171">
        <f t="shared" si="193"/>
      </c>
      <c r="K317" s="172">
        <f t="shared" si="103"/>
      </c>
      <c r="L317" s="173">
        <f t="shared" si="43"/>
      </c>
      <c r="M317" s="174">
        <f t="shared" si="133"/>
      </c>
      <c r="N317" s="172">
        <f t="shared" si="13"/>
      </c>
      <c r="O317" s="173">
        <f t="shared" si="464"/>
      </c>
      <c r="P317" s="172">
        <f t="shared" si="434"/>
      </c>
      <c r="Q317" s="172">
        <f t="shared" si="356"/>
      </c>
      <c r="R317" s="173">
        <f t="shared" si="326"/>
      </c>
      <c r="S317" s="175">
        <f t="shared" si="223"/>
      </c>
      <c r="T317" s="173">
        <f t="shared" si="163"/>
      </c>
      <c r="U317" s="176">
        <f t="shared" si="73"/>
      </c>
      <c r="V317" s="177" t="s">
        <v>108</v>
      </c>
      <c r="W317" s="182" t="s">
        <v>133</v>
      </c>
      <c r="X317" s="208">
        <v>0</v>
      </c>
      <c r="Y317" s="169">
        <v>10804</v>
      </c>
      <c r="Z317" s="169">
        <v>482</v>
      </c>
      <c r="AA317" s="169">
        <v>990</v>
      </c>
      <c r="AB317" s="169">
        <v>161</v>
      </c>
      <c r="AC317" s="169">
        <v>22</v>
      </c>
      <c r="AD317" s="179">
        <v>1</v>
      </c>
      <c r="AE317" s="180">
        <v>8</v>
      </c>
      <c r="AF317" s="152"/>
      <c r="AG317" s="152"/>
    </row>
    <row r="318">
      <c r="A318" s="166"/>
      <c r="B318" s="195" t="s">
        <v>127</v>
      </c>
      <c r="C318" s="168" t="s">
        <v>126</v>
      </c>
      <c r="D318" s="169">
        <f t="shared" si="296"/>
      </c>
      <c r="E318" s="170">
        <v>2364.56</v>
      </c>
      <c r="F318" s="170">
        <v>1226.5</v>
      </c>
      <c r="G318" s="170"/>
      <c r="H318" s="170">
        <v>1</v>
      </c>
      <c r="I318" s="170">
        <v>2005.199999999997</v>
      </c>
      <c r="J318" s="171">
        <f t="shared" si="193"/>
      </c>
      <c r="K318" s="172">
        <f t="shared" si="103"/>
      </c>
      <c r="L318" s="173">
        <f t="shared" si="43"/>
      </c>
      <c r="M318" s="174">
        <f t="shared" si="133"/>
      </c>
      <c r="N318" s="172">
        <f t="shared" si="13"/>
      </c>
      <c r="O318" s="173">
        <f t="shared" si="464"/>
      </c>
      <c r="P318" s="172">
        <f t="shared" si="434"/>
      </c>
      <c r="Q318" s="172">
        <f t="shared" si="356"/>
      </c>
      <c r="R318" s="173">
        <f t="shared" si="326"/>
      </c>
      <c r="S318" s="175">
        <f t="shared" si="223"/>
      </c>
      <c r="T318" s="173">
        <f t="shared" si="163"/>
      </c>
      <c r="U318" s="176">
        <f t="shared" si="73"/>
      </c>
      <c r="V318" s="177" t="s">
        <v>108</v>
      </c>
      <c r="W318" s="182" t="s">
        <v>133</v>
      </c>
      <c r="X318" s="205">
        <v>0</v>
      </c>
      <c r="Y318" s="169">
        <v>14948</v>
      </c>
      <c r="Z318" s="169">
        <v>985</v>
      </c>
      <c r="AA318" s="169">
        <v>1887</v>
      </c>
      <c r="AB318" s="169">
        <v>313</v>
      </c>
      <c r="AC318" s="169">
        <v>58</v>
      </c>
      <c r="AD318" s="179">
        <v>4</v>
      </c>
      <c r="AE318" s="180">
        <v>17</v>
      </c>
      <c r="AF318" s="152"/>
      <c r="AG318" s="152"/>
    </row>
    <row r="319">
      <c r="A319" s="166"/>
      <c r="B319" s="195" t="s">
        <v>128</v>
      </c>
      <c r="C319" s="168" t="s">
        <v>126</v>
      </c>
      <c r="D319" s="169">
        <f t="shared" si="296"/>
      </c>
      <c r="E319" s="170">
        <v>2281.2599999999998</v>
      </c>
      <c r="F319" s="170">
        <v>777.57</v>
      </c>
      <c r="G319" s="170"/>
      <c r="H319" s="169">
        <v>3</v>
      </c>
      <c r="I319" s="169">
        <v>6002.639999999999</v>
      </c>
      <c r="J319" s="171">
        <f t="shared" si="193"/>
      </c>
      <c r="K319" s="172">
        <f t="shared" si="103"/>
      </c>
      <c r="L319" s="173">
        <f t="shared" si="43"/>
      </c>
      <c r="M319" s="174">
        <f t="shared" si="133"/>
      </c>
      <c r="N319" s="172">
        <f t="shared" si="13"/>
      </c>
      <c r="O319" s="173">
        <f t="shared" si="464"/>
      </c>
      <c r="P319" s="172">
        <f t="shared" si="434"/>
      </c>
      <c r="Q319" s="172">
        <f t="shared" si="356"/>
      </c>
      <c r="R319" s="173">
        <f t="shared" si="326"/>
      </c>
      <c r="S319" s="175">
        <f t="shared" si="223"/>
      </c>
      <c r="T319" s="173">
        <f t="shared" si="163"/>
      </c>
      <c r="U319" s="176">
        <f t="shared" si="73"/>
      </c>
      <c r="V319" s="177" t="s">
        <v>108</v>
      </c>
      <c r="W319" s="182" t="s">
        <v>133</v>
      </c>
      <c r="X319" s="205">
        <v>3</v>
      </c>
      <c r="Y319" s="169">
        <v>12071</v>
      </c>
      <c r="Z319" s="169">
        <v>703</v>
      </c>
      <c r="AA319" s="169">
        <v>1423</v>
      </c>
      <c r="AB319" s="169">
        <v>240</v>
      </c>
      <c r="AC319" s="169">
        <v>67</v>
      </c>
      <c r="AD319" s="179">
        <v>3</v>
      </c>
      <c r="AE319" s="180">
        <v>24</v>
      </c>
      <c r="AF319" s="152"/>
      <c r="AG319" s="152"/>
    </row>
    <row r="320">
      <c r="A320" s="166"/>
      <c r="B320" s="167" t="s">
        <v>129</v>
      </c>
      <c r="C320" s="168" t="s">
        <v>126</v>
      </c>
      <c r="D320" s="169">
        <f t="shared" si="296"/>
      </c>
      <c r="E320" s="170">
        <v>1347.54</v>
      </c>
      <c r="F320" s="170">
        <v>240.33</v>
      </c>
      <c r="G320" s="170"/>
      <c r="H320" s="170">
        <v>2</v>
      </c>
      <c r="I320" s="170">
        <v>2288.800000000003</v>
      </c>
      <c r="J320" s="171">
        <f t="shared" si="193"/>
      </c>
      <c r="K320" s="172">
        <f t="shared" si="103"/>
      </c>
      <c r="L320" s="173">
        <f t="shared" si="43"/>
      </c>
      <c r="M320" s="174">
        <f t="shared" si="133"/>
      </c>
      <c r="N320" s="172">
        <f t="shared" si="13"/>
      </c>
      <c r="O320" s="173">
        <f t="shared" si="464"/>
      </c>
      <c r="P320" s="172">
        <f t="shared" si="434"/>
      </c>
      <c r="Q320" s="172">
        <f t="shared" si="356"/>
      </c>
      <c r="R320" s="173">
        <f t="shared" si="326"/>
      </c>
      <c r="S320" s="175">
        <f t="shared" si="223"/>
      </c>
      <c r="T320" s="173">
        <f t="shared" si="163"/>
      </c>
      <c r="U320" s="176">
        <f t="shared" si="73"/>
      </c>
      <c r="V320" s="177" t="s">
        <v>108</v>
      </c>
      <c r="W320" s="182" t="s">
        <v>133</v>
      </c>
      <c r="X320" s="205">
        <v>1</v>
      </c>
      <c r="Y320" s="169">
        <v>5165</v>
      </c>
      <c r="Z320" s="169">
        <v>235</v>
      </c>
      <c r="AA320" s="169">
        <v>560</v>
      </c>
      <c r="AB320" s="169">
        <v>100</v>
      </c>
      <c r="AC320" s="169">
        <v>31</v>
      </c>
      <c r="AD320" s="179">
        <v>2</v>
      </c>
      <c r="AE320" s="180">
        <v>17</v>
      </c>
      <c r="AF320" s="152"/>
      <c r="AG320" s="152"/>
    </row>
    <row r="321">
      <c r="A321" s="166"/>
      <c r="B321" s="184" t="s">
        <v>113</v>
      </c>
      <c r="C321" s="184"/>
      <c r="D321" s="185">
        <f>SUM(D317:D320)</f>
      </c>
      <c r="E321" s="185">
        <f>SUM(E317:E320)</f>
      </c>
      <c r="F321" s="185">
        <f>SUM(F317:F320)</f>
      </c>
      <c r="G321" s="185"/>
      <c r="H321" s="185">
        <f>SUM(H317:H320)</f>
      </c>
      <c r="I321" s="185">
        <f>SUM(I317:I320)</f>
      </c>
      <c r="J321" s="186">
        <f t="shared" si="193"/>
      </c>
      <c r="K321" s="187">
        <f t="shared" si="103"/>
      </c>
      <c r="L321" s="188">
        <f t="shared" si="43"/>
      </c>
      <c r="M321" s="189">
        <f t="shared" si="133"/>
      </c>
      <c r="N321" s="187">
        <f t="shared" si="13"/>
      </c>
      <c r="O321" s="188">
        <f t="shared" si="464"/>
      </c>
      <c r="P321" s="187">
        <f t="shared" si="434"/>
      </c>
      <c r="Q321" s="187">
        <f t="shared" si="356"/>
      </c>
      <c r="R321" s="188">
        <f t="shared" si="326"/>
      </c>
      <c r="S321" s="190">
        <f t="shared" si="223"/>
      </c>
      <c r="T321" s="188">
        <f t="shared" si="163"/>
      </c>
      <c r="U321" s="191">
        <f t="shared" si="73"/>
      </c>
      <c r="V321" s="191"/>
      <c r="W321" s="191"/>
      <c r="X321" s="207">
        <f>SUM(X317:X320)</f>
      </c>
      <c r="Y321" s="185">
        <f>SUM(Y317:Y320)</f>
      </c>
      <c r="Z321" s="185">
        <f>SUM(Z317:Z320)</f>
      </c>
      <c r="AA321" s="185">
        <f>SUM(AA317:AA320)</f>
      </c>
      <c r="AB321" s="185">
        <f>SUM(AB317:AB320)</f>
      </c>
      <c r="AC321" s="185">
        <f>SUM(AC317:AC320)</f>
      </c>
      <c r="AD321" s="185">
        <f>SUM(AD317:AD320)</f>
      </c>
      <c r="AE321" s="185">
        <f>SUM(AE317:AE320)</f>
      </c>
      <c r="AF321" s="152"/>
      <c r="AG321" s="152"/>
    </row>
    <row r="322">
      <c r="A322" s="166"/>
      <c r="B322" s="196" t="s">
        <v>130</v>
      </c>
      <c r="C322" s="196"/>
      <c r="D322" s="197">
        <f>D305+D310+D316+D321+D313</f>
      </c>
      <c r="E322" s="197">
        <f>E305+E310+E316+E321+E313</f>
      </c>
      <c r="F322" s="197">
        <f>F305+F310+F316+F321+F313</f>
      </c>
      <c r="G322" s="197"/>
      <c r="H322" s="197">
        <f>H305+H310+H316+H321+H313</f>
      </c>
      <c r="I322" s="197">
        <f>I305+I310+I316+I321+I313</f>
      </c>
      <c r="J322" s="198">
        <f t="shared" si="193"/>
      </c>
      <c r="K322" s="199">
        <f t="shared" si="103"/>
      </c>
      <c r="L322" s="200">
        <f t="shared" si="43"/>
      </c>
      <c r="M322" s="201">
        <f t="shared" si="133"/>
      </c>
      <c r="N322" s="201">
        <f t="shared" si="13"/>
      </c>
      <c r="O322" s="200">
        <f t="shared" si="464"/>
      </c>
      <c r="P322" s="201">
        <f t="shared" si="434"/>
      </c>
      <c r="Q322" s="201">
        <f t="shared" si="356"/>
      </c>
      <c r="R322" s="200">
        <f t="shared" si="326"/>
      </c>
      <c r="S322" s="202">
        <f t="shared" si="223"/>
      </c>
      <c r="T322" s="200">
        <f t="shared" si="163"/>
      </c>
      <c r="U322" s="203">
        <f t="shared" si="73"/>
      </c>
      <c r="V322" s="203"/>
      <c r="W322" s="203"/>
      <c r="X322" s="198">
        <f>X305+X310+X316+X321+X313</f>
      </c>
      <c r="Y322" s="198">
        <f>Y305+Y310+Y316+Y321+Y313</f>
      </c>
      <c r="Z322" s="198">
        <f>Z305+Z310+Z316+Z321+Z313</f>
      </c>
      <c r="AA322" s="198">
        <f>AA305+AA310+AA316+AA321+AA313</f>
      </c>
      <c r="AB322" s="198">
        <f>AB305+AB310+AB316+AB321+AB313</f>
      </c>
      <c r="AC322" s="198">
        <f>AC305+AC310+AC316+AC321+AC313</f>
      </c>
      <c r="AD322" s="198">
        <f>AD305+AD310+AD316+AD321+AD313</f>
      </c>
      <c r="AE322" s="198">
        <f>AE305+AE310+AE316+AE321+AE313</f>
      </c>
      <c r="AF322" s="152"/>
      <c r="AG322" s="152"/>
    </row>
    <row r="323">
      <c r="A323" s="146" t="s">
        <v>73</v>
      </c>
      <c r="B323" s="146"/>
      <c r="C323" s="146"/>
      <c r="D323" s="147" t="s">
        <v>74</v>
      </c>
      <c r="E323" s="147"/>
      <c r="F323" s="147"/>
      <c r="G323" s="147"/>
      <c r="H323" s="147"/>
      <c r="I323" s="147"/>
      <c r="J323" s="147"/>
      <c r="K323" s="148" t="s">
        <v>75</v>
      </c>
      <c r="L323" s="148"/>
      <c r="M323" s="148"/>
      <c r="N323" s="148"/>
      <c r="O323" s="148"/>
      <c r="P323" s="148"/>
      <c r="Q323" s="148"/>
      <c r="R323" s="148"/>
      <c r="S323" s="148"/>
      <c r="T323" s="148"/>
      <c r="U323" s="149"/>
      <c r="V323" s="149"/>
      <c r="W323" s="149"/>
      <c r="X323" s="150"/>
      <c r="Y323" s="150"/>
      <c r="Z323" s="150"/>
      <c r="AA323" s="150"/>
      <c r="AB323" s="150"/>
      <c r="AC323" s="150"/>
      <c r="AD323" s="150"/>
      <c r="AE323" s="151" t="s">
        <v>76</v>
      </c>
      <c r="AF323" s="152"/>
      <c r="AG323" s="152"/>
    </row>
    <row r="324">
      <c r="A324" s="153" t="s">
        <v>77</v>
      </c>
      <c r="B324" s="146" t="s">
        <v>78</v>
      </c>
      <c r="C324" s="146" t="s">
        <v>79</v>
      </c>
      <c r="D324" s="154" t="s">
        <v>80</v>
      </c>
      <c r="E324" s="155" t="s">
        <v>81</v>
      </c>
      <c r="F324" s="155" t="s">
        <v>82</v>
      </c>
      <c r="G324" s="155"/>
      <c r="H324" s="156" t="s">
        <v>83</v>
      </c>
      <c r="I324" s="157" t="s">
        <v>84</v>
      </c>
      <c r="J324" s="155" t="s">
        <v>85</v>
      </c>
      <c r="K324" s="158" t="s">
        <v>86</v>
      </c>
      <c r="L324" s="158" t="s">
        <v>87</v>
      </c>
      <c r="M324" s="159" t="s">
        <v>88</v>
      </c>
      <c r="N324" s="160" t="s">
        <v>89</v>
      </c>
      <c r="O324" s="148" t="s">
        <v>90</v>
      </c>
      <c r="P324" s="160" t="s">
        <v>91</v>
      </c>
      <c r="Q324" s="160" t="s">
        <v>92</v>
      </c>
      <c r="R324" s="161" t="s">
        <v>93</v>
      </c>
      <c r="S324" s="160" t="s">
        <v>94</v>
      </c>
      <c r="T324" s="161" t="s">
        <v>95</v>
      </c>
      <c r="U324" s="162" t="s">
        <v>96</v>
      </c>
      <c r="V324" s="162" t="s">
        <v>97</v>
      </c>
      <c r="W324" s="162" t="s">
        <v>98</v>
      </c>
      <c r="X324" s="163" t="s">
        <v>99</v>
      </c>
      <c r="Y324" s="164" t="s">
        <v>100</v>
      </c>
      <c r="Z324" s="164" t="s">
        <v>101</v>
      </c>
      <c r="AA324" s="164" t="s">
        <v>102</v>
      </c>
      <c r="AB324" s="164" t="s">
        <v>103</v>
      </c>
      <c r="AC324" s="164" t="s">
        <v>104</v>
      </c>
      <c r="AD324" s="165" t="s">
        <v>105</v>
      </c>
      <c r="AE324" s="151"/>
      <c r="AF324" s="152"/>
      <c r="AG324" s="152"/>
    </row>
    <row r="325">
      <c r="A325" s="166">
        <v>46280</v>
      </c>
      <c r="B325" s="167" t="s">
        <v>106</v>
      </c>
      <c r="C325" s="168" t="s">
        <v>115</v>
      </c>
      <c r="D325" s="169">
        <f t="shared" ref="D325:D328" si="297">E325+F325</f>
      </c>
      <c r="E325" s="170">
        <v>3000</v>
      </c>
      <c r="F325" s="170">
        <v>954.46</v>
      </c>
      <c r="G325" s="170"/>
      <c r="H325" s="170">
        <v>2</v>
      </c>
      <c r="I325" s="170">
        <v>2738.88</v>
      </c>
      <c r="J325" s="171">
        <f t="shared" ref="J325:J345" si="194">I325/D325</f>
      </c>
      <c r="K325" s="172">
        <f t="shared" ref="K325:K345" si="104">Z325/Y325</f>
      </c>
      <c r="L325" s="173">
        <f t="shared" ref="L325:L345" si="44">D325/AA325</f>
      </c>
      <c r="M325" s="174">
        <f t="shared" ref="M325:M345" si="134">AB325/AA325</f>
      </c>
      <c r="N325" s="172">
        <f t="shared" ref="N325:N345" si="14">AC325/AA325</f>
      </c>
      <c r="O325" s="173">
        <f t="shared" ref="O325:O345" si="465">D325/AC325</f>
      </c>
      <c r="P325" s="172">
        <f t="shared" ref="P325:P345" si="435">AD325/AC325</f>
      </c>
      <c r="Q325" s="172">
        <f t="shared" ref="Q325:Q345" si="357">H325/AD325</f>
      </c>
      <c r="R325" s="173">
        <f t="shared" ref="R325:R345" si="327">D325/H325</f>
      </c>
      <c r="S325" s="175">
        <f t="shared" ref="S325:S345" si="224">I325/H325</f>
      </c>
      <c r="T325" s="173">
        <f t="shared" ref="T325:T345" si="164">D325/X325</f>
      </c>
      <c r="U325" s="176">
        <f t="shared" ref="U325:U345" si="74">AE325*1000/D325</f>
      </c>
      <c r="V325" s="177" t="s">
        <v>108</v>
      </c>
      <c r="W325" s="178" t="s">
        <v>132</v>
      </c>
      <c r="X325" s="170">
        <v>0</v>
      </c>
      <c r="Y325" s="169">
        <v>12905</v>
      </c>
      <c r="Z325" s="169">
        <v>858</v>
      </c>
      <c r="AA325" s="169">
        <v>1633</v>
      </c>
      <c r="AB325" s="169">
        <v>327</v>
      </c>
      <c r="AC325" s="179">
        <v>29</v>
      </c>
      <c r="AD325" s="179">
        <v>2</v>
      </c>
      <c r="AE325" s="180">
        <v>26</v>
      </c>
      <c r="AF325" s="152"/>
      <c r="AG325" s="152"/>
    </row>
    <row r="326">
      <c r="A326" s="166"/>
      <c r="B326" s="181" t="s">
        <v>110</v>
      </c>
      <c r="C326" s="168" t="s">
        <v>115</v>
      </c>
      <c r="D326" s="169">
        <f t="shared" si="297"/>
      </c>
      <c r="E326" s="169">
        <v>1648.0400000000002</v>
      </c>
      <c r="F326" s="169">
        <v>589.24</v>
      </c>
      <c r="G326" s="169"/>
      <c r="H326" s="170">
        <v>1</v>
      </c>
      <c r="I326" s="170">
        <v>2731.2</v>
      </c>
      <c r="J326" s="171">
        <f t="shared" si="194"/>
      </c>
      <c r="K326" s="172">
        <f t="shared" si="104"/>
      </c>
      <c r="L326" s="173">
        <f t="shared" si="44"/>
      </c>
      <c r="M326" s="174">
        <f t="shared" si="134"/>
      </c>
      <c r="N326" s="172">
        <f t="shared" si="14"/>
      </c>
      <c r="O326" s="173">
        <f t="shared" si="465"/>
      </c>
      <c r="P326" s="172">
        <f t="shared" si="435"/>
      </c>
      <c r="Q326" s="172">
        <f t="shared" si="357"/>
      </c>
      <c r="R326" s="173">
        <f t="shared" si="327"/>
      </c>
      <c r="S326" s="175">
        <f t="shared" si="224"/>
      </c>
      <c r="T326" s="173">
        <f t="shared" si="164"/>
      </c>
      <c r="U326" s="176">
        <f t="shared" si="74"/>
      </c>
      <c r="V326" s="177" t="s">
        <v>108</v>
      </c>
      <c r="W326" s="178" t="s">
        <v>132</v>
      </c>
      <c r="X326" s="208">
        <v>2</v>
      </c>
      <c r="Y326" s="169">
        <v>3941</v>
      </c>
      <c r="Z326" s="169">
        <v>161</v>
      </c>
      <c r="AA326" s="169">
        <v>223</v>
      </c>
      <c r="AB326" s="169">
        <v>45</v>
      </c>
      <c r="AC326" s="169">
        <v>38</v>
      </c>
      <c r="AD326" s="179">
        <v>2</v>
      </c>
      <c r="AE326" s="180">
        <v>7</v>
      </c>
      <c r="AF326" s="152"/>
      <c r="AG326" s="152"/>
    </row>
    <row r="327">
      <c r="A327" s="166"/>
      <c r="B327" s="181" t="s">
        <v>111</v>
      </c>
      <c r="C327" s="168" t="s">
        <v>115</v>
      </c>
      <c r="D327" s="169">
        <f t="shared" si="297"/>
      </c>
      <c r="E327" s="169">
        <v>2872.0699999999997</v>
      </c>
      <c r="F327" s="169">
        <v>1389.94</v>
      </c>
      <c r="G327" s="169"/>
      <c r="H327" s="170">
        <v>0</v>
      </c>
      <c r="I327" s="170">
        <v>0</v>
      </c>
      <c r="J327" s="171">
        <f t="shared" si="194"/>
      </c>
      <c r="K327" s="172">
        <f t="shared" si="104"/>
      </c>
      <c r="L327" s="173">
        <f t="shared" si="44"/>
      </c>
      <c r="M327" s="174">
        <f t="shared" si="134"/>
      </c>
      <c r="N327" s="172">
        <f t="shared" si="14"/>
      </c>
      <c r="O327" s="173">
        <f t="shared" si="465"/>
      </c>
      <c r="P327" s="172">
        <f t="shared" si="435"/>
      </c>
      <c r="Q327" s="172">
        <f t="shared" si="357"/>
      </c>
      <c r="R327" s="173">
        <f t="shared" si="327"/>
      </c>
      <c r="S327" s="175">
        <f t="shared" si="224"/>
      </c>
      <c r="T327" s="173">
        <f t="shared" si="164"/>
      </c>
      <c r="U327" s="176">
        <f t="shared" si="74"/>
      </c>
      <c r="V327" s="177" t="s">
        <v>108</v>
      </c>
      <c r="W327" s="178" t="s">
        <v>132</v>
      </c>
      <c r="X327" s="205">
        <v>0</v>
      </c>
      <c r="Y327" s="169">
        <v>9718</v>
      </c>
      <c r="Z327" s="169">
        <v>714</v>
      </c>
      <c r="AA327" s="169">
        <v>1243</v>
      </c>
      <c r="AB327" s="169">
        <v>308</v>
      </c>
      <c r="AC327" s="169">
        <v>46</v>
      </c>
      <c r="AD327" s="179">
        <v>3</v>
      </c>
      <c r="AE327" s="180">
        <v>15</v>
      </c>
      <c r="AF327" s="152"/>
      <c r="AG327" s="152"/>
    </row>
    <row r="328">
      <c r="A328" s="166"/>
      <c r="B328" s="183" t="s">
        <v>112</v>
      </c>
      <c r="C328" s="168" t="s">
        <v>115</v>
      </c>
      <c r="D328" s="169">
        <f t="shared" si="297"/>
      </c>
      <c r="E328" s="169">
        <v>1980.07</v>
      </c>
      <c r="F328" s="169">
        <v>970.13</v>
      </c>
      <c r="G328" s="169"/>
      <c r="H328" s="170">
        <v>3</v>
      </c>
      <c r="I328" s="170">
        <v>6455.640000000001</v>
      </c>
      <c r="J328" s="171">
        <f t="shared" si="194"/>
      </c>
      <c r="K328" s="172">
        <f t="shared" si="104"/>
      </c>
      <c r="L328" s="173">
        <f t="shared" si="44"/>
      </c>
      <c r="M328" s="174">
        <f t="shared" si="134"/>
      </c>
      <c r="N328" s="172">
        <f t="shared" si="14"/>
      </c>
      <c r="O328" s="173">
        <f t="shared" si="465"/>
      </c>
      <c r="P328" s="172">
        <f t="shared" si="435"/>
      </c>
      <c r="Q328" s="172">
        <f t="shared" si="357"/>
      </c>
      <c r="R328" s="173">
        <f t="shared" si="327"/>
      </c>
      <c r="S328" s="175">
        <f t="shared" si="224"/>
      </c>
      <c r="T328" s="173">
        <f t="shared" si="164"/>
      </c>
      <c r="U328" s="176">
        <f t="shared" si="74"/>
      </c>
      <c r="V328" s="177" t="s">
        <v>108</v>
      </c>
      <c r="W328" s="178" t="s">
        <v>132</v>
      </c>
      <c r="X328" s="205">
        <v>3</v>
      </c>
      <c r="Y328" s="169">
        <v>6904</v>
      </c>
      <c r="Z328" s="169">
        <v>543</v>
      </c>
      <c r="AA328" s="169">
        <v>1075</v>
      </c>
      <c r="AB328" s="169">
        <v>229</v>
      </c>
      <c r="AC328" s="169">
        <v>39</v>
      </c>
      <c r="AD328" s="179">
        <v>5</v>
      </c>
      <c r="AE328" s="180">
        <v>12</v>
      </c>
      <c r="AF328" s="152"/>
      <c r="AG328" s="152"/>
    </row>
    <row r="329">
      <c r="A329" s="166"/>
      <c r="B329" s="184" t="s">
        <v>113</v>
      </c>
      <c r="C329" s="184"/>
      <c r="D329" s="185">
        <f>SUM(D325:D328)</f>
      </c>
      <c r="E329" s="185">
        <f>SUM(E325:E328)</f>
      </c>
      <c r="F329" s="185">
        <f>SUM(F325:F328)</f>
      </c>
      <c r="G329" s="185"/>
      <c r="H329" s="185">
        <f>SUM(H325:H328)</f>
      </c>
      <c r="I329" s="185">
        <f>SUM(I325:I328)</f>
      </c>
      <c r="J329" s="186">
        <f t="shared" si="194"/>
      </c>
      <c r="K329" s="187">
        <f t="shared" si="104"/>
      </c>
      <c r="L329" s="188">
        <f t="shared" si="44"/>
      </c>
      <c r="M329" s="189">
        <f t="shared" si="134"/>
      </c>
      <c r="N329" s="187">
        <f t="shared" si="14"/>
      </c>
      <c r="O329" s="188">
        <f t="shared" si="465"/>
      </c>
      <c r="P329" s="187">
        <f t="shared" si="435"/>
      </c>
      <c r="Q329" s="187">
        <f t="shared" si="357"/>
      </c>
      <c r="R329" s="188">
        <f t="shared" si="327"/>
      </c>
      <c r="S329" s="190">
        <f t="shared" si="224"/>
      </c>
      <c r="T329" s="188">
        <f t="shared" si="164"/>
      </c>
      <c r="U329" s="191">
        <f t="shared" si="74"/>
      </c>
      <c r="V329" s="191"/>
      <c r="W329" s="191"/>
      <c r="X329" s="206">
        <f>SUM(X325:X328)</f>
      </c>
      <c r="Y329" s="185">
        <f>SUM(Y325:Y328)</f>
      </c>
      <c r="Z329" s="185">
        <f>SUM(Z325:Z328)</f>
      </c>
      <c r="AA329" s="185">
        <f>SUM(AA325:AA328)</f>
      </c>
      <c r="AB329" s="185">
        <f>SUM(AB325:AB328)</f>
      </c>
      <c r="AC329" s="185">
        <f>SUM(AC325:AC328)</f>
      </c>
      <c r="AD329" s="185">
        <f>SUM(AD325:AD328)</f>
      </c>
      <c r="AE329" s="185">
        <f>SUM(AE325:AE328)</f>
      </c>
      <c r="AF329" s="152"/>
      <c r="AG329" s="152"/>
    </row>
    <row r="330">
      <c r="A330" s="166"/>
      <c r="B330" s="181" t="s">
        <v>114</v>
      </c>
      <c r="C330" s="168" t="s">
        <v>107</v>
      </c>
      <c r="D330" s="169">
        <f t="shared" ref="D330:D333" si="298">E330+F330</f>
      </c>
      <c r="E330" s="170">
        <v>1969.54</v>
      </c>
      <c r="F330" s="170">
        <v>1069.19</v>
      </c>
      <c r="G330" s="170"/>
      <c r="H330" s="170">
        <v>2</v>
      </c>
      <c r="I330" s="170">
        <v>3046.6800000000003</v>
      </c>
      <c r="J330" s="171">
        <f t="shared" si="194"/>
      </c>
      <c r="K330" s="172">
        <f t="shared" si="104"/>
      </c>
      <c r="L330" s="173">
        <f t="shared" si="44"/>
      </c>
      <c r="M330" s="174">
        <f t="shared" si="134"/>
      </c>
      <c r="N330" s="172">
        <f t="shared" si="14"/>
      </c>
      <c r="O330" s="173">
        <f t="shared" si="465"/>
      </c>
      <c r="P330" s="172">
        <f t="shared" si="435"/>
      </c>
      <c r="Q330" s="172">
        <f t="shared" si="357"/>
      </c>
      <c r="R330" s="173">
        <f t="shared" si="327"/>
      </c>
      <c r="S330" s="175">
        <f t="shared" si="224"/>
      </c>
      <c r="T330" s="173">
        <f t="shared" si="164"/>
      </c>
      <c r="U330" s="176">
        <f t="shared" si="74"/>
      </c>
      <c r="V330" s="177" t="s">
        <v>108</v>
      </c>
      <c r="W330" s="178" t="s">
        <v>132</v>
      </c>
      <c r="X330" s="170">
        <v>1</v>
      </c>
      <c r="Y330" s="169">
        <v>9049</v>
      </c>
      <c r="Z330" s="169">
        <v>660</v>
      </c>
      <c r="AA330" s="169">
        <v>1387</v>
      </c>
      <c r="AB330" s="169">
        <v>272</v>
      </c>
      <c r="AC330" s="179">
        <v>40</v>
      </c>
      <c r="AD330" s="179">
        <v>4</v>
      </c>
      <c r="AE330" s="180">
        <v>9</v>
      </c>
      <c r="AF330" s="152"/>
      <c r="AG330" s="152"/>
    </row>
    <row r="331">
      <c r="A331" s="166"/>
      <c r="B331" s="181" t="s">
        <v>116</v>
      </c>
      <c r="C331" s="168" t="s">
        <v>107</v>
      </c>
      <c r="D331" s="169">
        <f t="shared" si="298"/>
      </c>
      <c r="E331" s="169">
        <v>1783.8600000000001</v>
      </c>
      <c r="F331" s="169">
        <v>1165.73</v>
      </c>
      <c r="G331" s="169"/>
      <c r="H331" s="170">
        <v>3</v>
      </c>
      <c r="I331" s="170">
        <v>7337.48</v>
      </c>
      <c r="J331" s="171">
        <f t="shared" si="194"/>
      </c>
      <c r="K331" s="172">
        <f t="shared" si="104"/>
      </c>
      <c r="L331" s="173">
        <f t="shared" si="44"/>
      </c>
      <c r="M331" s="174">
        <f t="shared" si="134"/>
      </c>
      <c r="N331" s="172">
        <f t="shared" si="14"/>
      </c>
      <c r="O331" s="173">
        <f t="shared" si="465"/>
      </c>
      <c r="P331" s="172">
        <f t="shared" si="435"/>
      </c>
      <c r="Q331" s="172">
        <f t="shared" si="357"/>
      </c>
      <c r="R331" s="173">
        <f t="shared" si="327"/>
      </c>
      <c r="S331" s="175">
        <f t="shared" si="224"/>
      </c>
      <c r="T331" s="173">
        <f t="shared" si="164"/>
      </c>
      <c r="U331" s="176">
        <f t="shared" si="74"/>
      </c>
      <c r="V331" s="177" t="s">
        <v>108</v>
      </c>
      <c r="W331" s="178" t="s">
        <v>132</v>
      </c>
      <c r="X331" s="208">
        <v>2</v>
      </c>
      <c r="Y331" s="169">
        <v>7247</v>
      </c>
      <c r="Z331" s="169">
        <v>477</v>
      </c>
      <c r="AA331" s="169">
        <v>938</v>
      </c>
      <c r="AB331" s="169">
        <v>199</v>
      </c>
      <c r="AC331" s="169">
        <v>50</v>
      </c>
      <c r="AD331" s="179">
        <v>4</v>
      </c>
      <c r="AE331" s="180">
        <v>15</v>
      </c>
      <c r="AF331" s="152"/>
      <c r="AG331" s="152"/>
    </row>
    <row r="332">
      <c r="A332" s="166"/>
      <c r="B332" s="181" t="s">
        <v>117</v>
      </c>
      <c r="C332" s="168" t="s">
        <v>107</v>
      </c>
      <c r="D332" s="169">
        <f t="shared" si="298"/>
      </c>
      <c r="E332" s="169">
        <v>2246.42</v>
      </c>
      <c r="F332" s="169">
        <v>703.13</v>
      </c>
      <c r="G332" s="169"/>
      <c r="H332" s="170">
        <v>2</v>
      </c>
      <c r="I332" s="169">
        <v>5973.119999999999</v>
      </c>
      <c r="J332" s="171">
        <f t="shared" si="194"/>
      </c>
      <c r="K332" s="172">
        <f t="shared" si="104"/>
      </c>
      <c r="L332" s="173">
        <f t="shared" si="44"/>
      </c>
      <c r="M332" s="174">
        <f t="shared" si="134"/>
      </c>
      <c r="N332" s="172">
        <f t="shared" si="14"/>
      </c>
      <c r="O332" s="173">
        <f t="shared" si="465"/>
      </c>
      <c r="P332" s="172">
        <f t="shared" si="435"/>
      </c>
      <c r="Q332" s="172">
        <f t="shared" si="357"/>
      </c>
      <c r="R332" s="173">
        <f t="shared" si="327"/>
      </c>
      <c r="S332" s="175">
        <f t="shared" si="224"/>
      </c>
      <c r="T332" s="173">
        <f t="shared" si="164"/>
      </c>
      <c r="U332" s="176">
        <f t="shared" si="74"/>
      </c>
      <c r="V332" s="177" t="s">
        <v>108</v>
      </c>
      <c r="W332" s="178" t="s">
        <v>132</v>
      </c>
      <c r="X332" s="205">
        <v>2</v>
      </c>
      <c r="Y332" s="169">
        <v>6573</v>
      </c>
      <c r="Z332" s="169">
        <v>214</v>
      </c>
      <c r="AA332" s="169">
        <v>255</v>
      </c>
      <c r="AB332" s="169">
        <v>52</v>
      </c>
      <c r="AC332" s="169">
        <v>50</v>
      </c>
      <c r="AD332" s="179">
        <v>2</v>
      </c>
      <c r="AE332" s="180">
        <v>14</v>
      </c>
      <c r="AF332" s="152"/>
      <c r="AG332" s="152"/>
    </row>
    <row r="333">
      <c r="A333" s="166"/>
      <c r="B333" s="181" t="s">
        <v>118</v>
      </c>
      <c r="C333" s="168" t="s">
        <v>107</v>
      </c>
      <c r="D333" s="169">
        <f t="shared" si="298"/>
      </c>
      <c r="E333" s="169">
        <v>1375.5900000000001</v>
      </c>
      <c r="F333" s="169">
        <v>773.84</v>
      </c>
      <c r="G333" s="169"/>
      <c r="H333" s="170">
        <v>4</v>
      </c>
      <c r="I333" s="170">
        <v>4544.279999999999</v>
      </c>
      <c r="J333" s="171">
        <f t="shared" si="194"/>
      </c>
      <c r="K333" s="172">
        <f t="shared" si="104"/>
      </c>
      <c r="L333" s="173">
        <f t="shared" si="44"/>
      </c>
      <c r="M333" s="174">
        <f t="shared" si="134"/>
      </c>
      <c r="N333" s="172">
        <f t="shared" si="14"/>
      </c>
      <c r="O333" s="173">
        <f t="shared" si="465"/>
      </c>
      <c r="P333" s="172">
        <f t="shared" si="435"/>
      </c>
      <c r="Q333" s="172">
        <f t="shared" si="357"/>
      </c>
      <c r="R333" s="173">
        <f t="shared" si="327"/>
      </c>
      <c r="S333" s="175">
        <f t="shared" si="224"/>
      </c>
      <c r="T333" s="173">
        <f t="shared" si="164"/>
      </c>
      <c r="U333" s="176">
        <f t="shared" si="74"/>
      </c>
      <c r="V333" s="177" t="s">
        <v>108</v>
      </c>
      <c r="W333" s="178" t="s">
        <v>132</v>
      </c>
      <c r="X333" s="205">
        <v>3</v>
      </c>
      <c r="Y333" s="169">
        <v>6246</v>
      </c>
      <c r="Z333" s="169">
        <v>421</v>
      </c>
      <c r="AA333" s="169">
        <v>658</v>
      </c>
      <c r="AB333" s="169">
        <v>132</v>
      </c>
      <c r="AC333" s="169">
        <v>53</v>
      </c>
      <c r="AD333" s="179">
        <v>4</v>
      </c>
      <c r="AE333" s="180">
        <v>11</v>
      </c>
      <c r="AF333" s="152"/>
      <c r="AG333" s="152"/>
    </row>
    <row r="334">
      <c r="A334" s="166"/>
      <c r="B334" s="184" t="s">
        <v>113</v>
      </c>
      <c r="C334" s="184"/>
      <c r="D334" s="185">
        <f>SUM(D330:D333)</f>
      </c>
      <c r="E334" s="185">
        <f>SUM(E330:E333)</f>
      </c>
      <c r="F334" s="185">
        <f>SUM(F330:F333)</f>
      </c>
      <c r="G334" s="185"/>
      <c r="H334" s="185">
        <f>SUM(H330:H333)</f>
      </c>
      <c r="I334" s="185">
        <f>SUM(I330:I333)</f>
      </c>
      <c r="J334" s="186">
        <f t="shared" si="194"/>
      </c>
      <c r="K334" s="187">
        <f t="shared" si="104"/>
      </c>
      <c r="L334" s="188">
        <f t="shared" si="44"/>
      </c>
      <c r="M334" s="189">
        <f t="shared" si="134"/>
      </c>
      <c r="N334" s="187">
        <f t="shared" si="14"/>
      </c>
      <c r="O334" s="188">
        <f t="shared" si="465"/>
      </c>
      <c r="P334" s="187">
        <f t="shared" si="435"/>
      </c>
      <c r="Q334" s="187">
        <f t="shared" si="357"/>
      </c>
      <c r="R334" s="188">
        <f t="shared" si="327"/>
      </c>
      <c r="S334" s="190">
        <f t="shared" si="224"/>
      </c>
      <c r="T334" s="188">
        <f t="shared" si="164"/>
      </c>
      <c r="U334" s="191">
        <f t="shared" si="74"/>
      </c>
      <c r="V334" s="191"/>
      <c r="W334" s="191"/>
      <c r="X334" s="206">
        <f>SUM(X330:X333)</f>
      </c>
      <c r="Y334" s="185">
        <f>SUM(Y330:Y333)</f>
      </c>
      <c r="Z334" s="185">
        <f>SUM(Z330:Z333)</f>
      </c>
      <c r="AA334" s="185">
        <f>SUM(AA330:AA333)</f>
      </c>
      <c r="AB334" s="185">
        <f>SUM(AB330:AB333)</f>
      </c>
      <c r="AC334" s="185">
        <f>SUM(AC330:AC333)</f>
      </c>
      <c r="AD334" s="185">
        <f>SUM(AD330:AD333)</f>
      </c>
      <c r="AE334" s="185">
        <f>SUM(AE330:AE333)</f>
      </c>
      <c r="AF334" s="152"/>
      <c r="AG334" s="152"/>
    </row>
    <row r="335">
      <c r="A335" s="166"/>
      <c r="B335" s="192" t="s">
        <v>119</v>
      </c>
      <c r="C335" s="168" t="s">
        <v>131</v>
      </c>
      <c r="D335" s="169">
        <f t="shared" ref="D335:D338" si="299">E335+F335</f>
      </c>
      <c r="E335" s="170">
        <v>2532.63</v>
      </c>
      <c r="F335" s="170">
        <v>1080.54</v>
      </c>
      <c r="G335" s="170"/>
      <c r="H335" s="170">
        <v>2</v>
      </c>
      <c r="I335" s="170">
        <v>2335.3199999999997</v>
      </c>
      <c r="J335" s="171">
        <f t="shared" si="194"/>
      </c>
      <c r="K335" s="172">
        <f t="shared" si="104"/>
      </c>
      <c r="L335" s="173">
        <f t="shared" si="44"/>
      </c>
      <c r="M335" s="174">
        <f t="shared" si="134"/>
      </c>
      <c r="N335" s="172">
        <f t="shared" si="14"/>
      </c>
      <c r="O335" s="173">
        <f t="shared" si="465"/>
      </c>
      <c r="P335" s="172">
        <f t="shared" si="435"/>
      </c>
      <c r="Q335" s="172">
        <f t="shared" si="357"/>
      </c>
      <c r="R335" s="173">
        <f t="shared" si="327"/>
      </c>
      <c r="S335" s="175">
        <f t="shared" si="224"/>
      </c>
      <c r="T335" s="173">
        <f t="shared" si="164"/>
      </c>
      <c r="U335" s="176">
        <f t="shared" si="74"/>
      </c>
      <c r="V335" s="177" t="s">
        <v>108</v>
      </c>
      <c r="W335" s="178" t="s">
        <v>136</v>
      </c>
      <c r="X335" s="170">
        <v>1</v>
      </c>
      <c r="Y335" s="169">
        <v>12151</v>
      </c>
      <c r="Z335" s="169">
        <v>488</v>
      </c>
      <c r="AA335" s="169">
        <v>658</v>
      </c>
      <c r="AB335" s="169">
        <v>115</v>
      </c>
      <c r="AC335" s="179">
        <v>40</v>
      </c>
      <c r="AD335" s="179">
        <v>2</v>
      </c>
      <c r="AE335" s="180">
        <v>16</v>
      </c>
      <c r="AF335" s="152"/>
      <c r="AG335" s="152"/>
    </row>
    <row r="336">
      <c r="A336" s="166"/>
      <c r="B336" s="194" t="s">
        <v>122</v>
      </c>
      <c r="C336" s="168" t="s">
        <v>131</v>
      </c>
      <c r="D336" s="169">
        <f t="shared" si="299"/>
      </c>
      <c r="E336" s="169">
        <v>1689.38</v>
      </c>
      <c r="F336" s="169">
        <v>996.77</v>
      </c>
      <c r="G336" s="169"/>
      <c r="H336" s="170">
        <v>5</v>
      </c>
      <c r="I336" s="170">
        <v>7920.360000000001</v>
      </c>
      <c r="J336" s="171">
        <f t="shared" si="194"/>
      </c>
      <c r="K336" s="172">
        <f t="shared" si="104"/>
      </c>
      <c r="L336" s="173">
        <f t="shared" si="44"/>
      </c>
      <c r="M336" s="174">
        <f t="shared" si="134"/>
      </c>
      <c r="N336" s="172">
        <f t="shared" si="14"/>
      </c>
      <c r="O336" s="173">
        <f t="shared" si="465"/>
      </c>
      <c r="P336" s="172">
        <f t="shared" si="435"/>
      </c>
      <c r="Q336" s="172">
        <f t="shared" si="357"/>
      </c>
      <c r="R336" s="173">
        <f t="shared" si="327"/>
      </c>
      <c r="S336" s="175">
        <f t="shared" si="224"/>
      </c>
      <c r="T336" s="173">
        <f t="shared" si="164"/>
      </c>
      <c r="U336" s="176">
        <f t="shared" si="74"/>
      </c>
      <c r="V336" s="177" t="s">
        <v>108</v>
      </c>
      <c r="W336" s="178" t="s">
        <v>136</v>
      </c>
      <c r="X336" s="208">
        <v>3</v>
      </c>
      <c r="Y336" s="169">
        <v>7578</v>
      </c>
      <c r="Z336" s="169">
        <v>623</v>
      </c>
      <c r="AA336" s="169">
        <v>1256</v>
      </c>
      <c r="AB336" s="169">
        <v>284</v>
      </c>
      <c r="AC336" s="169">
        <v>38</v>
      </c>
      <c r="AD336" s="179">
        <v>6</v>
      </c>
      <c r="AE336" s="180">
        <v>24</v>
      </c>
      <c r="AF336" s="152"/>
      <c r="AG336" s="152"/>
    </row>
    <row r="337">
      <c r="A337" s="166"/>
      <c r="B337" s="210" t="s">
        <v>123</v>
      </c>
      <c r="C337" s="168" t="s">
        <v>131</v>
      </c>
      <c r="D337" s="169">
        <f t="shared" si="299"/>
      </c>
      <c r="E337" s="169">
        <v>2042.05</v>
      </c>
      <c r="F337" s="169">
        <v>1011.14</v>
      </c>
      <c r="G337" s="169"/>
      <c r="H337" s="170">
        <v>2</v>
      </c>
      <c r="I337" s="169">
        <v>3402.480000000003</v>
      </c>
      <c r="J337" s="171">
        <f t="shared" si="194"/>
      </c>
      <c r="K337" s="172">
        <f t="shared" si="104"/>
      </c>
      <c r="L337" s="173">
        <f t="shared" si="44"/>
      </c>
      <c r="M337" s="174">
        <f t="shared" si="134"/>
      </c>
      <c r="N337" s="172">
        <f t="shared" si="14"/>
      </c>
      <c r="O337" s="173">
        <f t="shared" si="465"/>
      </c>
      <c r="P337" s="172">
        <f t="shared" si="435"/>
      </c>
      <c r="Q337" s="172">
        <f t="shared" si="357"/>
      </c>
      <c r="R337" s="173">
        <f t="shared" si="327"/>
      </c>
      <c r="S337" s="175">
        <f t="shared" si="224"/>
      </c>
      <c r="T337" s="173">
        <f t="shared" si="164"/>
      </c>
      <c r="U337" s="176">
        <f t="shared" si="74"/>
      </c>
      <c r="V337" s="177" t="s">
        <v>108</v>
      </c>
      <c r="W337" s="178" t="s">
        <v>136</v>
      </c>
      <c r="X337" s="205">
        <v>0</v>
      </c>
      <c r="Y337" s="169">
        <v>11230</v>
      </c>
      <c r="Z337" s="169">
        <v>546</v>
      </c>
      <c r="AA337" s="169">
        <v>962</v>
      </c>
      <c r="AB337" s="169">
        <v>161</v>
      </c>
      <c r="AC337" s="169">
        <v>40</v>
      </c>
      <c r="AD337" s="179">
        <v>5</v>
      </c>
      <c r="AE337" s="180">
        <v>7</v>
      </c>
      <c r="AF337" s="152"/>
      <c r="AG337" s="152"/>
    </row>
    <row r="338">
      <c r="A338" s="166"/>
      <c r="B338" s="183" t="s">
        <v>124</v>
      </c>
      <c r="C338" s="168" t="s">
        <v>131</v>
      </c>
      <c r="D338" s="169">
        <f t="shared" si="299"/>
      </c>
      <c r="E338" s="169">
        <v>1778.2</v>
      </c>
      <c r="F338" s="169">
        <v>524.24</v>
      </c>
      <c r="G338" s="169"/>
      <c r="H338" s="170">
        <v>2</v>
      </c>
      <c r="I338" s="170">
        <v>4237.080000000002</v>
      </c>
      <c r="J338" s="171">
        <f t="shared" si="194"/>
      </c>
      <c r="K338" s="172">
        <f t="shared" si="104"/>
      </c>
      <c r="L338" s="173">
        <f t="shared" si="44"/>
      </c>
      <c r="M338" s="174">
        <f t="shared" si="134"/>
      </c>
      <c r="N338" s="172">
        <f t="shared" si="14"/>
      </c>
      <c r="O338" s="173">
        <f t="shared" si="465"/>
      </c>
      <c r="P338" s="172">
        <f t="shared" si="435"/>
      </c>
      <c r="Q338" s="172">
        <f t="shared" si="357"/>
      </c>
      <c r="R338" s="173">
        <f t="shared" si="327"/>
      </c>
      <c r="S338" s="175">
        <f t="shared" si="224"/>
      </c>
      <c r="T338" s="173">
        <f t="shared" si="164"/>
      </c>
      <c r="U338" s="176">
        <f t="shared" si="74"/>
      </c>
      <c r="V338" s="177" t="s">
        <v>108</v>
      </c>
      <c r="W338" s="178" t="s">
        <v>136</v>
      </c>
      <c r="X338" s="205">
        <v>0</v>
      </c>
      <c r="Y338" s="169">
        <v>6952</v>
      </c>
      <c r="Z338" s="169">
        <v>512</v>
      </c>
      <c r="AA338" s="169">
        <v>1049</v>
      </c>
      <c r="AB338" s="169">
        <v>183</v>
      </c>
      <c r="AC338" s="169">
        <v>33</v>
      </c>
      <c r="AD338" s="179">
        <v>5</v>
      </c>
      <c r="AE338" s="180">
        <v>18</v>
      </c>
      <c r="AF338" s="152"/>
      <c r="AG338" s="152"/>
    </row>
    <row r="339">
      <c r="A339" s="166"/>
      <c r="B339" s="184" t="s">
        <v>113</v>
      </c>
      <c r="C339" s="184"/>
      <c r="D339" s="185">
        <f>SUM(D335:D338)</f>
      </c>
      <c r="E339" s="185">
        <f>SUM(E335:E338)</f>
      </c>
      <c r="F339" s="185">
        <f>SUM(F335:F338)</f>
      </c>
      <c r="G339" s="185"/>
      <c r="H339" s="185">
        <f>SUM(H335:H338)</f>
      </c>
      <c r="I339" s="185">
        <f>SUM(I335:I338)</f>
      </c>
      <c r="J339" s="186">
        <f t="shared" si="194"/>
      </c>
      <c r="K339" s="187">
        <f t="shared" si="104"/>
      </c>
      <c r="L339" s="188">
        <f t="shared" si="44"/>
      </c>
      <c r="M339" s="189">
        <f t="shared" si="134"/>
      </c>
      <c r="N339" s="187">
        <f t="shared" si="14"/>
      </c>
      <c r="O339" s="188">
        <f t="shared" si="465"/>
      </c>
      <c r="P339" s="187">
        <f t="shared" si="435"/>
      </c>
      <c r="Q339" s="187">
        <f t="shared" si="357"/>
      </c>
      <c r="R339" s="188">
        <f t="shared" si="327"/>
      </c>
      <c r="S339" s="190">
        <f t="shared" si="224"/>
      </c>
      <c r="T339" s="188">
        <f t="shared" si="164"/>
      </c>
      <c r="U339" s="191">
        <f t="shared" si="74"/>
      </c>
      <c r="V339" s="191"/>
      <c r="W339" s="191"/>
      <c r="X339" s="206">
        <f>SUM(X335:X338)</f>
      </c>
      <c r="Y339" s="185">
        <f>SUM(Y335:Y338)</f>
      </c>
      <c r="Z339" s="185">
        <f>SUM(Z335:Z338)</f>
      </c>
      <c r="AA339" s="185">
        <f>SUM(AA335:AA338)</f>
      </c>
      <c r="AB339" s="185">
        <f>SUM(AB335:AB338)</f>
      </c>
      <c r="AC339" s="185">
        <f>SUM(AC335:AC338)</f>
      </c>
      <c r="AD339" s="185">
        <f>SUM(AD335:AD338)</f>
      </c>
      <c r="AE339" s="185">
        <f>SUM(AE335:AE338)</f>
      </c>
      <c r="AF339" s="152"/>
      <c r="AG339" s="152"/>
    </row>
    <row r="340">
      <c r="A340" s="166"/>
      <c r="B340" s="181" t="s">
        <v>125</v>
      </c>
      <c r="C340" s="168" t="s">
        <v>126</v>
      </c>
      <c r="D340" s="169">
        <f t="shared" ref="D340:D343" si="300">E340+F340</f>
      </c>
      <c r="E340" s="170">
        <v>2218.56</v>
      </c>
      <c r="F340" s="170">
        <v>333.74</v>
      </c>
      <c r="G340" s="170"/>
      <c r="H340" s="170">
        <v>1</v>
      </c>
      <c r="I340" s="170">
        <v>3669.8399999999965</v>
      </c>
      <c r="J340" s="171">
        <f t="shared" si="194"/>
      </c>
      <c r="K340" s="172">
        <f t="shared" si="104"/>
      </c>
      <c r="L340" s="173">
        <f t="shared" si="44"/>
      </c>
      <c r="M340" s="174">
        <f t="shared" si="134"/>
      </c>
      <c r="N340" s="172">
        <f t="shared" si="14"/>
      </c>
      <c r="O340" s="173">
        <f t="shared" si="465"/>
      </c>
      <c r="P340" s="172">
        <f t="shared" si="435"/>
      </c>
      <c r="Q340" s="172">
        <f t="shared" si="357"/>
      </c>
      <c r="R340" s="173">
        <f t="shared" si="327"/>
      </c>
      <c r="S340" s="175">
        <f t="shared" si="224"/>
      </c>
      <c r="T340" s="173">
        <f t="shared" si="164"/>
      </c>
      <c r="U340" s="176">
        <f t="shared" si="74"/>
      </c>
      <c r="V340" s="177" t="s">
        <v>108</v>
      </c>
      <c r="W340" s="178" t="s">
        <v>136</v>
      </c>
      <c r="X340" s="170">
        <v>2</v>
      </c>
      <c r="Y340" s="169">
        <v>8357</v>
      </c>
      <c r="Z340" s="169">
        <v>511</v>
      </c>
      <c r="AA340" s="169">
        <v>815</v>
      </c>
      <c r="AB340" s="169">
        <v>121</v>
      </c>
      <c r="AC340" s="179">
        <v>38</v>
      </c>
      <c r="AD340" s="179">
        <v>2</v>
      </c>
      <c r="AE340" s="180">
        <v>11</v>
      </c>
      <c r="AF340" s="152"/>
      <c r="AG340" s="152"/>
    </row>
    <row r="341">
      <c r="A341" s="166"/>
      <c r="B341" s="195" t="s">
        <v>127</v>
      </c>
      <c r="C341" s="168" t="s">
        <v>126</v>
      </c>
      <c r="D341" s="169">
        <f t="shared" si="300"/>
      </c>
      <c r="E341" s="169">
        <v>1496.47</v>
      </c>
      <c r="F341" s="169">
        <v>409.55</v>
      </c>
      <c r="G341" s="169"/>
      <c r="H341" s="170">
        <v>2</v>
      </c>
      <c r="I341" s="170">
        <v>2804.760000000002</v>
      </c>
      <c r="J341" s="171">
        <f t="shared" si="194"/>
      </c>
      <c r="K341" s="172">
        <f t="shared" si="104"/>
      </c>
      <c r="L341" s="173">
        <f t="shared" si="44"/>
      </c>
      <c r="M341" s="174">
        <f t="shared" si="134"/>
      </c>
      <c r="N341" s="172">
        <f t="shared" si="14"/>
      </c>
      <c r="O341" s="173">
        <f t="shared" si="465"/>
      </c>
      <c r="P341" s="172">
        <f t="shared" si="435"/>
      </c>
      <c r="Q341" s="172">
        <f t="shared" si="357"/>
      </c>
      <c r="R341" s="173">
        <f t="shared" si="327"/>
      </c>
      <c r="S341" s="175">
        <f t="shared" si="224"/>
      </c>
      <c r="T341" s="173">
        <f t="shared" si="164"/>
      </c>
      <c r="U341" s="176">
        <f t="shared" si="74"/>
      </c>
      <c r="V341" s="177" t="s">
        <v>108</v>
      </c>
      <c r="W341" s="178" t="s">
        <v>136</v>
      </c>
      <c r="X341" s="208">
        <v>2</v>
      </c>
      <c r="Y341" s="169">
        <v>5616</v>
      </c>
      <c r="Z341" s="169">
        <v>300</v>
      </c>
      <c r="AA341" s="169">
        <v>536</v>
      </c>
      <c r="AB341" s="169">
        <v>89</v>
      </c>
      <c r="AC341" s="169">
        <v>36</v>
      </c>
      <c r="AD341" s="179">
        <v>3</v>
      </c>
      <c r="AE341" s="180">
        <v>15</v>
      </c>
      <c r="AF341" s="152"/>
      <c r="AG341" s="152"/>
    </row>
    <row r="342">
      <c r="A342" s="166"/>
      <c r="B342" s="195" t="s">
        <v>128</v>
      </c>
      <c r="C342" s="168" t="s">
        <v>126</v>
      </c>
      <c r="D342" s="169">
        <f t="shared" si="300"/>
      </c>
      <c r="E342" s="169">
        <v>2028.58</v>
      </c>
      <c r="F342" s="169">
        <v>512.27</v>
      </c>
      <c r="G342" s="169"/>
      <c r="H342" s="170">
        <v>2</v>
      </c>
      <c r="I342" s="169">
        <v>6719.639999999999</v>
      </c>
      <c r="J342" s="171">
        <f t="shared" si="194"/>
      </c>
      <c r="K342" s="172">
        <f t="shared" si="104"/>
      </c>
      <c r="L342" s="173">
        <f t="shared" si="44"/>
      </c>
      <c r="M342" s="174">
        <f t="shared" si="134"/>
      </c>
      <c r="N342" s="172">
        <f t="shared" si="14"/>
      </c>
      <c r="O342" s="173">
        <f t="shared" si="465"/>
      </c>
      <c r="P342" s="172">
        <f t="shared" si="435"/>
      </c>
      <c r="Q342" s="172">
        <f t="shared" si="357"/>
      </c>
      <c r="R342" s="173">
        <f t="shared" si="327"/>
      </c>
      <c r="S342" s="175">
        <f t="shared" si="224"/>
      </c>
      <c r="T342" s="173">
        <f t="shared" si="164"/>
      </c>
      <c r="U342" s="176">
        <f t="shared" si="74"/>
      </c>
      <c r="V342" s="177" t="s">
        <v>108</v>
      </c>
      <c r="W342" s="178" t="s">
        <v>136</v>
      </c>
      <c r="X342" s="205">
        <v>2</v>
      </c>
      <c r="Y342" s="169">
        <v>7558</v>
      </c>
      <c r="Z342" s="169">
        <v>477</v>
      </c>
      <c r="AA342" s="169">
        <v>833</v>
      </c>
      <c r="AB342" s="169">
        <v>126</v>
      </c>
      <c r="AC342" s="169">
        <v>39</v>
      </c>
      <c r="AD342" s="179">
        <v>3</v>
      </c>
      <c r="AE342" s="180">
        <v>13</v>
      </c>
      <c r="AF342" s="152"/>
      <c r="AG342" s="152"/>
    </row>
    <row r="343">
      <c r="A343" s="166"/>
      <c r="B343" s="167" t="s">
        <v>129</v>
      </c>
      <c r="C343" s="168" t="s">
        <v>126</v>
      </c>
      <c r="D343" s="169">
        <f t="shared" si="300"/>
      </c>
      <c r="E343" s="169">
        <v>1335</v>
      </c>
      <c r="F343" s="169">
        <v>318.56</v>
      </c>
      <c r="G343" s="169"/>
      <c r="H343" s="170">
        <v>2</v>
      </c>
      <c r="I343" s="170">
        <v>7961.4000000000015</v>
      </c>
      <c r="J343" s="171">
        <f t="shared" si="194"/>
      </c>
      <c r="K343" s="172">
        <f t="shared" si="104"/>
      </c>
      <c r="L343" s="173">
        <f t="shared" si="44"/>
      </c>
      <c r="M343" s="174">
        <f t="shared" si="134"/>
      </c>
      <c r="N343" s="172">
        <f t="shared" si="14"/>
      </c>
      <c r="O343" s="173">
        <f t="shared" si="465"/>
      </c>
      <c r="P343" s="172">
        <f t="shared" si="435"/>
      </c>
      <c r="Q343" s="172">
        <f t="shared" si="357"/>
      </c>
      <c r="R343" s="173">
        <f t="shared" si="327"/>
      </c>
      <c r="S343" s="175">
        <f t="shared" si="224"/>
      </c>
      <c r="T343" s="173">
        <f t="shared" si="164"/>
      </c>
      <c r="U343" s="176">
        <f t="shared" si="74"/>
      </c>
      <c r="V343" s="177" t="s">
        <v>108</v>
      </c>
      <c r="W343" s="178" t="s">
        <v>136</v>
      </c>
      <c r="X343" s="205">
        <v>1</v>
      </c>
      <c r="Y343" s="169">
        <v>4364</v>
      </c>
      <c r="Z343" s="169">
        <v>287</v>
      </c>
      <c r="AA343" s="169">
        <v>497</v>
      </c>
      <c r="AB343" s="169">
        <v>67</v>
      </c>
      <c r="AC343" s="169">
        <v>37</v>
      </c>
      <c r="AD343" s="179">
        <v>2</v>
      </c>
      <c r="AE343" s="180">
        <v>7</v>
      </c>
      <c r="AF343" s="152"/>
      <c r="AG343" s="152"/>
    </row>
    <row r="344">
      <c r="A344" s="166"/>
      <c r="B344" s="184" t="s">
        <v>113</v>
      </c>
      <c r="C344" s="184"/>
      <c r="D344" s="185">
        <f>SUM(D340:D343)</f>
      </c>
      <c r="E344" s="185">
        <f>SUM(E340:E343)</f>
      </c>
      <c r="F344" s="185">
        <f>SUM(F340:F343)</f>
      </c>
      <c r="G344" s="185"/>
      <c r="H344" s="185">
        <f>SUM(H340:H343)</f>
      </c>
      <c r="I344" s="185">
        <f>SUM(I340:I343)</f>
      </c>
      <c r="J344" s="186">
        <f t="shared" si="194"/>
      </c>
      <c r="K344" s="187">
        <f t="shared" si="104"/>
      </c>
      <c r="L344" s="188">
        <f t="shared" si="44"/>
      </c>
      <c r="M344" s="189">
        <f t="shared" si="134"/>
      </c>
      <c r="N344" s="187">
        <f t="shared" si="14"/>
      </c>
      <c r="O344" s="188">
        <f t="shared" si="465"/>
      </c>
      <c r="P344" s="187">
        <f t="shared" si="435"/>
      </c>
      <c r="Q344" s="187">
        <f t="shared" si="357"/>
      </c>
      <c r="R344" s="188">
        <f t="shared" si="327"/>
      </c>
      <c r="S344" s="190">
        <f t="shared" si="224"/>
      </c>
      <c r="T344" s="188">
        <f t="shared" si="164"/>
      </c>
      <c r="U344" s="191">
        <f t="shared" si="74"/>
      </c>
      <c r="V344" s="191"/>
      <c r="W344" s="191"/>
      <c r="X344" s="206">
        <f>SUM(X340:X343)</f>
      </c>
      <c r="Y344" s="185">
        <f>SUM(Y340:Y343)</f>
      </c>
      <c r="Z344" s="185">
        <f>SUM(Z340:Z343)</f>
      </c>
      <c r="AA344" s="185">
        <f>SUM(AA340:AA343)</f>
      </c>
      <c r="AB344" s="185">
        <f>SUM(AB340:AB343)</f>
      </c>
      <c r="AC344" s="185">
        <f>SUM(AC340:AC343)</f>
      </c>
      <c r="AD344" s="185">
        <f>SUM(AD340:AD343)</f>
      </c>
      <c r="AE344" s="185">
        <f>SUM(AE340:AE343)</f>
      </c>
      <c r="AF344" s="152"/>
      <c r="AG344" s="152"/>
    </row>
    <row r="345">
      <c r="A345" s="166"/>
      <c r="B345" s="196" t="s">
        <v>130</v>
      </c>
      <c r="C345" s="196"/>
      <c r="D345" s="197">
        <f>D329+D334+D339+D344</f>
      </c>
      <c r="E345" s="197">
        <f>E329+E334+E339+E344</f>
      </c>
      <c r="F345" s="197">
        <f>F329+F334+F339+F344</f>
      </c>
      <c r="G345" s="197"/>
      <c r="H345" s="197">
        <f>H329+H334+H339+H344</f>
      </c>
      <c r="I345" s="197">
        <f>I329+I334+I339+I344</f>
      </c>
      <c r="J345" s="198">
        <f t="shared" si="194"/>
      </c>
      <c r="K345" s="199">
        <f t="shared" si="104"/>
      </c>
      <c r="L345" s="200">
        <f t="shared" si="44"/>
      </c>
      <c r="M345" s="201">
        <f t="shared" si="134"/>
      </c>
      <c r="N345" s="201">
        <f t="shared" si="14"/>
      </c>
      <c r="O345" s="200">
        <f t="shared" si="465"/>
      </c>
      <c r="P345" s="201">
        <f t="shared" si="435"/>
      </c>
      <c r="Q345" s="201">
        <f t="shared" si="357"/>
      </c>
      <c r="R345" s="200">
        <f t="shared" si="327"/>
      </c>
      <c r="S345" s="202">
        <f t="shared" si="224"/>
      </c>
      <c r="T345" s="200">
        <f t="shared" si="164"/>
      </c>
      <c r="U345" s="203">
        <f t="shared" si="74"/>
      </c>
      <c r="V345" s="203"/>
      <c r="W345" s="203"/>
      <c r="X345" s="198">
        <f>X329+X334+X339+X344</f>
      </c>
      <c r="Y345" s="198">
        <f>Y329+Y334+Y339+Y344</f>
      </c>
      <c r="Z345" s="198">
        <f>Z329+Z334+Z339+Z344</f>
      </c>
      <c r="AA345" s="198">
        <f>AA329+AA334+AA339+AA344</f>
      </c>
      <c r="AB345" s="198">
        <f>AB329+AB334+AB339+AB344</f>
      </c>
      <c r="AC345" s="198">
        <f>AC329+AC334+AC339+AC344</f>
      </c>
      <c r="AD345" s="198">
        <f>AD329+AD334+AD339+AD344</f>
      </c>
      <c r="AE345" s="198">
        <f>AE329+AE334+AE339+AE344</f>
      </c>
      <c r="AF345" s="152"/>
      <c r="AG345" s="152"/>
    </row>
    <row r="346">
      <c r="A346" s="146" t="s">
        <v>73</v>
      </c>
      <c r="B346" s="146"/>
      <c r="C346" s="146"/>
      <c r="D346" s="147" t="s">
        <v>74</v>
      </c>
      <c r="E346" s="147"/>
      <c r="F346" s="147"/>
      <c r="G346" s="147"/>
      <c r="H346" s="147"/>
      <c r="I346" s="147"/>
      <c r="J346" s="147"/>
      <c r="K346" s="148" t="s">
        <v>75</v>
      </c>
      <c r="L346" s="148"/>
      <c r="M346" s="148"/>
      <c r="N346" s="148"/>
      <c r="O346" s="148"/>
      <c r="P346" s="148"/>
      <c r="Q346" s="148"/>
      <c r="R346" s="148"/>
      <c r="S346" s="148"/>
      <c r="T346" s="148"/>
      <c r="U346" s="149"/>
      <c r="V346" s="149"/>
      <c r="W346" s="149"/>
      <c r="X346" s="150"/>
      <c r="Y346" s="150"/>
      <c r="Z346" s="150"/>
      <c r="AA346" s="150"/>
      <c r="AB346" s="150"/>
      <c r="AC346" s="150"/>
      <c r="AD346" s="150"/>
      <c r="AE346" s="151" t="s">
        <v>76</v>
      </c>
      <c r="AF346" s="152"/>
      <c r="AG346" s="152"/>
    </row>
    <row r="347">
      <c r="A347" s="153" t="s">
        <v>77</v>
      </c>
      <c r="B347" s="146" t="s">
        <v>78</v>
      </c>
      <c r="C347" s="146" t="s">
        <v>79</v>
      </c>
      <c r="D347" s="154" t="s">
        <v>80</v>
      </c>
      <c r="E347" s="155" t="s">
        <v>81</v>
      </c>
      <c r="F347" s="155" t="s">
        <v>82</v>
      </c>
      <c r="G347" s="155"/>
      <c r="H347" s="156" t="s">
        <v>83</v>
      </c>
      <c r="I347" s="157" t="s">
        <v>84</v>
      </c>
      <c r="J347" s="155" t="s">
        <v>85</v>
      </c>
      <c r="K347" s="158" t="s">
        <v>86</v>
      </c>
      <c r="L347" s="158" t="s">
        <v>87</v>
      </c>
      <c r="M347" s="159" t="s">
        <v>88</v>
      </c>
      <c r="N347" s="160" t="s">
        <v>89</v>
      </c>
      <c r="O347" s="148" t="s">
        <v>90</v>
      </c>
      <c r="P347" s="160" t="s">
        <v>91</v>
      </c>
      <c r="Q347" s="160" t="s">
        <v>92</v>
      </c>
      <c r="R347" s="161" t="s">
        <v>93</v>
      </c>
      <c r="S347" s="160" t="s">
        <v>94</v>
      </c>
      <c r="T347" s="161" t="s">
        <v>95</v>
      </c>
      <c r="U347" s="162" t="s">
        <v>96</v>
      </c>
      <c r="V347" s="162" t="s">
        <v>97</v>
      </c>
      <c r="W347" s="162" t="s">
        <v>98</v>
      </c>
      <c r="X347" s="163" t="s">
        <v>99</v>
      </c>
      <c r="Y347" s="164" t="s">
        <v>100</v>
      </c>
      <c r="Z347" s="164" t="s">
        <v>101</v>
      </c>
      <c r="AA347" s="164" t="s">
        <v>102</v>
      </c>
      <c r="AB347" s="164" t="s">
        <v>103</v>
      </c>
      <c r="AC347" s="164" t="s">
        <v>104</v>
      </c>
      <c r="AD347" s="165" t="s">
        <v>105</v>
      </c>
      <c r="AE347" s="151"/>
      <c r="AF347" s="152"/>
      <c r="AG347" s="152"/>
    </row>
    <row r="348">
      <c r="A348" s="166">
        <v>46281</v>
      </c>
      <c r="B348" s="167" t="s">
        <v>106</v>
      </c>
      <c r="C348" s="168" t="s">
        <v>115</v>
      </c>
      <c r="D348" s="169">
        <f t="shared" ref="D348:D351" si="301">E348+F348</f>
      </c>
      <c r="E348" s="170">
        <v>2999.43</v>
      </c>
      <c r="F348" s="170">
        <v>866.7</v>
      </c>
      <c r="G348" s="170"/>
      <c r="H348" s="170">
        <v>1</v>
      </c>
      <c r="I348" s="170">
        <v>1780.92</v>
      </c>
      <c r="J348" s="171">
        <f t="shared" ref="J348:J368" si="195">I348/D348</f>
      </c>
      <c r="K348" s="172">
        <f t="shared" ref="K348:K368" si="105">Z348/Y348</f>
      </c>
      <c r="L348" s="173">
        <f t="shared" ref="L348:L368" si="45">D348/AA348</f>
      </c>
      <c r="M348" s="174">
        <f t="shared" ref="M348:M368" si="135">AB348/AA348</f>
      </c>
      <c r="N348" s="172">
        <f t="shared" ref="N348:N368" si="15">AC348/AA348</f>
      </c>
      <c r="O348" s="173">
        <f t="shared" ref="O348:O368" si="466">D348/AC348</f>
      </c>
      <c r="P348" s="172">
        <f t="shared" ref="P348:P368" si="436">AD348/AC348</f>
      </c>
      <c r="Q348" s="172">
        <f t="shared" ref="Q348:Q368" si="358">H348/AD348</f>
      </c>
      <c r="R348" s="173">
        <f t="shared" ref="R348:R368" si="328">D348/H348</f>
      </c>
      <c r="S348" s="175">
        <f t="shared" ref="S348:S368" si="225">I348/H348</f>
      </c>
      <c r="T348" s="173">
        <f t="shared" ref="T348:T368" si="165">D348/X348</f>
      </c>
      <c r="U348" s="176">
        <f t="shared" ref="U348:U368" si="75">AE348*1000/D348</f>
      </c>
      <c r="V348" s="177" t="s">
        <v>108</v>
      </c>
      <c r="W348" s="178" t="s">
        <v>132</v>
      </c>
      <c r="X348" s="170">
        <v>1</v>
      </c>
      <c r="Y348" s="169">
        <v>13195</v>
      </c>
      <c r="Z348" s="169">
        <v>789</v>
      </c>
      <c r="AA348" s="169">
        <v>1430</v>
      </c>
      <c r="AB348" s="169">
        <v>275</v>
      </c>
      <c r="AC348" s="179">
        <v>56</v>
      </c>
      <c r="AD348" s="179">
        <v>4</v>
      </c>
      <c r="AE348" s="180">
        <v>32</v>
      </c>
      <c r="AF348" s="152"/>
      <c r="AG348" s="152"/>
    </row>
    <row r="349">
      <c r="A349" s="166"/>
      <c r="B349" s="181" t="s">
        <v>110</v>
      </c>
      <c r="C349" s="168" t="s">
        <v>115</v>
      </c>
      <c r="D349" s="169">
        <f t="shared" si="301"/>
      </c>
      <c r="E349" s="169">
        <v>2507.36</v>
      </c>
      <c r="F349" s="169">
        <v>995.83</v>
      </c>
      <c r="G349" s="169"/>
      <c r="H349" s="170">
        <v>1</v>
      </c>
      <c r="I349" s="170">
        <v>873</v>
      </c>
      <c r="J349" s="171">
        <f t="shared" si="195"/>
      </c>
      <c r="K349" s="172">
        <f t="shared" si="105"/>
      </c>
      <c r="L349" s="173">
        <f t="shared" si="45"/>
      </c>
      <c r="M349" s="174">
        <f t="shared" si="135"/>
      </c>
      <c r="N349" s="172">
        <f t="shared" si="15"/>
      </c>
      <c r="O349" s="173">
        <f t="shared" si="466"/>
      </c>
      <c r="P349" s="172">
        <f t="shared" si="436"/>
      </c>
      <c r="Q349" s="172">
        <f t="shared" si="358"/>
      </c>
      <c r="R349" s="173">
        <f t="shared" si="328"/>
      </c>
      <c r="S349" s="175">
        <f t="shared" si="225"/>
      </c>
      <c r="T349" s="173">
        <f t="shared" si="165"/>
      </c>
      <c r="U349" s="176">
        <f t="shared" si="75"/>
      </c>
      <c r="V349" s="177" t="s">
        <v>108</v>
      </c>
      <c r="W349" s="178" t="s">
        <v>132</v>
      </c>
      <c r="X349" s="208">
        <v>1</v>
      </c>
      <c r="Y349" s="169">
        <v>9885</v>
      </c>
      <c r="Z349" s="169">
        <v>560</v>
      </c>
      <c r="AA349" s="169">
        <v>1056</v>
      </c>
      <c r="AB349" s="169">
        <v>239</v>
      </c>
      <c r="AC349" s="169">
        <v>45</v>
      </c>
      <c r="AD349" s="179">
        <v>2</v>
      </c>
      <c r="AE349" s="180">
        <v>20</v>
      </c>
      <c r="AF349" s="152"/>
      <c r="AG349" s="152"/>
    </row>
    <row r="350">
      <c r="A350" s="166"/>
      <c r="B350" s="181" t="s">
        <v>111</v>
      </c>
      <c r="C350" s="168" t="s">
        <v>115</v>
      </c>
      <c r="D350" s="169">
        <f t="shared" si="301"/>
      </c>
      <c r="E350" s="169">
        <v>2508.5</v>
      </c>
      <c r="F350" s="169">
        <v>1240.23</v>
      </c>
      <c r="G350" s="169"/>
      <c r="H350" s="170">
        <v>3</v>
      </c>
      <c r="I350" s="170">
        <v>9545.92</v>
      </c>
      <c r="J350" s="171">
        <f t="shared" si="195"/>
      </c>
      <c r="K350" s="172">
        <f t="shared" si="105"/>
      </c>
      <c r="L350" s="173">
        <f t="shared" si="45"/>
      </c>
      <c r="M350" s="174">
        <f t="shared" si="135"/>
      </c>
      <c r="N350" s="172">
        <f t="shared" si="15"/>
      </c>
      <c r="O350" s="173">
        <f t="shared" si="466"/>
      </c>
      <c r="P350" s="172">
        <f t="shared" si="436"/>
      </c>
      <c r="Q350" s="172">
        <f t="shared" si="358"/>
      </c>
      <c r="R350" s="173">
        <f t="shared" si="328"/>
      </c>
      <c r="S350" s="175">
        <f t="shared" si="225"/>
      </c>
      <c r="T350" s="173">
        <f t="shared" si="165"/>
      </c>
      <c r="U350" s="176">
        <f t="shared" si="75"/>
      </c>
      <c r="V350" s="177" t="s">
        <v>108</v>
      </c>
      <c r="W350" s="178" t="s">
        <v>132</v>
      </c>
      <c r="X350" s="205">
        <v>3</v>
      </c>
      <c r="Y350" s="169">
        <v>11639</v>
      </c>
      <c r="Z350" s="169">
        <v>794</v>
      </c>
      <c r="AA350" s="169">
        <v>1578</v>
      </c>
      <c r="AB350" s="169">
        <v>338</v>
      </c>
      <c r="AC350" s="169">
        <v>27</v>
      </c>
      <c r="AD350" s="179">
        <v>4</v>
      </c>
      <c r="AE350" s="180">
        <v>24</v>
      </c>
      <c r="AF350" s="152"/>
      <c r="AG350" s="152"/>
    </row>
    <row r="351">
      <c r="A351" s="166"/>
      <c r="B351" s="183" t="s">
        <v>112</v>
      </c>
      <c r="C351" s="168" t="s">
        <v>115</v>
      </c>
      <c r="D351" s="169">
        <f t="shared" si="301"/>
      </c>
      <c r="E351" s="169">
        <v>1938.25</v>
      </c>
      <c r="F351" s="169">
        <v>1929.43</v>
      </c>
      <c r="G351" s="169"/>
      <c r="H351" s="170">
        <v>0</v>
      </c>
      <c r="I351" s="170">
        <v>0</v>
      </c>
      <c r="J351" s="171">
        <f t="shared" si="195"/>
      </c>
      <c r="K351" s="172">
        <f t="shared" si="105"/>
      </c>
      <c r="L351" s="173">
        <f t="shared" si="45"/>
      </c>
      <c r="M351" s="174">
        <f t="shared" si="135"/>
      </c>
      <c r="N351" s="172">
        <f t="shared" si="15"/>
      </c>
      <c r="O351" s="173">
        <f t="shared" si="466"/>
      </c>
      <c r="P351" s="172">
        <f t="shared" si="436"/>
      </c>
      <c r="Q351" s="172">
        <f t="shared" si="358"/>
      </c>
      <c r="R351" s="173">
        <f t="shared" si="328"/>
      </c>
      <c r="S351" s="175">
        <f t="shared" si="225"/>
      </c>
      <c r="T351" s="173">
        <f t="shared" si="165"/>
      </c>
      <c r="U351" s="176">
        <f t="shared" si="75"/>
      </c>
      <c r="V351" s="177" t="s">
        <v>108</v>
      </c>
      <c r="W351" s="178" t="s">
        <v>132</v>
      </c>
      <c r="X351" s="205">
        <v>0</v>
      </c>
      <c r="Y351" s="169">
        <v>10867</v>
      </c>
      <c r="Z351" s="169">
        <v>863</v>
      </c>
      <c r="AA351" s="169">
        <v>1620</v>
      </c>
      <c r="AB351" s="169">
        <v>331</v>
      </c>
      <c r="AC351" s="169">
        <v>49</v>
      </c>
      <c r="AD351" s="179">
        <v>2</v>
      </c>
      <c r="AE351" s="180">
        <v>21</v>
      </c>
      <c r="AF351" s="152"/>
      <c r="AG351" s="152"/>
    </row>
    <row r="352">
      <c r="A352" s="166"/>
      <c r="B352" s="184" t="s">
        <v>113</v>
      </c>
      <c r="C352" s="184"/>
      <c r="D352" s="185">
        <f>SUM(D348:D351)</f>
      </c>
      <c r="E352" s="185">
        <f>SUM(E348:E351)</f>
      </c>
      <c r="F352" s="185">
        <f>SUM(F348:F351)</f>
      </c>
      <c r="G352" s="185"/>
      <c r="H352" s="185">
        <f>SUM(H348:H351)</f>
      </c>
      <c r="I352" s="185">
        <f>SUM(I348:I351)</f>
      </c>
      <c r="J352" s="186">
        <f t="shared" si="195"/>
      </c>
      <c r="K352" s="187">
        <f t="shared" si="105"/>
      </c>
      <c r="L352" s="188">
        <f t="shared" si="45"/>
      </c>
      <c r="M352" s="189">
        <f t="shared" si="135"/>
      </c>
      <c r="N352" s="187">
        <f t="shared" si="15"/>
      </c>
      <c r="O352" s="188">
        <f t="shared" si="466"/>
      </c>
      <c r="P352" s="187">
        <f t="shared" si="436"/>
      </c>
      <c r="Q352" s="187">
        <f t="shared" si="358"/>
      </c>
      <c r="R352" s="188">
        <f t="shared" si="328"/>
      </c>
      <c r="S352" s="190">
        <f t="shared" si="225"/>
      </c>
      <c r="T352" s="188">
        <f t="shared" si="165"/>
      </c>
      <c r="U352" s="191">
        <f t="shared" si="75"/>
      </c>
      <c r="V352" s="191"/>
      <c r="W352" s="191"/>
      <c r="X352" s="206">
        <f>SUM(X348:X351)</f>
      </c>
      <c r="Y352" s="185">
        <f>SUM(Y348:Y351)</f>
      </c>
      <c r="Z352" s="185">
        <f>SUM(Z348:Z351)</f>
      </c>
      <c r="AA352" s="185">
        <f>SUM(AA348:AA351)</f>
      </c>
      <c r="AB352" s="185">
        <f>SUM(AB348:AB351)</f>
      </c>
      <c r="AC352" s="185">
        <f>SUM(AC348:AC351)</f>
      </c>
      <c r="AD352" s="185">
        <f>SUM(AD348:AD351)</f>
      </c>
      <c r="AE352" s="185">
        <f>SUM(AE348:AE351)</f>
      </c>
      <c r="AF352" s="152"/>
      <c r="AG352" s="152"/>
    </row>
    <row r="353">
      <c r="A353" s="166"/>
      <c r="B353" s="181" t="s">
        <v>114</v>
      </c>
      <c r="C353" s="168" t="s">
        <v>107</v>
      </c>
      <c r="D353" s="169">
        <f t="shared" ref="D353:D356" si="302">E353+F353</f>
      </c>
      <c r="E353" s="170">
        <v>1195.4</v>
      </c>
      <c r="F353" s="170">
        <v>733.05</v>
      </c>
      <c r="G353" s="170"/>
      <c r="H353" s="170">
        <v>0</v>
      </c>
      <c r="I353" s="170">
        <v>0</v>
      </c>
      <c r="J353" s="171">
        <f t="shared" si="195"/>
      </c>
      <c r="K353" s="172">
        <f t="shared" si="105"/>
      </c>
      <c r="L353" s="173">
        <f t="shared" si="45"/>
      </c>
      <c r="M353" s="174">
        <f t="shared" si="135"/>
      </c>
      <c r="N353" s="172">
        <f t="shared" si="15"/>
      </c>
      <c r="O353" s="173">
        <f t="shared" si="466"/>
      </c>
      <c r="P353" s="172">
        <f t="shared" si="436"/>
      </c>
      <c r="Q353" s="172">
        <f t="shared" si="358"/>
      </c>
      <c r="R353" s="173">
        <f t="shared" si="328"/>
      </c>
      <c r="S353" s="175">
        <f t="shared" si="225"/>
      </c>
      <c r="T353" s="173">
        <f t="shared" si="165"/>
      </c>
      <c r="U353" s="176">
        <f t="shared" si="75"/>
      </c>
      <c r="V353" s="177" t="s">
        <v>108</v>
      </c>
      <c r="W353" s="178" t="s">
        <v>132</v>
      </c>
      <c r="X353" s="170">
        <v>0</v>
      </c>
      <c r="Y353" s="169">
        <v>6897</v>
      </c>
      <c r="Z353" s="169">
        <v>450</v>
      </c>
      <c r="AA353" s="169">
        <v>929</v>
      </c>
      <c r="AB353" s="169">
        <v>177</v>
      </c>
      <c r="AC353" s="179">
        <v>39</v>
      </c>
      <c r="AD353" s="179">
        <v>3</v>
      </c>
      <c r="AE353" s="180">
        <v>13</v>
      </c>
      <c r="AF353" s="152"/>
      <c r="AG353" s="152"/>
    </row>
    <row r="354">
      <c r="A354" s="166"/>
      <c r="B354" s="181" t="s">
        <v>116</v>
      </c>
      <c r="C354" s="168" t="s">
        <v>107</v>
      </c>
      <c r="D354" s="169">
        <f t="shared" si="302"/>
      </c>
      <c r="E354" s="169">
        <v>2327.29</v>
      </c>
      <c r="F354" s="169">
        <v>799.22</v>
      </c>
      <c r="G354" s="169"/>
      <c r="H354" s="170">
        <v>0</v>
      </c>
      <c r="I354" s="170">
        <v>0</v>
      </c>
      <c r="J354" s="171">
        <f t="shared" si="195"/>
      </c>
      <c r="K354" s="172">
        <f t="shared" si="105"/>
      </c>
      <c r="L354" s="173">
        <f t="shared" si="45"/>
      </c>
      <c r="M354" s="174">
        <f t="shared" si="135"/>
      </c>
      <c r="N354" s="172">
        <f t="shared" si="15"/>
      </c>
      <c r="O354" s="173">
        <f t="shared" si="466"/>
      </c>
      <c r="P354" s="172">
        <f t="shared" si="436"/>
      </c>
      <c r="Q354" s="172">
        <f t="shared" si="358"/>
      </c>
      <c r="R354" s="173">
        <f t="shared" si="328"/>
      </c>
      <c r="S354" s="175">
        <f t="shared" si="225"/>
      </c>
      <c r="T354" s="173">
        <f t="shared" si="165"/>
      </c>
      <c r="U354" s="176">
        <f t="shared" si="75"/>
      </c>
      <c r="V354" s="177" t="s">
        <v>108</v>
      </c>
      <c r="W354" s="178" t="s">
        <v>132</v>
      </c>
      <c r="X354" s="208">
        <v>0</v>
      </c>
      <c r="Y354" s="169">
        <v>13182</v>
      </c>
      <c r="Z354" s="169">
        <v>540</v>
      </c>
      <c r="AA354" s="169">
        <v>829</v>
      </c>
      <c r="AB354" s="169">
        <v>172</v>
      </c>
      <c r="AC354" s="169">
        <v>64</v>
      </c>
      <c r="AD354" s="179">
        <v>1</v>
      </c>
      <c r="AE354" s="180">
        <v>24</v>
      </c>
      <c r="AF354" s="152"/>
      <c r="AG354" s="152"/>
    </row>
    <row r="355">
      <c r="A355" s="166"/>
      <c r="B355" s="181" t="s">
        <v>117</v>
      </c>
      <c r="C355" s="168" t="s">
        <v>107</v>
      </c>
      <c r="D355" s="169">
        <f t="shared" si="302"/>
      </c>
      <c r="E355" s="169">
        <v>1560.87</v>
      </c>
      <c r="F355" s="169">
        <v>52.54</v>
      </c>
      <c r="G355" s="169"/>
      <c r="H355" s="170">
        <v>2</v>
      </c>
      <c r="I355" s="169">
        <v>13166.64</v>
      </c>
      <c r="J355" s="171">
        <f t="shared" si="195"/>
      </c>
      <c r="K355" s="172">
        <f t="shared" si="105"/>
      </c>
      <c r="L355" s="173">
        <f t="shared" si="45"/>
      </c>
      <c r="M355" s="174">
        <f t="shared" si="135"/>
      </c>
      <c r="N355" s="172">
        <f t="shared" si="15"/>
      </c>
      <c r="O355" s="173">
        <f t="shared" si="466"/>
      </c>
      <c r="P355" s="172">
        <f t="shared" si="436"/>
      </c>
      <c r="Q355" s="172">
        <f t="shared" si="358"/>
      </c>
      <c r="R355" s="173">
        <f t="shared" si="328"/>
      </c>
      <c r="S355" s="175">
        <f t="shared" si="225"/>
      </c>
      <c r="T355" s="173">
        <f t="shared" si="165"/>
      </c>
      <c r="U355" s="176">
        <f t="shared" si="75"/>
      </c>
      <c r="V355" s="177" t="s">
        <v>108</v>
      </c>
      <c r="W355" s="178" t="s">
        <v>132</v>
      </c>
      <c r="X355" s="205">
        <v>0</v>
      </c>
      <c r="Y355" s="169">
        <v>6311</v>
      </c>
      <c r="Z355" s="169">
        <v>102</v>
      </c>
      <c r="AA355" s="169">
        <v>105</v>
      </c>
      <c r="AB355" s="169">
        <v>25</v>
      </c>
      <c r="AC355" s="169">
        <v>22</v>
      </c>
      <c r="AD355" s="179">
        <v>2</v>
      </c>
      <c r="AE355" s="180">
        <v>13</v>
      </c>
      <c r="AF355" s="152"/>
      <c r="AG355" s="152"/>
    </row>
    <row r="356">
      <c r="A356" s="166"/>
      <c r="B356" s="181" t="s">
        <v>118</v>
      </c>
      <c r="C356" s="168" t="s">
        <v>107</v>
      </c>
      <c r="D356" s="169">
        <f t="shared" si="302"/>
      </c>
      <c r="E356" s="169">
        <v>2166.65</v>
      </c>
      <c r="F356" s="169">
        <v>998.88</v>
      </c>
      <c r="G356" s="169"/>
      <c r="H356" s="170">
        <v>2</v>
      </c>
      <c r="I356" s="170">
        <v>1656.119999999999</v>
      </c>
      <c r="J356" s="171">
        <f t="shared" si="195"/>
      </c>
      <c r="K356" s="172">
        <f t="shared" si="105"/>
      </c>
      <c r="L356" s="173">
        <f t="shared" si="45"/>
      </c>
      <c r="M356" s="174">
        <f t="shared" si="135"/>
      </c>
      <c r="N356" s="172">
        <f t="shared" si="15"/>
      </c>
      <c r="O356" s="173">
        <f t="shared" si="466"/>
      </c>
      <c r="P356" s="172">
        <f t="shared" si="436"/>
      </c>
      <c r="Q356" s="172">
        <f t="shared" si="358"/>
      </c>
      <c r="R356" s="173">
        <f t="shared" si="328"/>
      </c>
      <c r="S356" s="175">
        <f t="shared" si="225"/>
      </c>
      <c r="T356" s="173">
        <f t="shared" si="165"/>
      </c>
      <c r="U356" s="176">
        <f t="shared" si="75"/>
      </c>
      <c r="V356" s="177" t="s">
        <v>108</v>
      </c>
      <c r="W356" s="178" t="s">
        <v>132</v>
      </c>
      <c r="X356" s="205">
        <v>1</v>
      </c>
      <c r="Y356" s="169">
        <v>11999</v>
      </c>
      <c r="Z356" s="169">
        <v>644</v>
      </c>
      <c r="AA356" s="169">
        <v>1230</v>
      </c>
      <c r="AB356" s="169">
        <v>244</v>
      </c>
      <c r="AC356" s="169">
        <v>42</v>
      </c>
      <c r="AD356" s="179">
        <v>2</v>
      </c>
      <c r="AE356" s="180">
        <v>22</v>
      </c>
      <c r="AF356" s="152"/>
      <c r="AG356" s="152"/>
    </row>
    <row r="357">
      <c r="A357" s="166"/>
      <c r="B357" s="184" t="s">
        <v>113</v>
      </c>
      <c r="C357" s="184"/>
      <c r="D357" s="185">
        <f>SUM(D353:D356)</f>
      </c>
      <c r="E357" s="185">
        <f>SUM(E353:E356)</f>
      </c>
      <c r="F357" s="185">
        <f>SUM(F353:F356)</f>
      </c>
      <c r="G357" s="185"/>
      <c r="H357" s="185">
        <f>SUM(H353:H356)</f>
      </c>
      <c r="I357" s="185">
        <f>SUM(I353:I356)</f>
      </c>
      <c r="J357" s="186">
        <f t="shared" si="195"/>
      </c>
      <c r="K357" s="187">
        <f t="shared" si="105"/>
      </c>
      <c r="L357" s="188">
        <f t="shared" si="45"/>
      </c>
      <c r="M357" s="189">
        <f t="shared" si="135"/>
      </c>
      <c r="N357" s="187">
        <f t="shared" si="15"/>
      </c>
      <c r="O357" s="188">
        <f t="shared" si="466"/>
      </c>
      <c r="P357" s="187">
        <f t="shared" si="436"/>
      </c>
      <c r="Q357" s="187">
        <f t="shared" si="358"/>
      </c>
      <c r="R357" s="188">
        <f t="shared" si="328"/>
      </c>
      <c r="S357" s="190">
        <f t="shared" si="225"/>
      </c>
      <c r="T357" s="188">
        <f t="shared" si="165"/>
      </c>
      <c r="U357" s="191">
        <f t="shared" si="75"/>
      </c>
      <c r="V357" s="191"/>
      <c r="W357" s="191"/>
      <c r="X357" s="206">
        <f>SUM(X353:X356)</f>
      </c>
      <c r="Y357" s="185">
        <f>SUM(Y353:Y356)</f>
      </c>
      <c r="Z357" s="185">
        <f>SUM(Z353:Z356)</f>
      </c>
      <c r="AA357" s="185">
        <f>SUM(AA353:AA356)</f>
      </c>
      <c r="AB357" s="185">
        <f>SUM(AB353:AB356)</f>
      </c>
      <c r="AC357" s="185">
        <f>SUM(AC353:AC356)</f>
      </c>
      <c r="AD357" s="185">
        <f>SUM(AD353:AD356)</f>
      </c>
      <c r="AE357" s="185">
        <f>SUM(AE353:AE356)</f>
      </c>
      <c r="AF357" s="152"/>
      <c r="AG357" s="152"/>
    </row>
    <row r="358">
      <c r="A358" s="166"/>
      <c r="B358" s="192" t="s">
        <v>119</v>
      </c>
      <c r="C358" s="168" t="s">
        <v>126</v>
      </c>
      <c r="D358" s="169">
        <f t="shared" ref="D358:D361" si="303">E358+F358</f>
      </c>
      <c r="E358" s="170">
        <v>1814.4700000000003</v>
      </c>
      <c r="F358" s="170">
        <v>939.67</v>
      </c>
      <c r="G358" s="170"/>
      <c r="H358" s="170">
        <v>0</v>
      </c>
      <c r="I358" s="170">
        <v>0</v>
      </c>
      <c r="J358" s="171">
        <f t="shared" si="195"/>
      </c>
      <c r="K358" s="172">
        <f t="shared" si="105"/>
      </c>
      <c r="L358" s="173">
        <f t="shared" si="45"/>
      </c>
      <c r="M358" s="174">
        <f t="shared" si="135"/>
      </c>
      <c r="N358" s="172">
        <f t="shared" si="15"/>
      </c>
      <c r="O358" s="173">
        <f t="shared" si="466"/>
      </c>
      <c r="P358" s="172">
        <f t="shared" si="436"/>
      </c>
      <c r="Q358" s="172">
        <f t="shared" si="358"/>
      </c>
      <c r="R358" s="173">
        <f t="shared" si="328"/>
      </c>
      <c r="S358" s="175">
        <f t="shared" si="225"/>
      </c>
      <c r="T358" s="173">
        <f t="shared" si="165"/>
      </c>
      <c r="U358" s="176">
        <f t="shared" si="75"/>
      </c>
      <c r="V358" s="177" t="s">
        <v>108</v>
      </c>
      <c r="W358" s="178" t="s">
        <v>133</v>
      </c>
      <c r="X358" s="170">
        <v>1</v>
      </c>
      <c r="Y358" s="169">
        <v>11112</v>
      </c>
      <c r="Z358" s="169">
        <v>776</v>
      </c>
      <c r="AA358" s="169">
        <v>1381</v>
      </c>
      <c r="AB358" s="169">
        <v>285</v>
      </c>
      <c r="AC358" s="179">
        <v>30</v>
      </c>
      <c r="AD358" s="179">
        <v>1</v>
      </c>
      <c r="AE358" s="180">
        <v>24</v>
      </c>
      <c r="AF358" s="152"/>
      <c r="AG358" s="152"/>
    </row>
    <row r="359">
      <c r="A359" s="166"/>
      <c r="B359" s="194" t="s">
        <v>122</v>
      </c>
      <c r="C359" s="168" t="s">
        <v>126</v>
      </c>
      <c r="D359" s="169">
        <f t="shared" si="303"/>
      </c>
      <c r="E359" s="169">
        <v>1903.03</v>
      </c>
      <c r="F359" s="169">
        <v>675.88</v>
      </c>
      <c r="G359" s="169"/>
      <c r="H359" s="170">
        <v>1</v>
      </c>
      <c r="I359" s="170">
        <v>1216.0800000000017</v>
      </c>
      <c r="J359" s="171">
        <f t="shared" si="195"/>
      </c>
      <c r="K359" s="172">
        <f t="shared" si="105"/>
      </c>
      <c r="L359" s="173">
        <f t="shared" si="45"/>
      </c>
      <c r="M359" s="174">
        <f t="shared" si="135"/>
      </c>
      <c r="N359" s="172">
        <f t="shared" si="15"/>
      </c>
      <c r="O359" s="173">
        <f t="shared" si="466"/>
      </c>
      <c r="P359" s="172">
        <f t="shared" si="436"/>
      </c>
      <c r="Q359" s="172">
        <f t="shared" si="358"/>
      </c>
      <c r="R359" s="173">
        <f t="shared" si="328"/>
      </c>
      <c r="S359" s="175">
        <f t="shared" si="225"/>
      </c>
      <c r="T359" s="173">
        <f t="shared" si="165"/>
      </c>
      <c r="U359" s="176">
        <f t="shared" si="75"/>
      </c>
      <c r="V359" s="177" t="s">
        <v>108</v>
      </c>
      <c r="W359" s="178" t="s">
        <v>136</v>
      </c>
      <c r="X359" s="208">
        <v>0</v>
      </c>
      <c r="Y359" s="169">
        <v>8789</v>
      </c>
      <c r="Z359" s="169">
        <v>611</v>
      </c>
      <c r="AA359" s="169">
        <v>1089</v>
      </c>
      <c r="AB359" s="169">
        <v>219</v>
      </c>
      <c r="AC359" s="169">
        <v>35</v>
      </c>
      <c r="AD359" s="179">
        <v>1</v>
      </c>
      <c r="AE359" s="180">
        <v>20</v>
      </c>
      <c r="AF359" s="152"/>
      <c r="AG359" s="152"/>
    </row>
    <row r="360">
      <c r="A360" s="166"/>
      <c r="B360" s="210" t="s">
        <v>123</v>
      </c>
      <c r="C360" s="168" t="s">
        <v>126</v>
      </c>
      <c r="D360" s="169">
        <f t="shared" si="303"/>
      </c>
      <c r="E360" s="169">
        <v>2111.25</v>
      </c>
      <c r="F360" s="169">
        <v>584.97</v>
      </c>
      <c r="G360" s="169"/>
      <c r="H360" s="170">
        <v>1</v>
      </c>
      <c r="I360" s="169">
        <v>3888.959999999999</v>
      </c>
      <c r="J360" s="171">
        <f t="shared" si="195"/>
      </c>
      <c r="K360" s="172">
        <f t="shared" si="105"/>
      </c>
      <c r="L360" s="173">
        <f t="shared" si="45"/>
      </c>
      <c r="M360" s="174">
        <f t="shared" si="135"/>
      </c>
      <c r="N360" s="172">
        <f t="shared" si="15"/>
      </c>
      <c r="O360" s="173">
        <f t="shared" si="466"/>
      </c>
      <c r="P360" s="172">
        <f t="shared" si="436"/>
      </c>
      <c r="Q360" s="172">
        <f t="shared" si="358"/>
      </c>
      <c r="R360" s="173">
        <f t="shared" si="328"/>
      </c>
      <c r="S360" s="175">
        <f t="shared" si="225"/>
      </c>
      <c r="T360" s="173">
        <f t="shared" si="165"/>
      </c>
      <c r="U360" s="176">
        <f t="shared" si="75"/>
      </c>
      <c r="V360" s="177" t="s">
        <v>108</v>
      </c>
      <c r="W360" s="178" t="s">
        <v>136</v>
      </c>
      <c r="X360" s="205">
        <v>0</v>
      </c>
      <c r="Y360" s="169">
        <v>11616</v>
      </c>
      <c r="Z360" s="169">
        <v>607</v>
      </c>
      <c r="AA360" s="169">
        <v>994</v>
      </c>
      <c r="AB360" s="169">
        <v>202</v>
      </c>
      <c r="AC360" s="169">
        <v>27</v>
      </c>
      <c r="AD360" s="179">
        <v>4</v>
      </c>
      <c r="AE360" s="180">
        <v>23</v>
      </c>
      <c r="AF360" s="152"/>
      <c r="AG360" s="152"/>
    </row>
    <row r="361">
      <c r="A361" s="166"/>
      <c r="B361" s="183" t="s">
        <v>124</v>
      </c>
      <c r="C361" s="168" t="s">
        <v>126</v>
      </c>
      <c r="D361" s="169">
        <f t="shared" si="303"/>
      </c>
      <c r="E361" s="169">
        <v>1362.0399999999997</v>
      </c>
      <c r="F361" s="169">
        <v>1051.06</v>
      </c>
      <c r="G361" s="169"/>
      <c r="H361" s="170">
        <v>0</v>
      </c>
      <c r="I361" s="170">
        <v>0</v>
      </c>
      <c r="J361" s="171">
        <f t="shared" si="195"/>
      </c>
      <c r="K361" s="172">
        <f t="shared" si="105"/>
      </c>
      <c r="L361" s="173">
        <f t="shared" si="45"/>
      </c>
      <c r="M361" s="174">
        <f t="shared" si="135"/>
      </c>
      <c r="N361" s="172">
        <f t="shared" si="15"/>
      </c>
      <c r="O361" s="173">
        <f t="shared" si="466"/>
      </c>
      <c r="P361" s="172">
        <f t="shared" si="436"/>
      </c>
      <c r="Q361" s="172">
        <f t="shared" si="358"/>
      </c>
      <c r="R361" s="173">
        <f t="shared" si="328"/>
      </c>
      <c r="S361" s="175">
        <f t="shared" si="225"/>
      </c>
      <c r="T361" s="173">
        <f t="shared" si="165"/>
      </c>
      <c r="U361" s="176">
        <f t="shared" si="75"/>
      </c>
      <c r="V361" s="177" t="s">
        <v>108</v>
      </c>
      <c r="W361" s="178" t="s">
        <v>136</v>
      </c>
      <c r="X361" s="205">
        <v>0</v>
      </c>
      <c r="Y361" s="169">
        <v>8399</v>
      </c>
      <c r="Z361" s="169">
        <v>420</v>
      </c>
      <c r="AA361" s="169">
        <v>698</v>
      </c>
      <c r="AB361" s="169">
        <v>151</v>
      </c>
      <c r="AC361" s="169">
        <v>29</v>
      </c>
      <c r="AD361" s="179">
        <v>4</v>
      </c>
      <c r="AE361" s="180">
        <v>7</v>
      </c>
      <c r="AF361" s="152"/>
      <c r="AG361" s="152"/>
    </row>
    <row r="362">
      <c r="A362" s="166"/>
      <c r="B362" s="184" t="s">
        <v>113</v>
      </c>
      <c r="C362" s="184"/>
      <c r="D362" s="185">
        <f>SUM(D358:D361)</f>
      </c>
      <c r="E362" s="185">
        <f>SUM(E358:E361)</f>
      </c>
      <c r="F362" s="185">
        <f>SUM(F358:F361)</f>
      </c>
      <c r="G362" s="185"/>
      <c r="H362" s="185">
        <f>SUM(H358:H361)</f>
      </c>
      <c r="I362" s="185">
        <f>SUM(I358:I361)</f>
      </c>
      <c r="J362" s="186">
        <f t="shared" si="195"/>
      </c>
      <c r="K362" s="187">
        <f t="shared" si="105"/>
      </c>
      <c r="L362" s="188">
        <f t="shared" si="45"/>
      </c>
      <c r="M362" s="189">
        <f t="shared" si="135"/>
      </c>
      <c r="N362" s="187">
        <f t="shared" si="15"/>
      </c>
      <c r="O362" s="188">
        <f t="shared" si="466"/>
      </c>
      <c r="P362" s="187">
        <f t="shared" si="436"/>
      </c>
      <c r="Q362" s="187">
        <f t="shared" si="358"/>
      </c>
      <c r="R362" s="188">
        <f t="shared" si="328"/>
      </c>
      <c r="S362" s="190">
        <f t="shared" si="225"/>
      </c>
      <c r="T362" s="188">
        <f t="shared" si="165"/>
      </c>
      <c r="U362" s="191">
        <f t="shared" si="75"/>
      </c>
      <c r="V362" s="191"/>
      <c r="W362" s="191"/>
      <c r="X362" s="206">
        <f>SUM(X358:X361)</f>
      </c>
      <c r="Y362" s="185">
        <f>SUM(Y358:Y361)</f>
      </c>
      <c r="Z362" s="185">
        <f>SUM(Z358:Z361)</f>
      </c>
      <c r="AA362" s="185">
        <f>SUM(AA358:AA361)</f>
      </c>
      <c r="AB362" s="185">
        <f>SUM(AB358:AB361)</f>
      </c>
      <c r="AC362" s="185">
        <f>SUM(AC358:AC361)</f>
      </c>
      <c r="AD362" s="185">
        <f>SUM(AD358:AD361)</f>
      </c>
      <c r="AE362" s="185">
        <f>SUM(AE358:AE361)</f>
      </c>
      <c r="AF362" s="152"/>
      <c r="AG362" s="152"/>
    </row>
    <row r="363">
      <c r="A363" s="166"/>
      <c r="B363" s="181" t="s">
        <v>125</v>
      </c>
      <c r="C363" s="168" t="s">
        <v>137</v>
      </c>
      <c r="D363" s="169">
        <f t="shared" ref="D363:D366" si="304">E363+F363</f>
      </c>
      <c r="E363" s="170">
        <v>1157.9399999999998</v>
      </c>
      <c r="F363" s="170">
        <v>635.11</v>
      </c>
      <c r="G363" s="170"/>
      <c r="H363" s="170">
        <v>1</v>
      </c>
      <c r="I363" s="170">
        <v>1216.0800000000017</v>
      </c>
      <c r="J363" s="171">
        <f t="shared" si="195"/>
      </c>
      <c r="K363" s="172">
        <f t="shared" si="105"/>
      </c>
      <c r="L363" s="173">
        <f t="shared" si="45"/>
      </c>
      <c r="M363" s="174">
        <f t="shared" si="135"/>
      </c>
      <c r="N363" s="172">
        <f t="shared" si="15"/>
      </c>
      <c r="O363" s="173">
        <f t="shared" si="466"/>
      </c>
      <c r="P363" s="172">
        <f t="shared" si="436"/>
      </c>
      <c r="Q363" s="172">
        <f t="shared" si="358"/>
      </c>
      <c r="R363" s="173">
        <f t="shared" si="328"/>
      </c>
      <c r="S363" s="175">
        <f t="shared" si="225"/>
      </c>
      <c r="T363" s="173">
        <f t="shared" si="165"/>
      </c>
      <c r="U363" s="176">
        <f t="shared" si="75"/>
      </c>
      <c r="V363" s="177" t="s">
        <v>108</v>
      </c>
      <c r="W363" s="178" t="s">
        <v>136</v>
      </c>
      <c r="X363" s="170">
        <v>1</v>
      </c>
      <c r="Y363" s="169">
        <v>3930</v>
      </c>
      <c r="Z363" s="169">
        <v>139</v>
      </c>
      <c r="AA363" s="169">
        <v>175</v>
      </c>
      <c r="AB363" s="169">
        <v>39</v>
      </c>
      <c r="AC363" s="179">
        <v>13</v>
      </c>
      <c r="AD363" s="179">
        <v>1</v>
      </c>
      <c r="AE363" s="180">
        <v>10</v>
      </c>
      <c r="AF363" s="152"/>
      <c r="AG363" s="152"/>
    </row>
    <row r="364">
      <c r="A364" s="166"/>
      <c r="B364" s="195" t="s">
        <v>127</v>
      </c>
      <c r="C364" s="168" t="s">
        <v>137</v>
      </c>
      <c r="D364" s="169">
        <f t="shared" si="304"/>
      </c>
      <c r="E364" s="169">
        <v>2145.42</v>
      </c>
      <c r="F364" s="169">
        <v>757.73</v>
      </c>
      <c r="G364" s="169"/>
      <c r="H364" s="170">
        <v>1</v>
      </c>
      <c r="I364" s="170">
        <v>1505.6399999999994</v>
      </c>
      <c r="J364" s="171">
        <f t="shared" si="195"/>
      </c>
      <c r="K364" s="172">
        <f t="shared" si="105"/>
      </c>
      <c r="L364" s="173">
        <f t="shared" si="45"/>
      </c>
      <c r="M364" s="174">
        <f t="shared" si="135"/>
      </c>
      <c r="N364" s="172">
        <f t="shared" si="15"/>
      </c>
      <c r="O364" s="173">
        <f t="shared" si="466"/>
      </c>
      <c r="P364" s="172">
        <f t="shared" si="436"/>
      </c>
      <c r="Q364" s="172">
        <f t="shared" si="358"/>
      </c>
      <c r="R364" s="173">
        <f t="shared" si="328"/>
      </c>
      <c r="S364" s="175">
        <f t="shared" si="225"/>
      </c>
      <c r="T364" s="173">
        <f t="shared" si="165"/>
      </c>
      <c r="U364" s="176">
        <f t="shared" si="75"/>
      </c>
      <c r="V364" s="177" t="s">
        <v>108</v>
      </c>
      <c r="W364" s="178" t="s">
        <v>136</v>
      </c>
      <c r="X364" s="208">
        <v>1</v>
      </c>
      <c r="Y364" s="169">
        <v>13112</v>
      </c>
      <c r="Z364" s="169">
        <v>751</v>
      </c>
      <c r="AA364" s="169">
        <v>1307</v>
      </c>
      <c r="AB364" s="169">
        <v>250</v>
      </c>
      <c r="AC364" s="169">
        <v>42</v>
      </c>
      <c r="AD364" s="179">
        <v>2</v>
      </c>
      <c r="AE364" s="180">
        <v>12</v>
      </c>
      <c r="AF364" s="152"/>
      <c r="AG364" s="152"/>
    </row>
    <row customHeight="true" ht="18.452380952380953" r="365">
      <c r="A365" s="166"/>
      <c r="B365" s="195" t="s">
        <v>128</v>
      </c>
      <c r="C365" s="168" t="s">
        <v>137</v>
      </c>
      <c r="D365" s="169">
        <f t="shared" si="304"/>
      </c>
      <c r="E365" s="169">
        <v>1601.74</v>
      </c>
      <c r="F365" s="169">
        <v>681.38</v>
      </c>
      <c r="G365" s="169"/>
      <c r="H365" s="170">
        <v>3</v>
      </c>
      <c r="I365" s="170">
        <v>10127.64</v>
      </c>
      <c r="J365" s="171">
        <f t="shared" si="195"/>
      </c>
      <c r="K365" s="172">
        <f t="shared" si="105"/>
      </c>
      <c r="L365" s="173">
        <f t="shared" si="45"/>
      </c>
      <c r="M365" s="174">
        <f t="shared" si="135"/>
      </c>
      <c r="N365" s="172">
        <f t="shared" si="15"/>
      </c>
      <c r="O365" s="173">
        <f t="shared" si="466"/>
      </c>
      <c r="P365" s="172">
        <f t="shared" si="436"/>
      </c>
      <c r="Q365" s="172">
        <f t="shared" si="358"/>
      </c>
      <c r="R365" s="173">
        <f t="shared" si="328"/>
      </c>
      <c r="S365" s="175">
        <f t="shared" si="225"/>
      </c>
      <c r="T365" s="173">
        <f t="shared" si="165"/>
      </c>
      <c r="U365" s="176">
        <f t="shared" si="75"/>
      </c>
      <c r="V365" s="177" t="s">
        <v>108</v>
      </c>
      <c r="W365" s="178" t="s">
        <v>136</v>
      </c>
      <c r="X365" s="208">
        <v>1</v>
      </c>
      <c r="Y365" s="169">
        <v>6148</v>
      </c>
      <c r="Z365" s="169">
        <v>449</v>
      </c>
      <c r="AA365" s="169">
        <v>859</v>
      </c>
      <c r="AB365" s="169">
        <v>168</v>
      </c>
      <c r="AC365" s="169">
        <v>30</v>
      </c>
      <c r="AD365" s="179">
        <v>5</v>
      </c>
      <c r="AE365" s="180">
        <v>19</v>
      </c>
      <c r="AF365" s="152"/>
      <c r="AG365" s="152"/>
    </row>
    <row r="366">
      <c r="A366" s="166"/>
      <c r="B366" s="212" t="s">
        <v>129</v>
      </c>
      <c r="C366" s="168" t="s">
        <v>137</v>
      </c>
      <c r="D366" s="169">
        <f t="shared" si="304"/>
      </c>
      <c r="E366" s="169">
        <v>839.44</v>
      </c>
      <c r="F366" s="169">
        <v>297.34</v>
      </c>
      <c r="G366" s="169"/>
      <c r="H366" s="170">
        <v>1</v>
      </c>
      <c r="I366" s="170">
        <v>1440.479999999996</v>
      </c>
      <c r="J366" s="171">
        <f t="shared" si="195"/>
      </c>
      <c r="K366" s="172">
        <f t="shared" si="105"/>
      </c>
      <c r="L366" s="173">
        <f t="shared" si="45"/>
      </c>
      <c r="M366" s="174">
        <f t="shared" si="135"/>
      </c>
      <c r="N366" s="172">
        <f t="shared" si="15"/>
      </c>
      <c r="O366" s="173">
        <f t="shared" si="466"/>
      </c>
      <c r="P366" s="172">
        <f t="shared" si="436"/>
      </c>
      <c r="Q366" s="172">
        <f t="shared" si="358"/>
      </c>
      <c r="R366" s="173">
        <f t="shared" si="328"/>
      </c>
      <c r="S366" s="175">
        <f t="shared" si="225"/>
      </c>
      <c r="T366" s="173">
        <f t="shared" si="165"/>
      </c>
      <c r="U366" s="176">
        <f t="shared" si="75"/>
      </c>
      <c r="V366" s="177" t="s">
        <v>108</v>
      </c>
      <c r="W366" s="178" t="s">
        <v>136</v>
      </c>
      <c r="X366" s="208">
        <v>2</v>
      </c>
      <c r="Y366" s="169">
        <v>3741</v>
      </c>
      <c r="Z366" s="169">
        <v>120</v>
      </c>
      <c r="AA366" s="169">
        <v>167</v>
      </c>
      <c r="AB366" s="169">
        <v>38</v>
      </c>
      <c r="AC366" s="169">
        <v>10</v>
      </c>
      <c r="AD366" s="179">
        <v>3</v>
      </c>
      <c r="AE366" s="180">
        <v>13</v>
      </c>
      <c r="AF366" s="152"/>
      <c r="AG366" s="152"/>
    </row>
    <row r="367">
      <c r="A367" s="166"/>
      <c r="B367" s="184" t="s">
        <v>113</v>
      </c>
      <c r="C367" s="184"/>
      <c r="D367" s="185">
        <f>SUM(D363:D366)</f>
      </c>
      <c r="E367" s="185">
        <f>SUM(E363:E366)</f>
      </c>
      <c r="F367" s="185">
        <f>SUM(F363:F366)</f>
      </c>
      <c r="G367" s="185"/>
      <c r="H367" s="185">
        <f>SUM(H363:H366)</f>
      </c>
      <c r="I367" s="185">
        <f>SUM(I363:I366)</f>
      </c>
      <c r="J367" s="186">
        <f t="shared" si="195"/>
      </c>
      <c r="K367" s="187">
        <f t="shared" si="105"/>
      </c>
      <c r="L367" s="188">
        <f t="shared" si="45"/>
      </c>
      <c r="M367" s="189">
        <f t="shared" si="135"/>
      </c>
      <c r="N367" s="187">
        <f t="shared" si="15"/>
      </c>
      <c r="O367" s="188">
        <f t="shared" si="466"/>
      </c>
      <c r="P367" s="187">
        <f t="shared" si="436"/>
      </c>
      <c r="Q367" s="187">
        <f t="shared" si="358"/>
      </c>
      <c r="R367" s="188">
        <f t="shared" si="328"/>
      </c>
      <c r="S367" s="190">
        <f t="shared" si="225"/>
      </c>
      <c r="T367" s="188">
        <f t="shared" si="165"/>
      </c>
      <c r="U367" s="191">
        <f t="shared" si="75"/>
      </c>
      <c r="V367" s="191"/>
      <c r="W367" s="191"/>
      <c r="X367" s="206">
        <f>SUM(X363:X366)</f>
      </c>
      <c r="Y367" s="185">
        <f>SUM(Y363:Y366)</f>
      </c>
      <c r="Z367" s="185">
        <f>SUM(Z363:Z366)</f>
      </c>
      <c r="AA367" s="185">
        <f>SUM(AA363:AA366)</f>
      </c>
      <c r="AB367" s="185">
        <f>SUM(AB363:AB366)</f>
      </c>
      <c r="AC367" s="185">
        <f>SUM(AC363:AC366)</f>
      </c>
      <c r="AD367" s="185">
        <f>SUM(AD363:AD366)</f>
      </c>
      <c r="AE367" s="185">
        <f>SUM(AE363:AE366)</f>
      </c>
      <c r="AF367" s="152"/>
      <c r="AG367" s="152"/>
    </row>
    <row r="368">
      <c r="A368" s="166"/>
      <c r="B368" s="196" t="s">
        <v>130</v>
      </c>
      <c r="C368" s="196"/>
      <c r="D368" s="197">
        <f>D352+D357+D362+D367</f>
      </c>
      <c r="E368" s="197">
        <f>E352+E357+E362+E367</f>
      </c>
      <c r="F368" s="197">
        <f>F352+F357+F362+F367</f>
      </c>
      <c r="G368" s="197"/>
      <c r="H368" s="197">
        <f>H352+H357+H362+H367</f>
      </c>
      <c r="I368" s="197">
        <f>I352+I357+I362+I367</f>
      </c>
      <c r="J368" s="198">
        <f t="shared" si="195"/>
      </c>
      <c r="K368" s="199">
        <f t="shared" si="105"/>
      </c>
      <c r="L368" s="200">
        <f t="shared" si="45"/>
      </c>
      <c r="M368" s="201">
        <f t="shared" si="135"/>
      </c>
      <c r="N368" s="201">
        <f t="shared" si="15"/>
      </c>
      <c r="O368" s="200">
        <f t="shared" si="466"/>
      </c>
      <c r="P368" s="201">
        <f t="shared" si="436"/>
      </c>
      <c r="Q368" s="201">
        <f t="shared" si="358"/>
      </c>
      <c r="R368" s="200">
        <f t="shared" si="328"/>
      </c>
      <c r="S368" s="202">
        <f t="shared" si="225"/>
      </c>
      <c r="T368" s="200">
        <f t="shared" si="165"/>
      </c>
      <c r="U368" s="203">
        <f t="shared" si="75"/>
      </c>
      <c r="V368" s="203"/>
      <c r="W368" s="203"/>
      <c r="X368" s="198">
        <f>X352+X357+X362+X367</f>
      </c>
      <c r="Y368" s="198">
        <f>Y352+Y357+Y362+Y367</f>
      </c>
      <c r="Z368" s="198">
        <f>Z352+Z357+Z362+Z367</f>
      </c>
      <c r="AA368" s="198">
        <f>AA352+AA357+AA362+AA367</f>
      </c>
      <c r="AB368" s="198">
        <f>AB352+AB357+AB362+AB367</f>
      </c>
      <c r="AC368" s="198">
        <f>AC352+AC357+AC362+AC367</f>
      </c>
      <c r="AD368" s="198">
        <f>AD352+AD357+AD362+AD367</f>
      </c>
      <c r="AE368" s="198">
        <f>AE352+AE357+AE362+AE367</f>
      </c>
      <c r="AF368" s="152"/>
      <c r="AG368" s="152"/>
    </row>
    <row r="369">
      <c r="A369" s="146" t="s">
        <v>73</v>
      </c>
      <c r="B369" s="146"/>
      <c r="C369" s="146"/>
      <c r="D369" s="147" t="s">
        <v>74</v>
      </c>
      <c r="E369" s="147"/>
      <c r="F369" s="147"/>
      <c r="G369" s="147"/>
      <c r="H369" s="147"/>
      <c r="I369" s="147"/>
      <c r="J369" s="147"/>
      <c r="K369" s="148" t="s">
        <v>75</v>
      </c>
      <c r="L369" s="148"/>
      <c r="M369" s="148"/>
      <c r="N369" s="148"/>
      <c r="O369" s="148"/>
      <c r="P369" s="148"/>
      <c r="Q369" s="148"/>
      <c r="R369" s="148"/>
      <c r="S369" s="148"/>
      <c r="T369" s="148"/>
      <c r="U369" s="149"/>
      <c r="V369" s="149"/>
      <c r="W369" s="149"/>
      <c r="X369" s="150"/>
      <c r="Y369" s="150"/>
      <c r="Z369" s="150"/>
      <c r="AA369" s="150"/>
      <c r="AB369" s="150"/>
      <c r="AC369" s="150"/>
      <c r="AD369" s="150"/>
      <c r="AE369" s="151" t="s">
        <v>76</v>
      </c>
      <c r="AF369" s="152"/>
      <c r="AG369" s="152"/>
    </row>
    <row r="370">
      <c r="A370" s="153" t="s">
        <v>77</v>
      </c>
      <c r="B370" s="146" t="s">
        <v>78</v>
      </c>
      <c r="C370" s="146" t="s">
        <v>79</v>
      </c>
      <c r="D370" s="154" t="s">
        <v>80</v>
      </c>
      <c r="E370" s="155" t="s">
        <v>81</v>
      </c>
      <c r="F370" s="155" t="s">
        <v>82</v>
      </c>
      <c r="G370" s="155"/>
      <c r="H370" s="156" t="s">
        <v>83</v>
      </c>
      <c r="I370" s="157" t="s">
        <v>84</v>
      </c>
      <c r="J370" s="155" t="s">
        <v>85</v>
      </c>
      <c r="K370" s="158" t="s">
        <v>86</v>
      </c>
      <c r="L370" s="158" t="s">
        <v>87</v>
      </c>
      <c r="M370" s="159" t="s">
        <v>88</v>
      </c>
      <c r="N370" s="160" t="s">
        <v>89</v>
      </c>
      <c r="O370" s="148" t="s">
        <v>90</v>
      </c>
      <c r="P370" s="160" t="s">
        <v>91</v>
      </c>
      <c r="Q370" s="160" t="s">
        <v>92</v>
      </c>
      <c r="R370" s="161" t="s">
        <v>93</v>
      </c>
      <c r="S370" s="160" t="s">
        <v>94</v>
      </c>
      <c r="T370" s="161" t="s">
        <v>95</v>
      </c>
      <c r="U370" s="162" t="s">
        <v>96</v>
      </c>
      <c r="V370" s="162" t="s">
        <v>97</v>
      </c>
      <c r="W370" s="162" t="s">
        <v>98</v>
      </c>
      <c r="X370" s="163" t="s">
        <v>99</v>
      </c>
      <c r="Y370" s="164" t="s">
        <v>100</v>
      </c>
      <c r="Z370" s="164" t="s">
        <v>101</v>
      </c>
      <c r="AA370" s="164" t="s">
        <v>102</v>
      </c>
      <c r="AB370" s="164" t="s">
        <v>103</v>
      </c>
      <c r="AC370" s="164" t="s">
        <v>104</v>
      </c>
      <c r="AD370" s="165" t="s">
        <v>105</v>
      </c>
      <c r="AE370" s="151"/>
      <c r="AF370" s="152"/>
      <c r="AG370" s="152"/>
    </row>
    <row r="371">
      <c r="A371" s="166">
        <v>46282</v>
      </c>
      <c r="B371" s="167" t="s">
        <v>138</v>
      </c>
      <c r="C371" s="168" t="s">
        <v>107</v>
      </c>
      <c r="D371" s="169">
        <f t="shared" ref="D371:D374" si="305">E371+F371</f>
      </c>
      <c r="E371" s="170">
        <v>2993.3</v>
      </c>
      <c r="F371" s="170">
        <v>935.97</v>
      </c>
      <c r="G371" s="170"/>
      <c r="H371" s="170">
        <v>5</v>
      </c>
      <c r="I371" s="170">
        <v>18610.08</v>
      </c>
      <c r="J371" s="171">
        <f t="shared" ref="J371:J390" si="196">I371/D371</f>
      </c>
      <c r="K371" s="172">
        <f t="shared" ref="K371:K390" si="106">Z371/Y371</f>
      </c>
      <c r="L371" s="173">
        <f t="shared" ref="L371:L390" si="46">D371/AA371</f>
      </c>
      <c r="M371" s="174">
        <f t="shared" ref="M371:M390" si="136">AB371/AA371</f>
      </c>
      <c r="N371" s="172">
        <f t="shared" ref="N371:N390" si="16">AC371/AA371</f>
      </c>
      <c r="O371" s="173">
        <f t="shared" ref="O371:O390" si="467">D371/AC371</f>
      </c>
      <c r="P371" s="172">
        <f t="shared" ref="P371:P390" si="437">AD371/AC371</f>
      </c>
      <c r="Q371" s="172">
        <f t="shared" ref="Q371:Q390" si="359">H371/AD371</f>
      </c>
      <c r="R371" s="173">
        <f t="shared" ref="R371:R390" si="329">D371/H371</f>
      </c>
      <c r="S371" s="175">
        <f t="shared" ref="S371:S390" si="226">I371/H371</f>
      </c>
      <c r="T371" s="173">
        <f t="shared" ref="T371:T390" si="166">D371/X371</f>
      </c>
      <c r="U371" s="176">
        <f t="shared" ref="U371:U390" si="76">AE371*1000/D371</f>
      </c>
      <c r="V371" s="177" t="s">
        <v>108</v>
      </c>
      <c r="W371" s="178" t="s">
        <v>133</v>
      </c>
      <c r="X371" s="170">
        <v>5</v>
      </c>
      <c r="Y371" s="169">
        <v>13170</v>
      </c>
      <c r="Z371" s="169">
        <v>927</v>
      </c>
      <c r="AA371" s="169">
        <v>1849</v>
      </c>
      <c r="AB371" s="169">
        <v>376</v>
      </c>
      <c r="AC371" s="179">
        <v>43</v>
      </c>
      <c r="AD371" s="179">
        <v>6</v>
      </c>
      <c r="AE371" s="180">
        <v>27</v>
      </c>
      <c r="AF371" s="152"/>
      <c r="AG371" s="152"/>
    </row>
    <row r="372">
      <c r="A372" s="166"/>
      <c r="B372" s="181" t="s">
        <v>110</v>
      </c>
      <c r="C372" s="168" t="s">
        <v>107</v>
      </c>
      <c r="D372" s="169">
        <f t="shared" si="305"/>
      </c>
      <c r="E372" s="169">
        <v>2504.46</v>
      </c>
      <c r="F372" s="169">
        <v>987.58</v>
      </c>
      <c r="G372" s="169"/>
      <c r="H372" s="170">
        <v>2</v>
      </c>
      <c r="I372" s="170">
        <v>4407.48</v>
      </c>
      <c r="J372" s="171">
        <f t="shared" si="196"/>
      </c>
      <c r="K372" s="172">
        <f t="shared" si="106"/>
      </c>
      <c r="L372" s="173">
        <f t="shared" si="46"/>
      </c>
      <c r="M372" s="174">
        <f t="shared" si="136"/>
      </c>
      <c r="N372" s="172">
        <f t="shared" si="16"/>
      </c>
      <c r="O372" s="173">
        <f t="shared" si="467"/>
      </c>
      <c r="P372" s="172">
        <f t="shared" si="437"/>
      </c>
      <c r="Q372" s="172">
        <f t="shared" si="359"/>
      </c>
      <c r="R372" s="173">
        <f t="shared" si="329"/>
      </c>
      <c r="S372" s="175">
        <f t="shared" si="226"/>
      </c>
      <c r="T372" s="173">
        <f t="shared" si="166"/>
      </c>
      <c r="U372" s="176">
        <f t="shared" si="76"/>
      </c>
      <c r="V372" s="177" t="s">
        <v>108</v>
      </c>
      <c r="W372" s="178" t="s">
        <v>133</v>
      </c>
      <c r="X372" s="208">
        <v>3</v>
      </c>
      <c r="Y372" s="169">
        <v>8993</v>
      </c>
      <c r="Z372" s="169">
        <v>356</v>
      </c>
      <c r="AA372" s="169">
        <v>468</v>
      </c>
      <c r="AB372" s="169">
        <v>107</v>
      </c>
      <c r="AC372" s="169">
        <v>59</v>
      </c>
      <c r="AD372" s="179">
        <v>4</v>
      </c>
      <c r="AE372" s="180">
        <v>19</v>
      </c>
      <c r="AF372" s="152"/>
      <c r="AG372" s="152"/>
    </row>
    <row r="373">
      <c r="A373" s="166"/>
      <c r="B373" s="181" t="s">
        <v>111</v>
      </c>
      <c r="C373" s="168" t="s">
        <v>107</v>
      </c>
      <c r="D373" s="169">
        <f t="shared" si="305"/>
      </c>
      <c r="E373" s="169">
        <v>2775.58</v>
      </c>
      <c r="F373" s="169">
        <v>1411.38</v>
      </c>
      <c r="G373" s="169"/>
      <c r="H373" s="170">
        <v>4</v>
      </c>
      <c r="I373" s="170">
        <v>4730.560000000001</v>
      </c>
      <c r="J373" s="171">
        <f t="shared" si="196"/>
      </c>
      <c r="K373" s="172">
        <f t="shared" si="106"/>
      </c>
      <c r="L373" s="173">
        <f t="shared" si="46"/>
      </c>
      <c r="M373" s="174">
        <f t="shared" si="136"/>
      </c>
      <c r="N373" s="172">
        <f t="shared" si="16"/>
      </c>
      <c r="O373" s="173">
        <f t="shared" si="467"/>
      </c>
      <c r="P373" s="172">
        <f t="shared" si="437"/>
      </c>
      <c r="Q373" s="172">
        <f t="shared" si="359"/>
      </c>
      <c r="R373" s="173">
        <f t="shared" si="329"/>
      </c>
      <c r="S373" s="175">
        <f t="shared" si="226"/>
      </c>
      <c r="T373" s="173">
        <f t="shared" si="166"/>
      </c>
      <c r="U373" s="176">
        <f t="shared" si="76"/>
      </c>
      <c r="V373" s="177" t="s">
        <v>108</v>
      </c>
      <c r="W373" s="178" t="s">
        <v>133</v>
      </c>
      <c r="X373" s="205">
        <v>1</v>
      </c>
      <c r="Y373" s="169">
        <v>9686</v>
      </c>
      <c r="Z373" s="169">
        <v>830</v>
      </c>
      <c r="AA373" s="169">
        <v>1593</v>
      </c>
      <c r="AB373" s="169">
        <v>373</v>
      </c>
      <c r="AC373" s="169">
        <v>27</v>
      </c>
      <c r="AD373" s="179">
        <v>8</v>
      </c>
      <c r="AE373" s="180">
        <v>19</v>
      </c>
      <c r="AF373" s="152"/>
      <c r="AG373" s="152"/>
    </row>
    <row r="374">
      <c r="A374" s="166"/>
      <c r="B374" s="183" t="s">
        <v>112</v>
      </c>
      <c r="C374" s="168" t="s">
        <v>107</v>
      </c>
      <c r="D374" s="169">
        <f t="shared" si="305"/>
      </c>
      <c r="E374" s="169">
        <v>3332.12</v>
      </c>
      <c r="F374" s="169">
        <v>1057.79</v>
      </c>
      <c r="G374" s="169"/>
      <c r="H374" s="170">
        <v>3</v>
      </c>
      <c r="I374" s="170">
        <v>13675.920000000006</v>
      </c>
      <c r="J374" s="171">
        <f t="shared" si="196"/>
      </c>
      <c r="K374" s="172">
        <f t="shared" si="106"/>
      </c>
      <c r="L374" s="173">
        <f t="shared" si="46"/>
      </c>
      <c r="M374" s="174">
        <f t="shared" si="136"/>
      </c>
      <c r="N374" s="172">
        <f t="shared" si="16"/>
      </c>
      <c r="O374" s="173">
        <f t="shared" si="467"/>
      </c>
      <c r="P374" s="172">
        <f t="shared" si="437"/>
      </c>
      <c r="Q374" s="172">
        <f t="shared" si="359"/>
      </c>
      <c r="R374" s="173">
        <f t="shared" si="329"/>
      </c>
      <c r="S374" s="175">
        <f t="shared" si="226"/>
      </c>
      <c r="T374" s="173">
        <f t="shared" si="166"/>
      </c>
      <c r="U374" s="176">
        <f t="shared" si="76"/>
      </c>
      <c r="V374" s="177" t="s">
        <v>108</v>
      </c>
      <c r="W374" s="178" t="s">
        <v>133</v>
      </c>
      <c r="X374" s="205">
        <v>3</v>
      </c>
      <c r="Y374" s="169">
        <v>11967</v>
      </c>
      <c r="Z374" s="169">
        <v>735</v>
      </c>
      <c r="AA374" s="169">
        <v>1200</v>
      </c>
      <c r="AB374" s="169">
        <v>278</v>
      </c>
      <c r="AC374" s="169">
        <v>61</v>
      </c>
      <c r="AD374" s="179">
        <v>4</v>
      </c>
      <c r="AE374" s="180">
        <v>16</v>
      </c>
      <c r="AF374" s="152"/>
      <c r="AG374" s="152"/>
    </row>
    <row r="375">
      <c r="A375" s="166"/>
      <c r="B375" s="184" t="s">
        <v>113</v>
      </c>
      <c r="C375" s="184"/>
      <c r="D375" s="185">
        <f>SUM(D371:D374)</f>
      </c>
      <c r="E375" s="185">
        <f>SUM(E371:E374)</f>
      </c>
      <c r="F375" s="185">
        <f>SUM(F371:F374)</f>
      </c>
      <c r="G375" s="185"/>
      <c r="H375" s="185">
        <f>SUM(H371:H374)</f>
      </c>
      <c r="I375" s="185">
        <f>SUM(I371:I374)</f>
      </c>
      <c r="J375" s="186">
        <f t="shared" si="196"/>
      </c>
      <c r="K375" s="187">
        <f t="shared" si="106"/>
      </c>
      <c r="L375" s="188">
        <f t="shared" si="46"/>
      </c>
      <c r="M375" s="189">
        <f t="shared" si="136"/>
      </c>
      <c r="N375" s="187">
        <f t="shared" si="16"/>
      </c>
      <c r="O375" s="188">
        <f t="shared" si="467"/>
      </c>
      <c r="P375" s="187">
        <f t="shared" si="437"/>
      </c>
      <c r="Q375" s="187">
        <f t="shared" si="359"/>
      </c>
      <c r="R375" s="188">
        <f t="shared" si="329"/>
      </c>
      <c r="S375" s="190">
        <f t="shared" si="226"/>
      </c>
      <c r="T375" s="188">
        <f t="shared" si="166"/>
      </c>
      <c r="U375" s="191">
        <f t="shared" si="76"/>
      </c>
      <c r="V375" s="191"/>
      <c r="W375" s="191"/>
      <c r="X375" s="206">
        <f>SUM(X371:X374)</f>
      </c>
      <c r="Y375" s="185">
        <f>SUM(Y371:Y374)</f>
      </c>
      <c r="Z375" s="185">
        <f>SUM(Z371:Z374)</f>
      </c>
      <c r="AA375" s="185">
        <f>SUM(AA371:AA374)</f>
      </c>
      <c r="AB375" s="185">
        <f>SUM(AB371:AB374)</f>
      </c>
      <c r="AC375" s="185">
        <f>SUM(AC371:AC374)</f>
      </c>
      <c r="AD375" s="185">
        <f>SUM(AD371:AD374)</f>
      </c>
      <c r="AE375" s="185">
        <f>SUM(AE371:AE374)</f>
      </c>
      <c r="AF375" s="152"/>
      <c r="AG375" s="152"/>
    </row>
    <row r="376">
      <c r="A376" s="166"/>
      <c r="B376" s="181" t="s">
        <v>114</v>
      </c>
      <c r="C376" s="168" t="s">
        <v>115</v>
      </c>
      <c r="D376" s="169">
        <f t="shared" ref="D376:D378" si="306">E376+F376</f>
      </c>
      <c r="E376" s="170">
        <v>3408.82</v>
      </c>
      <c r="F376" s="170">
        <v>1407.16</v>
      </c>
      <c r="G376" s="170"/>
      <c r="H376" s="170">
        <v>0</v>
      </c>
      <c r="I376" s="170">
        <v>0</v>
      </c>
      <c r="J376" s="171">
        <f t="shared" si="196"/>
      </c>
      <c r="K376" s="172">
        <f t="shared" si="106"/>
      </c>
      <c r="L376" s="173">
        <f t="shared" si="46"/>
      </c>
      <c r="M376" s="174">
        <f t="shared" si="136"/>
      </c>
      <c r="N376" s="172">
        <f t="shared" si="16"/>
      </c>
      <c r="O376" s="173">
        <f t="shared" si="467"/>
      </c>
      <c r="P376" s="172">
        <f t="shared" si="437"/>
      </c>
      <c r="Q376" s="172">
        <f t="shared" si="359"/>
      </c>
      <c r="R376" s="173">
        <f t="shared" si="329"/>
      </c>
      <c r="S376" s="175">
        <f t="shared" si="226"/>
      </c>
      <c r="T376" s="173">
        <f t="shared" si="166"/>
      </c>
      <c r="U376" s="176">
        <f t="shared" si="76"/>
      </c>
      <c r="V376" s="177" t="s">
        <v>108</v>
      </c>
      <c r="W376" s="178" t="s">
        <v>133</v>
      </c>
      <c r="X376" s="170">
        <v>0</v>
      </c>
      <c r="Y376" s="169">
        <v>20641</v>
      </c>
      <c r="Z376" s="169">
        <v>1108</v>
      </c>
      <c r="AA376" s="169">
        <v>2108</v>
      </c>
      <c r="AB376" s="169">
        <v>369</v>
      </c>
      <c r="AC376" s="179">
        <v>40</v>
      </c>
      <c r="AD376" s="179">
        <v>0</v>
      </c>
      <c r="AE376" s="180">
        <v>27</v>
      </c>
      <c r="AF376" s="152"/>
      <c r="AG376" s="152"/>
    </row>
    <row r="377">
      <c r="A377" s="166"/>
      <c r="B377" s="181" t="s">
        <v>116</v>
      </c>
      <c r="C377" s="168" t="s">
        <v>115</v>
      </c>
      <c r="D377" s="169">
        <f t="shared" si="306"/>
      </c>
      <c r="E377" s="169">
        <v>1849.73</v>
      </c>
      <c r="F377" s="169">
        <v>597.8</v>
      </c>
      <c r="G377" s="169"/>
      <c r="H377" s="170">
        <v>0</v>
      </c>
      <c r="I377" s="170">
        <v>0</v>
      </c>
      <c r="J377" s="171">
        <f t="shared" si="196"/>
      </c>
      <c r="K377" s="172">
        <f t="shared" si="106"/>
      </c>
      <c r="L377" s="173">
        <f t="shared" si="46"/>
      </c>
      <c r="M377" s="174">
        <f t="shared" si="136"/>
      </c>
      <c r="N377" s="172">
        <f t="shared" si="16"/>
      </c>
      <c r="O377" s="173">
        <f t="shared" si="467"/>
      </c>
      <c r="P377" s="172">
        <f t="shared" si="437"/>
      </c>
      <c r="Q377" s="172">
        <f t="shared" si="359"/>
      </c>
      <c r="R377" s="173">
        <f t="shared" si="329"/>
      </c>
      <c r="S377" s="175">
        <f t="shared" si="226"/>
      </c>
      <c r="T377" s="173">
        <f t="shared" si="166"/>
      </c>
      <c r="U377" s="176">
        <f t="shared" si="76"/>
      </c>
      <c r="V377" s="177" t="s">
        <v>108</v>
      </c>
      <c r="W377" s="178" t="s">
        <v>133</v>
      </c>
      <c r="X377" s="208">
        <v>0</v>
      </c>
      <c r="Y377" s="169">
        <v>9635</v>
      </c>
      <c r="Z377" s="169">
        <v>592</v>
      </c>
      <c r="AA377" s="169">
        <v>1200</v>
      </c>
      <c r="AB377" s="169">
        <v>223</v>
      </c>
      <c r="AC377" s="169">
        <v>24</v>
      </c>
      <c r="AD377" s="179">
        <v>0</v>
      </c>
      <c r="AE377" s="180">
        <v>14</v>
      </c>
      <c r="AF377" s="152"/>
      <c r="AG377" s="152"/>
    </row>
    <row r="378">
      <c r="A378" s="166"/>
      <c r="B378" s="181" t="s">
        <v>117</v>
      </c>
      <c r="C378" s="168" t="s">
        <v>115</v>
      </c>
      <c r="D378" s="169">
        <f t="shared" si="306"/>
      </c>
      <c r="E378" s="169">
        <v>1558.73</v>
      </c>
      <c r="F378" s="169">
        <v>793.28</v>
      </c>
      <c r="G378" s="169"/>
      <c r="H378" s="170">
        <v>1</v>
      </c>
      <c r="I378" s="169">
        <v>2485.0800000000017</v>
      </c>
      <c r="J378" s="171">
        <f t="shared" si="196"/>
      </c>
      <c r="K378" s="172">
        <f t="shared" si="106"/>
      </c>
      <c r="L378" s="173">
        <f t="shared" si="46"/>
      </c>
      <c r="M378" s="174">
        <f t="shared" si="136"/>
      </c>
      <c r="N378" s="172">
        <f t="shared" si="16"/>
      </c>
      <c r="O378" s="173">
        <f t="shared" si="467"/>
      </c>
      <c r="P378" s="172">
        <f t="shared" si="437"/>
      </c>
      <c r="Q378" s="172">
        <f t="shared" si="359"/>
      </c>
      <c r="R378" s="173">
        <f t="shared" si="329"/>
      </c>
      <c r="S378" s="175">
        <f t="shared" si="226"/>
      </c>
      <c r="T378" s="173">
        <f t="shared" si="166"/>
      </c>
      <c r="U378" s="176">
        <f t="shared" si="76"/>
      </c>
      <c r="V378" s="177" t="s">
        <v>108</v>
      </c>
      <c r="W378" s="178" t="s">
        <v>133</v>
      </c>
      <c r="X378" s="205">
        <v>1</v>
      </c>
      <c r="Y378" s="169">
        <v>7262</v>
      </c>
      <c r="Z378" s="169">
        <v>186</v>
      </c>
      <c r="AA378" s="169">
        <v>205</v>
      </c>
      <c r="AB378" s="169">
        <v>32</v>
      </c>
      <c r="AC378" s="169">
        <v>48</v>
      </c>
      <c r="AD378" s="179">
        <v>1</v>
      </c>
      <c r="AE378" s="180">
        <v>10</v>
      </c>
      <c r="AF378" s="152"/>
      <c r="AG378" s="152"/>
    </row>
    <row r="379">
      <c r="A379" s="166"/>
      <c r="B379" s="184" t="s">
        <v>113</v>
      </c>
      <c r="C379" s="184"/>
      <c r="D379" s="185">
        <f>SUM(D376:D378)</f>
      </c>
      <c r="E379" s="185">
        <f>SUM(E376:E378)</f>
      </c>
      <c r="F379" s="185">
        <f>SUM(F376:F378)</f>
      </c>
      <c r="G379" s="185"/>
      <c r="H379" s="185">
        <f>SUM(H376:H378)</f>
      </c>
      <c r="I379" s="185">
        <f>SUM(I376:I378)</f>
      </c>
      <c r="J379" s="186">
        <f t="shared" si="196"/>
      </c>
      <c r="K379" s="187">
        <f t="shared" si="106"/>
      </c>
      <c r="L379" s="188">
        <f t="shared" si="46"/>
      </c>
      <c r="M379" s="189">
        <f t="shared" si="136"/>
      </c>
      <c r="N379" s="187">
        <f t="shared" si="16"/>
      </c>
      <c r="O379" s="188">
        <f t="shared" si="467"/>
      </c>
      <c r="P379" s="187">
        <f t="shared" si="437"/>
      </c>
      <c r="Q379" s="187">
        <f t="shared" si="359"/>
      </c>
      <c r="R379" s="188">
        <f t="shared" si="329"/>
      </c>
      <c r="S379" s="190">
        <f t="shared" si="226"/>
      </c>
      <c r="T379" s="188">
        <f t="shared" si="166"/>
      </c>
      <c r="U379" s="191">
        <f t="shared" si="76"/>
      </c>
      <c r="V379" s="191"/>
      <c r="W379" s="191"/>
      <c r="X379" s="206">
        <f>SUM(X376:X378)</f>
      </c>
      <c r="Y379" s="185">
        <f>SUM(Y376:Y378)</f>
      </c>
      <c r="Z379" s="185">
        <f>SUM(Z376:Z378)</f>
      </c>
      <c r="AA379" s="185">
        <f>SUM(AA376:AA378)</f>
      </c>
      <c r="AB379" s="185">
        <f>SUM(AB376:AB378)</f>
      </c>
      <c r="AC379" s="185">
        <f>SUM(AC376:AC378)</f>
      </c>
      <c r="AD379" s="185">
        <f>SUM(AD376:AD378)</f>
      </c>
      <c r="AE379" s="185">
        <f>SUM(AE376:AE378)</f>
      </c>
      <c r="AF379" s="152"/>
      <c r="AG379" s="152"/>
    </row>
    <row r="380">
      <c r="A380" s="166"/>
      <c r="B380" s="192" t="s">
        <v>119</v>
      </c>
      <c r="C380" s="168" t="s">
        <v>120</v>
      </c>
      <c r="D380" s="169">
        <f t="shared" ref="D380:D383" si="307">E380+F380</f>
      </c>
      <c r="E380" s="170">
        <v>4152.799999999999</v>
      </c>
      <c r="F380" s="170">
        <v>845.46</v>
      </c>
      <c r="G380" s="170"/>
      <c r="H380" s="170">
        <v>0</v>
      </c>
      <c r="I380" s="170">
        <v>0</v>
      </c>
      <c r="J380" s="171">
        <f t="shared" si="196"/>
      </c>
      <c r="K380" s="172">
        <f t="shared" si="106"/>
      </c>
      <c r="L380" s="173">
        <f t="shared" si="46"/>
      </c>
      <c r="M380" s="174">
        <f t="shared" si="136"/>
      </c>
      <c r="N380" s="172">
        <f t="shared" si="16"/>
      </c>
      <c r="O380" s="173">
        <f t="shared" si="467"/>
      </c>
      <c r="P380" s="172">
        <f t="shared" si="437"/>
      </c>
      <c r="Q380" s="172">
        <f t="shared" si="359"/>
      </c>
      <c r="R380" s="173">
        <f t="shared" si="329"/>
      </c>
      <c r="S380" s="175">
        <f t="shared" si="226"/>
      </c>
      <c r="T380" s="173">
        <f t="shared" si="166"/>
      </c>
      <c r="U380" s="176">
        <f t="shared" si="76"/>
      </c>
      <c r="V380" s="177" t="s">
        <v>108</v>
      </c>
      <c r="W380" s="178" t="s">
        <v>136</v>
      </c>
      <c r="X380" s="170">
        <v>0</v>
      </c>
      <c r="Y380" s="169">
        <v>16929</v>
      </c>
      <c r="Z380" s="169">
        <v>910</v>
      </c>
      <c r="AA380" s="169">
        <v>1525</v>
      </c>
      <c r="AB380" s="169">
        <v>322</v>
      </c>
      <c r="AC380" s="179">
        <v>48</v>
      </c>
      <c r="AD380" s="179">
        <v>0</v>
      </c>
      <c r="AE380" s="180">
        <v>20</v>
      </c>
      <c r="AF380" s="152"/>
      <c r="AG380" s="152"/>
    </row>
    <row r="381">
      <c r="A381" s="166"/>
      <c r="B381" s="194" t="s">
        <v>122</v>
      </c>
      <c r="C381" s="168" t="s">
        <v>120</v>
      </c>
      <c r="D381" s="169">
        <f t="shared" si="307"/>
      </c>
      <c r="E381" s="169">
        <v>1755.58</v>
      </c>
      <c r="F381" s="170">
        <v>500.79</v>
      </c>
      <c r="G381" s="170"/>
      <c r="H381" s="170">
        <v>1</v>
      </c>
      <c r="I381" s="170">
        <v>942.8399999999965</v>
      </c>
      <c r="J381" s="171">
        <f t="shared" si="196"/>
      </c>
      <c r="K381" s="172">
        <f t="shared" si="106"/>
      </c>
      <c r="L381" s="173">
        <f t="shared" si="46"/>
      </c>
      <c r="M381" s="174">
        <f t="shared" si="136"/>
      </c>
      <c r="N381" s="172">
        <f t="shared" si="16"/>
      </c>
      <c r="O381" s="173">
        <f t="shared" si="467"/>
      </c>
      <c r="P381" s="172">
        <f t="shared" si="437"/>
      </c>
      <c r="Q381" s="172">
        <f t="shared" si="359"/>
      </c>
      <c r="R381" s="173">
        <f t="shared" si="329"/>
      </c>
      <c r="S381" s="175">
        <f t="shared" si="226"/>
      </c>
      <c r="T381" s="173">
        <f t="shared" si="166"/>
      </c>
      <c r="U381" s="176">
        <f t="shared" si="76"/>
      </c>
      <c r="V381" s="177" t="s">
        <v>108</v>
      </c>
      <c r="W381" s="178" t="s">
        <v>136</v>
      </c>
      <c r="X381" s="208">
        <v>0</v>
      </c>
      <c r="Y381" s="169">
        <v>6590</v>
      </c>
      <c r="Z381" s="169">
        <v>409</v>
      </c>
      <c r="AA381" s="169">
        <v>735</v>
      </c>
      <c r="AB381" s="169">
        <v>143</v>
      </c>
      <c r="AC381" s="169">
        <v>14</v>
      </c>
      <c r="AD381" s="179">
        <v>2</v>
      </c>
      <c r="AE381" s="180">
        <v>21</v>
      </c>
      <c r="AF381" s="152"/>
      <c r="AG381" s="152"/>
    </row>
    <row r="382">
      <c r="A382" s="166"/>
      <c r="B382" s="210" t="s">
        <v>123</v>
      </c>
      <c r="C382" s="168" t="s">
        <v>120</v>
      </c>
      <c r="D382" s="169">
        <f t="shared" si="307"/>
      </c>
      <c r="E382" s="169">
        <v>1497.87</v>
      </c>
      <c r="F382" s="169">
        <v>506.89</v>
      </c>
      <c r="G382" s="169"/>
      <c r="H382" s="170">
        <v>1</v>
      </c>
      <c r="I382" s="169">
        <v>466.56000000000495</v>
      </c>
      <c r="J382" s="171">
        <f t="shared" si="196"/>
      </c>
      <c r="K382" s="172">
        <f t="shared" si="106"/>
      </c>
      <c r="L382" s="173">
        <f t="shared" si="46"/>
      </c>
      <c r="M382" s="174">
        <f t="shared" si="136"/>
      </c>
      <c r="N382" s="172">
        <f t="shared" si="16"/>
      </c>
      <c r="O382" s="173">
        <f t="shared" si="467"/>
      </c>
      <c r="P382" s="172">
        <f t="shared" si="437"/>
      </c>
      <c r="Q382" s="172">
        <f t="shared" si="359"/>
      </c>
      <c r="R382" s="173">
        <f t="shared" si="329"/>
      </c>
      <c r="S382" s="175">
        <f t="shared" si="226"/>
      </c>
      <c r="T382" s="173">
        <f t="shared" si="166"/>
      </c>
      <c r="U382" s="176">
        <f t="shared" si="76"/>
      </c>
      <c r="V382" s="177" t="s">
        <v>108</v>
      </c>
      <c r="W382" s="178" t="s">
        <v>136</v>
      </c>
      <c r="X382" s="205">
        <v>1</v>
      </c>
      <c r="Y382" s="169">
        <v>6642</v>
      </c>
      <c r="Z382" s="169">
        <v>284</v>
      </c>
      <c r="AA382" s="169">
        <v>511</v>
      </c>
      <c r="AB382" s="169">
        <v>100</v>
      </c>
      <c r="AC382" s="169">
        <v>44</v>
      </c>
      <c r="AD382" s="179">
        <v>1</v>
      </c>
      <c r="AE382" s="180">
        <v>15</v>
      </c>
      <c r="AF382" s="152"/>
      <c r="AG382" s="152"/>
    </row>
    <row r="383">
      <c r="A383" s="166"/>
      <c r="B383" s="183" t="s">
        <v>124</v>
      </c>
      <c r="C383" s="168" t="s">
        <v>120</v>
      </c>
      <c r="D383" s="169">
        <f t="shared" si="307"/>
      </c>
      <c r="E383" s="169">
        <v>1640.54</v>
      </c>
      <c r="F383" s="169">
        <v>490.29</v>
      </c>
      <c r="G383" s="169"/>
      <c r="H383" s="170">
        <v>2</v>
      </c>
      <c r="I383" s="170">
        <v>1682.6399999999994</v>
      </c>
      <c r="J383" s="171">
        <f t="shared" si="196"/>
      </c>
      <c r="K383" s="172">
        <f t="shared" si="106"/>
      </c>
      <c r="L383" s="173">
        <f t="shared" si="46"/>
      </c>
      <c r="M383" s="174">
        <f t="shared" si="136"/>
      </c>
      <c r="N383" s="172">
        <f t="shared" si="16"/>
      </c>
      <c r="O383" s="173">
        <f t="shared" si="467"/>
      </c>
      <c r="P383" s="172">
        <f t="shared" si="437"/>
      </c>
      <c r="Q383" s="172">
        <f t="shared" si="359"/>
      </c>
      <c r="R383" s="173">
        <f t="shared" si="329"/>
      </c>
      <c r="S383" s="175">
        <f t="shared" si="226"/>
      </c>
      <c r="T383" s="173">
        <f t="shared" si="166"/>
      </c>
      <c r="U383" s="176">
        <f t="shared" si="76"/>
      </c>
      <c r="V383" s="177" t="s">
        <v>108</v>
      </c>
      <c r="W383" s="178" t="s">
        <v>136</v>
      </c>
      <c r="X383" s="205">
        <v>2</v>
      </c>
      <c r="Y383" s="169">
        <v>7107</v>
      </c>
      <c r="Z383" s="169">
        <v>213</v>
      </c>
      <c r="AA383" s="169">
        <v>269</v>
      </c>
      <c r="AB383" s="169">
        <v>60</v>
      </c>
      <c r="AC383" s="169">
        <v>38</v>
      </c>
      <c r="AD383" s="179">
        <v>2</v>
      </c>
      <c r="AE383" s="180">
        <v>7</v>
      </c>
      <c r="AF383" s="152"/>
      <c r="AG383" s="152"/>
    </row>
    <row r="384">
      <c r="A384" s="166"/>
      <c r="B384" s="184" t="s">
        <v>113</v>
      </c>
      <c r="C384" s="184"/>
      <c r="D384" s="185">
        <f>SUM(D380:D383)</f>
      </c>
      <c r="E384" s="185">
        <f>SUM(E380:E383)</f>
      </c>
      <c r="F384" s="185">
        <f>SUM(F380:F383)</f>
      </c>
      <c r="G384" s="185"/>
      <c r="H384" s="185">
        <f>SUM(H380:H383)</f>
      </c>
      <c r="I384" s="185">
        <f>SUM(I380:I383)</f>
      </c>
      <c r="J384" s="186">
        <f t="shared" si="196"/>
      </c>
      <c r="K384" s="187">
        <f t="shared" si="106"/>
      </c>
      <c r="L384" s="188">
        <f t="shared" si="46"/>
      </c>
      <c r="M384" s="189">
        <f t="shared" si="136"/>
      </c>
      <c r="N384" s="187">
        <f t="shared" si="16"/>
      </c>
      <c r="O384" s="188">
        <f t="shared" si="467"/>
      </c>
      <c r="P384" s="187">
        <f t="shared" si="437"/>
      </c>
      <c r="Q384" s="187">
        <f t="shared" si="359"/>
      </c>
      <c r="R384" s="188">
        <f t="shared" si="329"/>
      </c>
      <c r="S384" s="190">
        <f t="shared" si="226"/>
      </c>
      <c r="T384" s="188">
        <f t="shared" si="166"/>
      </c>
      <c r="U384" s="191">
        <f t="shared" si="76"/>
      </c>
      <c r="V384" s="191"/>
      <c r="W384" s="191"/>
      <c r="X384" s="206">
        <f>SUM(X380:X383)</f>
      </c>
      <c r="Y384" s="185">
        <f>SUM(Y380:Y383)</f>
      </c>
      <c r="Z384" s="185">
        <f>SUM(Z380:Z383)</f>
      </c>
      <c r="AA384" s="185">
        <f>SUM(AA380:AA383)</f>
      </c>
      <c r="AB384" s="185">
        <f>SUM(AB380:AB383)</f>
      </c>
      <c r="AC384" s="185">
        <f>SUM(AC380:AC383)</f>
      </c>
      <c r="AD384" s="185">
        <f>SUM(AD380:AD383)</f>
      </c>
      <c r="AE384" s="185">
        <f>SUM(AE380:AE383)</f>
      </c>
      <c r="AF384" s="152"/>
      <c r="AG384" s="152"/>
    </row>
    <row r="385">
      <c r="A385" s="166"/>
      <c r="B385" s="181" t="s">
        <v>125</v>
      </c>
      <c r="C385" s="168" t="s">
        <v>131</v>
      </c>
      <c r="D385" s="169">
        <f t="shared" ref="D385:D388" si="308">E385+F385</f>
      </c>
      <c r="E385" s="170">
        <v>1586.5900000000001</v>
      </c>
      <c r="F385" s="170">
        <v>552.67</v>
      </c>
      <c r="G385" s="170"/>
      <c r="H385" s="170">
        <v>2</v>
      </c>
      <c r="I385" s="170">
        <v>1878.8399999999965</v>
      </c>
      <c r="J385" s="171">
        <f t="shared" si="196"/>
      </c>
      <c r="K385" s="172">
        <f t="shared" si="106"/>
      </c>
      <c r="L385" s="173">
        <f t="shared" si="46"/>
      </c>
      <c r="M385" s="174">
        <f t="shared" si="136"/>
      </c>
      <c r="N385" s="172">
        <f t="shared" si="16"/>
      </c>
      <c r="O385" s="173">
        <f t="shared" si="467"/>
      </c>
      <c r="P385" s="172">
        <f t="shared" si="437"/>
      </c>
      <c r="Q385" s="172">
        <f t="shared" si="359"/>
      </c>
      <c r="R385" s="173">
        <f t="shared" si="329"/>
      </c>
      <c r="S385" s="175">
        <f t="shared" si="226"/>
      </c>
      <c r="T385" s="173">
        <f t="shared" si="166"/>
      </c>
      <c r="U385" s="176">
        <f t="shared" si="76"/>
      </c>
      <c r="V385" s="177" t="s">
        <v>108</v>
      </c>
      <c r="W385" s="178" t="s">
        <v>136</v>
      </c>
      <c r="X385" s="170">
        <v>1</v>
      </c>
      <c r="Y385" s="169">
        <v>4615</v>
      </c>
      <c r="Z385" s="169">
        <v>101</v>
      </c>
      <c r="AA385" s="169">
        <v>119</v>
      </c>
      <c r="AB385" s="169">
        <v>34</v>
      </c>
      <c r="AC385" s="179">
        <v>40</v>
      </c>
      <c r="AD385" s="179">
        <v>2</v>
      </c>
      <c r="AE385" s="180">
        <v>9</v>
      </c>
      <c r="AF385" s="152"/>
      <c r="AG385" s="152"/>
    </row>
    <row r="386">
      <c r="A386" s="166"/>
      <c r="B386" s="195" t="s">
        <v>127</v>
      </c>
      <c r="C386" s="168" t="s">
        <v>131</v>
      </c>
      <c r="D386" s="169">
        <f t="shared" si="308"/>
      </c>
      <c r="E386" s="169">
        <v>1418.65</v>
      </c>
      <c r="F386" s="169">
        <v>1026.67</v>
      </c>
      <c r="G386" s="169"/>
      <c r="H386" s="170">
        <v>1</v>
      </c>
      <c r="I386" s="170">
        <v>456.8400000000038</v>
      </c>
      <c r="J386" s="171">
        <f t="shared" si="196"/>
      </c>
      <c r="K386" s="172">
        <f t="shared" si="106"/>
      </c>
      <c r="L386" s="173">
        <f t="shared" si="46"/>
      </c>
      <c r="M386" s="174">
        <f t="shared" si="136"/>
      </c>
      <c r="N386" s="172">
        <f t="shared" si="16"/>
      </c>
      <c r="O386" s="173">
        <f t="shared" si="467"/>
      </c>
      <c r="P386" s="172">
        <f t="shared" si="437"/>
      </c>
      <c r="Q386" s="172">
        <f t="shared" si="359"/>
      </c>
      <c r="R386" s="173">
        <f t="shared" si="329"/>
      </c>
      <c r="S386" s="175">
        <f t="shared" si="226"/>
      </c>
      <c r="T386" s="173">
        <f t="shared" si="166"/>
      </c>
      <c r="U386" s="176">
        <f t="shared" si="76"/>
      </c>
      <c r="V386" s="177" t="s">
        <v>108</v>
      </c>
      <c r="W386" s="178" t="s">
        <v>136</v>
      </c>
      <c r="X386" s="208">
        <v>0</v>
      </c>
      <c r="Y386" s="169">
        <v>7917</v>
      </c>
      <c r="Z386" s="169">
        <v>197</v>
      </c>
      <c r="AA386" s="169">
        <v>214</v>
      </c>
      <c r="AB386" s="169">
        <v>36</v>
      </c>
      <c r="AC386" s="169">
        <v>43</v>
      </c>
      <c r="AD386" s="179">
        <v>1</v>
      </c>
      <c r="AE386" s="180">
        <v>5</v>
      </c>
      <c r="AF386" s="152"/>
      <c r="AG386" s="152"/>
    </row>
    <row r="387">
      <c r="A387" s="166"/>
      <c r="B387" s="195" t="s">
        <v>128</v>
      </c>
      <c r="C387" s="168" t="s">
        <v>131</v>
      </c>
      <c r="D387" s="169">
        <f t="shared" si="308"/>
      </c>
      <c r="E387" s="169">
        <v>2573</v>
      </c>
      <c r="F387" s="169">
        <v>1974.76</v>
      </c>
      <c r="G387" s="170"/>
      <c r="H387" s="170">
        <v>2</v>
      </c>
      <c r="I387" s="170">
        <v>10246.919999999998</v>
      </c>
      <c r="J387" s="171">
        <f t="shared" si="196"/>
      </c>
      <c r="K387" s="172">
        <f t="shared" si="106"/>
      </c>
      <c r="L387" s="173">
        <f t="shared" si="46"/>
      </c>
      <c r="M387" s="174">
        <f t="shared" si="136"/>
      </c>
      <c r="N387" s="172">
        <f t="shared" si="16"/>
      </c>
      <c r="O387" s="173">
        <f t="shared" si="467"/>
      </c>
      <c r="P387" s="172">
        <f t="shared" si="437"/>
      </c>
      <c r="Q387" s="172">
        <f t="shared" si="359"/>
      </c>
      <c r="R387" s="173">
        <f t="shared" si="329"/>
      </c>
      <c r="S387" s="175">
        <f t="shared" si="226"/>
      </c>
      <c r="T387" s="173">
        <f t="shared" si="166"/>
      </c>
      <c r="U387" s="176">
        <f t="shared" si="76"/>
      </c>
      <c r="V387" s="177" t="s">
        <v>108</v>
      </c>
      <c r="W387" s="178" t="s">
        <v>136</v>
      </c>
      <c r="X387" s="208">
        <v>2</v>
      </c>
      <c r="Y387" s="169">
        <v>16319</v>
      </c>
      <c r="Z387" s="169">
        <v>1122</v>
      </c>
      <c r="AA387" s="169">
        <v>2087</v>
      </c>
      <c r="AB387" s="169">
        <v>410</v>
      </c>
      <c r="AC387" s="169">
        <v>74</v>
      </c>
      <c r="AD387" s="179">
        <v>4</v>
      </c>
      <c r="AE387" s="180">
        <v>16</v>
      </c>
      <c r="AF387" s="152"/>
      <c r="AG387" s="152"/>
    </row>
    <row r="388">
      <c r="A388" s="166"/>
      <c r="B388" s="212" t="s">
        <v>129</v>
      </c>
      <c r="C388" s="168" t="s">
        <v>131</v>
      </c>
      <c r="D388" s="169">
        <f t="shared" si="308"/>
      </c>
      <c r="E388" s="169">
        <v>965.79</v>
      </c>
      <c r="F388" s="170">
        <v>302.82</v>
      </c>
      <c r="G388" s="170"/>
      <c r="H388" s="170">
        <v>1</v>
      </c>
      <c r="I388" s="170">
        <v>6116.399999999994</v>
      </c>
      <c r="J388" s="171">
        <f t="shared" si="196"/>
      </c>
      <c r="K388" s="172">
        <f t="shared" si="106"/>
      </c>
      <c r="L388" s="173">
        <f t="shared" si="46"/>
      </c>
      <c r="M388" s="174">
        <f t="shared" si="136"/>
      </c>
      <c r="N388" s="172">
        <f t="shared" si="16"/>
      </c>
      <c r="O388" s="173">
        <f t="shared" si="467"/>
      </c>
      <c r="P388" s="172">
        <f t="shared" si="437"/>
      </c>
      <c r="Q388" s="172">
        <f t="shared" si="359"/>
      </c>
      <c r="R388" s="173">
        <f t="shared" si="329"/>
      </c>
      <c r="S388" s="175">
        <f t="shared" si="226"/>
      </c>
      <c r="T388" s="173">
        <f t="shared" si="166"/>
      </c>
      <c r="U388" s="176">
        <f t="shared" si="76"/>
      </c>
      <c r="V388" s="177" t="s">
        <v>108</v>
      </c>
      <c r="W388" s="178" t="s">
        <v>136</v>
      </c>
      <c r="X388" s="208">
        <v>1</v>
      </c>
      <c r="Y388" s="169">
        <v>2725</v>
      </c>
      <c r="Z388" s="169">
        <v>151</v>
      </c>
      <c r="AA388" s="169">
        <v>307</v>
      </c>
      <c r="AB388" s="169">
        <v>58</v>
      </c>
      <c r="AC388" s="169">
        <v>13</v>
      </c>
      <c r="AD388" s="179">
        <v>1</v>
      </c>
      <c r="AE388" s="180">
        <v>9</v>
      </c>
      <c r="AF388" s="152"/>
      <c r="AG388" s="152"/>
    </row>
    <row r="389">
      <c r="A389" s="166"/>
      <c r="B389" s="184" t="s">
        <v>113</v>
      </c>
      <c r="C389" s="184"/>
      <c r="D389" s="185">
        <f>SUM(D385:D388)</f>
      </c>
      <c r="E389" s="185">
        <f>SUM(E385:E388)</f>
      </c>
      <c r="F389" s="185">
        <f>SUM(F385:F388)</f>
      </c>
      <c r="G389" s="185"/>
      <c r="H389" s="185">
        <f>SUM(H385:H388)</f>
      </c>
      <c r="I389" s="185">
        <f>SUM(I385:I388)</f>
      </c>
      <c r="J389" s="186">
        <f t="shared" si="196"/>
      </c>
      <c r="K389" s="187">
        <f t="shared" si="106"/>
      </c>
      <c r="L389" s="188">
        <f t="shared" si="46"/>
      </c>
      <c r="M389" s="189">
        <f t="shared" si="136"/>
      </c>
      <c r="N389" s="187">
        <f t="shared" si="16"/>
      </c>
      <c r="O389" s="188">
        <f t="shared" si="467"/>
      </c>
      <c r="P389" s="187">
        <f t="shared" si="437"/>
      </c>
      <c r="Q389" s="187">
        <f t="shared" si="359"/>
      </c>
      <c r="R389" s="188">
        <f t="shared" si="329"/>
      </c>
      <c r="S389" s="190">
        <f t="shared" si="226"/>
      </c>
      <c r="T389" s="188">
        <f t="shared" si="166"/>
      </c>
      <c r="U389" s="191">
        <f t="shared" si="76"/>
      </c>
      <c r="V389" s="191"/>
      <c r="W389" s="191"/>
      <c r="X389" s="206">
        <f>SUM(X385:X388)</f>
      </c>
      <c r="Y389" s="185">
        <f>SUM(Y385:Y388)</f>
      </c>
      <c r="Z389" s="185">
        <f>SUM(Z385:Z388)</f>
      </c>
      <c r="AA389" s="185">
        <f>SUM(AA385:AA388)</f>
      </c>
      <c r="AB389" s="185">
        <f>SUM(AB385:AB388)</f>
      </c>
      <c r="AC389" s="185">
        <f>SUM(AC385:AC388)</f>
      </c>
      <c r="AD389" s="185">
        <f>SUM(AD385:AD388)</f>
      </c>
      <c r="AE389" s="185">
        <f>SUM(AE385:AE388)</f>
      </c>
      <c r="AF389" s="152"/>
      <c r="AG389" s="152"/>
    </row>
    <row r="390">
      <c r="A390" s="166"/>
      <c r="B390" s="196" t="s">
        <v>130</v>
      </c>
      <c r="C390" s="196"/>
      <c r="D390" s="197">
        <f>D375+D379+D384+D389</f>
      </c>
      <c r="E390" s="197">
        <f>E375+E379+E384+E389</f>
      </c>
      <c r="F390" s="197">
        <f>F375+F379+F384+F389</f>
      </c>
      <c r="G390" s="197"/>
      <c r="H390" s="197">
        <f>H375+H379+H384+H389</f>
      </c>
      <c r="I390" s="197">
        <f>I375+I379+I384+I389</f>
      </c>
      <c r="J390" s="198">
        <f t="shared" si="196"/>
      </c>
      <c r="K390" s="199">
        <f t="shared" si="106"/>
      </c>
      <c r="L390" s="200">
        <f t="shared" si="46"/>
      </c>
      <c r="M390" s="201">
        <f t="shared" si="136"/>
      </c>
      <c r="N390" s="201">
        <f t="shared" si="16"/>
      </c>
      <c r="O390" s="200">
        <f t="shared" si="467"/>
      </c>
      <c r="P390" s="201">
        <f t="shared" si="437"/>
      </c>
      <c r="Q390" s="201">
        <f t="shared" si="359"/>
      </c>
      <c r="R390" s="200">
        <f t="shared" si="329"/>
      </c>
      <c r="S390" s="202">
        <f t="shared" si="226"/>
      </c>
      <c r="T390" s="200">
        <f t="shared" si="166"/>
      </c>
      <c r="U390" s="203">
        <f t="shared" si="76"/>
      </c>
      <c r="V390" s="203"/>
      <c r="W390" s="203"/>
      <c r="X390" s="198">
        <f>X375+X379+X384+X389</f>
      </c>
      <c r="Y390" s="198">
        <f>Y375+Y379+Y384+Y389</f>
      </c>
      <c r="Z390" s="198">
        <f>Z375+Z379+Z384+Z389</f>
      </c>
      <c r="AA390" s="198">
        <f>AA375+AA379+AA384+AA389</f>
      </c>
      <c r="AB390" s="198">
        <f>AB375+AB379+AB384+AB389</f>
      </c>
      <c r="AC390" s="198">
        <f>AC375+AC379+AC384+AC389</f>
      </c>
      <c r="AD390" s="198">
        <f>AD375+AD379+AD384+AD389</f>
      </c>
      <c r="AE390" s="198">
        <f>AE375+AE379+AE384+AE389</f>
      </c>
      <c r="AF390" s="152"/>
      <c r="AG390" s="152"/>
    </row>
    <row r="391">
      <c r="A391" s="146" t="s">
        <v>73</v>
      </c>
      <c r="B391" s="146"/>
      <c r="C391" s="146"/>
      <c r="D391" s="147" t="s">
        <v>74</v>
      </c>
      <c r="E391" s="147"/>
      <c r="F391" s="147"/>
      <c r="G391" s="147"/>
      <c r="H391" s="147"/>
      <c r="I391" s="147"/>
      <c r="J391" s="147"/>
      <c r="K391" s="148" t="s">
        <v>75</v>
      </c>
      <c r="L391" s="148"/>
      <c r="M391" s="148"/>
      <c r="N391" s="148"/>
      <c r="O391" s="148"/>
      <c r="P391" s="148"/>
      <c r="Q391" s="148"/>
      <c r="R391" s="148"/>
      <c r="S391" s="148"/>
      <c r="T391" s="148"/>
      <c r="U391" s="149"/>
      <c r="V391" s="149"/>
      <c r="W391" s="149"/>
      <c r="X391" s="150"/>
      <c r="Y391" s="150"/>
      <c r="Z391" s="150"/>
      <c r="AA391" s="150"/>
      <c r="AB391" s="150"/>
      <c r="AC391" s="150"/>
      <c r="AD391" s="150"/>
      <c r="AE391" s="151" t="s">
        <v>76</v>
      </c>
      <c r="AF391" s="152"/>
      <c r="AG391" s="152"/>
    </row>
    <row r="392">
      <c r="A392" s="153" t="s">
        <v>77</v>
      </c>
      <c r="B392" s="146" t="s">
        <v>78</v>
      </c>
      <c r="C392" s="146" t="s">
        <v>79</v>
      </c>
      <c r="D392" s="154" t="s">
        <v>80</v>
      </c>
      <c r="E392" s="155" t="s">
        <v>81</v>
      </c>
      <c r="F392" s="155" t="s">
        <v>82</v>
      </c>
      <c r="G392" s="155"/>
      <c r="H392" s="156" t="s">
        <v>83</v>
      </c>
      <c r="I392" s="157" t="s">
        <v>84</v>
      </c>
      <c r="J392" s="155" t="s">
        <v>85</v>
      </c>
      <c r="K392" s="158" t="s">
        <v>86</v>
      </c>
      <c r="L392" s="158" t="s">
        <v>87</v>
      </c>
      <c r="M392" s="159" t="s">
        <v>88</v>
      </c>
      <c r="N392" s="160" t="s">
        <v>89</v>
      </c>
      <c r="O392" s="148" t="s">
        <v>90</v>
      </c>
      <c r="P392" s="160" t="s">
        <v>91</v>
      </c>
      <c r="Q392" s="160" t="s">
        <v>92</v>
      </c>
      <c r="R392" s="161" t="s">
        <v>93</v>
      </c>
      <c r="S392" s="160" t="s">
        <v>94</v>
      </c>
      <c r="T392" s="161" t="s">
        <v>95</v>
      </c>
      <c r="U392" s="162" t="s">
        <v>96</v>
      </c>
      <c r="V392" s="162" t="s">
        <v>97</v>
      </c>
      <c r="W392" s="162" t="s">
        <v>98</v>
      </c>
      <c r="X392" s="163" t="s">
        <v>99</v>
      </c>
      <c r="Y392" s="164" t="s">
        <v>100</v>
      </c>
      <c r="Z392" s="164" t="s">
        <v>101</v>
      </c>
      <c r="AA392" s="164" t="s">
        <v>102</v>
      </c>
      <c r="AB392" s="164" t="s">
        <v>103</v>
      </c>
      <c r="AC392" s="164" t="s">
        <v>104</v>
      </c>
      <c r="AD392" s="165" t="s">
        <v>105</v>
      </c>
      <c r="AE392" s="151"/>
      <c r="AF392" s="152"/>
      <c r="AG392" s="152"/>
    </row>
    <row r="393">
      <c r="A393" s="166">
        <v>46283</v>
      </c>
      <c r="B393" s="167" t="s">
        <v>106</v>
      </c>
      <c r="C393" s="168" t="s">
        <v>107</v>
      </c>
      <c r="D393" s="169">
        <f t="shared" ref="D393:D396" si="309">E393+F393</f>
      </c>
      <c r="E393" s="170">
        <v>2801.25</v>
      </c>
      <c r="F393" s="170">
        <v>970.03</v>
      </c>
      <c r="G393" s="170"/>
      <c r="H393" s="170">
        <v>3</v>
      </c>
      <c r="I393" s="170">
        <v>5886.120000000001</v>
      </c>
      <c r="J393" s="171">
        <f t="shared" ref="J393:J413" si="197">I393/D393</f>
      </c>
      <c r="K393" s="172">
        <f t="shared" ref="K393:K413" si="107">Z393/Y393</f>
      </c>
      <c r="L393" s="173">
        <f t="shared" ref="L393:L413" si="47">D393/AA393</f>
      </c>
      <c r="M393" s="174">
        <f t="shared" ref="M393:M413" si="137">AB393/AA393</f>
      </c>
      <c r="N393" s="172">
        <f t="shared" ref="N393:N413" si="17">AC393/AA393</f>
      </c>
      <c r="O393" s="173">
        <f t="shared" ref="O393:O413" si="468">D393/AC393</f>
      </c>
      <c r="P393" s="172">
        <f t="shared" ref="P393:P413" si="438">AD393/AC393</f>
      </c>
      <c r="Q393" s="172">
        <f t="shared" ref="Q393:Q413" si="360">H393/AD393</f>
      </c>
      <c r="R393" s="173">
        <f t="shared" ref="R393:R413" si="330">D393/H393</f>
      </c>
      <c r="S393" s="175">
        <f t="shared" ref="S393:S413" si="227">I393/H393</f>
      </c>
      <c r="T393" s="173">
        <f t="shared" ref="T393:T413" si="167">D393/X393</f>
      </c>
      <c r="U393" s="176">
        <f t="shared" ref="U393:U413" si="77">AE393*1000/D393</f>
      </c>
      <c r="V393" s="177" t="s">
        <v>108</v>
      </c>
      <c r="W393" s="178" t="s">
        <v>133</v>
      </c>
      <c r="X393" s="170">
        <v>2</v>
      </c>
      <c r="Y393" s="169">
        <v>13207</v>
      </c>
      <c r="Z393" s="169">
        <v>887</v>
      </c>
      <c r="AA393" s="169">
        <v>1675</v>
      </c>
      <c r="AB393" s="169">
        <v>316</v>
      </c>
      <c r="AC393" s="179">
        <v>43</v>
      </c>
      <c r="AD393" s="179">
        <v>5</v>
      </c>
      <c r="AE393" s="180">
        <v>29</v>
      </c>
      <c r="AF393" s="152"/>
      <c r="AG393" s="152"/>
    </row>
    <row r="394">
      <c r="A394" s="166"/>
      <c r="B394" s="181" t="s">
        <v>110</v>
      </c>
      <c r="C394" s="168" t="s">
        <v>107</v>
      </c>
      <c r="D394" s="169">
        <f t="shared" si="309"/>
      </c>
      <c r="E394" s="169">
        <v>2126.46</v>
      </c>
      <c r="F394" s="169">
        <v>1093</v>
      </c>
      <c r="G394" s="169"/>
      <c r="H394" s="170">
        <v>0</v>
      </c>
      <c r="I394" s="170">
        <v>0</v>
      </c>
      <c r="J394" s="171">
        <f t="shared" si="197"/>
      </c>
      <c r="K394" s="172">
        <f t="shared" si="107"/>
      </c>
      <c r="L394" s="173">
        <f t="shared" si="47"/>
      </c>
      <c r="M394" s="174">
        <f t="shared" si="137"/>
      </c>
      <c r="N394" s="172">
        <f t="shared" si="17"/>
      </c>
      <c r="O394" s="173">
        <f t="shared" si="468"/>
      </c>
      <c r="P394" s="172">
        <f t="shared" si="438"/>
      </c>
      <c r="Q394" s="172">
        <f t="shared" si="360"/>
      </c>
      <c r="R394" s="173">
        <f t="shared" si="330"/>
      </c>
      <c r="S394" s="175">
        <f t="shared" si="227"/>
      </c>
      <c r="T394" s="173">
        <f t="shared" si="167"/>
      </c>
      <c r="U394" s="176">
        <f t="shared" si="77"/>
      </c>
      <c r="V394" s="177" t="s">
        <v>108</v>
      </c>
      <c r="W394" s="178" t="s">
        <v>133</v>
      </c>
      <c r="X394" s="208">
        <v>0</v>
      </c>
      <c r="Y394" s="169">
        <v>8824</v>
      </c>
      <c r="Z394" s="169">
        <v>476</v>
      </c>
      <c r="AA394" s="169">
        <v>712</v>
      </c>
      <c r="AB394" s="169">
        <v>148</v>
      </c>
      <c r="AC394" s="169">
        <v>46</v>
      </c>
      <c r="AD394" s="179">
        <v>0</v>
      </c>
      <c r="AE394" s="180">
        <v>16</v>
      </c>
      <c r="AF394" s="152"/>
      <c r="AG394" s="152"/>
    </row>
    <row r="395">
      <c r="A395" s="166"/>
      <c r="B395" s="181" t="s">
        <v>111</v>
      </c>
      <c r="C395" s="168" t="s">
        <v>107</v>
      </c>
      <c r="D395" s="169">
        <f t="shared" si="309"/>
      </c>
      <c r="E395" s="169">
        <v>1687.5099999999998</v>
      </c>
      <c r="F395" s="169">
        <v>1962.91</v>
      </c>
      <c r="G395" s="169"/>
      <c r="H395" s="170">
        <v>3</v>
      </c>
      <c r="I395" s="170">
        <v>17836.800000000003</v>
      </c>
      <c r="J395" s="171">
        <f t="shared" si="197"/>
      </c>
      <c r="K395" s="172">
        <f t="shared" si="107"/>
      </c>
      <c r="L395" s="173">
        <f t="shared" si="47"/>
      </c>
      <c r="M395" s="174">
        <f t="shared" si="137"/>
      </c>
      <c r="N395" s="172">
        <f t="shared" si="17"/>
      </c>
      <c r="O395" s="173">
        <f t="shared" si="468"/>
      </c>
      <c r="P395" s="172">
        <f t="shared" si="438"/>
      </c>
      <c r="Q395" s="172">
        <f t="shared" si="360"/>
      </c>
      <c r="R395" s="173">
        <f t="shared" si="330"/>
      </c>
      <c r="S395" s="175">
        <f t="shared" si="227"/>
      </c>
      <c r="T395" s="173">
        <f t="shared" si="167"/>
      </c>
      <c r="U395" s="176">
        <f t="shared" si="77"/>
      </c>
      <c r="V395" s="177" t="s">
        <v>108</v>
      </c>
      <c r="W395" s="178" t="s">
        <v>133</v>
      </c>
      <c r="X395" s="205">
        <v>2</v>
      </c>
      <c r="Y395" s="169">
        <v>9521</v>
      </c>
      <c r="Z395" s="169">
        <v>912</v>
      </c>
      <c r="AA395" s="169">
        <v>1925</v>
      </c>
      <c r="AB395" s="169">
        <v>443</v>
      </c>
      <c r="AC395" s="169">
        <v>54</v>
      </c>
      <c r="AD395" s="179">
        <v>5</v>
      </c>
      <c r="AE395" s="180">
        <v>27</v>
      </c>
      <c r="AF395" s="152"/>
      <c r="AG395" s="152"/>
    </row>
    <row r="396">
      <c r="A396" s="166"/>
      <c r="B396" s="183" t="s">
        <v>112</v>
      </c>
      <c r="C396" s="168" t="s">
        <v>107</v>
      </c>
      <c r="D396" s="169">
        <f t="shared" si="309"/>
      </c>
      <c r="E396" s="169">
        <v>1886.27</v>
      </c>
      <c r="F396" s="169">
        <v>879.43</v>
      </c>
      <c r="G396" s="169"/>
      <c r="H396" s="170">
        <v>2</v>
      </c>
      <c r="I396" s="170">
        <v>3333.599999999995</v>
      </c>
      <c r="J396" s="171">
        <f t="shared" si="197"/>
      </c>
      <c r="K396" s="172">
        <f t="shared" si="107"/>
      </c>
      <c r="L396" s="173">
        <f t="shared" si="47"/>
      </c>
      <c r="M396" s="174">
        <f t="shared" si="137"/>
      </c>
      <c r="N396" s="172">
        <f t="shared" si="17"/>
      </c>
      <c r="O396" s="173">
        <f t="shared" si="468"/>
      </c>
      <c r="P396" s="172">
        <f t="shared" si="438"/>
      </c>
      <c r="Q396" s="172">
        <f t="shared" si="360"/>
      </c>
      <c r="R396" s="173">
        <f t="shared" si="330"/>
      </c>
      <c r="S396" s="175">
        <f t="shared" si="227"/>
      </c>
      <c r="T396" s="173">
        <f t="shared" si="167"/>
      </c>
      <c r="U396" s="176">
        <f t="shared" si="77"/>
      </c>
      <c r="V396" s="177" t="s">
        <v>108</v>
      </c>
      <c r="W396" s="178" t="s">
        <v>133</v>
      </c>
      <c r="X396" s="205">
        <v>1</v>
      </c>
      <c r="Y396" s="169">
        <v>8848</v>
      </c>
      <c r="Z396" s="169">
        <v>525</v>
      </c>
      <c r="AA396" s="169">
        <v>909</v>
      </c>
      <c r="AB396" s="169">
        <v>216</v>
      </c>
      <c r="AC396" s="169">
        <v>31</v>
      </c>
      <c r="AD396" s="179">
        <v>2</v>
      </c>
      <c r="AE396" s="180">
        <v>10</v>
      </c>
      <c r="AF396" s="152"/>
      <c r="AG396" s="152"/>
    </row>
    <row r="397">
      <c r="A397" s="166"/>
      <c r="B397" s="184" t="s">
        <v>113</v>
      </c>
      <c r="C397" s="184"/>
      <c r="D397" s="185">
        <f>SUM(D393:D396)</f>
      </c>
      <c r="E397" s="185">
        <f>SUM(E393:E396)</f>
      </c>
      <c r="F397" s="185">
        <f>SUM(F393:F396)</f>
      </c>
      <c r="G397" s="185"/>
      <c r="H397" s="185">
        <f>SUM(H393:H396)</f>
      </c>
      <c r="I397" s="185">
        <f>SUM(I393:I396)</f>
      </c>
      <c r="J397" s="186">
        <f t="shared" si="197"/>
      </c>
      <c r="K397" s="187">
        <f t="shared" si="107"/>
      </c>
      <c r="L397" s="188">
        <f t="shared" si="47"/>
      </c>
      <c r="M397" s="189">
        <f t="shared" si="137"/>
      </c>
      <c r="N397" s="187">
        <f t="shared" si="17"/>
      </c>
      <c r="O397" s="188">
        <f t="shared" si="468"/>
      </c>
      <c r="P397" s="187">
        <f t="shared" si="438"/>
      </c>
      <c r="Q397" s="187">
        <f t="shared" si="360"/>
      </c>
      <c r="R397" s="188">
        <f t="shared" si="330"/>
      </c>
      <c r="S397" s="190">
        <f t="shared" si="227"/>
      </c>
      <c r="T397" s="188">
        <f t="shared" si="167"/>
      </c>
      <c r="U397" s="191">
        <f t="shared" si="77"/>
      </c>
      <c r="V397" s="191"/>
      <c r="W397" s="191"/>
      <c r="X397" s="206">
        <f>SUM(X393:X396)</f>
      </c>
      <c r="Y397" s="185">
        <f>SUM(Y393:Y396)</f>
      </c>
      <c r="Z397" s="185">
        <f>SUM(Z393:Z396)</f>
      </c>
      <c r="AA397" s="185">
        <f>SUM(AA393:AA396)</f>
      </c>
      <c r="AB397" s="185">
        <f>SUM(AB393:AB396)</f>
      </c>
      <c r="AC397" s="185">
        <f>SUM(AC393:AC396)</f>
      </c>
      <c r="AD397" s="185">
        <f>SUM(AD393:AD396)</f>
      </c>
      <c r="AE397" s="185">
        <f>SUM(AE393:AE396)</f>
      </c>
      <c r="AF397" s="152"/>
      <c r="AG397" s="152"/>
    </row>
    <row r="398">
      <c r="A398" s="166"/>
      <c r="B398" s="181" t="s">
        <v>114</v>
      </c>
      <c r="C398" s="168" t="s">
        <v>115</v>
      </c>
      <c r="D398" s="169">
        <f t="shared" ref="D398:D401" si="310">E398+F398</f>
      </c>
      <c r="E398" s="170">
        <v>887.03</v>
      </c>
      <c r="F398" s="170">
        <v>1659.62</v>
      </c>
      <c r="G398" s="170"/>
      <c r="H398" s="170">
        <v>0</v>
      </c>
      <c r="I398" s="170">
        <v>0</v>
      </c>
      <c r="J398" s="171">
        <f t="shared" si="197"/>
      </c>
      <c r="K398" s="172">
        <f t="shared" si="107"/>
      </c>
      <c r="L398" s="173">
        <f t="shared" si="47"/>
      </c>
      <c r="M398" s="174">
        <f t="shared" si="137"/>
      </c>
      <c r="N398" s="172">
        <f t="shared" si="17"/>
      </c>
      <c r="O398" s="173">
        <f t="shared" si="468"/>
      </c>
      <c r="P398" s="172">
        <f t="shared" si="438"/>
      </c>
      <c r="Q398" s="172">
        <f t="shared" si="360"/>
      </c>
      <c r="R398" s="173">
        <f t="shared" si="330"/>
      </c>
      <c r="S398" s="175">
        <f t="shared" si="227"/>
      </c>
      <c r="T398" s="173">
        <f t="shared" si="167"/>
      </c>
      <c r="U398" s="176">
        <f t="shared" si="77"/>
      </c>
      <c r="V398" s="177" t="s">
        <v>108</v>
      </c>
      <c r="W398" s="178" t="s">
        <v>133</v>
      </c>
      <c r="X398" s="170">
        <v>0</v>
      </c>
      <c r="Y398" s="169">
        <v>8178</v>
      </c>
      <c r="Z398" s="169">
        <v>676</v>
      </c>
      <c r="AA398" s="169">
        <v>1298</v>
      </c>
      <c r="AB398" s="169">
        <v>260</v>
      </c>
      <c r="AC398" s="179">
        <v>41</v>
      </c>
      <c r="AD398" s="179">
        <v>1</v>
      </c>
      <c r="AE398" s="180">
        <v>7</v>
      </c>
      <c r="AF398" s="152"/>
      <c r="AG398" s="152"/>
    </row>
    <row r="399">
      <c r="A399" s="166"/>
      <c r="B399" s="181" t="s">
        <v>116</v>
      </c>
      <c r="C399" s="168" t="s">
        <v>115</v>
      </c>
      <c r="D399" s="169">
        <f t="shared" si="310"/>
      </c>
      <c r="E399" s="169">
        <v>1831.55</v>
      </c>
      <c r="F399" s="169">
        <v>1255.16</v>
      </c>
      <c r="G399" s="169"/>
      <c r="H399" s="170">
        <v>2</v>
      </c>
      <c r="I399" s="170">
        <v>5483.040000000001</v>
      </c>
      <c r="J399" s="171">
        <f t="shared" si="197"/>
      </c>
      <c r="K399" s="172">
        <f t="shared" si="107"/>
      </c>
      <c r="L399" s="173">
        <f t="shared" si="47"/>
      </c>
      <c r="M399" s="174">
        <f t="shared" si="137"/>
      </c>
      <c r="N399" s="172">
        <f t="shared" si="17"/>
      </c>
      <c r="O399" s="173">
        <f t="shared" si="468"/>
      </c>
      <c r="P399" s="172">
        <f t="shared" si="438"/>
      </c>
      <c r="Q399" s="172">
        <f t="shared" si="360"/>
      </c>
      <c r="R399" s="173">
        <f t="shared" si="330"/>
      </c>
      <c r="S399" s="175">
        <f t="shared" si="227"/>
      </c>
      <c r="T399" s="173">
        <f t="shared" si="167"/>
      </c>
      <c r="U399" s="176">
        <f t="shared" si="77"/>
      </c>
      <c r="V399" s="177" t="s">
        <v>108</v>
      </c>
      <c r="W399" s="178" t="s">
        <v>133</v>
      </c>
      <c r="X399" s="208">
        <v>1</v>
      </c>
      <c r="Y399" s="169">
        <v>9233</v>
      </c>
      <c r="Z399" s="169">
        <v>507</v>
      </c>
      <c r="AA399" s="169">
        <v>831</v>
      </c>
      <c r="AB399" s="169">
        <v>202</v>
      </c>
      <c r="AC399" s="169">
        <v>57</v>
      </c>
      <c r="AD399" s="179">
        <v>3</v>
      </c>
      <c r="AE399" s="180">
        <v>21</v>
      </c>
      <c r="AF399" s="152"/>
      <c r="AG399" s="152"/>
    </row>
    <row r="400">
      <c r="A400" s="166"/>
      <c r="B400" s="181" t="s">
        <v>117</v>
      </c>
      <c r="C400" s="168" t="s">
        <v>115</v>
      </c>
      <c r="D400" s="169">
        <f t="shared" si="310"/>
      </c>
      <c r="E400" s="169">
        <v>1991.32</v>
      </c>
      <c r="F400" s="169">
        <v>956.77</v>
      </c>
      <c r="G400" s="169"/>
      <c r="H400" s="170">
        <v>2</v>
      </c>
      <c r="I400" s="169">
        <v>3506.880000000001</v>
      </c>
      <c r="J400" s="171">
        <f t="shared" si="197"/>
      </c>
      <c r="K400" s="172">
        <f t="shared" si="107"/>
      </c>
      <c r="L400" s="173">
        <f t="shared" si="47"/>
      </c>
      <c r="M400" s="174">
        <f t="shared" si="137"/>
      </c>
      <c r="N400" s="172">
        <f t="shared" si="17"/>
      </c>
      <c r="O400" s="173">
        <f t="shared" si="468"/>
      </c>
      <c r="P400" s="172">
        <f t="shared" si="438"/>
      </c>
      <c r="Q400" s="172">
        <f t="shared" si="360"/>
      </c>
      <c r="R400" s="173">
        <f t="shared" si="330"/>
      </c>
      <c r="S400" s="175">
        <f t="shared" si="227"/>
      </c>
      <c r="T400" s="173">
        <f t="shared" si="167"/>
      </c>
      <c r="U400" s="176">
        <f t="shared" si="77"/>
      </c>
      <c r="V400" s="177" t="s">
        <v>108</v>
      </c>
      <c r="W400" s="178" t="s">
        <v>133</v>
      </c>
      <c r="X400" s="205">
        <v>1</v>
      </c>
      <c r="Y400" s="169">
        <v>9032</v>
      </c>
      <c r="Z400" s="169">
        <v>598</v>
      </c>
      <c r="AA400" s="169">
        <v>997</v>
      </c>
      <c r="AB400" s="169">
        <v>268</v>
      </c>
      <c r="AC400" s="169">
        <v>53</v>
      </c>
      <c r="AD400" s="179">
        <v>1</v>
      </c>
      <c r="AE400" s="180">
        <v>26</v>
      </c>
      <c r="AF400" s="152"/>
      <c r="AG400" s="152"/>
    </row>
    <row r="401">
      <c r="A401" s="166"/>
      <c r="B401" s="181" t="s">
        <v>118</v>
      </c>
      <c r="C401" s="168" t="s">
        <v>115</v>
      </c>
      <c r="D401" s="169">
        <f t="shared" si="310"/>
      </c>
      <c r="E401" s="169">
        <v>2089.84</v>
      </c>
      <c r="F401" s="169">
        <v>1027.29</v>
      </c>
      <c r="G401" s="169"/>
      <c r="H401" s="170">
        <v>4</v>
      </c>
      <c r="I401" s="170">
        <v>9251.520000000004</v>
      </c>
      <c r="J401" s="171">
        <f t="shared" si="197"/>
      </c>
      <c r="K401" s="172">
        <f t="shared" si="107"/>
      </c>
      <c r="L401" s="173">
        <f t="shared" si="47"/>
      </c>
      <c r="M401" s="174">
        <f t="shared" si="137"/>
      </c>
      <c r="N401" s="172">
        <f t="shared" si="17"/>
      </c>
      <c r="O401" s="173">
        <f t="shared" si="468"/>
      </c>
      <c r="P401" s="172">
        <f t="shared" si="438"/>
      </c>
      <c r="Q401" s="172">
        <f t="shared" si="360"/>
      </c>
      <c r="R401" s="173">
        <f t="shared" si="330"/>
      </c>
      <c r="S401" s="175">
        <f t="shared" si="227"/>
      </c>
      <c r="T401" s="173">
        <f t="shared" si="167"/>
      </c>
      <c r="U401" s="176">
        <f t="shared" si="77"/>
      </c>
      <c r="V401" s="177" t="s">
        <v>108</v>
      </c>
      <c r="W401" s="178" t="s">
        <v>133</v>
      </c>
      <c r="X401" s="205">
        <v>3</v>
      </c>
      <c r="Y401" s="169">
        <v>8414</v>
      </c>
      <c r="Z401" s="169">
        <v>714</v>
      </c>
      <c r="AA401" s="169">
        <v>1086</v>
      </c>
      <c r="AB401" s="169">
        <v>265</v>
      </c>
      <c r="AC401" s="169">
        <v>47</v>
      </c>
      <c r="AD401" s="179">
        <v>6</v>
      </c>
      <c r="AE401" s="180">
        <v>17</v>
      </c>
      <c r="AF401" s="152"/>
      <c r="AG401" s="152"/>
    </row>
    <row r="402">
      <c r="A402" s="166"/>
      <c r="B402" s="184" t="s">
        <v>113</v>
      </c>
      <c r="C402" s="184"/>
      <c r="D402" s="185">
        <f>SUM(D398:D401)</f>
      </c>
      <c r="E402" s="185">
        <f>SUM(E398:E401)</f>
      </c>
      <c r="F402" s="185">
        <f>SUM(F398:F401)</f>
      </c>
      <c r="G402" s="185"/>
      <c r="H402" s="185">
        <f>SUM(H398:H401)</f>
      </c>
      <c r="I402" s="185">
        <f>SUM(I398:I401)</f>
      </c>
      <c r="J402" s="186">
        <f t="shared" si="197"/>
      </c>
      <c r="K402" s="187">
        <f t="shared" si="107"/>
      </c>
      <c r="L402" s="188">
        <f t="shared" si="47"/>
      </c>
      <c r="M402" s="189">
        <f t="shared" si="137"/>
      </c>
      <c r="N402" s="187">
        <f t="shared" si="17"/>
      </c>
      <c r="O402" s="188">
        <f t="shared" si="468"/>
      </c>
      <c r="P402" s="187">
        <f t="shared" si="438"/>
      </c>
      <c r="Q402" s="187">
        <f t="shared" si="360"/>
      </c>
      <c r="R402" s="188">
        <f t="shared" si="330"/>
      </c>
      <c r="S402" s="190">
        <f t="shared" si="227"/>
      </c>
      <c r="T402" s="188">
        <f t="shared" si="167"/>
      </c>
      <c r="U402" s="191">
        <f t="shared" si="77"/>
      </c>
      <c r="V402" s="191"/>
      <c r="W402" s="191"/>
      <c r="X402" s="206">
        <f>SUM(X398:X401)</f>
      </c>
      <c r="Y402" s="185">
        <f>SUM(Y398:Y401)</f>
      </c>
      <c r="Z402" s="185">
        <f>SUM(Z398:Z401)</f>
      </c>
      <c r="AA402" s="185">
        <f>SUM(AA398:AA401)</f>
      </c>
      <c r="AB402" s="185">
        <f>SUM(AB398:AB401)</f>
      </c>
      <c r="AC402" s="185">
        <f>SUM(AC398:AC401)</f>
      </c>
      <c r="AD402" s="185">
        <f>SUM(AD398:AD401)</f>
      </c>
      <c r="AE402" s="185">
        <f>SUM(AE398:AE401)</f>
      </c>
      <c r="AF402" s="152"/>
      <c r="AG402" s="152"/>
    </row>
    <row r="403">
      <c r="A403" s="166"/>
      <c r="B403" s="192" t="s">
        <v>119</v>
      </c>
      <c r="C403" s="168" t="s">
        <v>137</v>
      </c>
      <c r="D403" s="169">
        <f t="shared" ref="D403:D406" si="311">E403+F403</f>
      </c>
      <c r="E403" s="170">
        <v>1219.07</v>
      </c>
      <c r="F403" s="170">
        <v>679.63</v>
      </c>
      <c r="G403" s="170"/>
      <c r="H403" s="170">
        <v>0</v>
      </c>
      <c r="I403" s="170">
        <v>0</v>
      </c>
      <c r="J403" s="171">
        <f t="shared" si="197"/>
      </c>
      <c r="K403" s="172">
        <f t="shared" si="107"/>
      </c>
      <c r="L403" s="173">
        <f t="shared" si="47"/>
      </c>
      <c r="M403" s="174">
        <f t="shared" si="137"/>
      </c>
      <c r="N403" s="172">
        <f t="shared" si="17"/>
      </c>
      <c r="O403" s="173">
        <f t="shared" si="468"/>
      </c>
      <c r="P403" s="172">
        <f t="shared" si="438"/>
      </c>
      <c r="Q403" s="172">
        <f t="shared" si="360"/>
      </c>
      <c r="R403" s="173">
        <f t="shared" si="330"/>
      </c>
      <c r="S403" s="175">
        <f t="shared" si="227"/>
      </c>
      <c r="T403" s="173">
        <f t="shared" si="167"/>
      </c>
      <c r="U403" s="176">
        <f t="shared" si="77"/>
      </c>
      <c r="V403" s="177" t="s">
        <v>108</v>
      </c>
      <c r="W403" s="178" t="s">
        <v>136</v>
      </c>
      <c r="X403" s="170">
        <v>0</v>
      </c>
      <c r="Y403" s="169">
        <v>4570</v>
      </c>
      <c r="Z403" s="169">
        <v>506</v>
      </c>
      <c r="AA403" s="169">
        <v>877</v>
      </c>
      <c r="AB403" s="169">
        <v>215</v>
      </c>
      <c r="AC403" s="179">
        <v>25</v>
      </c>
      <c r="AD403" s="179">
        <v>1</v>
      </c>
      <c r="AE403" s="180">
        <v>12</v>
      </c>
      <c r="AF403" s="152"/>
      <c r="AG403" s="152"/>
    </row>
    <row r="404">
      <c r="A404" s="166"/>
      <c r="B404" s="194" t="s">
        <v>122</v>
      </c>
      <c r="C404" s="168" t="s">
        <v>137</v>
      </c>
      <c r="D404" s="169">
        <f t="shared" si="311"/>
      </c>
      <c r="E404" s="169">
        <v>1334.3200000000002</v>
      </c>
      <c r="F404" s="169">
        <v>664.55</v>
      </c>
      <c r="G404" s="169"/>
      <c r="H404" s="170">
        <v>0</v>
      </c>
      <c r="I404" s="170">
        <v>0</v>
      </c>
      <c r="J404" s="171">
        <f t="shared" si="197"/>
      </c>
      <c r="K404" s="172">
        <f t="shared" si="107"/>
      </c>
      <c r="L404" s="173">
        <f t="shared" si="47"/>
      </c>
      <c r="M404" s="174">
        <f t="shared" si="137"/>
      </c>
      <c r="N404" s="172">
        <f t="shared" si="17"/>
      </c>
      <c r="O404" s="173">
        <f t="shared" si="468"/>
      </c>
      <c r="P404" s="172">
        <f t="shared" si="438"/>
      </c>
      <c r="Q404" s="172">
        <f t="shared" si="360"/>
      </c>
      <c r="R404" s="173">
        <f t="shared" si="330"/>
      </c>
      <c r="S404" s="175">
        <f t="shared" si="227"/>
      </c>
      <c r="T404" s="173">
        <f t="shared" si="167"/>
      </c>
      <c r="U404" s="176">
        <f t="shared" si="77"/>
      </c>
      <c r="V404" s="177" t="s">
        <v>108</v>
      </c>
      <c r="W404" s="178" t="s">
        <v>136</v>
      </c>
      <c r="X404" s="208">
        <v>0</v>
      </c>
      <c r="Y404" s="169">
        <v>5641</v>
      </c>
      <c r="Z404" s="169">
        <v>504</v>
      </c>
      <c r="AA404" s="169">
        <v>984</v>
      </c>
      <c r="AB404" s="169">
        <v>210</v>
      </c>
      <c r="AC404" s="169">
        <v>35</v>
      </c>
      <c r="AD404" s="179">
        <v>1</v>
      </c>
      <c r="AE404" s="180">
        <v>19</v>
      </c>
      <c r="AF404" s="152"/>
      <c r="AG404" s="152"/>
    </row>
    <row r="405">
      <c r="A405" s="166"/>
      <c r="B405" s="210" t="s">
        <v>123</v>
      </c>
      <c r="C405" s="168" t="s">
        <v>137</v>
      </c>
      <c r="D405" s="169">
        <f t="shared" si="311"/>
      </c>
      <c r="E405" s="169">
        <v>988.81</v>
      </c>
      <c r="F405" s="169">
        <v>820</v>
      </c>
      <c r="G405" s="169"/>
      <c r="H405" s="170">
        <v>2</v>
      </c>
      <c r="I405" s="169">
        <v>6518.279999999999</v>
      </c>
      <c r="J405" s="171">
        <f t="shared" si="197"/>
      </c>
      <c r="K405" s="172">
        <f t="shared" si="107"/>
      </c>
      <c r="L405" s="173">
        <f t="shared" si="47"/>
      </c>
      <c r="M405" s="174">
        <f t="shared" si="137"/>
      </c>
      <c r="N405" s="172">
        <f t="shared" si="17"/>
      </c>
      <c r="O405" s="173">
        <f t="shared" si="468"/>
      </c>
      <c r="P405" s="172">
        <f t="shared" si="438"/>
      </c>
      <c r="Q405" s="172">
        <f t="shared" si="360"/>
      </c>
      <c r="R405" s="173">
        <f t="shared" si="330"/>
      </c>
      <c r="S405" s="175">
        <f t="shared" si="227"/>
      </c>
      <c r="T405" s="173">
        <f t="shared" si="167"/>
      </c>
      <c r="U405" s="176">
        <f t="shared" si="77"/>
      </c>
      <c r="V405" s="177" t="s">
        <v>108</v>
      </c>
      <c r="W405" s="178" t="s">
        <v>136</v>
      </c>
      <c r="X405" s="205">
        <v>1</v>
      </c>
      <c r="Y405" s="169">
        <v>4633</v>
      </c>
      <c r="Z405" s="169">
        <v>406</v>
      </c>
      <c r="AA405" s="169">
        <v>867</v>
      </c>
      <c r="AB405" s="169">
        <v>157</v>
      </c>
      <c r="AC405" s="169">
        <v>18</v>
      </c>
      <c r="AD405" s="179">
        <v>4</v>
      </c>
      <c r="AE405" s="180">
        <v>17</v>
      </c>
      <c r="AF405" s="152"/>
      <c r="AG405" s="152"/>
    </row>
    <row r="406">
      <c r="A406" s="166"/>
      <c r="B406" s="183" t="s">
        <v>124</v>
      </c>
      <c r="C406" s="168" t="s">
        <v>137</v>
      </c>
      <c r="D406" s="169">
        <f t="shared" si="311"/>
      </c>
      <c r="E406" s="169">
        <v>1731.97</v>
      </c>
      <c r="F406" s="169">
        <v>417.79</v>
      </c>
      <c r="G406" s="169"/>
      <c r="H406" s="170">
        <v>2</v>
      </c>
      <c r="I406" s="170">
        <v>13055.520000000004</v>
      </c>
      <c r="J406" s="171">
        <f t="shared" si="197"/>
      </c>
      <c r="K406" s="172">
        <f t="shared" si="107"/>
      </c>
      <c r="L406" s="173">
        <f t="shared" si="47"/>
      </c>
      <c r="M406" s="174">
        <f t="shared" si="137"/>
      </c>
      <c r="N406" s="172">
        <f t="shared" si="17"/>
      </c>
      <c r="O406" s="173">
        <f t="shared" si="468"/>
      </c>
      <c r="P406" s="172">
        <f t="shared" si="438"/>
      </c>
      <c r="Q406" s="172">
        <f t="shared" si="360"/>
      </c>
      <c r="R406" s="173">
        <f t="shared" si="330"/>
      </c>
      <c r="S406" s="175">
        <f t="shared" si="227"/>
      </c>
      <c r="T406" s="173">
        <f t="shared" si="167"/>
      </c>
      <c r="U406" s="176">
        <f t="shared" si="77"/>
      </c>
      <c r="V406" s="177" t="s">
        <v>108</v>
      </c>
      <c r="W406" s="178" t="s">
        <v>136</v>
      </c>
      <c r="X406" s="205">
        <v>2</v>
      </c>
      <c r="Y406" s="169">
        <v>7271</v>
      </c>
      <c r="Z406" s="169">
        <v>443</v>
      </c>
      <c r="AA406" s="169">
        <v>856</v>
      </c>
      <c r="AB406" s="169">
        <v>200</v>
      </c>
      <c r="AC406" s="169">
        <v>32</v>
      </c>
      <c r="AD406" s="179">
        <v>3</v>
      </c>
      <c r="AE406" s="180">
        <v>18</v>
      </c>
      <c r="AF406" s="152"/>
      <c r="AG406" s="152"/>
    </row>
    <row r="407">
      <c r="A407" s="166"/>
      <c r="B407" s="184" t="s">
        <v>113</v>
      </c>
      <c r="C407" s="184"/>
      <c r="D407" s="185">
        <f>SUM(D403:D406)</f>
      </c>
      <c r="E407" s="185">
        <f>SUM(E403:E406)</f>
      </c>
      <c r="F407" s="185">
        <f>SUM(F403:F406)</f>
      </c>
      <c r="G407" s="185"/>
      <c r="H407" s="185">
        <f>SUM(H403:H406)</f>
      </c>
      <c r="I407" s="185">
        <f>SUM(I403:I406)</f>
      </c>
      <c r="J407" s="186">
        <f t="shared" si="197"/>
      </c>
      <c r="K407" s="187">
        <f t="shared" si="107"/>
      </c>
      <c r="L407" s="188">
        <f t="shared" si="47"/>
      </c>
      <c r="M407" s="189">
        <f t="shared" si="137"/>
      </c>
      <c r="N407" s="187">
        <f t="shared" si="17"/>
      </c>
      <c r="O407" s="188">
        <f t="shared" si="468"/>
      </c>
      <c r="P407" s="187">
        <f t="shared" si="438"/>
      </c>
      <c r="Q407" s="187">
        <f t="shared" si="360"/>
      </c>
      <c r="R407" s="188">
        <f t="shared" si="330"/>
      </c>
      <c r="S407" s="190">
        <f t="shared" si="227"/>
      </c>
      <c r="T407" s="188">
        <f t="shared" si="167"/>
      </c>
      <c r="U407" s="191">
        <f t="shared" si="77"/>
      </c>
      <c r="V407" s="191"/>
      <c r="W407" s="191"/>
      <c r="X407" s="206">
        <f>SUM(X403:X406)</f>
      </c>
      <c r="Y407" s="185">
        <f>SUM(Y403:Y406)</f>
      </c>
      <c r="Z407" s="185">
        <f>SUM(Z403:Z406)</f>
      </c>
      <c r="AA407" s="185">
        <f>SUM(AA403:AA406)</f>
      </c>
      <c r="AB407" s="185">
        <f>SUM(AB403:AB406)</f>
      </c>
      <c r="AC407" s="185">
        <f>SUM(AC403:AC406)</f>
      </c>
      <c r="AD407" s="185">
        <f>SUM(AD403:AD406)</f>
      </c>
      <c r="AE407" s="185">
        <f>SUM(AE403:AE406)</f>
      </c>
      <c r="AF407" s="152"/>
      <c r="AG407" s="152"/>
    </row>
    <row r="408">
      <c r="A408" s="166"/>
      <c r="B408" s="181" t="s">
        <v>125</v>
      </c>
      <c r="C408" s="168" t="s">
        <v>120</v>
      </c>
      <c r="D408" s="169">
        <f t="shared" ref="D408:D411" si="312">E408+F408</f>
      </c>
      <c r="E408" s="170">
        <v>1635.41</v>
      </c>
      <c r="F408" s="170">
        <v>823.3</v>
      </c>
      <c r="G408" s="170"/>
      <c r="H408" s="170">
        <v>4</v>
      </c>
      <c r="I408" s="170">
        <v>14937.119999999995</v>
      </c>
      <c r="J408" s="171">
        <f t="shared" si="197"/>
      </c>
      <c r="K408" s="172">
        <f t="shared" si="107"/>
      </c>
      <c r="L408" s="173">
        <f t="shared" si="47"/>
      </c>
      <c r="M408" s="174">
        <f t="shared" si="137"/>
      </c>
      <c r="N408" s="172">
        <f t="shared" si="17"/>
      </c>
      <c r="O408" s="173">
        <f t="shared" si="468"/>
      </c>
      <c r="P408" s="172">
        <f t="shared" si="438"/>
      </c>
      <c r="Q408" s="172">
        <f t="shared" si="360"/>
      </c>
      <c r="R408" s="173">
        <f t="shared" si="330"/>
      </c>
      <c r="S408" s="175">
        <f t="shared" si="227"/>
      </c>
      <c r="T408" s="173">
        <f t="shared" si="167"/>
      </c>
      <c r="U408" s="176">
        <f t="shared" si="77"/>
      </c>
      <c r="V408" s="177" t="s">
        <v>108</v>
      </c>
      <c r="W408" s="178" t="s">
        <v>136</v>
      </c>
      <c r="X408" s="170">
        <v>3</v>
      </c>
      <c r="Y408" s="169">
        <v>9441</v>
      </c>
      <c r="Z408" s="169">
        <v>651</v>
      </c>
      <c r="AA408" s="169">
        <v>1205</v>
      </c>
      <c r="AB408" s="169">
        <v>253</v>
      </c>
      <c r="AC408" s="179">
        <v>33</v>
      </c>
      <c r="AD408" s="179">
        <v>4</v>
      </c>
      <c r="AE408" s="180">
        <v>19</v>
      </c>
      <c r="AF408" s="152"/>
      <c r="AG408" s="152"/>
    </row>
    <row r="409">
      <c r="A409" s="166"/>
      <c r="B409" s="195" t="s">
        <v>127</v>
      </c>
      <c r="C409" s="168" t="s">
        <v>120</v>
      </c>
      <c r="D409" s="169">
        <f t="shared" si="312"/>
      </c>
      <c r="E409" s="169">
        <v>1011.8</v>
      </c>
      <c r="F409" s="169">
        <v>2092.85</v>
      </c>
      <c r="G409" s="169"/>
      <c r="H409" s="170">
        <v>4</v>
      </c>
      <c r="I409" s="170">
        <v>13088.039999999994</v>
      </c>
      <c r="J409" s="171">
        <f t="shared" si="197"/>
      </c>
      <c r="K409" s="172">
        <f t="shared" si="107"/>
      </c>
      <c r="L409" s="173">
        <f t="shared" si="47"/>
      </c>
      <c r="M409" s="174">
        <f t="shared" si="137"/>
      </c>
      <c r="N409" s="172">
        <f t="shared" si="17"/>
      </c>
      <c r="O409" s="173">
        <f t="shared" si="468"/>
      </c>
      <c r="P409" s="172">
        <f t="shared" si="438"/>
      </c>
      <c r="Q409" s="172">
        <f t="shared" si="360"/>
      </c>
      <c r="R409" s="173">
        <f t="shared" si="330"/>
      </c>
      <c r="S409" s="175">
        <f t="shared" si="227"/>
      </c>
      <c r="T409" s="173">
        <f t="shared" si="167"/>
      </c>
      <c r="U409" s="176">
        <f t="shared" si="77"/>
      </c>
      <c r="V409" s="177" t="s">
        <v>108</v>
      </c>
      <c r="W409" s="178" t="s">
        <v>136</v>
      </c>
      <c r="X409" s="208">
        <v>4</v>
      </c>
      <c r="Y409" s="169">
        <v>12025</v>
      </c>
      <c r="Z409" s="169">
        <v>1269</v>
      </c>
      <c r="AA409" s="169">
        <v>2576</v>
      </c>
      <c r="AB409" s="169">
        <v>519</v>
      </c>
      <c r="AC409" s="169">
        <v>59</v>
      </c>
      <c r="AD409" s="179">
        <v>7</v>
      </c>
      <c r="AE409" s="180">
        <v>55</v>
      </c>
      <c r="AF409" s="152"/>
      <c r="AG409" s="152"/>
    </row>
    <row r="410">
      <c r="A410" s="166"/>
      <c r="B410" s="195" t="s">
        <v>128</v>
      </c>
      <c r="C410" s="168" t="s">
        <v>120</v>
      </c>
      <c r="D410" s="169">
        <f t="shared" si="312"/>
      </c>
      <c r="E410" s="169">
        <v>2391.01</v>
      </c>
      <c r="F410" s="169">
        <v>3717.41</v>
      </c>
      <c r="G410" s="169"/>
      <c r="H410" s="170">
        <v>4</v>
      </c>
      <c r="I410" s="170">
        <v>11542.800000000017</v>
      </c>
      <c r="J410" s="171">
        <f t="shared" si="197"/>
      </c>
      <c r="K410" s="172">
        <f t="shared" si="107"/>
      </c>
      <c r="L410" s="173">
        <f t="shared" si="47"/>
      </c>
      <c r="M410" s="174">
        <f t="shared" si="137"/>
      </c>
      <c r="N410" s="172">
        <f t="shared" si="17"/>
      </c>
      <c r="O410" s="173">
        <f t="shared" si="468"/>
      </c>
      <c r="P410" s="172">
        <f t="shared" si="438"/>
      </c>
      <c r="Q410" s="172">
        <f t="shared" si="360"/>
      </c>
      <c r="R410" s="173">
        <f t="shared" si="330"/>
      </c>
      <c r="S410" s="175">
        <f t="shared" si="227"/>
      </c>
      <c r="T410" s="173">
        <f t="shared" si="167"/>
      </c>
      <c r="U410" s="176">
        <f t="shared" si="77"/>
      </c>
      <c r="V410" s="177" t="s">
        <v>108</v>
      </c>
      <c r="W410" s="178" t="s">
        <v>136</v>
      </c>
      <c r="X410" s="208">
        <v>2</v>
      </c>
      <c r="Y410" s="169">
        <v>22105</v>
      </c>
      <c r="Z410" s="169">
        <v>1823</v>
      </c>
      <c r="AA410" s="169">
        <v>3547</v>
      </c>
      <c r="AB410" s="169">
        <v>653</v>
      </c>
      <c r="AC410" s="169">
        <v>84</v>
      </c>
      <c r="AD410" s="179">
        <v>5</v>
      </c>
      <c r="AE410" s="180">
        <v>29</v>
      </c>
      <c r="AF410" s="152"/>
      <c r="AG410" s="152"/>
    </row>
    <row r="411">
      <c r="A411" s="166"/>
      <c r="B411" s="212" t="s">
        <v>129</v>
      </c>
      <c r="C411" s="168" t="s">
        <v>120</v>
      </c>
      <c r="D411" s="169">
        <f t="shared" si="312"/>
      </c>
      <c r="E411" s="169">
        <v>1822.51</v>
      </c>
      <c r="F411" s="169">
        <v>1780.8</v>
      </c>
      <c r="G411" s="169"/>
      <c r="H411" s="170">
        <v>2</v>
      </c>
      <c r="I411" s="170">
        <v>5968.919999999984</v>
      </c>
      <c r="J411" s="171">
        <f t="shared" si="197"/>
      </c>
      <c r="K411" s="172">
        <f t="shared" si="107"/>
      </c>
      <c r="L411" s="173">
        <f t="shared" si="47"/>
      </c>
      <c r="M411" s="174">
        <f t="shared" si="137"/>
      </c>
      <c r="N411" s="172">
        <f t="shared" si="17"/>
      </c>
      <c r="O411" s="173">
        <f t="shared" si="468"/>
      </c>
      <c r="P411" s="172">
        <f t="shared" si="438"/>
      </c>
      <c r="Q411" s="172">
        <f t="shared" si="360"/>
      </c>
      <c r="R411" s="173">
        <f t="shared" si="330"/>
      </c>
      <c r="S411" s="175">
        <f t="shared" si="227"/>
      </c>
      <c r="T411" s="173">
        <f t="shared" si="167"/>
      </c>
      <c r="U411" s="176">
        <f t="shared" si="77"/>
      </c>
      <c r="V411" s="177" t="s">
        <v>108</v>
      </c>
      <c r="W411" s="178" t="s">
        <v>136</v>
      </c>
      <c r="X411" s="208">
        <v>2</v>
      </c>
      <c r="Y411" s="169">
        <v>14244</v>
      </c>
      <c r="Z411" s="169">
        <v>1086</v>
      </c>
      <c r="AA411" s="169">
        <v>2065</v>
      </c>
      <c r="AB411" s="169">
        <v>353</v>
      </c>
      <c r="AC411" s="169">
        <v>56</v>
      </c>
      <c r="AD411" s="179">
        <v>2</v>
      </c>
      <c r="AE411" s="180">
        <v>40</v>
      </c>
      <c r="AF411" s="152"/>
      <c r="AG411" s="152"/>
    </row>
    <row r="412">
      <c r="A412" s="166"/>
      <c r="B412" s="184" t="s">
        <v>113</v>
      </c>
      <c r="C412" s="184"/>
      <c r="D412" s="185">
        <f>SUM(D408:D411)</f>
      </c>
      <c r="E412" s="185">
        <f>SUM(E408:E411)</f>
      </c>
      <c r="F412" s="213">
        <f>SUM(F408:F411)</f>
      </c>
      <c r="G412" s="213"/>
      <c r="H412" s="185">
        <f>SUM(H408:H411)</f>
      </c>
      <c r="I412" s="185">
        <f>SUM(I408:I411)</f>
      </c>
      <c r="J412" s="186">
        <f t="shared" si="197"/>
      </c>
      <c r="K412" s="187">
        <f t="shared" si="107"/>
      </c>
      <c r="L412" s="188">
        <f t="shared" si="47"/>
      </c>
      <c r="M412" s="189">
        <f t="shared" si="137"/>
      </c>
      <c r="N412" s="187">
        <f t="shared" si="17"/>
      </c>
      <c r="O412" s="188">
        <f t="shared" si="468"/>
      </c>
      <c r="P412" s="187">
        <f t="shared" si="438"/>
      </c>
      <c r="Q412" s="187">
        <f t="shared" si="360"/>
      </c>
      <c r="R412" s="188">
        <f t="shared" si="330"/>
      </c>
      <c r="S412" s="190">
        <f t="shared" si="227"/>
      </c>
      <c r="T412" s="188">
        <f t="shared" si="167"/>
      </c>
      <c r="U412" s="191">
        <f t="shared" si="77"/>
      </c>
      <c r="V412" s="191"/>
      <c r="W412" s="191"/>
      <c r="X412" s="206">
        <f>SUM(X408:X411)</f>
      </c>
      <c r="Y412" s="185">
        <f>SUM(Y408:Y411)</f>
      </c>
      <c r="Z412" s="185">
        <f>SUM(Z408:Z411)</f>
      </c>
      <c r="AA412" s="185">
        <f>SUM(AA408:AA411)</f>
      </c>
      <c r="AB412" s="185">
        <f>SUM(AB408:AB411)</f>
      </c>
      <c r="AC412" s="185">
        <f>SUM(AC408:AC411)</f>
      </c>
      <c r="AD412" s="185">
        <f>SUM(AD408:AD411)</f>
      </c>
      <c r="AE412" s="185">
        <f>SUM(AE408:AE411)</f>
      </c>
      <c r="AF412" s="152"/>
      <c r="AG412" s="152"/>
    </row>
    <row r="413">
      <c r="A413" s="214"/>
      <c r="B413" s="215" t="s">
        <v>130</v>
      </c>
      <c r="C413" s="215"/>
      <c r="D413" s="216">
        <f>D397+D402+D407+D412</f>
      </c>
      <c r="E413" s="217">
        <f>E397+E402+E407+E412</f>
      </c>
      <c r="F413" s="218">
        <f>F397+F402+F407+F412</f>
      </c>
      <c r="G413" s="218"/>
      <c r="H413" s="216">
        <f>H397+H402+H407+H412</f>
      </c>
      <c r="I413" s="216">
        <f>I397+I402+I407+I412</f>
      </c>
      <c r="J413" s="219">
        <f t="shared" si="197"/>
      </c>
      <c r="K413" s="220">
        <f t="shared" si="107"/>
      </c>
      <c r="L413" s="221">
        <f t="shared" si="47"/>
      </c>
      <c r="M413" s="222">
        <f t="shared" si="137"/>
      </c>
      <c r="N413" s="222">
        <f t="shared" si="17"/>
      </c>
      <c r="O413" s="221">
        <f t="shared" si="468"/>
      </c>
      <c r="P413" s="222">
        <f t="shared" si="438"/>
      </c>
      <c r="Q413" s="222">
        <f t="shared" si="360"/>
      </c>
      <c r="R413" s="221">
        <f t="shared" si="330"/>
      </c>
      <c r="S413" s="223">
        <f t="shared" si="227"/>
      </c>
      <c r="T413" s="221">
        <f t="shared" si="167"/>
      </c>
      <c r="U413" s="224">
        <f t="shared" si="77"/>
      </c>
      <c r="V413" s="224"/>
      <c r="W413" s="224"/>
      <c r="X413" s="219">
        <f>X397+X402+X407+X412</f>
      </c>
      <c r="Y413" s="219">
        <f>Y397+Y402+Y407+Y412</f>
      </c>
      <c r="Z413" s="219">
        <f>Z397+Z402+Z407+Z412</f>
      </c>
      <c r="AA413" s="219">
        <f>AA397+AA402+AA407+AA412</f>
      </c>
      <c r="AB413" s="219">
        <f>AB397+AB402+AB407+AB412</f>
      </c>
      <c r="AC413" s="219">
        <f>AC397+AC402+AC407+AC412</f>
      </c>
      <c r="AD413" s="219">
        <f>AD397+AD402+AD407+AD412</f>
      </c>
      <c r="AE413" s="219">
        <f>AE397+AE402+AE407+AE412</f>
      </c>
      <c r="AF413" s="152"/>
      <c r="AG413" s="152"/>
    </row>
    <row customHeight="true" ht="18.452380952380953" r="414">
      <c r="A414" s="146" t="s">
        <v>73</v>
      </c>
      <c r="B414" s="146"/>
      <c r="C414" s="146"/>
      <c r="D414" s="147" t="s">
        <v>74</v>
      </c>
      <c r="E414" s="147"/>
      <c r="F414" s="147"/>
      <c r="G414" s="147"/>
      <c r="H414" s="147"/>
      <c r="I414" s="147"/>
      <c r="J414" s="147"/>
      <c r="K414" s="148" t="s">
        <v>75</v>
      </c>
      <c r="L414" s="148"/>
      <c r="M414" s="148"/>
      <c r="N414" s="148"/>
      <c r="O414" s="148"/>
      <c r="P414" s="148"/>
      <c r="Q414" s="148"/>
      <c r="R414" s="148"/>
      <c r="S414" s="148"/>
      <c r="T414" s="148"/>
      <c r="U414" s="149"/>
      <c r="V414" s="149"/>
      <c r="W414" s="149"/>
      <c r="X414" s="150"/>
      <c r="Y414" s="150"/>
      <c r="Z414" s="150"/>
      <c r="AA414" s="150"/>
      <c r="AB414" s="150"/>
      <c r="AC414" s="150"/>
      <c r="AD414" s="150"/>
      <c r="AE414" s="151" t="s">
        <v>76</v>
      </c>
      <c r="AF414" s="152"/>
      <c r="AG414" s="152"/>
    </row>
    <row r="415">
      <c r="A415" s="153" t="s">
        <v>77</v>
      </c>
      <c r="B415" s="146" t="s">
        <v>78</v>
      </c>
      <c r="C415" s="146" t="s">
        <v>79</v>
      </c>
      <c r="D415" s="154" t="s">
        <v>80</v>
      </c>
      <c r="E415" s="225" t="s">
        <v>81</v>
      </c>
      <c r="F415" s="226" t="s">
        <v>82</v>
      </c>
      <c r="G415" s="227" t="s">
        <v>139</v>
      </c>
      <c r="H415" s="228" t="s">
        <v>83</v>
      </c>
      <c r="I415" s="157" t="s">
        <v>84</v>
      </c>
      <c r="J415" s="155" t="s">
        <v>85</v>
      </c>
      <c r="K415" s="158" t="s">
        <v>86</v>
      </c>
      <c r="L415" s="158" t="s">
        <v>87</v>
      </c>
      <c r="M415" s="159" t="s">
        <v>88</v>
      </c>
      <c r="N415" s="160" t="s">
        <v>89</v>
      </c>
      <c r="O415" s="148" t="s">
        <v>90</v>
      </c>
      <c r="P415" s="160" t="s">
        <v>91</v>
      </c>
      <c r="Q415" s="160" t="s">
        <v>92</v>
      </c>
      <c r="R415" s="161" t="s">
        <v>93</v>
      </c>
      <c r="S415" s="160" t="s">
        <v>94</v>
      </c>
      <c r="T415" s="161" t="s">
        <v>95</v>
      </c>
      <c r="U415" s="162" t="s">
        <v>96</v>
      </c>
      <c r="V415" s="162" t="s">
        <v>97</v>
      </c>
      <c r="W415" s="162" t="s">
        <v>98</v>
      </c>
      <c r="X415" s="163" t="s">
        <v>99</v>
      </c>
      <c r="Y415" s="164" t="s">
        <v>100</v>
      </c>
      <c r="Z415" s="164" t="s">
        <v>101</v>
      </c>
      <c r="AA415" s="164" t="s">
        <v>102</v>
      </c>
      <c r="AB415" s="164" t="s">
        <v>103</v>
      </c>
      <c r="AC415" s="164" t="s">
        <v>104</v>
      </c>
      <c r="AD415" s="165" t="s">
        <v>105</v>
      </c>
      <c r="AE415" s="151"/>
      <c r="AF415" s="152"/>
      <c r="AG415" s="152"/>
    </row>
    <row r="416">
      <c r="A416" s="166">
        <v>46284</v>
      </c>
      <c r="B416" s="167" t="s">
        <v>106</v>
      </c>
      <c r="C416" s="168" t="s">
        <v>107</v>
      </c>
      <c r="D416" s="169">
        <f t="shared" ref="D416:D419" si="373">E416+F416+G416</f>
      </c>
      <c r="E416" s="170">
        <v>2997.83</v>
      </c>
      <c r="F416" s="229">
        <v>919.07</v>
      </c>
      <c r="G416" s="229">
        <v>0</v>
      </c>
      <c r="H416" s="170">
        <v>4</v>
      </c>
      <c r="I416" s="170">
        <v>8844.48</v>
      </c>
      <c r="J416" s="171">
        <f t="shared" ref="J416:J436" si="198">I416/D416</f>
      </c>
      <c r="K416" s="172">
        <f t="shared" ref="K416:K436" si="108">Z416/Y416</f>
      </c>
      <c r="L416" s="173">
        <f t="shared" ref="L416:L436" si="48">D416/AA416</f>
      </c>
      <c r="M416" s="174">
        <f t="shared" ref="M416:M436" si="138">AB416/AA416</f>
      </c>
      <c r="N416" s="172">
        <f t="shared" ref="N416:N436" si="18">AC416/AA416</f>
      </c>
      <c r="O416" s="173">
        <f t="shared" ref="O416:O436" si="469">D416/AC416</f>
      </c>
      <c r="P416" s="172">
        <f t="shared" ref="P416:P436" si="439">AD416/AC416</f>
      </c>
      <c r="Q416" s="172">
        <f t="shared" ref="Q416:Q436" si="361">H416/AD416</f>
      </c>
      <c r="R416" s="173">
        <f t="shared" ref="R416:R436" si="331">D416/H416</f>
      </c>
      <c r="S416" s="175">
        <f t="shared" ref="S416:S436" si="228">I416/H416</f>
      </c>
      <c r="T416" s="173">
        <f t="shared" ref="T416:T436" si="168">D416/X416</f>
      </c>
      <c r="U416" s="176">
        <f t="shared" ref="U416:U436" si="78">AE416*1000/D416</f>
      </c>
      <c r="V416" s="177" t="s">
        <v>108</v>
      </c>
      <c r="W416" s="178" t="s">
        <v>133</v>
      </c>
      <c r="X416" s="170">
        <v>4</v>
      </c>
      <c r="Y416" s="169">
        <v>12395</v>
      </c>
      <c r="Z416" s="169">
        <v>1005</v>
      </c>
      <c r="AA416" s="169">
        <v>1877</v>
      </c>
      <c r="AB416" s="169">
        <v>368</v>
      </c>
      <c r="AC416" s="179">
        <v>43</v>
      </c>
      <c r="AD416" s="179">
        <v>5</v>
      </c>
      <c r="AE416" s="180">
        <v>40</v>
      </c>
      <c r="AF416" s="152"/>
      <c r="AG416" s="152"/>
    </row>
    <row r="417">
      <c r="A417" s="166"/>
      <c r="B417" s="181" t="s">
        <v>110</v>
      </c>
      <c r="C417" s="168" t="s">
        <v>107</v>
      </c>
      <c r="D417" s="169">
        <f t="shared" si="373"/>
      </c>
      <c r="E417" s="169">
        <v>1799.9499999999998</v>
      </c>
      <c r="F417" s="169">
        <v>991.96</v>
      </c>
      <c r="G417" s="170">
        <v>0</v>
      </c>
      <c r="H417" s="170">
        <v>3</v>
      </c>
      <c r="I417" s="170">
        <v>3246.4799999999996</v>
      </c>
      <c r="J417" s="171">
        <f t="shared" si="198"/>
      </c>
      <c r="K417" s="172">
        <f t="shared" si="108"/>
      </c>
      <c r="L417" s="173">
        <f t="shared" si="48"/>
      </c>
      <c r="M417" s="174">
        <f t="shared" si="138"/>
      </c>
      <c r="N417" s="172">
        <f t="shared" si="18"/>
      </c>
      <c r="O417" s="173">
        <f t="shared" si="469"/>
      </c>
      <c r="P417" s="172">
        <f t="shared" si="439"/>
      </c>
      <c r="Q417" s="172">
        <f t="shared" si="361"/>
      </c>
      <c r="R417" s="173">
        <f t="shared" si="331"/>
      </c>
      <c r="S417" s="175">
        <f t="shared" si="228"/>
      </c>
      <c r="T417" s="173">
        <f t="shared" si="168"/>
      </c>
      <c r="U417" s="176">
        <f t="shared" si="78"/>
      </c>
      <c r="V417" s="177" t="s">
        <v>108</v>
      </c>
      <c r="W417" s="178" t="s">
        <v>133</v>
      </c>
      <c r="X417" s="208">
        <v>1</v>
      </c>
      <c r="Y417" s="169">
        <v>6837</v>
      </c>
      <c r="Z417" s="169">
        <v>294</v>
      </c>
      <c r="AA417" s="169">
        <v>371</v>
      </c>
      <c r="AB417" s="169">
        <v>77</v>
      </c>
      <c r="AC417" s="169">
        <v>35</v>
      </c>
      <c r="AD417" s="179">
        <v>3</v>
      </c>
      <c r="AE417" s="180">
        <v>17</v>
      </c>
      <c r="AF417" s="152"/>
      <c r="AG417" s="152"/>
    </row>
    <row r="418">
      <c r="A418" s="166"/>
      <c r="B418" s="181" t="s">
        <v>111</v>
      </c>
      <c r="C418" s="168" t="s">
        <v>107</v>
      </c>
      <c r="D418" s="169">
        <f t="shared" si="373"/>
      </c>
      <c r="E418" s="169">
        <v>411.64000000000004</v>
      </c>
      <c r="F418" s="169">
        <v>1005.24</v>
      </c>
      <c r="G418" s="170">
        <v>0</v>
      </c>
      <c r="H418" s="170">
        <v>2</v>
      </c>
      <c r="I418" s="170">
        <v>7888.920000000002</v>
      </c>
      <c r="J418" s="171">
        <f t="shared" si="198"/>
      </c>
      <c r="K418" s="172">
        <f t="shared" si="108"/>
      </c>
      <c r="L418" s="173">
        <f t="shared" si="48"/>
      </c>
      <c r="M418" s="174">
        <f t="shared" si="138"/>
      </c>
      <c r="N418" s="172">
        <f t="shared" si="18"/>
      </c>
      <c r="O418" s="173">
        <f t="shared" si="469"/>
      </c>
      <c r="P418" s="172">
        <f t="shared" si="439"/>
      </c>
      <c r="Q418" s="172">
        <f t="shared" si="361"/>
      </c>
      <c r="R418" s="173">
        <f t="shared" si="331"/>
      </c>
      <c r="S418" s="175">
        <f t="shared" si="228"/>
      </c>
      <c r="T418" s="173">
        <f t="shared" si="168"/>
      </c>
      <c r="U418" s="176">
        <f t="shared" si="78"/>
      </c>
      <c r="V418" s="177" t="s">
        <v>108</v>
      </c>
      <c r="W418" s="178" t="s">
        <v>133</v>
      </c>
      <c r="X418" s="205">
        <v>2</v>
      </c>
      <c r="Y418" s="169">
        <v>3573</v>
      </c>
      <c r="Z418" s="169">
        <v>86</v>
      </c>
      <c r="AA418" s="169">
        <v>131</v>
      </c>
      <c r="AB418" s="169">
        <v>18</v>
      </c>
      <c r="AC418" s="169">
        <v>20</v>
      </c>
      <c r="AD418" s="179">
        <v>2</v>
      </c>
      <c r="AE418" s="180">
        <v>7</v>
      </c>
      <c r="AF418" s="152"/>
      <c r="AG418" s="152"/>
    </row>
    <row r="419">
      <c r="A419" s="166"/>
      <c r="B419" s="183" t="s">
        <v>112</v>
      </c>
      <c r="C419" s="168" t="s">
        <v>107</v>
      </c>
      <c r="D419" s="169">
        <f t="shared" si="373"/>
      </c>
      <c r="E419" s="169">
        <v>5145.09</v>
      </c>
      <c r="F419" s="169">
        <v>1015.9</v>
      </c>
      <c r="G419" s="170">
        <v>0</v>
      </c>
      <c r="H419" s="170">
        <v>9</v>
      </c>
      <c r="I419" s="170">
        <v>16016.52</v>
      </c>
      <c r="J419" s="171">
        <f t="shared" si="198"/>
      </c>
      <c r="K419" s="172">
        <f t="shared" si="108"/>
      </c>
      <c r="L419" s="173">
        <f t="shared" si="48"/>
      </c>
      <c r="M419" s="174">
        <f t="shared" si="138"/>
      </c>
      <c r="N419" s="172">
        <f t="shared" si="18"/>
      </c>
      <c r="O419" s="173">
        <f t="shared" si="469"/>
      </c>
      <c r="P419" s="172">
        <f t="shared" si="439"/>
      </c>
      <c r="Q419" s="172">
        <f t="shared" si="361"/>
      </c>
      <c r="R419" s="173">
        <f t="shared" si="331"/>
      </c>
      <c r="S419" s="175">
        <f t="shared" si="228"/>
      </c>
      <c r="T419" s="173">
        <f t="shared" si="168"/>
      </c>
      <c r="U419" s="176">
        <f t="shared" si="78"/>
      </c>
      <c r="V419" s="177" t="s">
        <v>108</v>
      </c>
      <c r="W419" s="178" t="s">
        <v>133</v>
      </c>
      <c r="X419" s="205">
        <v>7</v>
      </c>
      <c r="Y419" s="169">
        <v>22341</v>
      </c>
      <c r="Z419" s="169">
        <v>994</v>
      </c>
      <c r="AA419" s="169">
        <v>1199</v>
      </c>
      <c r="AB419" s="169">
        <v>305</v>
      </c>
      <c r="AC419" s="169">
        <v>51</v>
      </c>
      <c r="AD419" s="179">
        <v>11</v>
      </c>
      <c r="AE419" s="180">
        <v>52</v>
      </c>
      <c r="AF419" s="152"/>
      <c r="AG419" s="152"/>
    </row>
    <row r="420">
      <c r="A420" s="166"/>
      <c r="B420" s="184" t="s">
        <v>113</v>
      </c>
      <c r="C420" s="184"/>
      <c r="D420" s="185">
        <f>D416+D417+D418+D419</f>
      </c>
      <c r="E420" s="185">
        <f>SUM(E416:E419)</f>
      </c>
      <c r="F420" s="185">
        <f>SUM(F416:F419)</f>
      </c>
      <c r="G420" s="185">
        <f>SUM(G416:G419)</f>
      </c>
      <c r="H420" s="185">
        <f>SUM(H416:H419)</f>
      </c>
      <c r="I420" s="185">
        <f>SUM(I416:I419)</f>
      </c>
      <c r="J420" s="186">
        <f t="shared" si="198"/>
      </c>
      <c r="K420" s="187">
        <f t="shared" si="108"/>
      </c>
      <c r="L420" s="188">
        <f t="shared" si="48"/>
      </c>
      <c r="M420" s="189">
        <f t="shared" si="138"/>
      </c>
      <c r="N420" s="187">
        <f t="shared" si="18"/>
      </c>
      <c r="O420" s="188">
        <f t="shared" si="469"/>
      </c>
      <c r="P420" s="187">
        <f t="shared" si="439"/>
      </c>
      <c r="Q420" s="187">
        <f t="shared" si="361"/>
      </c>
      <c r="R420" s="188">
        <f t="shared" si="331"/>
      </c>
      <c r="S420" s="190">
        <f t="shared" si="228"/>
      </c>
      <c r="T420" s="188">
        <f t="shared" si="168"/>
      </c>
      <c r="U420" s="191">
        <f t="shared" si="78"/>
      </c>
      <c r="V420" s="191"/>
      <c r="W420" s="191"/>
      <c r="X420" s="206">
        <f>SUM(X416:X419)</f>
      </c>
      <c r="Y420" s="185">
        <f>SUM(Y416:Y419)</f>
      </c>
      <c r="Z420" s="185">
        <f>SUM(Z416:Z419)</f>
      </c>
      <c r="AA420" s="185">
        <f>SUM(AA416:AA419)</f>
      </c>
      <c r="AB420" s="185">
        <f>SUM(AB416:AB419)</f>
      </c>
      <c r="AC420" s="185">
        <f>SUM(AC416:AC419)</f>
      </c>
      <c r="AD420" s="185">
        <f>SUM(AD416:AD419)</f>
      </c>
      <c r="AE420" s="185">
        <f>SUM(AE416:AE419)</f>
      </c>
      <c r="AF420" s="152"/>
      <c r="AG420" s="152"/>
    </row>
    <row r="421">
      <c r="A421" s="166"/>
      <c r="B421" s="181" t="s">
        <v>114</v>
      </c>
      <c r="C421" s="168" t="s">
        <v>120</v>
      </c>
      <c r="D421" s="169">
        <f t="shared" ref="D421:D424" si="374">E421+F421+G421</f>
      </c>
      <c r="E421" s="170">
        <v>1469.86</v>
      </c>
      <c r="F421" s="170">
        <v>964.21</v>
      </c>
      <c r="G421" s="170">
        <v>0</v>
      </c>
      <c r="H421" s="170">
        <v>2</v>
      </c>
      <c r="I421" s="170">
        <v>12358.440000000002</v>
      </c>
      <c r="J421" s="171">
        <f t="shared" si="198"/>
      </c>
      <c r="K421" s="172">
        <f t="shared" si="108"/>
      </c>
      <c r="L421" s="173">
        <f t="shared" si="48"/>
      </c>
      <c r="M421" s="174">
        <f t="shared" si="138"/>
      </c>
      <c r="N421" s="172">
        <f t="shared" si="18"/>
      </c>
      <c r="O421" s="173">
        <f t="shared" si="469"/>
      </c>
      <c r="P421" s="172">
        <f t="shared" si="439"/>
      </c>
      <c r="Q421" s="172">
        <f t="shared" si="361"/>
      </c>
      <c r="R421" s="173">
        <f t="shared" si="331"/>
      </c>
      <c r="S421" s="175">
        <f t="shared" si="228"/>
      </c>
      <c r="T421" s="173">
        <f t="shared" si="168"/>
      </c>
      <c r="U421" s="176">
        <f t="shared" si="78"/>
      </c>
      <c r="V421" s="177" t="s">
        <v>108</v>
      </c>
      <c r="W421" s="178" t="s">
        <v>133</v>
      </c>
      <c r="X421" s="170">
        <v>2</v>
      </c>
      <c r="Y421" s="169">
        <v>4735</v>
      </c>
      <c r="Z421" s="169">
        <v>434</v>
      </c>
      <c r="AA421" s="169">
        <v>748</v>
      </c>
      <c r="AB421" s="169">
        <v>188</v>
      </c>
      <c r="AC421" s="179">
        <v>25</v>
      </c>
      <c r="AD421" s="179">
        <v>3</v>
      </c>
      <c r="AE421" s="180">
        <v>18</v>
      </c>
      <c r="AF421" s="152"/>
      <c r="AG421" s="152"/>
    </row>
    <row r="422">
      <c r="A422" s="166"/>
      <c r="B422" s="181" t="s">
        <v>116</v>
      </c>
      <c r="C422" s="168" t="s">
        <v>120</v>
      </c>
      <c r="D422" s="169">
        <f t="shared" si="374"/>
      </c>
      <c r="E422" s="169">
        <v>3179.72</v>
      </c>
      <c r="F422" s="169">
        <v>666.89</v>
      </c>
      <c r="G422" s="170">
        <v>0</v>
      </c>
      <c r="H422" s="170">
        <v>1</v>
      </c>
      <c r="I422" s="170">
        <v>3593.040000000001</v>
      </c>
      <c r="J422" s="171">
        <f t="shared" si="198"/>
      </c>
      <c r="K422" s="172">
        <f t="shared" si="108"/>
      </c>
      <c r="L422" s="173">
        <f t="shared" si="48"/>
      </c>
      <c r="M422" s="174">
        <f t="shared" si="138"/>
      </c>
      <c r="N422" s="172">
        <f t="shared" si="18"/>
      </c>
      <c r="O422" s="173">
        <f t="shared" si="469"/>
      </c>
      <c r="P422" s="172">
        <f t="shared" si="439"/>
      </c>
      <c r="Q422" s="172">
        <f t="shared" si="361"/>
      </c>
      <c r="R422" s="173">
        <f t="shared" si="331"/>
      </c>
      <c r="S422" s="175">
        <f t="shared" si="228"/>
      </c>
      <c r="T422" s="173">
        <f t="shared" si="168"/>
      </c>
      <c r="U422" s="176">
        <f t="shared" si="78"/>
      </c>
      <c r="V422" s="177" t="s">
        <v>108</v>
      </c>
      <c r="W422" s="178" t="s">
        <v>133</v>
      </c>
      <c r="X422" s="208">
        <v>1</v>
      </c>
      <c r="Y422" s="169">
        <v>15920</v>
      </c>
      <c r="Z422" s="169">
        <v>621</v>
      </c>
      <c r="AA422" s="169">
        <v>815</v>
      </c>
      <c r="AB422" s="169">
        <v>212</v>
      </c>
      <c r="AC422" s="169">
        <v>52</v>
      </c>
      <c r="AD422" s="179">
        <v>1</v>
      </c>
      <c r="AE422" s="180">
        <v>24</v>
      </c>
      <c r="AF422" s="152"/>
      <c r="AG422" s="152"/>
    </row>
    <row r="423">
      <c r="A423" s="166"/>
      <c r="B423" s="181" t="s">
        <v>117</v>
      </c>
      <c r="C423" s="168" t="s">
        <v>120</v>
      </c>
      <c r="D423" s="169">
        <f t="shared" si="374"/>
      </c>
      <c r="E423" s="169">
        <v>4919.56</v>
      </c>
      <c r="F423" s="169">
        <v>559.96</v>
      </c>
      <c r="G423" s="170">
        <v>265.35</v>
      </c>
      <c r="H423" s="170">
        <v>3</v>
      </c>
      <c r="I423" s="169">
        <v>3468.520000000004</v>
      </c>
      <c r="J423" s="171">
        <f t="shared" si="198"/>
      </c>
      <c r="K423" s="172">
        <f t="shared" si="108"/>
      </c>
      <c r="L423" s="173">
        <f t="shared" si="48"/>
      </c>
      <c r="M423" s="174">
        <f t="shared" si="138"/>
      </c>
      <c r="N423" s="172">
        <f t="shared" si="18"/>
      </c>
      <c r="O423" s="173">
        <f t="shared" si="469"/>
      </c>
      <c r="P423" s="172">
        <f t="shared" si="439"/>
      </c>
      <c r="Q423" s="172">
        <f t="shared" si="361"/>
      </c>
      <c r="R423" s="173">
        <f t="shared" si="331"/>
      </c>
      <c r="S423" s="175">
        <f t="shared" si="228"/>
      </c>
      <c r="T423" s="173">
        <f t="shared" si="168"/>
      </c>
      <c r="U423" s="176">
        <f t="shared" si="78"/>
      </c>
      <c r="V423" s="177" t="s">
        <v>108</v>
      </c>
      <c r="W423" s="178" t="s">
        <v>133</v>
      </c>
      <c r="X423" s="205">
        <v>3</v>
      </c>
      <c r="Y423" s="169">
        <v>26328</v>
      </c>
      <c r="Z423" s="169">
        <v>1017</v>
      </c>
      <c r="AA423" s="169">
        <v>1487</v>
      </c>
      <c r="AB423" s="169">
        <v>338</v>
      </c>
      <c r="AC423" s="169">
        <v>35</v>
      </c>
      <c r="AD423" s="179">
        <v>9</v>
      </c>
      <c r="AE423" s="180">
        <v>48</v>
      </c>
      <c r="AF423" s="152"/>
      <c r="AG423" s="152"/>
    </row>
    <row r="424">
      <c r="A424" s="166"/>
      <c r="B424" s="181" t="s">
        <v>118</v>
      </c>
      <c r="C424" s="168" t="s">
        <v>120</v>
      </c>
      <c r="D424" s="169">
        <f t="shared" si="374"/>
      </c>
      <c r="E424" s="169">
        <v>3635</v>
      </c>
      <c r="F424" s="169">
        <v>1045.88</v>
      </c>
      <c r="G424" s="170">
        <v>216.97</v>
      </c>
      <c r="H424" s="170">
        <v>5</v>
      </c>
      <c r="I424" s="170">
        <v>5290.279999999992</v>
      </c>
      <c r="J424" s="171">
        <f t="shared" si="198"/>
      </c>
      <c r="K424" s="172">
        <f t="shared" si="108"/>
      </c>
      <c r="L424" s="173">
        <f t="shared" si="48"/>
      </c>
      <c r="M424" s="174">
        <f t="shared" si="138"/>
      </c>
      <c r="N424" s="172">
        <f t="shared" si="18"/>
      </c>
      <c r="O424" s="173">
        <f t="shared" si="469"/>
      </c>
      <c r="P424" s="172">
        <f t="shared" si="439"/>
      </c>
      <c r="Q424" s="172">
        <f t="shared" si="361"/>
      </c>
      <c r="R424" s="173">
        <f t="shared" si="331"/>
      </c>
      <c r="S424" s="175">
        <f t="shared" si="228"/>
      </c>
      <c r="T424" s="173">
        <f t="shared" si="168"/>
      </c>
      <c r="U424" s="176">
        <f t="shared" si="78"/>
      </c>
      <c r="V424" s="177" t="s">
        <v>108</v>
      </c>
      <c r="W424" s="178" t="s">
        <v>133</v>
      </c>
      <c r="X424" s="205">
        <v>4</v>
      </c>
      <c r="Y424" s="169">
        <v>18598</v>
      </c>
      <c r="Z424" s="169">
        <v>1242</v>
      </c>
      <c r="AA424" s="169">
        <v>1826</v>
      </c>
      <c r="AB424" s="169">
        <v>471</v>
      </c>
      <c r="AC424" s="169">
        <v>31</v>
      </c>
      <c r="AD424" s="179">
        <v>6</v>
      </c>
      <c r="AE424" s="180">
        <v>36</v>
      </c>
      <c r="AF424" s="152"/>
      <c r="AG424" s="152"/>
    </row>
    <row r="425">
      <c r="A425" s="166"/>
      <c r="B425" s="184" t="s">
        <v>113</v>
      </c>
      <c r="C425" s="184"/>
      <c r="D425" s="185">
        <f>SUM(D421:D424)</f>
      </c>
      <c r="E425" s="185">
        <f>SUM(E421:E424)</f>
      </c>
      <c r="F425" s="185">
        <f>SUM(F421:F424)</f>
      </c>
      <c r="G425" s="185">
        <f>SUM(G421:G424)</f>
      </c>
      <c r="H425" s="185">
        <f>SUM(H421:H424)</f>
      </c>
      <c r="I425" s="185">
        <f>SUM(I421:I424)</f>
      </c>
      <c r="J425" s="186">
        <f t="shared" si="198"/>
      </c>
      <c r="K425" s="187">
        <f t="shared" si="108"/>
      </c>
      <c r="L425" s="188">
        <f t="shared" si="48"/>
      </c>
      <c r="M425" s="189">
        <f t="shared" si="138"/>
      </c>
      <c r="N425" s="187">
        <f t="shared" si="18"/>
      </c>
      <c r="O425" s="188">
        <f t="shared" si="469"/>
      </c>
      <c r="P425" s="187">
        <f t="shared" si="439"/>
      </c>
      <c r="Q425" s="187">
        <f t="shared" si="361"/>
      </c>
      <c r="R425" s="188">
        <f t="shared" si="331"/>
      </c>
      <c r="S425" s="190">
        <f t="shared" si="228"/>
      </c>
      <c r="T425" s="188">
        <f t="shared" si="168"/>
      </c>
      <c r="U425" s="191">
        <f t="shared" si="78"/>
      </c>
      <c r="V425" s="191"/>
      <c r="W425" s="191"/>
      <c r="X425" s="206">
        <f>SUM(X421:X424)</f>
      </c>
      <c r="Y425" s="185">
        <f>SUM(Y421:Y424)</f>
      </c>
      <c r="Z425" s="185">
        <f>SUM(Z421:Z424)</f>
      </c>
      <c r="AA425" s="185">
        <f>SUM(AA421:AA424)</f>
      </c>
      <c r="AB425" s="185">
        <f>SUM(AB421:AB424)</f>
      </c>
      <c r="AC425" s="185">
        <f>SUM(AC421:AC424)</f>
      </c>
      <c r="AD425" s="185">
        <f>SUM(AD421:AD424)</f>
      </c>
      <c r="AE425" s="185">
        <f>SUM(AE421:AE424)</f>
      </c>
      <c r="AF425" s="152"/>
      <c r="AG425" s="152"/>
    </row>
    <row r="426">
      <c r="A426" s="166"/>
      <c r="B426" s="192" t="s">
        <v>119</v>
      </c>
      <c r="C426" s="168" t="s">
        <v>115</v>
      </c>
      <c r="D426" s="169">
        <f t="shared" ref="D426:D429" si="375">E426+F426+G426</f>
      </c>
      <c r="E426" s="170">
        <v>1663.62</v>
      </c>
      <c r="F426" s="170">
        <v>719.46</v>
      </c>
      <c r="G426" s="170">
        <v>218.17</v>
      </c>
      <c r="H426" s="170">
        <v>0</v>
      </c>
      <c r="I426" s="170">
        <v>0</v>
      </c>
      <c r="J426" s="171">
        <f t="shared" si="198"/>
      </c>
      <c r="K426" s="172">
        <f t="shared" si="108"/>
      </c>
      <c r="L426" s="173">
        <f t="shared" si="48"/>
      </c>
      <c r="M426" s="174">
        <f t="shared" si="138"/>
      </c>
      <c r="N426" s="172">
        <f t="shared" si="18"/>
      </c>
      <c r="O426" s="173">
        <f t="shared" si="469"/>
      </c>
      <c r="P426" s="172">
        <f t="shared" si="439"/>
      </c>
      <c r="Q426" s="172">
        <f t="shared" si="361"/>
      </c>
      <c r="R426" s="173">
        <f t="shared" si="331"/>
      </c>
      <c r="S426" s="175">
        <f t="shared" si="228"/>
      </c>
      <c r="T426" s="173">
        <f t="shared" si="168"/>
      </c>
      <c r="U426" s="176">
        <f t="shared" si="78"/>
      </c>
      <c r="V426" s="177" t="s">
        <v>108</v>
      </c>
      <c r="W426" s="178" t="s">
        <v>136</v>
      </c>
      <c r="X426" s="170">
        <v>0</v>
      </c>
      <c r="Y426" s="169">
        <v>7474</v>
      </c>
      <c r="Z426" s="169">
        <v>516</v>
      </c>
      <c r="AA426" s="169">
        <v>686</v>
      </c>
      <c r="AB426" s="169">
        <v>157</v>
      </c>
      <c r="AC426" s="179">
        <v>19</v>
      </c>
      <c r="AD426" s="179">
        <v>1</v>
      </c>
      <c r="AE426" s="180">
        <v>17</v>
      </c>
      <c r="AF426" s="152"/>
      <c r="AG426" s="152"/>
    </row>
    <row r="427">
      <c r="A427" s="166"/>
      <c r="B427" s="194" t="s">
        <v>122</v>
      </c>
      <c r="C427" s="168" t="s">
        <v>115</v>
      </c>
      <c r="D427" s="169">
        <f t="shared" si="375"/>
      </c>
      <c r="E427" s="169">
        <v>3252.02</v>
      </c>
      <c r="F427" s="169">
        <v>999.43</v>
      </c>
      <c r="G427" s="170">
        <v>71.64</v>
      </c>
      <c r="H427" s="170">
        <v>1</v>
      </c>
      <c r="I427" s="170">
        <v>1216.0800000000017</v>
      </c>
      <c r="J427" s="171">
        <f t="shared" si="198"/>
      </c>
      <c r="K427" s="172">
        <f t="shared" si="108"/>
      </c>
      <c r="L427" s="173">
        <f t="shared" si="48"/>
      </c>
      <c r="M427" s="174">
        <f t="shared" si="138"/>
      </c>
      <c r="N427" s="172">
        <f t="shared" si="18"/>
      </c>
      <c r="O427" s="173">
        <f t="shared" si="469"/>
      </c>
      <c r="P427" s="172">
        <f t="shared" si="439"/>
      </c>
      <c r="Q427" s="172">
        <f t="shared" si="361"/>
      </c>
      <c r="R427" s="173">
        <f t="shared" si="331"/>
      </c>
      <c r="S427" s="175">
        <f t="shared" si="228"/>
      </c>
      <c r="T427" s="173">
        <f t="shared" si="168"/>
      </c>
      <c r="U427" s="176">
        <f t="shared" si="78"/>
      </c>
      <c r="V427" s="177" t="s">
        <v>108</v>
      </c>
      <c r="W427" s="178" t="s">
        <v>136</v>
      </c>
      <c r="X427" s="208">
        <v>1</v>
      </c>
      <c r="Y427" s="169">
        <v>24090</v>
      </c>
      <c r="Z427" s="169">
        <v>1010</v>
      </c>
      <c r="AA427" s="169">
        <v>1471</v>
      </c>
      <c r="AB427" s="169">
        <v>342</v>
      </c>
      <c r="AC427" s="169">
        <v>26</v>
      </c>
      <c r="AD427" s="179">
        <v>1</v>
      </c>
      <c r="AE427" s="180">
        <v>31</v>
      </c>
      <c r="AF427" s="152"/>
      <c r="AG427" s="152"/>
    </row>
    <row r="428">
      <c r="A428" s="166"/>
      <c r="B428" s="210" t="s">
        <v>123</v>
      </c>
      <c r="C428" s="168" t="s">
        <v>115</v>
      </c>
      <c r="D428" s="169">
        <f t="shared" si="375"/>
      </c>
      <c r="E428" s="169">
        <v>4893.37</v>
      </c>
      <c r="F428" s="170">
        <v>0</v>
      </c>
      <c r="G428" s="170">
        <v>119.43</v>
      </c>
      <c r="H428" s="170">
        <v>2</v>
      </c>
      <c r="I428" s="169">
        <v>1680.479999999996</v>
      </c>
      <c r="J428" s="171">
        <f t="shared" si="198"/>
      </c>
      <c r="K428" s="172">
        <f t="shared" si="108"/>
      </c>
      <c r="L428" s="173">
        <f t="shared" si="48"/>
      </c>
      <c r="M428" s="174">
        <f t="shared" si="138"/>
      </c>
      <c r="N428" s="172">
        <f t="shared" si="18"/>
      </c>
      <c r="O428" s="173">
        <f t="shared" si="469"/>
      </c>
      <c r="P428" s="172">
        <f t="shared" si="439"/>
      </c>
      <c r="Q428" s="172">
        <f t="shared" si="361"/>
      </c>
      <c r="R428" s="173">
        <f t="shared" si="331"/>
      </c>
      <c r="S428" s="175">
        <f t="shared" si="228"/>
      </c>
      <c r="T428" s="173">
        <f t="shared" si="168"/>
      </c>
      <c r="U428" s="176">
        <f t="shared" si="78"/>
      </c>
      <c r="V428" s="177" t="s">
        <v>108</v>
      </c>
      <c r="W428" s="178" t="s">
        <v>136</v>
      </c>
      <c r="X428" s="205">
        <v>2</v>
      </c>
      <c r="Y428" s="169">
        <v>32849</v>
      </c>
      <c r="Z428" s="169">
        <v>905</v>
      </c>
      <c r="AA428" s="169">
        <v>1212</v>
      </c>
      <c r="AB428" s="169">
        <v>248</v>
      </c>
      <c r="AC428" s="169">
        <v>43</v>
      </c>
      <c r="AD428" s="179">
        <v>3</v>
      </c>
      <c r="AE428" s="180">
        <v>52</v>
      </c>
      <c r="AF428" s="152"/>
      <c r="AG428" s="152"/>
    </row>
    <row r="429">
      <c r="A429" s="166"/>
      <c r="B429" s="183" t="s">
        <v>124</v>
      </c>
      <c r="C429" s="168" t="s">
        <v>115</v>
      </c>
      <c r="D429" s="169">
        <f t="shared" si="375"/>
      </c>
      <c r="E429" s="169">
        <v>4011.29</v>
      </c>
      <c r="F429" s="169">
        <v>412.65</v>
      </c>
      <c r="G429" s="170">
        <v>103.88</v>
      </c>
      <c r="H429" s="170">
        <v>6</v>
      </c>
      <c r="I429" s="170">
        <v>16353.599999999999</v>
      </c>
      <c r="J429" s="171">
        <f t="shared" si="198"/>
      </c>
      <c r="K429" s="172">
        <f t="shared" si="108"/>
      </c>
      <c r="L429" s="173">
        <f t="shared" si="48"/>
      </c>
      <c r="M429" s="174">
        <f t="shared" si="138"/>
      </c>
      <c r="N429" s="172">
        <f t="shared" si="18"/>
      </c>
      <c r="O429" s="173">
        <f t="shared" si="469"/>
      </c>
      <c r="P429" s="172">
        <f t="shared" si="439"/>
      </c>
      <c r="Q429" s="172">
        <f t="shared" si="361"/>
      </c>
      <c r="R429" s="173">
        <f t="shared" si="331"/>
      </c>
      <c r="S429" s="175">
        <f t="shared" si="228"/>
      </c>
      <c r="T429" s="173">
        <f t="shared" si="168"/>
      </c>
      <c r="U429" s="176">
        <f t="shared" si="78"/>
      </c>
      <c r="V429" s="177" t="s">
        <v>108</v>
      </c>
      <c r="W429" s="178" t="s">
        <v>136</v>
      </c>
      <c r="X429" s="205">
        <v>4</v>
      </c>
      <c r="Y429" s="169">
        <v>7841</v>
      </c>
      <c r="Z429" s="169">
        <v>482</v>
      </c>
      <c r="AA429" s="169">
        <v>604</v>
      </c>
      <c r="AB429" s="169">
        <v>165</v>
      </c>
      <c r="AC429" s="169">
        <v>65</v>
      </c>
      <c r="AD429" s="179">
        <v>7</v>
      </c>
      <c r="AE429" s="180">
        <v>32</v>
      </c>
      <c r="AF429" s="152"/>
      <c r="AG429" s="152"/>
    </row>
    <row r="430">
      <c r="A430" s="166"/>
      <c r="B430" s="184" t="s">
        <v>113</v>
      </c>
      <c r="C430" s="184"/>
      <c r="D430" s="185">
        <f>SUM(D426:D429)</f>
      </c>
      <c r="E430" s="185">
        <f>SUM(E426:E429)</f>
      </c>
      <c r="F430" s="185">
        <f>SUM(F426:F429)</f>
      </c>
      <c r="G430" s="185">
        <f>SUM(G426:G429)</f>
      </c>
      <c r="H430" s="185">
        <f>SUM(H426:H429)</f>
      </c>
      <c r="I430" s="185">
        <f>SUM(I426:I429)</f>
      </c>
      <c r="J430" s="186">
        <f t="shared" si="198"/>
      </c>
      <c r="K430" s="187">
        <f t="shared" si="108"/>
      </c>
      <c r="L430" s="188">
        <f t="shared" si="48"/>
      </c>
      <c r="M430" s="189">
        <f t="shared" si="138"/>
      </c>
      <c r="N430" s="187">
        <f t="shared" si="18"/>
      </c>
      <c r="O430" s="188">
        <f t="shared" si="469"/>
      </c>
      <c r="P430" s="187">
        <f t="shared" si="439"/>
      </c>
      <c r="Q430" s="187">
        <f t="shared" si="361"/>
      </c>
      <c r="R430" s="188">
        <f t="shared" si="331"/>
      </c>
      <c r="S430" s="190">
        <f t="shared" si="228"/>
      </c>
      <c r="T430" s="188">
        <f t="shared" si="168"/>
      </c>
      <c r="U430" s="191">
        <f t="shared" si="78"/>
      </c>
      <c r="V430" s="191"/>
      <c r="W430" s="191"/>
      <c r="X430" s="206">
        <f>SUM(X426:X429)</f>
      </c>
      <c r="Y430" s="185">
        <f>SUM(Y426:Y429)</f>
      </c>
      <c r="Z430" s="185">
        <f>SUM(Z426:Z429)</f>
      </c>
      <c r="AA430" s="185">
        <f>SUM(AA426:AA429)</f>
      </c>
      <c r="AB430" s="185">
        <f>SUM(AB426:AB429)</f>
      </c>
      <c r="AC430" s="185">
        <f>SUM(AC426:AC429)</f>
      </c>
      <c r="AD430" s="185">
        <f>SUM(AD426:AD429)</f>
      </c>
      <c r="AE430" s="185">
        <f>SUM(AE426:AE429)</f>
      </c>
      <c r="AF430" s="152"/>
      <c r="AG430" s="152"/>
    </row>
    <row r="431">
      <c r="A431" s="166"/>
      <c r="B431" s="181" t="s">
        <v>125</v>
      </c>
      <c r="C431" s="168" t="s">
        <v>137</v>
      </c>
      <c r="D431" s="169">
        <f t="shared" ref="D431:D434" si="376">E431+F431+G431</f>
      </c>
      <c r="E431" s="170">
        <v>4848.84</v>
      </c>
      <c r="F431" s="170">
        <v>705.91</v>
      </c>
      <c r="G431" s="170">
        <v>198.69</v>
      </c>
      <c r="H431" s="170">
        <v>5</v>
      </c>
      <c r="I431" s="170">
        <v>18406.92</v>
      </c>
      <c r="J431" s="171">
        <f t="shared" si="198"/>
      </c>
      <c r="K431" s="172">
        <f t="shared" si="108"/>
      </c>
      <c r="L431" s="173">
        <f t="shared" si="48"/>
      </c>
      <c r="M431" s="174">
        <f t="shared" si="138"/>
      </c>
      <c r="N431" s="172">
        <f t="shared" si="18"/>
      </c>
      <c r="O431" s="173">
        <f t="shared" si="469"/>
      </c>
      <c r="P431" s="172">
        <f t="shared" si="439"/>
      </c>
      <c r="Q431" s="172">
        <f t="shared" si="361"/>
      </c>
      <c r="R431" s="173">
        <f t="shared" si="331"/>
      </c>
      <c r="S431" s="175">
        <f t="shared" si="228"/>
      </c>
      <c r="T431" s="173">
        <f t="shared" si="168"/>
      </c>
      <c r="U431" s="176">
        <f t="shared" si="78"/>
      </c>
      <c r="V431" s="177" t="s">
        <v>108</v>
      </c>
      <c r="W431" s="178" t="s">
        <v>136</v>
      </c>
      <c r="X431" s="170">
        <v>4</v>
      </c>
      <c r="Y431" s="169">
        <v>17247</v>
      </c>
      <c r="Z431" s="169">
        <v>621</v>
      </c>
      <c r="AA431" s="169">
        <v>994</v>
      </c>
      <c r="AB431" s="169">
        <v>311</v>
      </c>
      <c r="AC431" s="179">
        <v>47</v>
      </c>
      <c r="AD431" s="179">
        <v>9</v>
      </c>
      <c r="AE431" s="180">
        <v>37</v>
      </c>
      <c r="AF431" s="152"/>
      <c r="AG431" s="152"/>
    </row>
    <row r="432">
      <c r="A432" s="166"/>
      <c r="B432" s="195" t="s">
        <v>127</v>
      </c>
      <c r="C432" s="168" t="s">
        <v>137</v>
      </c>
      <c r="D432" s="169">
        <f t="shared" si="376"/>
      </c>
      <c r="E432" s="169">
        <v>4592.849999999999</v>
      </c>
      <c r="F432" s="169">
        <v>1337.84</v>
      </c>
      <c r="G432" s="170">
        <v>442.9</v>
      </c>
      <c r="H432" s="170">
        <v>8</v>
      </c>
      <c r="I432" s="170">
        <v>13341.960000000006</v>
      </c>
      <c r="J432" s="171">
        <f t="shared" si="198"/>
      </c>
      <c r="K432" s="172">
        <f t="shared" si="108"/>
      </c>
      <c r="L432" s="173">
        <f t="shared" si="48"/>
      </c>
      <c r="M432" s="174">
        <f t="shared" si="138"/>
      </c>
      <c r="N432" s="172">
        <f t="shared" si="18"/>
      </c>
      <c r="O432" s="173">
        <f t="shared" si="469"/>
      </c>
      <c r="P432" s="172">
        <f t="shared" si="439"/>
      </c>
      <c r="Q432" s="172">
        <f t="shared" si="361"/>
      </c>
      <c r="R432" s="173">
        <f t="shared" si="331"/>
      </c>
      <c r="S432" s="175">
        <f t="shared" si="228"/>
      </c>
      <c r="T432" s="173">
        <f t="shared" si="168"/>
      </c>
      <c r="U432" s="176">
        <f t="shared" si="78"/>
      </c>
      <c r="V432" s="177" t="s">
        <v>108</v>
      </c>
      <c r="W432" s="178" t="s">
        <v>136</v>
      </c>
      <c r="X432" s="208">
        <v>6</v>
      </c>
      <c r="Y432" s="169">
        <v>17538</v>
      </c>
      <c r="Z432" s="169">
        <v>762</v>
      </c>
      <c r="AA432" s="169">
        <v>928</v>
      </c>
      <c r="AB432" s="169">
        <v>218</v>
      </c>
      <c r="AC432" s="169">
        <v>77</v>
      </c>
      <c r="AD432" s="179">
        <v>11</v>
      </c>
      <c r="AE432" s="180">
        <v>37</v>
      </c>
      <c r="AF432" s="152"/>
      <c r="AG432" s="152"/>
    </row>
    <row r="433">
      <c r="A433" s="166"/>
      <c r="B433" s="195" t="s">
        <v>128</v>
      </c>
      <c r="C433" s="168" t="s">
        <v>137</v>
      </c>
      <c r="D433" s="169">
        <f t="shared" si="376"/>
      </c>
      <c r="E433" s="169">
        <v>5109.18</v>
      </c>
      <c r="F433" s="169">
        <v>925.41</v>
      </c>
      <c r="G433" s="170">
        <v>515.06</v>
      </c>
      <c r="H433" s="170">
        <v>3</v>
      </c>
      <c r="I433" s="170">
        <v>10713.479999999996</v>
      </c>
      <c r="J433" s="171">
        <f t="shared" si="198"/>
      </c>
      <c r="K433" s="172">
        <f t="shared" si="108"/>
      </c>
      <c r="L433" s="173">
        <f t="shared" si="48"/>
      </c>
      <c r="M433" s="174">
        <f t="shared" si="138"/>
      </c>
      <c r="N433" s="172">
        <f t="shared" si="18"/>
      </c>
      <c r="O433" s="173">
        <f t="shared" si="469"/>
      </c>
      <c r="P433" s="172">
        <f t="shared" si="439"/>
      </c>
      <c r="Q433" s="172">
        <f t="shared" si="361"/>
      </c>
      <c r="R433" s="173">
        <f t="shared" si="331"/>
      </c>
      <c r="S433" s="175">
        <f t="shared" si="228"/>
      </c>
      <c r="T433" s="173">
        <f t="shared" si="168"/>
      </c>
      <c r="U433" s="176">
        <f t="shared" si="78"/>
      </c>
      <c r="V433" s="177" t="s">
        <v>108</v>
      </c>
      <c r="W433" s="178" t="s">
        <v>136</v>
      </c>
      <c r="X433" s="208">
        <v>2</v>
      </c>
      <c r="Y433" s="169">
        <v>19357</v>
      </c>
      <c r="Z433" s="169">
        <v>582</v>
      </c>
      <c r="AA433" s="169">
        <v>687</v>
      </c>
      <c r="AB433" s="169">
        <v>185</v>
      </c>
      <c r="AC433" s="169">
        <v>66</v>
      </c>
      <c r="AD433" s="179">
        <v>6</v>
      </c>
      <c r="AE433" s="180">
        <v>40</v>
      </c>
      <c r="AF433" s="152"/>
      <c r="AG433" s="152"/>
    </row>
    <row r="434">
      <c r="A434" s="166"/>
      <c r="B434" s="212" t="s">
        <v>129</v>
      </c>
      <c r="C434" s="168" t="s">
        <v>137</v>
      </c>
      <c r="D434" s="169">
        <f t="shared" si="376"/>
      </c>
      <c r="E434" s="169">
        <v>3884.87</v>
      </c>
      <c r="F434" s="169">
        <v>525.22</v>
      </c>
      <c r="G434" s="170">
        <v>86.86</v>
      </c>
      <c r="H434" s="170">
        <v>1</v>
      </c>
      <c r="I434" s="170">
        <v>9371.039999999994</v>
      </c>
      <c r="J434" s="171">
        <f t="shared" si="198"/>
      </c>
      <c r="K434" s="172">
        <f t="shared" si="108"/>
      </c>
      <c r="L434" s="173">
        <f t="shared" si="48"/>
      </c>
      <c r="M434" s="174">
        <f t="shared" si="138"/>
      </c>
      <c r="N434" s="172">
        <f t="shared" si="18"/>
      </c>
      <c r="O434" s="173">
        <f t="shared" si="469"/>
      </c>
      <c r="P434" s="172">
        <f t="shared" si="439"/>
      </c>
      <c r="Q434" s="172">
        <f t="shared" si="361"/>
      </c>
      <c r="R434" s="173">
        <f t="shared" si="331"/>
      </c>
      <c r="S434" s="175">
        <f t="shared" si="228"/>
      </c>
      <c r="T434" s="173">
        <f t="shared" si="168"/>
      </c>
      <c r="U434" s="176">
        <f t="shared" si="78"/>
      </c>
      <c r="V434" s="177" t="s">
        <v>108</v>
      </c>
      <c r="W434" s="178" t="s">
        <v>136</v>
      </c>
      <c r="X434" s="208">
        <v>1</v>
      </c>
      <c r="Y434" s="169">
        <v>10609</v>
      </c>
      <c r="Z434" s="169">
        <v>289</v>
      </c>
      <c r="AA434" s="169">
        <v>323</v>
      </c>
      <c r="AB434" s="169">
        <v>127</v>
      </c>
      <c r="AC434" s="169">
        <v>38</v>
      </c>
      <c r="AD434" s="179">
        <v>2</v>
      </c>
      <c r="AE434" s="230">
        <v>27</v>
      </c>
      <c r="AF434" s="152"/>
      <c r="AG434" s="152"/>
    </row>
    <row r="435">
      <c r="A435" s="166"/>
      <c r="B435" s="184" t="s">
        <v>113</v>
      </c>
      <c r="C435" s="184"/>
      <c r="D435" s="185">
        <f>SUM(D431:D434)</f>
      </c>
      <c r="E435" s="185">
        <f>SUM(E431:E434)</f>
      </c>
      <c r="F435" s="213">
        <f>SUM(F431:F434)</f>
      </c>
      <c r="G435" s="213">
        <f>SUM(G431:G434)</f>
      </c>
      <c r="H435" s="185">
        <f>SUM(H431:H434)</f>
      </c>
      <c r="I435" s="185">
        <f>SUM(I431:I434)</f>
      </c>
      <c r="J435" s="186">
        <f t="shared" si="198"/>
      </c>
      <c r="K435" s="187">
        <f t="shared" si="108"/>
      </c>
      <c r="L435" s="188">
        <f t="shared" si="48"/>
      </c>
      <c r="M435" s="189">
        <f t="shared" si="138"/>
      </c>
      <c r="N435" s="187">
        <f t="shared" si="18"/>
      </c>
      <c r="O435" s="188">
        <f t="shared" si="469"/>
      </c>
      <c r="P435" s="187">
        <f t="shared" si="439"/>
      </c>
      <c r="Q435" s="187">
        <f t="shared" si="361"/>
      </c>
      <c r="R435" s="188">
        <f t="shared" si="331"/>
      </c>
      <c r="S435" s="190">
        <f t="shared" si="228"/>
      </c>
      <c r="T435" s="188">
        <f t="shared" si="168"/>
      </c>
      <c r="U435" s="191">
        <f t="shared" si="78"/>
      </c>
      <c r="V435" s="191"/>
      <c r="W435" s="191"/>
      <c r="X435" s="206">
        <f>SUM(X431:X434)</f>
      </c>
      <c r="Y435" s="185">
        <f>SUM(Y431:Y434)</f>
      </c>
      <c r="Z435" s="185">
        <f>SUM(Z431:Z434)</f>
      </c>
      <c r="AA435" s="185">
        <f>SUM(AA431:AA434)</f>
      </c>
      <c r="AB435" s="185">
        <f>SUM(AB431:AB434)</f>
      </c>
      <c r="AC435" s="185">
        <f>SUM(AC431:AC434)</f>
      </c>
      <c r="AD435" s="231">
        <f>SUM(AD431:AD434)</f>
      </c>
      <c r="AE435" s="232">
        <f>SUM(AE431:AE434)</f>
      </c>
      <c r="AF435" s="152"/>
      <c r="AG435" s="152"/>
    </row>
    <row r="436">
      <c r="A436" s="166"/>
      <c r="B436" s="215" t="s">
        <v>130</v>
      </c>
      <c r="C436" s="215"/>
      <c r="D436" s="216">
        <f>D420+D425+D430+D435</f>
      </c>
      <c r="E436" s="217">
        <f>E420+E425+E430+E435</f>
      </c>
      <c r="F436" s="218">
        <f>F420+F425+F430+F435</f>
      </c>
      <c r="G436" s="218">
        <f>G420+G425+G430+G435</f>
      </c>
      <c r="H436" s="216">
        <f>H420+H425+H430+H435</f>
      </c>
      <c r="I436" s="216">
        <f>I420+I425+I430+I435</f>
      </c>
      <c r="J436" s="219">
        <f t="shared" si="198"/>
      </c>
      <c r="K436" s="220">
        <f t="shared" si="108"/>
      </c>
      <c r="L436" s="221">
        <f t="shared" si="48"/>
      </c>
      <c r="M436" s="222">
        <f t="shared" si="138"/>
      </c>
      <c r="N436" s="222">
        <f t="shared" si="18"/>
      </c>
      <c r="O436" s="221">
        <f t="shared" si="469"/>
      </c>
      <c r="P436" s="222">
        <f t="shared" si="439"/>
      </c>
      <c r="Q436" s="222">
        <f t="shared" si="361"/>
      </c>
      <c r="R436" s="221">
        <f t="shared" si="331"/>
      </c>
      <c r="S436" s="223">
        <f t="shared" si="228"/>
      </c>
      <c r="T436" s="221">
        <f t="shared" si="168"/>
      </c>
      <c r="U436" s="224">
        <f t="shared" si="78"/>
      </c>
      <c r="V436" s="224"/>
      <c r="W436" s="224"/>
      <c r="X436" s="219">
        <f>X420+X425+X430+X435</f>
      </c>
      <c r="Y436" s="219">
        <f>Y420+Y425+Y430+Y435</f>
      </c>
      <c r="Z436" s="219">
        <f>Z420+Z425+Z430+Z435</f>
      </c>
      <c r="AA436" s="219">
        <f>AA420+AA425+AA430+AA435</f>
      </c>
      <c r="AB436" s="219">
        <f>AB420+AB425+AB430+AB435</f>
      </c>
      <c r="AC436" s="219">
        <f>AC420+AC425+AC430+AC435</f>
      </c>
      <c r="AD436" s="233">
        <f>AD420+AD425+AD430+AD435</f>
      </c>
      <c r="AE436" s="218">
        <f>AE420+AE425+AE430+AE435</f>
      </c>
      <c r="AF436" s="152"/>
      <c r="AG436" s="152"/>
    </row>
    <row r="437">
      <c r="A437" s="146" t="s">
        <v>73</v>
      </c>
      <c r="B437" s="146"/>
      <c r="C437" s="146"/>
      <c r="D437" s="147" t="s">
        <v>74</v>
      </c>
      <c r="E437" s="147"/>
      <c r="F437" s="147"/>
      <c r="G437" s="147"/>
      <c r="H437" s="147"/>
      <c r="I437" s="147"/>
      <c r="J437" s="147"/>
      <c r="K437" s="148" t="s">
        <v>75</v>
      </c>
      <c r="L437" s="148"/>
      <c r="M437" s="148"/>
      <c r="N437" s="148"/>
      <c r="O437" s="148"/>
      <c r="P437" s="148"/>
      <c r="Q437" s="148"/>
      <c r="R437" s="148"/>
      <c r="S437" s="148"/>
      <c r="T437" s="148"/>
      <c r="U437" s="149"/>
      <c r="V437" s="149"/>
      <c r="W437" s="149"/>
      <c r="X437" s="150"/>
      <c r="Y437" s="150"/>
      <c r="Z437" s="150"/>
      <c r="AA437" s="150"/>
      <c r="AB437" s="150"/>
      <c r="AC437" s="150"/>
      <c r="AD437" s="150"/>
      <c r="AE437" s="151" t="s">
        <v>76</v>
      </c>
      <c r="AF437" s="152"/>
      <c r="AG437" s="152"/>
    </row>
    <row r="438">
      <c r="A438" s="153" t="s">
        <v>77</v>
      </c>
      <c r="B438" s="234" t="s">
        <v>78</v>
      </c>
      <c r="C438" s="234" t="s">
        <v>79</v>
      </c>
      <c r="D438" s="154" t="s">
        <v>80</v>
      </c>
      <c r="E438" s="225" t="s">
        <v>81</v>
      </c>
      <c r="F438" s="226" t="s">
        <v>82</v>
      </c>
      <c r="G438" s="227" t="s">
        <v>139</v>
      </c>
      <c r="H438" s="228" t="s">
        <v>83</v>
      </c>
      <c r="I438" s="157" t="s">
        <v>84</v>
      </c>
      <c r="J438" s="155" t="s">
        <v>85</v>
      </c>
      <c r="K438" s="158" t="s">
        <v>86</v>
      </c>
      <c r="L438" s="158" t="s">
        <v>87</v>
      </c>
      <c r="M438" s="159" t="s">
        <v>88</v>
      </c>
      <c r="N438" s="160" t="s">
        <v>89</v>
      </c>
      <c r="O438" s="148" t="s">
        <v>90</v>
      </c>
      <c r="P438" s="160" t="s">
        <v>91</v>
      </c>
      <c r="Q438" s="160" t="s">
        <v>92</v>
      </c>
      <c r="R438" s="161" t="s">
        <v>93</v>
      </c>
      <c r="S438" s="160" t="s">
        <v>94</v>
      </c>
      <c r="T438" s="161" t="s">
        <v>95</v>
      </c>
      <c r="U438" s="162" t="s">
        <v>96</v>
      </c>
      <c r="V438" s="162" t="s">
        <v>97</v>
      </c>
      <c r="W438" s="162" t="s">
        <v>98</v>
      </c>
      <c r="X438" s="163" t="s">
        <v>99</v>
      </c>
      <c r="Y438" s="164" t="s">
        <v>100</v>
      </c>
      <c r="Z438" s="164" t="s">
        <v>101</v>
      </c>
      <c r="AA438" s="164" t="s">
        <v>102</v>
      </c>
      <c r="AB438" s="164" t="s">
        <v>103</v>
      </c>
      <c r="AC438" s="164" t="s">
        <v>104</v>
      </c>
      <c r="AD438" s="165" t="s">
        <v>105</v>
      </c>
      <c r="AE438" s="151"/>
      <c r="AF438" s="152"/>
      <c r="AG438" s="152"/>
    </row>
    <row r="439">
      <c r="A439" s="166">
        <v>46285</v>
      </c>
      <c r="B439" s="235" t="s">
        <v>106</v>
      </c>
      <c r="C439" s="168" t="s">
        <v>120</v>
      </c>
      <c r="D439" s="195">
        <f t="shared" ref="D439:D442" si="377">E439+F439+G439</f>
      </c>
      <c r="E439" s="170">
        <v>2687.33</v>
      </c>
      <c r="F439" s="229">
        <v>908.1</v>
      </c>
      <c r="G439" s="229">
        <v>310.9</v>
      </c>
      <c r="H439" s="170">
        <v>0</v>
      </c>
      <c r="I439" s="170">
        <v>0</v>
      </c>
      <c r="J439" s="171">
        <f t="shared" ref="J439:J459" si="199">I439/D439</f>
      </c>
      <c r="K439" s="172">
        <f t="shared" ref="K439:K459" si="109">Z439/Y439</f>
      </c>
      <c r="L439" s="173">
        <f t="shared" ref="L439:L459" si="49">D439/AA439</f>
      </c>
      <c r="M439" s="174">
        <f t="shared" ref="M439:M459" si="139">AB439/AA439</f>
      </c>
      <c r="N439" s="172">
        <f t="shared" ref="N439:N459" si="19">AC439/AA439</f>
      </c>
      <c r="O439" s="173">
        <f t="shared" ref="O439:O459" si="470">D439/AC439</f>
      </c>
      <c r="P439" s="172">
        <f t="shared" ref="P439:P459" si="440">AD439/AC439</f>
      </c>
      <c r="Q439" s="172">
        <f t="shared" ref="Q439:Q459" si="362">H439/AD439</f>
      </c>
      <c r="R439" s="173">
        <f t="shared" ref="R439:R459" si="332">D439/H439</f>
      </c>
      <c r="S439" s="175">
        <f t="shared" ref="S439:S459" si="229">I439/H439</f>
      </c>
      <c r="T439" s="173">
        <f t="shared" ref="T439:T459" si="169">D439/X439</f>
      </c>
      <c r="U439" s="176">
        <f t="shared" ref="U439:U459" si="79">AE439*1000/D439</f>
      </c>
      <c r="V439" s="177" t="s">
        <v>108</v>
      </c>
      <c r="W439" s="178" t="s">
        <v>133</v>
      </c>
      <c r="X439" s="170">
        <v>0</v>
      </c>
      <c r="Y439" s="169">
        <v>15825</v>
      </c>
      <c r="Z439" s="169">
        <v>1140</v>
      </c>
      <c r="AA439" s="169">
        <v>2291</v>
      </c>
      <c r="AB439" s="169">
        <v>489</v>
      </c>
      <c r="AC439" s="179">
        <v>39</v>
      </c>
      <c r="AD439" s="179">
        <v>0</v>
      </c>
      <c r="AE439" s="180">
        <v>33</v>
      </c>
      <c r="AF439" s="236"/>
      <c r="AG439" s="152"/>
    </row>
    <row r="440">
      <c r="A440" s="166"/>
      <c r="B440" s="237" t="s">
        <v>110</v>
      </c>
      <c r="C440" s="168" t="s">
        <v>120</v>
      </c>
      <c r="D440" s="195">
        <f t="shared" si="377"/>
      </c>
      <c r="E440" s="170">
        <v>841.05</v>
      </c>
      <c r="F440" s="170">
        <v>317.35</v>
      </c>
      <c r="G440" s="170">
        <v>954.17</v>
      </c>
      <c r="H440" s="170">
        <v>2</v>
      </c>
      <c r="I440" s="170">
        <v>1462.84</v>
      </c>
      <c r="J440" s="171">
        <f t="shared" si="199"/>
      </c>
      <c r="K440" s="172">
        <f t="shared" si="109"/>
      </c>
      <c r="L440" s="173">
        <f t="shared" si="49"/>
      </c>
      <c r="M440" s="174">
        <f t="shared" si="139"/>
      </c>
      <c r="N440" s="172">
        <f t="shared" si="19"/>
      </c>
      <c r="O440" s="173">
        <f t="shared" si="470"/>
      </c>
      <c r="P440" s="172">
        <f t="shared" si="440"/>
      </c>
      <c r="Q440" s="172">
        <f t="shared" si="362"/>
      </c>
      <c r="R440" s="173">
        <f t="shared" si="332"/>
      </c>
      <c r="S440" s="175">
        <f t="shared" si="229"/>
      </c>
      <c r="T440" s="173">
        <f t="shared" si="169"/>
      </c>
      <c r="U440" s="176">
        <f t="shared" si="79"/>
      </c>
      <c r="V440" s="177" t="s">
        <v>108</v>
      </c>
      <c r="W440" s="178" t="s">
        <v>133</v>
      </c>
      <c r="X440" s="208">
        <v>1</v>
      </c>
      <c r="Y440" s="169">
        <v>7329</v>
      </c>
      <c r="Z440" s="169">
        <v>446</v>
      </c>
      <c r="AA440" s="169">
        <v>808</v>
      </c>
      <c r="AB440" s="169">
        <v>149</v>
      </c>
      <c r="AC440" s="169">
        <v>23</v>
      </c>
      <c r="AD440" s="179">
        <v>2</v>
      </c>
      <c r="AE440" s="180">
        <v>11</v>
      </c>
      <c r="AF440" s="236"/>
      <c r="AG440" s="152"/>
    </row>
    <row r="441">
      <c r="A441" s="166"/>
      <c r="B441" s="237" t="s">
        <v>111</v>
      </c>
      <c r="C441" s="168" t="s">
        <v>120</v>
      </c>
      <c r="D441" s="195">
        <f t="shared" si="377"/>
      </c>
      <c r="E441" s="169">
        <v>3122.21</v>
      </c>
      <c r="F441" s="169">
        <v>891.73</v>
      </c>
      <c r="G441" s="170">
        <v>793.04</v>
      </c>
      <c r="H441" s="170">
        <v>5</v>
      </c>
      <c r="I441" s="170">
        <v>19318.920000000002</v>
      </c>
      <c r="J441" s="171">
        <f t="shared" si="199"/>
      </c>
      <c r="K441" s="172">
        <f t="shared" si="109"/>
      </c>
      <c r="L441" s="173">
        <f t="shared" si="49"/>
      </c>
      <c r="M441" s="174">
        <f t="shared" si="139"/>
      </c>
      <c r="N441" s="172">
        <f t="shared" si="19"/>
      </c>
      <c r="O441" s="173">
        <f t="shared" si="470"/>
      </c>
      <c r="P441" s="172">
        <f t="shared" si="440"/>
      </c>
      <c r="Q441" s="172">
        <f t="shared" si="362"/>
      </c>
      <c r="R441" s="173">
        <f t="shared" si="332"/>
      </c>
      <c r="S441" s="175">
        <f t="shared" si="229"/>
      </c>
      <c r="T441" s="173">
        <f t="shared" si="169"/>
      </c>
      <c r="U441" s="176">
        <f t="shared" si="79"/>
      </c>
      <c r="V441" s="177" t="s">
        <v>108</v>
      </c>
      <c r="W441" s="178" t="s">
        <v>133</v>
      </c>
      <c r="X441" s="205">
        <v>4</v>
      </c>
      <c r="Y441" s="169">
        <v>14276</v>
      </c>
      <c r="Z441" s="169">
        <v>1082</v>
      </c>
      <c r="AA441" s="169">
        <v>1789</v>
      </c>
      <c r="AB441" s="169">
        <v>439</v>
      </c>
      <c r="AC441" s="169">
        <v>53</v>
      </c>
      <c r="AD441" s="179">
        <v>8</v>
      </c>
      <c r="AE441" s="180">
        <v>15</v>
      </c>
      <c r="AF441" s="236"/>
      <c r="AG441" s="152"/>
    </row>
    <row r="442">
      <c r="A442" s="166"/>
      <c r="B442" s="237" t="s">
        <v>112</v>
      </c>
      <c r="C442" s="168" t="s">
        <v>120</v>
      </c>
      <c r="D442" s="195">
        <f t="shared" si="377"/>
      </c>
      <c r="E442" s="169">
        <v>3324.64</v>
      </c>
      <c r="F442" s="169">
        <v>506.62</v>
      </c>
      <c r="G442" s="170">
        <v>464.66</v>
      </c>
      <c r="H442" s="170">
        <v>1</v>
      </c>
      <c r="I442" s="170">
        <v>657.7199999999975</v>
      </c>
      <c r="J442" s="171">
        <f t="shared" si="199"/>
      </c>
      <c r="K442" s="172">
        <f t="shared" si="109"/>
      </c>
      <c r="L442" s="173">
        <f t="shared" si="49"/>
      </c>
      <c r="M442" s="174">
        <f t="shared" si="139"/>
      </c>
      <c r="N442" s="172">
        <f t="shared" si="19"/>
      </c>
      <c r="O442" s="173">
        <f t="shared" si="470"/>
      </c>
      <c r="P442" s="172">
        <f t="shared" si="440"/>
      </c>
      <c r="Q442" s="172">
        <f t="shared" si="362"/>
      </c>
      <c r="R442" s="173">
        <f t="shared" si="332"/>
      </c>
      <c r="S442" s="175">
        <f t="shared" si="229"/>
      </c>
      <c r="T442" s="173">
        <f t="shared" si="169"/>
      </c>
      <c r="U442" s="176">
        <f t="shared" si="79"/>
      </c>
      <c r="V442" s="177" t="s">
        <v>108</v>
      </c>
      <c r="W442" s="178" t="s">
        <v>133</v>
      </c>
      <c r="X442" s="205">
        <v>1</v>
      </c>
      <c r="Y442" s="169">
        <v>14707</v>
      </c>
      <c r="Z442" s="169">
        <v>713</v>
      </c>
      <c r="AA442" s="169">
        <v>1064</v>
      </c>
      <c r="AB442" s="169">
        <v>253</v>
      </c>
      <c r="AC442" s="169">
        <v>46</v>
      </c>
      <c r="AD442" s="179">
        <v>4</v>
      </c>
      <c r="AE442" s="180">
        <v>31</v>
      </c>
      <c r="AF442" s="236"/>
      <c r="AG442" s="152"/>
    </row>
    <row r="443">
      <c r="A443" s="166"/>
      <c r="B443" s="232" t="s">
        <v>113</v>
      </c>
      <c r="C443" s="232"/>
      <c r="D443" s="184">
        <f>D439+D440+D441+D442</f>
      </c>
      <c r="E443" s="185">
        <f>SUM(E439:E442)</f>
      </c>
      <c r="F443" s="185">
        <f>SUM(F439:F442)</f>
      </c>
      <c r="G443" s="185">
        <f>SUM(G439:G442)</f>
      </c>
      <c r="H443" s="185">
        <f>SUM(H439:H442)</f>
      </c>
      <c r="I443" s="185">
        <f>SUM(I439:I442)</f>
      </c>
      <c r="J443" s="186">
        <f t="shared" si="199"/>
      </c>
      <c r="K443" s="187">
        <f t="shared" si="109"/>
      </c>
      <c r="L443" s="188">
        <f t="shared" si="49"/>
      </c>
      <c r="M443" s="189">
        <f t="shared" si="139"/>
      </c>
      <c r="N443" s="187">
        <f t="shared" si="19"/>
      </c>
      <c r="O443" s="188">
        <f t="shared" si="470"/>
      </c>
      <c r="P443" s="187">
        <f t="shared" si="440"/>
      </c>
      <c r="Q443" s="187">
        <f t="shared" si="362"/>
      </c>
      <c r="R443" s="188">
        <f t="shared" si="332"/>
      </c>
      <c r="S443" s="190">
        <f t="shared" si="229"/>
      </c>
      <c r="T443" s="188">
        <f t="shared" si="169"/>
      </c>
      <c r="U443" s="191">
        <f t="shared" si="79"/>
      </c>
      <c r="V443" s="191"/>
      <c r="W443" s="191"/>
      <c r="X443" s="206">
        <f>SUM(X439:X442)</f>
      </c>
      <c r="Y443" s="185">
        <f>SUM(Y439:Y442)</f>
      </c>
      <c r="Z443" s="185">
        <f>SUM(Z439:Z442)</f>
      </c>
      <c r="AA443" s="185">
        <f>SUM(AA439:AA442)</f>
      </c>
      <c r="AB443" s="185">
        <f>SUM(AB439:AB442)</f>
      </c>
      <c r="AC443" s="185">
        <f>SUM(AC439:AC442)</f>
      </c>
      <c r="AD443" s="185">
        <f>SUM(AD439:AD442)</f>
      </c>
      <c r="AE443" s="185">
        <f>SUM(AE439:AE442)</f>
      </c>
      <c r="AF443" s="152"/>
      <c r="AG443" s="152"/>
    </row>
    <row r="444">
      <c r="A444" s="166"/>
      <c r="B444" s="237" t="s">
        <v>114</v>
      </c>
      <c r="C444" s="168" t="s">
        <v>115</v>
      </c>
      <c r="D444" s="195">
        <f t="shared" ref="D444:D447" si="378">E444+F444+G444</f>
      </c>
      <c r="E444" s="170">
        <v>3254.11</v>
      </c>
      <c r="F444" s="170">
        <v>480.93</v>
      </c>
      <c r="G444" s="170">
        <v>573.32</v>
      </c>
      <c r="H444" s="170">
        <v>4</v>
      </c>
      <c r="I444" s="170">
        <v>4250.139999999999</v>
      </c>
      <c r="J444" s="171">
        <f t="shared" si="199"/>
      </c>
      <c r="K444" s="172">
        <f t="shared" si="109"/>
      </c>
      <c r="L444" s="173">
        <f t="shared" si="49"/>
      </c>
      <c r="M444" s="174">
        <f t="shared" si="139"/>
      </c>
      <c r="N444" s="172">
        <f t="shared" si="19"/>
      </c>
      <c r="O444" s="173">
        <f t="shared" si="470"/>
      </c>
      <c r="P444" s="172">
        <f t="shared" si="440"/>
      </c>
      <c r="Q444" s="172">
        <f t="shared" si="362"/>
      </c>
      <c r="R444" s="173">
        <f t="shared" si="332"/>
      </c>
      <c r="S444" s="175">
        <f t="shared" si="229"/>
      </c>
      <c r="T444" s="173">
        <f t="shared" si="169"/>
      </c>
      <c r="U444" s="176">
        <f t="shared" si="79"/>
      </c>
      <c r="V444" s="177" t="s">
        <v>108</v>
      </c>
      <c r="W444" s="178" t="s">
        <v>133</v>
      </c>
      <c r="X444" s="170">
        <v>2</v>
      </c>
      <c r="Y444" s="170">
        <v>18908</v>
      </c>
      <c r="Z444" s="169">
        <v>822</v>
      </c>
      <c r="AA444" s="169">
        <v>1326</v>
      </c>
      <c r="AB444" s="169">
        <v>284</v>
      </c>
      <c r="AC444" s="179">
        <v>32</v>
      </c>
      <c r="AD444" s="179">
        <v>5</v>
      </c>
      <c r="AE444" s="180">
        <v>39</v>
      </c>
      <c r="AF444" s="236"/>
      <c r="AG444" s="152"/>
    </row>
    <row r="445">
      <c r="A445" s="166"/>
      <c r="B445" s="237" t="s">
        <v>116</v>
      </c>
      <c r="C445" s="168" t="s">
        <v>115</v>
      </c>
      <c r="D445" s="195">
        <f t="shared" si="378"/>
      </c>
      <c r="E445" s="169">
        <v>1938.05</v>
      </c>
      <c r="F445" s="169">
        <v>1033.58</v>
      </c>
      <c r="G445" s="170">
        <v>3027.56</v>
      </c>
      <c r="H445" s="170">
        <v>4</v>
      </c>
      <c r="I445" s="170">
        <v>22817.76</v>
      </c>
      <c r="J445" s="171">
        <f t="shared" si="199"/>
      </c>
      <c r="K445" s="172">
        <f t="shared" si="109"/>
      </c>
      <c r="L445" s="173">
        <f t="shared" si="49"/>
      </c>
      <c r="M445" s="174">
        <f t="shared" si="139"/>
      </c>
      <c r="N445" s="172">
        <f t="shared" si="19"/>
      </c>
      <c r="O445" s="173">
        <f t="shared" si="470"/>
      </c>
      <c r="P445" s="172">
        <f t="shared" si="440"/>
      </c>
      <c r="Q445" s="172">
        <f t="shared" si="362"/>
      </c>
      <c r="R445" s="173">
        <f t="shared" si="332"/>
      </c>
      <c r="S445" s="175">
        <f t="shared" si="229"/>
      </c>
      <c r="T445" s="173">
        <f t="shared" si="169"/>
      </c>
      <c r="U445" s="176">
        <f t="shared" si="79"/>
      </c>
      <c r="V445" s="177" t="s">
        <v>108</v>
      </c>
      <c r="W445" s="178" t="s">
        <v>133</v>
      </c>
      <c r="X445" s="208">
        <v>2</v>
      </c>
      <c r="Y445" s="170">
        <v>20231</v>
      </c>
      <c r="Z445" s="170">
        <v>1273</v>
      </c>
      <c r="AA445" s="169">
        <v>1916</v>
      </c>
      <c r="AB445" s="170">
        <v>321</v>
      </c>
      <c r="AC445" s="170">
        <v>71</v>
      </c>
      <c r="AD445" s="179">
        <v>6</v>
      </c>
      <c r="AE445" s="180">
        <v>26</v>
      </c>
      <c r="AF445" s="236"/>
      <c r="AG445" s="152"/>
    </row>
    <row r="446">
      <c r="A446" s="166"/>
      <c r="B446" s="237" t="s">
        <v>117</v>
      </c>
      <c r="C446" s="168" t="s">
        <v>115</v>
      </c>
      <c r="D446" s="195">
        <f t="shared" si="378"/>
      </c>
      <c r="E446" s="169">
        <v>2319.96</v>
      </c>
      <c r="F446" s="169">
        <v>556.37</v>
      </c>
      <c r="G446" s="170">
        <v>2863.73</v>
      </c>
      <c r="H446" s="170">
        <v>7</v>
      </c>
      <c r="I446" s="169">
        <v>9758.879999999997</v>
      </c>
      <c r="J446" s="171">
        <f t="shared" si="199"/>
      </c>
      <c r="K446" s="172">
        <f t="shared" si="109"/>
      </c>
      <c r="L446" s="173">
        <f t="shared" si="49"/>
      </c>
      <c r="M446" s="174">
        <f t="shared" si="139"/>
      </c>
      <c r="N446" s="172">
        <f t="shared" si="19"/>
      </c>
      <c r="O446" s="173">
        <f t="shared" si="470"/>
      </c>
      <c r="P446" s="172">
        <f t="shared" si="440"/>
      </c>
      <c r="Q446" s="172">
        <f t="shared" si="362"/>
      </c>
      <c r="R446" s="173">
        <f t="shared" si="332"/>
      </c>
      <c r="S446" s="175">
        <f t="shared" si="229"/>
      </c>
      <c r="T446" s="173">
        <f t="shared" si="169"/>
      </c>
      <c r="U446" s="176">
        <f t="shared" si="79"/>
      </c>
      <c r="V446" s="177" t="s">
        <v>108</v>
      </c>
      <c r="W446" s="178" t="s">
        <v>133</v>
      </c>
      <c r="X446" s="208">
        <v>2</v>
      </c>
      <c r="Y446" s="170">
        <v>20479</v>
      </c>
      <c r="Z446" s="170">
        <v>1187</v>
      </c>
      <c r="AA446" s="170">
        <v>1919</v>
      </c>
      <c r="AB446" s="170">
        <v>355</v>
      </c>
      <c r="AC446" s="170">
        <v>85</v>
      </c>
      <c r="AD446" s="179">
        <v>10</v>
      </c>
      <c r="AE446" s="180">
        <v>37</v>
      </c>
      <c r="AF446" s="236"/>
      <c r="AG446" s="152"/>
    </row>
    <row r="447">
      <c r="A447" s="166"/>
      <c r="B447" s="237" t="s">
        <v>118</v>
      </c>
      <c r="C447" s="168" t="s">
        <v>115</v>
      </c>
      <c r="D447" s="195">
        <f t="shared" si="378"/>
      </c>
      <c r="E447" s="169">
        <v>3027.64</v>
      </c>
      <c r="F447" s="170">
        <v>0</v>
      </c>
      <c r="G447" s="170">
        <v>2043.8</v>
      </c>
      <c r="H447" s="170">
        <v>1</v>
      </c>
      <c r="I447" s="170">
        <v>1255.800000000003</v>
      </c>
      <c r="J447" s="171">
        <f t="shared" si="199"/>
      </c>
      <c r="K447" s="172">
        <f t="shared" si="109"/>
      </c>
      <c r="L447" s="173">
        <f t="shared" si="49"/>
      </c>
      <c r="M447" s="174">
        <f t="shared" si="139"/>
      </c>
      <c r="N447" s="172">
        <f t="shared" si="19"/>
      </c>
      <c r="O447" s="173">
        <f t="shared" si="470"/>
      </c>
      <c r="P447" s="172">
        <f t="shared" si="440"/>
      </c>
      <c r="Q447" s="172">
        <f t="shared" si="362"/>
      </c>
      <c r="R447" s="173">
        <f t="shared" si="332"/>
      </c>
      <c r="S447" s="175">
        <f t="shared" si="229"/>
      </c>
      <c r="T447" s="173">
        <f t="shared" si="169"/>
      </c>
      <c r="U447" s="176">
        <f t="shared" si="79"/>
      </c>
      <c r="V447" s="177" t="s">
        <v>108</v>
      </c>
      <c r="W447" s="178" t="s">
        <v>133</v>
      </c>
      <c r="X447" s="208">
        <v>1</v>
      </c>
      <c r="Y447" s="170">
        <v>14611</v>
      </c>
      <c r="Z447" s="170">
        <v>790</v>
      </c>
      <c r="AA447" s="170">
        <v>1202</v>
      </c>
      <c r="AB447" s="170">
        <v>249</v>
      </c>
      <c r="AC447" s="170">
        <v>53</v>
      </c>
      <c r="AD447" s="179">
        <v>2</v>
      </c>
      <c r="AE447" s="180">
        <v>44</v>
      </c>
      <c r="AF447" s="236"/>
      <c r="AG447" s="152"/>
    </row>
    <row r="448">
      <c r="A448" s="166"/>
      <c r="B448" s="232" t="s">
        <v>113</v>
      </c>
      <c r="C448" s="232"/>
      <c r="D448" s="184">
        <f>SUM(D444:D447)</f>
      </c>
      <c r="E448" s="185">
        <f>SUM(E444:E447)</f>
      </c>
      <c r="F448" s="185">
        <f>SUM(F444:F447)</f>
      </c>
      <c r="G448" s="185">
        <f>SUM(G444:G447)</f>
      </c>
      <c r="H448" s="185">
        <f>SUM(H444:H447)</f>
      </c>
      <c r="I448" s="185">
        <f>SUM(I444:I447)</f>
      </c>
      <c r="J448" s="186">
        <f t="shared" si="199"/>
      </c>
      <c r="K448" s="187">
        <f t="shared" si="109"/>
      </c>
      <c r="L448" s="188">
        <f t="shared" si="49"/>
      </c>
      <c r="M448" s="189">
        <f t="shared" si="139"/>
      </c>
      <c r="N448" s="187">
        <f t="shared" si="19"/>
      </c>
      <c r="O448" s="188">
        <f t="shared" si="470"/>
      </c>
      <c r="P448" s="187">
        <f t="shared" si="440"/>
      </c>
      <c r="Q448" s="187">
        <f t="shared" si="362"/>
      </c>
      <c r="R448" s="188">
        <f t="shared" si="332"/>
      </c>
      <c r="S448" s="190">
        <f t="shared" si="229"/>
      </c>
      <c r="T448" s="188">
        <f t="shared" si="169"/>
      </c>
      <c r="U448" s="191">
        <f t="shared" si="79"/>
      </c>
      <c r="V448" s="191"/>
      <c r="W448" s="191"/>
      <c r="X448" s="206">
        <f>SUM(X444:X447)</f>
      </c>
      <c r="Y448" s="185">
        <f>SUM(Y444:Y447)</f>
      </c>
      <c r="Z448" s="185">
        <f>SUM(Z444:Z447)</f>
      </c>
      <c r="AA448" s="185">
        <f>SUM(AA444:AA447)</f>
      </c>
      <c r="AB448" s="185">
        <f>SUM(AB444:AB447)</f>
      </c>
      <c r="AC448" s="185">
        <f>SUM(AC444:AC447)</f>
      </c>
      <c r="AD448" s="185">
        <f>SUM(AD444:AD447)</f>
      </c>
      <c r="AE448" s="185">
        <f>SUM(AE444:AE447)</f>
      </c>
      <c r="AF448" s="152"/>
      <c r="AG448" s="152"/>
    </row>
    <row r="449">
      <c r="A449" s="166"/>
      <c r="B449" s="235" t="s">
        <v>119</v>
      </c>
      <c r="C449" s="168" t="s">
        <v>107</v>
      </c>
      <c r="D449" s="195">
        <f t="shared" ref="D449:D452" si="379">E449+F449+G449</f>
      </c>
      <c r="E449" s="170">
        <v>1356.9199999999998</v>
      </c>
      <c r="F449" s="170">
        <v>0</v>
      </c>
      <c r="G449" s="170">
        <v>2022.82</v>
      </c>
      <c r="H449" s="170">
        <v>1</v>
      </c>
      <c r="I449" s="170">
        <v>1848.8399999999965</v>
      </c>
      <c r="J449" s="171">
        <f t="shared" si="199"/>
      </c>
      <c r="K449" s="172">
        <f t="shared" si="109"/>
      </c>
      <c r="L449" s="173">
        <f t="shared" si="49"/>
      </c>
      <c r="M449" s="174">
        <f t="shared" si="139"/>
      </c>
      <c r="N449" s="172">
        <f t="shared" si="19"/>
      </c>
      <c r="O449" s="173">
        <f t="shared" si="470"/>
      </c>
      <c r="P449" s="172">
        <f t="shared" si="440"/>
      </c>
      <c r="Q449" s="172">
        <f t="shared" si="362"/>
      </c>
      <c r="R449" s="173">
        <f t="shared" si="332"/>
      </c>
      <c r="S449" s="175">
        <f t="shared" si="229"/>
      </c>
      <c r="T449" s="173">
        <f t="shared" si="169"/>
      </c>
      <c r="U449" s="176">
        <f t="shared" si="79"/>
      </c>
      <c r="V449" s="177" t="s">
        <v>108</v>
      </c>
      <c r="W449" s="178" t="s">
        <v>136</v>
      </c>
      <c r="X449" s="170">
        <v>1</v>
      </c>
      <c r="Y449" s="170">
        <v>13520</v>
      </c>
      <c r="Z449" s="170">
        <v>670</v>
      </c>
      <c r="AA449" s="169">
        <v>1254</v>
      </c>
      <c r="AB449" s="170">
        <v>168</v>
      </c>
      <c r="AC449" s="179">
        <v>31</v>
      </c>
      <c r="AD449" s="179">
        <v>2</v>
      </c>
      <c r="AE449" s="180">
        <v>14</v>
      </c>
      <c r="AF449" s="236"/>
      <c r="AG449" s="152"/>
    </row>
    <row r="450">
      <c r="A450" s="166"/>
      <c r="B450" s="237" t="s">
        <v>122</v>
      </c>
      <c r="C450" s="168" t="s">
        <v>107</v>
      </c>
      <c r="D450" s="195">
        <f t="shared" si="379"/>
      </c>
      <c r="E450" s="169">
        <v>1007.5300000000001</v>
      </c>
      <c r="F450" s="170">
        <v>0</v>
      </c>
      <c r="G450" s="170">
        <v>2561.49</v>
      </c>
      <c r="H450" s="170">
        <v>2</v>
      </c>
      <c r="I450" s="170">
        <v>2536.9200000000055</v>
      </c>
      <c r="J450" s="171">
        <f t="shared" si="199"/>
      </c>
      <c r="K450" s="172">
        <f t="shared" si="109"/>
      </c>
      <c r="L450" s="173">
        <f t="shared" si="49"/>
      </c>
      <c r="M450" s="174">
        <f t="shared" si="139"/>
      </c>
      <c r="N450" s="172">
        <f t="shared" si="19"/>
      </c>
      <c r="O450" s="173">
        <f t="shared" si="470"/>
      </c>
      <c r="P450" s="172">
        <f t="shared" si="440"/>
      </c>
      <c r="Q450" s="172">
        <f t="shared" si="362"/>
      </c>
      <c r="R450" s="173">
        <f t="shared" si="332"/>
      </c>
      <c r="S450" s="175">
        <f t="shared" si="229"/>
      </c>
      <c r="T450" s="173">
        <f t="shared" si="169"/>
      </c>
      <c r="U450" s="176">
        <f t="shared" si="79"/>
      </c>
      <c r="V450" s="177" t="s">
        <v>108</v>
      </c>
      <c r="W450" s="178" t="s">
        <v>136</v>
      </c>
      <c r="X450" s="208">
        <v>2</v>
      </c>
      <c r="Y450" s="169">
        <v>12675</v>
      </c>
      <c r="Z450" s="169">
        <v>629</v>
      </c>
      <c r="AA450" s="169">
        <v>1227</v>
      </c>
      <c r="AB450" s="169">
        <v>153</v>
      </c>
      <c r="AC450" s="169">
        <v>34</v>
      </c>
      <c r="AD450" s="179">
        <v>2</v>
      </c>
      <c r="AE450" s="180">
        <v>12</v>
      </c>
      <c r="AF450" s="152"/>
      <c r="AG450" s="152"/>
    </row>
    <row r="451">
      <c r="A451" s="166"/>
      <c r="B451" s="235" t="s">
        <v>123</v>
      </c>
      <c r="C451" s="168" t="s">
        <v>107</v>
      </c>
      <c r="D451" s="195">
        <f t="shared" si="379"/>
      </c>
      <c r="E451" s="169">
        <v>1290.59</v>
      </c>
      <c r="F451" s="170">
        <v>0</v>
      </c>
      <c r="G451" s="170">
        <v>1929.97</v>
      </c>
      <c r="H451" s="170">
        <v>2</v>
      </c>
      <c r="I451" s="169">
        <v>10713.19999999999</v>
      </c>
      <c r="J451" s="171">
        <f t="shared" si="199"/>
      </c>
      <c r="K451" s="172">
        <f t="shared" si="109"/>
      </c>
      <c r="L451" s="173">
        <f t="shared" si="49"/>
      </c>
      <c r="M451" s="174">
        <f t="shared" si="139"/>
      </c>
      <c r="N451" s="172">
        <f t="shared" si="19"/>
      </c>
      <c r="O451" s="173">
        <f t="shared" si="470"/>
      </c>
      <c r="P451" s="172">
        <f t="shared" si="440"/>
      </c>
      <c r="Q451" s="172">
        <f t="shared" si="362"/>
      </c>
      <c r="R451" s="173">
        <f t="shared" si="332"/>
      </c>
      <c r="S451" s="175">
        <f t="shared" si="229"/>
      </c>
      <c r="T451" s="173">
        <f t="shared" si="169"/>
      </c>
      <c r="U451" s="176">
        <f t="shared" si="79"/>
      </c>
      <c r="V451" s="177" t="s">
        <v>108</v>
      </c>
      <c r="W451" s="178" t="s">
        <v>136</v>
      </c>
      <c r="X451" s="205">
        <v>1</v>
      </c>
      <c r="Y451" s="169">
        <v>13795</v>
      </c>
      <c r="Z451" s="169">
        <v>632</v>
      </c>
      <c r="AA451" s="169">
        <v>1146</v>
      </c>
      <c r="AB451" s="169">
        <v>138</v>
      </c>
      <c r="AC451" s="169">
        <v>30</v>
      </c>
      <c r="AD451" s="179">
        <v>2</v>
      </c>
      <c r="AE451" s="180">
        <v>16</v>
      </c>
      <c r="AF451" s="152"/>
      <c r="AG451" s="152"/>
    </row>
    <row r="452">
      <c r="A452" s="166"/>
      <c r="B452" s="237" t="s">
        <v>124</v>
      </c>
      <c r="C452" s="168" t="s">
        <v>107</v>
      </c>
      <c r="D452" s="195">
        <f t="shared" si="379"/>
      </c>
      <c r="E452" s="169">
        <v>1433.14</v>
      </c>
      <c r="F452" s="170">
        <v>0</v>
      </c>
      <c r="G452" s="170">
        <v>59.73</v>
      </c>
      <c r="H452" s="170">
        <v>0</v>
      </c>
      <c r="I452" s="170">
        <v>0</v>
      </c>
      <c r="J452" s="171">
        <f t="shared" si="199"/>
      </c>
      <c r="K452" s="172">
        <f t="shared" si="109"/>
      </c>
      <c r="L452" s="173">
        <f t="shared" si="49"/>
      </c>
      <c r="M452" s="174">
        <f t="shared" si="139"/>
      </c>
      <c r="N452" s="172">
        <f t="shared" si="19"/>
      </c>
      <c r="O452" s="173">
        <f t="shared" si="470"/>
      </c>
      <c r="P452" s="172">
        <f t="shared" si="440"/>
      </c>
      <c r="Q452" s="172">
        <f t="shared" si="362"/>
      </c>
      <c r="R452" s="173">
        <f t="shared" si="332"/>
      </c>
      <c r="S452" s="175">
        <f t="shared" si="229"/>
      </c>
      <c r="T452" s="173">
        <f t="shared" si="169"/>
      </c>
      <c r="U452" s="176">
        <f t="shared" si="79"/>
      </c>
      <c r="V452" s="177" t="s">
        <v>108</v>
      </c>
      <c r="W452" s="178" t="s">
        <v>136</v>
      </c>
      <c r="X452" s="205">
        <v>1</v>
      </c>
      <c r="Y452" s="169">
        <v>7850</v>
      </c>
      <c r="Z452" s="169">
        <v>236</v>
      </c>
      <c r="AA452" s="169">
        <v>324</v>
      </c>
      <c r="AB452" s="169">
        <v>63</v>
      </c>
      <c r="AC452" s="169">
        <v>13</v>
      </c>
      <c r="AD452" s="179">
        <v>0</v>
      </c>
      <c r="AE452" s="180">
        <v>4</v>
      </c>
      <c r="AF452" s="152"/>
      <c r="AG452" s="152"/>
    </row>
    <row r="453">
      <c r="A453" s="166"/>
      <c r="B453" s="232" t="s">
        <v>113</v>
      </c>
      <c r="C453" s="232"/>
      <c r="D453" s="184">
        <f>SUM(D449:D452)</f>
      </c>
      <c r="E453" s="185">
        <f>SUM(E449:E452)</f>
      </c>
      <c r="F453" s="185">
        <f>SUM(F449:F452)</f>
      </c>
      <c r="G453" s="185">
        <f>SUM(G449:G452)</f>
      </c>
      <c r="H453" s="185">
        <f>SUM(H449:H452)</f>
      </c>
      <c r="I453" s="185">
        <f>SUM(I449:I452)</f>
      </c>
      <c r="J453" s="186">
        <f t="shared" si="199"/>
      </c>
      <c r="K453" s="187">
        <f t="shared" si="109"/>
      </c>
      <c r="L453" s="188">
        <f t="shared" si="49"/>
      </c>
      <c r="M453" s="189">
        <f t="shared" si="139"/>
      </c>
      <c r="N453" s="187">
        <f t="shared" si="19"/>
      </c>
      <c r="O453" s="188">
        <f t="shared" si="470"/>
      </c>
      <c r="P453" s="187">
        <f t="shared" si="440"/>
      </c>
      <c r="Q453" s="187">
        <f t="shared" si="362"/>
      </c>
      <c r="R453" s="188">
        <f t="shared" si="332"/>
      </c>
      <c r="S453" s="190">
        <f t="shared" si="229"/>
      </c>
      <c r="T453" s="188">
        <f t="shared" si="169"/>
      </c>
      <c r="U453" s="191">
        <f t="shared" si="79"/>
      </c>
      <c r="V453" s="191"/>
      <c r="W453" s="191"/>
      <c r="X453" s="206">
        <f>SUM(X449:X452)</f>
      </c>
      <c r="Y453" s="185">
        <f>SUM(Y449:Y452)</f>
      </c>
      <c r="Z453" s="185">
        <f>SUM(Z449:Z452)</f>
      </c>
      <c r="AA453" s="185">
        <f>SUM(AA449:AA452)</f>
      </c>
      <c r="AB453" s="185">
        <f>SUM(AB449:AB452)</f>
      </c>
      <c r="AC453" s="185">
        <f>SUM(AC449:AC452)</f>
      </c>
      <c r="AD453" s="185">
        <f>SUM(AD449:AD452)</f>
      </c>
      <c r="AE453" s="185">
        <f>SUM(AE449:AE452)</f>
      </c>
      <c r="AF453" s="152"/>
      <c r="AG453" s="152"/>
    </row>
    <row r="454">
      <c r="A454" s="166"/>
      <c r="B454" s="237" t="s">
        <v>125</v>
      </c>
      <c r="C454" s="168" t="s">
        <v>137</v>
      </c>
      <c r="D454" s="195">
        <f t="shared" ref="D454:D457" si="380">E454+F454+G454</f>
      </c>
      <c r="E454" s="170">
        <v>1672.37</v>
      </c>
      <c r="F454" s="170">
        <v>0</v>
      </c>
      <c r="G454" s="170">
        <v>2132.75</v>
      </c>
      <c r="H454" s="170">
        <v>0</v>
      </c>
      <c r="I454" s="170">
        <v>0</v>
      </c>
      <c r="J454" s="171">
        <f t="shared" si="199"/>
      </c>
      <c r="K454" s="172">
        <f t="shared" si="109"/>
      </c>
      <c r="L454" s="173">
        <f t="shared" si="49"/>
      </c>
      <c r="M454" s="174">
        <f t="shared" si="139"/>
      </c>
      <c r="N454" s="172">
        <f t="shared" si="19"/>
      </c>
      <c r="O454" s="173">
        <f t="shared" si="470"/>
      </c>
      <c r="P454" s="172">
        <f t="shared" si="440"/>
      </c>
      <c r="Q454" s="172">
        <f t="shared" si="362"/>
      </c>
      <c r="R454" s="173">
        <f t="shared" si="332"/>
      </c>
      <c r="S454" s="175">
        <f t="shared" si="229"/>
      </c>
      <c r="T454" s="173">
        <f t="shared" si="169"/>
      </c>
      <c r="U454" s="176">
        <f t="shared" si="79"/>
      </c>
      <c r="V454" s="177" t="s">
        <v>108</v>
      </c>
      <c r="W454" s="178" t="s">
        <v>136</v>
      </c>
      <c r="X454" s="170">
        <v>0</v>
      </c>
      <c r="Y454" s="169">
        <v>13247</v>
      </c>
      <c r="Z454" s="169">
        <v>336</v>
      </c>
      <c r="AA454" s="169">
        <v>444</v>
      </c>
      <c r="AB454" s="169">
        <v>93</v>
      </c>
      <c r="AC454" s="179">
        <v>32</v>
      </c>
      <c r="AD454" s="179">
        <v>1</v>
      </c>
      <c r="AE454" s="180">
        <v>16</v>
      </c>
      <c r="AF454" s="152"/>
      <c r="AG454" s="152"/>
    </row>
    <row r="455">
      <c r="A455" s="166"/>
      <c r="B455" s="238" t="s">
        <v>127</v>
      </c>
      <c r="C455" s="168" t="s">
        <v>137</v>
      </c>
      <c r="D455" s="195">
        <f t="shared" si="380"/>
      </c>
      <c r="E455" s="169">
        <v>3046.5299999999997</v>
      </c>
      <c r="F455" s="170">
        <v>0</v>
      </c>
      <c r="G455" s="170">
        <v>2187.09</v>
      </c>
      <c r="H455" s="170">
        <v>1</v>
      </c>
      <c r="I455" s="170">
        <v>466.5599999999977</v>
      </c>
      <c r="J455" s="171">
        <f t="shared" si="199"/>
      </c>
      <c r="K455" s="172">
        <f t="shared" si="109"/>
      </c>
      <c r="L455" s="173">
        <f t="shared" si="49"/>
      </c>
      <c r="M455" s="174">
        <f t="shared" si="139"/>
      </c>
      <c r="N455" s="172">
        <f t="shared" si="19"/>
      </c>
      <c r="O455" s="173">
        <f t="shared" si="470"/>
      </c>
      <c r="P455" s="172">
        <f t="shared" si="440"/>
      </c>
      <c r="Q455" s="172">
        <f t="shared" si="362"/>
      </c>
      <c r="R455" s="173">
        <f t="shared" si="332"/>
      </c>
      <c r="S455" s="175">
        <f t="shared" si="229"/>
      </c>
      <c r="T455" s="173">
        <f t="shared" si="169"/>
      </c>
      <c r="U455" s="176">
        <f t="shared" si="79"/>
      </c>
      <c r="V455" s="177" t="s">
        <v>108</v>
      </c>
      <c r="W455" s="178" t="s">
        <v>136</v>
      </c>
      <c r="X455" s="208">
        <v>1</v>
      </c>
      <c r="Y455" s="169">
        <v>20471</v>
      </c>
      <c r="Z455" s="169">
        <v>430</v>
      </c>
      <c r="AA455" s="169">
        <v>680</v>
      </c>
      <c r="AB455" s="169">
        <v>87</v>
      </c>
      <c r="AC455" s="169">
        <v>37</v>
      </c>
      <c r="AD455" s="179">
        <v>1</v>
      </c>
      <c r="AE455" s="180">
        <v>28</v>
      </c>
      <c r="AF455" s="152"/>
      <c r="AG455" s="152"/>
    </row>
    <row r="456">
      <c r="A456" s="166"/>
      <c r="B456" s="238" t="s">
        <v>128</v>
      </c>
      <c r="C456" s="168" t="s">
        <v>137</v>
      </c>
      <c r="D456" s="195">
        <f t="shared" si="380"/>
      </c>
      <c r="E456" s="169">
        <v>1074.95</v>
      </c>
      <c r="F456" s="170">
        <v>0</v>
      </c>
      <c r="G456" s="170">
        <v>2203.9</v>
      </c>
      <c r="H456" s="170">
        <v>2</v>
      </c>
      <c r="I456" s="170">
        <v>4461.360000000001</v>
      </c>
      <c r="J456" s="171">
        <f t="shared" si="199"/>
      </c>
      <c r="K456" s="172">
        <f t="shared" si="109"/>
      </c>
      <c r="L456" s="173">
        <f t="shared" si="49"/>
      </c>
      <c r="M456" s="174">
        <f t="shared" si="139"/>
      </c>
      <c r="N456" s="172">
        <f t="shared" si="19"/>
      </c>
      <c r="O456" s="173">
        <f t="shared" si="470"/>
      </c>
      <c r="P456" s="172">
        <f t="shared" si="440"/>
      </c>
      <c r="Q456" s="172">
        <f t="shared" si="362"/>
      </c>
      <c r="R456" s="173">
        <f t="shared" si="332"/>
      </c>
      <c r="S456" s="175">
        <f t="shared" si="229"/>
      </c>
      <c r="T456" s="173">
        <f t="shared" si="169"/>
      </c>
      <c r="U456" s="176">
        <f t="shared" si="79"/>
      </c>
      <c r="V456" s="177" t="s">
        <v>108</v>
      </c>
      <c r="W456" s="178" t="s">
        <v>136</v>
      </c>
      <c r="X456" s="208">
        <v>2</v>
      </c>
      <c r="Y456" s="169">
        <v>12225</v>
      </c>
      <c r="Z456" s="169">
        <v>425</v>
      </c>
      <c r="AA456" s="169">
        <v>593</v>
      </c>
      <c r="AB456" s="169">
        <v>95</v>
      </c>
      <c r="AC456" s="169">
        <v>41</v>
      </c>
      <c r="AD456" s="179">
        <v>4</v>
      </c>
      <c r="AE456" s="180">
        <v>18</v>
      </c>
      <c r="AF456" s="152"/>
      <c r="AG456" s="152"/>
    </row>
    <row r="457">
      <c r="A457" s="166"/>
      <c r="B457" s="168" t="s">
        <v>129</v>
      </c>
      <c r="C457" s="168" t="s">
        <v>137</v>
      </c>
      <c r="D457" s="195">
        <f t="shared" si="380"/>
      </c>
      <c r="E457" s="170">
        <v>610.2</v>
      </c>
      <c r="F457" s="170">
        <v>0</v>
      </c>
      <c r="G457" s="170">
        <v>1728.03</v>
      </c>
      <c r="H457" s="170">
        <v>0</v>
      </c>
      <c r="I457" s="170">
        <v>0</v>
      </c>
      <c r="J457" s="171">
        <f t="shared" si="199"/>
      </c>
      <c r="K457" s="172">
        <f t="shared" si="109"/>
      </c>
      <c r="L457" s="173">
        <f t="shared" si="49"/>
      </c>
      <c r="M457" s="174">
        <f t="shared" si="139"/>
      </c>
      <c r="N457" s="172">
        <f t="shared" si="19"/>
      </c>
      <c r="O457" s="173">
        <f t="shared" si="470"/>
      </c>
      <c r="P457" s="172">
        <f t="shared" si="440"/>
      </c>
      <c r="Q457" s="172">
        <f t="shared" si="362"/>
      </c>
      <c r="R457" s="173">
        <f t="shared" si="332"/>
      </c>
      <c r="S457" s="175">
        <f t="shared" si="229"/>
      </c>
      <c r="T457" s="173">
        <f t="shared" si="169"/>
      </c>
      <c r="U457" s="176">
        <f t="shared" si="79"/>
      </c>
      <c r="V457" s="177" t="s">
        <v>108</v>
      </c>
      <c r="W457" s="178" t="s">
        <v>136</v>
      </c>
      <c r="X457" s="208">
        <v>0</v>
      </c>
      <c r="Y457" s="169">
        <v>9977</v>
      </c>
      <c r="Z457" s="169">
        <v>269</v>
      </c>
      <c r="AA457" s="169">
        <v>358</v>
      </c>
      <c r="AB457" s="169">
        <v>49</v>
      </c>
      <c r="AC457" s="169">
        <v>40</v>
      </c>
      <c r="AD457" s="179">
        <v>2</v>
      </c>
      <c r="AE457" s="230">
        <v>9</v>
      </c>
      <c r="AF457" s="152"/>
      <c r="AG457" s="152"/>
    </row>
    <row r="458">
      <c r="A458" s="166"/>
      <c r="B458" s="232" t="s">
        <v>113</v>
      </c>
      <c r="C458" s="232"/>
      <c r="D458" s="184">
        <f>SUM(D454:D457)</f>
      </c>
      <c r="E458" s="185">
        <f>SUM(E454:E457)</f>
      </c>
      <c r="F458" s="213">
        <f>SUM(F454:F457)</f>
      </c>
      <c r="G458" s="213">
        <f>SUM(G454:G457)</f>
      </c>
      <c r="H458" s="185">
        <f>SUM(H454:H457)</f>
      </c>
      <c r="I458" s="185">
        <f>SUM(I454:I457)</f>
      </c>
      <c r="J458" s="186">
        <f t="shared" si="199"/>
      </c>
      <c r="K458" s="187">
        <f t="shared" si="109"/>
      </c>
      <c r="L458" s="188">
        <f t="shared" si="49"/>
      </c>
      <c r="M458" s="189">
        <f t="shared" si="139"/>
      </c>
      <c r="N458" s="187">
        <f t="shared" si="19"/>
      </c>
      <c r="O458" s="188">
        <f t="shared" si="470"/>
      </c>
      <c r="P458" s="187">
        <f t="shared" si="440"/>
      </c>
      <c r="Q458" s="187">
        <f t="shared" si="362"/>
      </c>
      <c r="R458" s="188">
        <f t="shared" si="332"/>
      </c>
      <c r="S458" s="190">
        <f t="shared" si="229"/>
      </c>
      <c r="T458" s="188">
        <f t="shared" si="169"/>
      </c>
      <c r="U458" s="191">
        <f t="shared" si="79"/>
      </c>
      <c r="V458" s="191"/>
      <c r="W458" s="191"/>
      <c r="X458" s="206">
        <f>SUM(X454:X457)</f>
      </c>
      <c r="Y458" s="185">
        <f>SUM(Y454:Y457)</f>
      </c>
      <c r="Z458" s="185">
        <f>SUM(Z454:Z457)</f>
      </c>
      <c r="AA458" s="185">
        <f>SUM(AA454:AA457)</f>
      </c>
      <c r="AB458" s="185">
        <f>SUM(AB454:AB457)</f>
      </c>
      <c r="AC458" s="185">
        <f>SUM(AC454:AC457)</f>
      </c>
      <c r="AD458" s="231">
        <f>SUM(AD454:AD457)</f>
      </c>
      <c r="AE458" s="232">
        <f>SUM(AE454:AE457)</f>
      </c>
      <c r="AF458" s="152"/>
      <c r="AG458" s="152"/>
    </row>
    <row r="459">
      <c r="A459" s="166"/>
      <c r="B459" s="239" t="s">
        <v>130</v>
      </c>
      <c r="C459" s="239"/>
      <c r="D459" s="216">
        <f>D443+D448+D453+D458</f>
      </c>
      <c r="E459" s="217">
        <f>E443+E448+E453+E458</f>
      </c>
      <c r="F459" s="218">
        <f>F443+F448+F453+F458</f>
      </c>
      <c r="G459" s="218">
        <f>G443+G448+G453+G458</f>
      </c>
      <c r="H459" s="216">
        <f>H443+H448+H453+H458</f>
      </c>
      <c r="I459" s="216">
        <f>I443+I448+I453+I458</f>
      </c>
      <c r="J459" s="219">
        <f t="shared" si="199"/>
      </c>
      <c r="K459" s="220">
        <f t="shared" si="109"/>
      </c>
      <c r="L459" s="221">
        <f t="shared" si="49"/>
      </c>
      <c r="M459" s="222">
        <f t="shared" si="139"/>
      </c>
      <c r="N459" s="222">
        <f t="shared" si="19"/>
      </c>
      <c r="O459" s="221">
        <f t="shared" si="470"/>
      </c>
      <c r="P459" s="222">
        <f t="shared" si="440"/>
      </c>
      <c r="Q459" s="222">
        <f t="shared" si="362"/>
      </c>
      <c r="R459" s="221">
        <f t="shared" si="332"/>
      </c>
      <c r="S459" s="223">
        <f t="shared" si="229"/>
      </c>
      <c r="T459" s="221">
        <f t="shared" si="169"/>
      </c>
      <c r="U459" s="224">
        <f t="shared" si="79"/>
      </c>
      <c r="V459" s="224"/>
      <c r="W459" s="224"/>
      <c r="X459" s="219">
        <f>X443+X448+X453+X458</f>
      </c>
      <c r="Y459" s="219">
        <f>Y443+Y448+Y453+Y458</f>
      </c>
      <c r="Z459" s="219">
        <f>Z443+Z448+Z453+Z458</f>
      </c>
      <c r="AA459" s="219">
        <f>AA443+AA448+AA453+AA458</f>
      </c>
      <c r="AB459" s="219">
        <f>AB443+AB448+AB453+AB458</f>
      </c>
      <c r="AC459" s="219">
        <f>AC443+AC448+AC453+AC458</f>
      </c>
      <c r="AD459" s="233">
        <f>AD443+AD448+AD453+AD458</f>
      </c>
      <c r="AE459" s="218">
        <f>AE443+AE448+AE453+AE458</f>
      </c>
      <c r="AF459" s="152"/>
      <c r="AG459" s="152"/>
    </row>
    <row r="460">
      <c r="A460" s="240" t="s">
        <v>73</v>
      </c>
      <c r="B460" s="240"/>
      <c r="C460" s="240"/>
      <c r="D460" s="147" t="s">
        <v>74</v>
      </c>
      <c r="E460" s="147"/>
      <c r="F460" s="147"/>
      <c r="G460" s="147"/>
      <c r="H460" s="147"/>
      <c r="I460" s="147"/>
      <c r="J460" s="147"/>
      <c r="K460" s="148" t="s">
        <v>75</v>
      </c>
      <c r="L460" s="148"/>
      <c r="M460" s="148"/>
      <c r="N460" s="148"/>
      <c r="O460" s="148"/>
      <c r="P460" s="148"/>
      <c r="Q460" s="148"/>
      <c r="R460" s="148"/>
      <c r="S460" s="148"/>
      <c r="T460" s="148"/>
      <c r="U460" s="149"/>
      <c r="V460" s="149"/>
      <c r="W460" s="149"/>
      <c r="X460" s="150"/>
      <c r="Y460" s="150"/>
      <c r="Z460" s="150"/>
      <c r="AA460" s="150"/>
      <c r="AB460" s="150"/>
      <c r="AC460" s="150"/>
      <c r="AD460" s="150"/>
      <c r="AE460" s="151" t="s">
        <v>76</v>
      </c>
      <c r="AF460" s="152"/>
      <c r="AG460" s="152"/>
    </row>
    <row r="461">
      <c r="A461" s="240" t="s">
        <v>77</v>
      </c>
      <c r="B461" s="240" t="s">
        <v>78</v>
      </c>
      <c r="C461" s="240" t="s">
        <v>79</v>
      </c>
      <c r="D461" s="241" t="s">
        <v>80</v>
      </c>
      <c r="E461" s="225" t="s">
        <v>81</v>
      </c>
      <c r="F461" s="226" t="s">
        <v>82</v>
      </c>
      <c r="G461" s="227" t="s">
        <v>139</v>
      </c>
      <c r="H461" s="228" t="s">
        <v>83</v>
      </c>
      <c r="I461" s="157" t="s">
        <v>84</v>
      </c>
      <c r="J461" s="155" t="s">
        <v>85</v>
      </c>
      <c r="K461" s="158" t="s">
        <v>86</v>
      </c>
      <c r="L461" s="158" t="s">
        <v>87</v>
      </c>
      <c r="M461" s="159" t="s">
        <v>88</v>
      </c>
      <c r="N461" s="160" t="s">
        <v>89</v>
      </c>
      <c r="O461" s="148" t="s">
        <v>90</v>
      </c>
      <c r="P461" s="160" t="s">
        <v>91</v>
      </c>
      <c r="Q461" s="160" t="s">
        <v>92</v>
      </c>
      <c r="R461" s="161" t="s">
        <v>93</v>
      </c>
      <c r="S461" s="160" t="s">
        <v>94</v>
      </c>
      <c r="T461" s="161" t="s">
        <v>95</v>
      </c>
      <c r="U461" s="162" t="s">
        <v>96</v>
      </c>
      <c r="V461" s="162" t="s">
        <v>97</v>
      </c>
      <c r="W461" s="162" t="s">
        <v>98</v>
      </c>
      <c r="X461" s="163" t="s">
        <v>99</v>
      </c>
      <c r="Y461" s="164" t="s">
        <v>100</v>
      </c>
      <c r="Z461" s="164" t="s">
        <v>101</v>
      </c>
      <c r="AA461" s="164" t="s">
        <v>102</v>
      </c>
      <c r="AB461" s="164" t="s">
        <v>103</v>
      </c>
      <c r="AC461" s="164" t="s">
        <v>104</v>
      </c>
      <c r="AD461" s="165" t="s">
        <v>105</v>
      </c>
      <c r="AE461" s="151"/>
      <c r="AF461" s="152"/>
      <c r="AG461" s="152"/>
    </row>
    <row r="462">
      <c r="A462" s="242">
        <v>46286</v>
      </c>
      <c r="B462" s="243" t="s">
        <v>106</v>
      </c>
      <c r="C462" s="244" t="s">
        <v>120</v>
      </c>
      <c r="D462" s="169">
        <f t="shared" ref="D462:D465" si="381">E462+F462+G462</f>
      </c>
      <c r="E462" s="170">
        <v>2485.9700000000003</v>
      </c>
      <c r="F462" s="229">
        <v>948.24</v>
      </c>
      <c r="G462" s="229">
        <v>601.52</v>
      </c>
      <c r="H462" s="170">
        <v>1</v>
      </c>
      <c r="I462" s="170">
        <v>627</v>
      </c>
      <c r="J462" s="171">
        <f t="shared" ref="J462:J482" si="200">I462/D462</f>
      </c>
      <c r="K462" s="172">
        <f t="shared" ref="K462:K482" si="110">Z462/Y462</f>
      </c>
      <c r="L462" s="173">
        <f t="shared" ref="L462:L482" si="50">D462/AA462</f>
      </c>
      <c r="M462" s="174">
        <f t="shared" ref="M462:M482" si="140">AB462/AA462</f>
      </c>
      <c r="N462" s="172">
        <f t="shared" ref="N462:N482" si="20">AC462/AA462</f>
      </c>
      <c r="O462" s="173">
        <f t="shared" ref="O462:O482" si="471">D462/AC462</f>
      </c>
      <c r="P462" s="172">
        <f t="shared" ref="P462:P482" si="441">AD462/AC462</f>
      </c>
      <c r="Q462" s="172">
        <f t="shared" ref="Q462:Q482" si="363">H462/AD462</f>
      </c>
      <c r="R462" s="173">
        <f t="shared" ref="R462:R482" si="333">D462/H462</f>
      </c>
      <c r="S462" s="175">
        <f t="shared" ref="S462:S482" si="230">I462/H462</f>
      </c>
      <c r="T462" s="173">
        <f t="shared" ref="T462:T482" si="170">D462/X462</f>
      </c>
      <c r="U462" s="176">
        <f t="shared" ref="U462:U482" si="80">AE462*1000/D462</f>
      </c>
      <c r="V462" s="177" t="s">
        <v>108</v>
      </c>
      <c r="W462" s="178" t="s">
        <v>133</v>
      </c>
      <c r="X462" s="170">
        <v>1</v>
      </c>
      <c r="Y462" s="169">
        <v>13031</v>
      </c>
      <c r="Z462" s="169">
        <v>940</v>
      </c>
      <c r="AA462" s="169">
        <v>1742</v>
      </c>
      <c r="AB462" s="169">
        <v>365</v>
      </c>
      <c r="AC462" s="179">
        <v>37</v>
      </c>
      <c r="AD462" s="179">
        <v>1</v>
      </c>
      <c r="AE462" s="180">
        <v>29</v>
      </c>
      <c r="AF462" s="236"/>
      <c r="AG462" s="152"/>
    </row>
    <row r="463">
      <c r="A463" s="166"/>
      <c r="B463" s="181" t="s">
        <v>110</v>
      </c>
      <c r="C463" s="168" t="s">
        <v>120</v>
      </c>
      <c r="D463" s="169">
        <f t="shared" si="381"/>
      </c>
      <c r="E463" s="170">
        <v>2060.97</v>
      </c>
      <c r="F463" s="170">
        <v>706.94</v>
      </c>
      <c r="G463" s="170">
        <v>763.58</v>
      </c>
      <c r="H463" s="170">
        <v>2</v>
      </c>
      <c r="I463" s="170">
        <v>3479.76</v>
      </c>
      <c r="J463" s="171">
        <f t="shared" si="200"/>
      </c>
      <c r="K463" s="172">
        <f t="shared" si="110"/>
      </c>
      <c r="L463" s="173">
        <f t="shared" si="50"/>
      </c>
      <c r="M463" s="174">
        <f t="shared" si="140"/>
      </c>
      <c r="N463" s="172">
        <f t="shared" si="20"/>
      </c>
      <c r="O463" s="173">
        <f t="shared" si="471"/>
      </c>
      <c r="P463" s="172">
        <f t="shared" si="441"/>
      </c>
      <c r="Q463" s="172">
        <f t="shared" si="363"/>
      </c>
      <c r="R463" s="173">
        <f t="shared" si="333"/>
      </c>
      <c r="S463" s="175">
        <f t="shared" si="230"/>
      </c>
      <c r="T463" s="173">
        <f t="shared" si="170"/>
      </c>
      <c r="U463" s="176">
        <f t="shared" si="80"/>
      </c>
      <c r="V463" s="177" t="s">
        <v>108</v>
      </c>
      <c r="W463" s="178" t="s">
        <v>133</v>
      </c>
      <c r="X463" s="208">
        <v>2</v>
      </c>
      <c r="Y463" s="169">
        <v>7701</v>
      </c>
      <c r="Z463" s="169">
        <v>560</v>
      </c>
      <c r="AA463" s="169">
        <v>838</v>
      </c>
      <c r="AB463" s="169">
        <v>199</v>
      </c>
      <c r="AC463" s="169">
        <v>45</v>
      </c>
      <c r="AD463" s="179">
        <v>3</v>
      </c>
      <c r="AE463" s="180">
        <v>24</v>
      </c>
      <c r="AF463" s="236"/>
      <c r="AG463" s="152"/>
    </row>
    <row r="464">
      <c r="A464" s="166"/>
      <c r="B464" s="181" t="s">
        <v>111</v>
      </c>
      <c r="C464" s="168" t="s">
        <v>120</v>
      </c>
      <c r="D464" s="169">
        <f t="shared" si="381"/>
      </c>
      <c r="E464" s="169">
        <v>2826.75</v>
      </c>
      <c r="F464" s="169">
        <v>328.62</v>
      </c>
      <c r="G464" s="170">
        <v>914.59</v>
      </c>
      <c r="H464" s="170">
        <v>4</v>
      </c>
      <c r="I464" s="170">
        <v>11846.76</v>
      </c>
      <c r="J464" s="171">
        <f t="shared" si="200"/>
      </c>
      <c r="K464" s="172">
        <f t="shared" si="110"/>
      </c>
      <c r="L464" s="173">
        <f t="shared" si="50"/>
      </c>
      <c r="M464" s="174">
        <f t="shared" si="140"/>
      </c>
      <c r="N464" s="172">
        <f t="shared" si="20"/>
      </c>
      <c r="O464" s="173">
        <f t="shared" si="471"/>
      </c>
      <c r="P464" s="172">
        <f t="shared" si="441"/>
      </c>
      <c r="Q464" s="172">
        <f t="shared" si="363"/>
      </c>
      <c r="R464" s="173">
        <f t="shared" si="333"/>
      </c>
      <c r="S464" s="175">
        <f t="shared" si="230"/>
      </c>
      <c r="T464" s="173">
        <f t="shared" si="170"/>
      </c>
      <c r="U464" s="176">
        <f t="shared" si="80"/>
      </c>
      <c r="V464" s="177" t="s">
        <v>108</v>
      </c>
      <c r="W464" s="178" t="s">
        <v>133</v>
      </c>
      <c r="X464" s="205">
        <v>4</v>
      </c>
      <c r="Y464" s="169">
        <v>10842</v>
      </c>
      <c r="Z464" s="169">
        <v>570</v>
      </c>
      <c r="AA464" s="169">
        <v>720</v>
      </c>
      <c r="AB464" s="169">
        <v>168</v>
      </c>
      <c r="AC464" s="169">
        <v>69</v>
      </c>
      <c r="AD464" s="179">
        <v>6</v>
      </c>
      <c r="AE464" s="180">
        <v>30</v>
      </c>
      <c r="AF464" s="236"/>
      <c r="AG464" s="152"/>
    </row>
    <row r="465">
      <c r="A465" s="166"/>
      <c r="B465" s="183" t="s">
        <v>112</v>
      </c>
      <c r="C465" s="168" t="s">
        <v>120</v>
      </c>
      <c r="D465" s="169">
        <f t="shared" si="381"/>
      </c>
      <c r="E465" s="169">
        <v>4782.389999999999</v>
      </c>
      <c r="F465" s="169">
        <v>11.76</v>
      </c>
      <c r="G465" s="170">
        <v>705.36</v>
      </c>
      <c r="H465" s="170">
        <v>3</v>
      </c>
      <c r="I465" s="170">
        <v>7462.679999999997</v>
      </c>
      <c r="J465" s="171">
        <f t="shared" si="200"/>
      </c>
      <c r="K465" s="172">
        <f t="shared" si="110"/>
      </c>
      <c r="L465" s="173">
        <f t="shared" si="50"/>
      </c>
      <c r="M465" s="174">
        <f t="shared" si="140"/>
      </c>
      <c r="N465" s="172">
        <f t="shared" si="20"/>
      </c>
      <c r="O465" s="173">
        <f t="shared" si="471"/>
      </c>
      <c r="P465" s="172">
        <f t="shared" si="441"/>
      </c>
      <c r="Q465" s="172">
        <f t="shared" si="363"/>
      </c>
      <c r="R465" s="173">
        <f t="shared" si="333"/>
      </c>
      <c r="S465" s="175">
        <f t="shared" si="230"/>
      </c>
      <c r="T465" s="173">
        <f t="shared" si="170"/>
      </c>
      <c r="U465" s="176">
        <f t="shared" si="80"/>
      </c>
      <c r="V465" s="177" t="s">
        <v>108</v>
      </c>
      <c r="W465" s="178" t="s">
        <v>133</v>
      </c>
      <c r="X465" s="205">
        <v>2</v>
      </c>
      <c r="Y465" s="169">
        <v>15194</v>
      </c>
      <c r="Z465" s="169">
        <v>564</v>
      </c>
      <c r="AA465" s="169">
        <v>748</v>
      </c>
      <c r="AB465" s="169">
        <v>174</v>
      </c>
      <c r="AC465" s="169">
        <v>52</v>
      </c>
      <c r="AD465" s="179">
        <v>6</v>
      </c>
      <c r="AE465" s="180">
        <v>33</v>
      </c>
      <c r="AF465" s="236"/>
      <c r="AG465" s="152"/>
    </row>
    <row r="466">
      <c r="A466" s="166"/>
      <c r="B466" s="184" t="s">
        <v>113</v>
      </c>
      <c r="C466" s="184"/>
      <c r="D466" s="185">
        <f>D462+D463+D464+D465</f>
      </c>
      <c r="E466" s="185">
        <f>SUM(E462:E465)</f>
      </c>
      <c r="F466" s="185">
        <f>SUM(F462:F465)</f>
      </c>
      <c r="G466" s="185">
        <f>SUM(G462:G465)</f>
      </c>
      <c r="H466" s="185">
        <f>SUM(H462:H465)</f>
      </c>
      <c r="I466" s="185">
        <f>SUM(I462:I465)</f>
      </c>
      <c r="J466" s="186">
        <f t="shared" si="200"/>
      </c>
      <c r="K466" s="187">
        <f t="shared" si="110"/>
      </c>
      <c r="L466" s="188">
        <f t="shared" si="50"/>
      </c>
      <c r="M466" s="189">
        <f t="shared" si="140"/>
      </c>
      <c r="N466" s="187">
        <f t="shared" si="20"/>
      </c>
      <c r="O466" s="188">
        <f t="shared" si="471"/>
      </c>
      <c r="P466" s="187">
        <f t="shared" si="441"/>
      </c>
      <c r="Q466" s="187">
        <f t="shared" si="363"/>
      </c>
      <c r="R466" s="188">
        <f t="shared" si="333"/>
      </c>
      <c r="S466" s="190">
        <f t="shared" si="230"/>
      </c>
      <c r="T466" s="188">
        <f t="shared" si="170"/>
      </c>
      <c r="U466" s="191">
        <f t="shared" si="80"/>
      </c>
      <c r="V466" s="191"/>
      <c r="W466" s="191"/>
      <c r="X466" s="206">
        <f>SUM(X462:X465)</f>
      </c>
      <c r="Y466" s="185">
        <f>SUM(Y462:Y465)</f>
      </c>
      <c r="Z466" s="185">
        <f>SUM(Z462:Z465)</f>
      </c>
      <c r="AA466" s="185">
        <f>SUM(AA462:AA465)</f>
      </c>
      <c r="AB466" s="185">
        <f>SUM(AB462:AB465)</f>
      </c>
      <c r="AC466" s="185">
        <f>SUM(AC462:AC465)</f>
      </c>
      <c r="AD466" s="185">
        <f>SUM(AD462:AD465)</f>
      </c>
      <c r="AE466" s="185">
        <f>SUM(AE462:AE465)</f>
      </c>
      <c r="AF466" s="152"/>
      <c r="AG466" s="152"/>
    </row>
    <row r="467">
      <c r="A467" s="166"/>
      <c r="B467" s="181" t="s">
        <v>114</v>
      </c>
      <c r="C467" s="168" t="s">
        <v>107</v>
      </c>
      <c r="D467" s="169">
        <f t="shared" ref="D467:D470" si="382">E467+F467+G467</f>
      </c>
      <c r="E467" s="170">
        <v>2958.48</v>
      </c>
      <c r="F467" s="170">
        <v>4.44</v>
      </c>
      <c r="G467" s="170">
        <v>729.61</v>
      </c>
      <c r="H467" s="170">
        <v>3</v>
      </c>
      <c r="I467" s="170">
        <v>8422.919999999998</v>
      </c>
      <c r="J467" s="171">
        <f t="shared" si="200"/>
      </c>
      <c r="K467" s="172">
        <f t="shared" si="110"/>
      </c>
      <c r="L467" s="173">
        <f t="shared" si="50"/>
      </c>
      <c r="M467" s="174">
        <f t="shared" si="140"/>
      </c>
      <c r="N467" s="172">
        <f t="shared" si="20"/>
      </c>
      <c r="O467" s="173">
        <f t="shared" si="471"/>
      </c>
      <c r="P467" s="172">
        <f t="shared" si="441"/>
      </c>
      <c r="Q467" s="172">
        <f t="shared" si="363"/>
      </c>
      <c r="R467" s="173">
        <f t="shared" si="333"/>
      </c>
      <c r="S467" s="175">
        <f t="shared" si="230"/>
      </c>
      <c r="T467" s="173">
        <f t="shared" si="170"/>
      </c>
      <c r="U467" s="176">
        <f t="shared" si="80"/>
      </c>
      <c r="V467" s="177" t="s">
        <v>108</v>
      </c>
      <c r="W467" s="178" t="s">
        <v>133</v>
      </c>
      <c r="X467" s="170">
        <v>3</v>
      </c>
      <c r="Y467" s="170">
        <v>14014</v>
      </c>
      <c r="Z467" s="169">
        <v>483</v>
      </c>
      <c r="AA467" s="169">
        <v>671</v>
      </c>
      <c r="AB467" s="169">
        <v>117</v>
      </c>
      <c r="AC467" s="179">
        <v>37</v>
      </c>
      <c r="AD467" s="179">
        <v>3</v>
      </c>
      <c r="AE467" s="180">
        <v>20</v>
      </c>
      <c r="AF467" s="236"/>
      <c r="AG467" s="152"/>
    </row>
    <row r="468">
      <c r="A468" s="166"/>
      <c r="B468" s="181" t="s">
        <v>116</v>
      </c>
      <c r="C468" s="168" t="s">
        <v>107</v>
      </c>
      <c r="D468" s="169">
        <f t="shared" si="382"/>
      </c>
      <c r="E468" s="169">
        <v>3005.59</v>
      </c>
      <c r="F468" s="169">
        <v>7.23</v>
      </c>
      <c r="G468" s="170">
        <v>1677.62</v>
      </c>
      <c r="H468" s="170">
        <v>3</v>
      </c>
      <c r="I468" s="170">
        <v>20194.920000000006</v>
      </c>
      <c r="J468" s="171">
        <f t="shared" si="200"/>
      </c>
      <c r="K468" s="172">
        <f t="shared" si="110"/>
      </c>
      <c r="L468" s="173">
        <f t="shared" si="50"/>
      </c>
      <c r="M468" s="174">
        <f t="shared" si="140"/>
      </c>
      <c r="N468" s="172">
        <f t="shared" si="20"/>
      </c>
      <c r="O468" s="173">
        <f t="shared" si="471"/>
      </c>
      <c r="P468" s="172">
        <f t="shared" si="441"/>
      </c>
      <c r="Q468" s="172">
        <f t="shared" si="363"/>
      </c>
      <c r="R468" s="173">
        <f t="shared" si="333"/>
      </c>
      <c r="S468" s="175">
        <f t="shared" si="230"/>
      </c>
      <c r="T468" s="173">
        <f t="shared" si="170"/>
      </c>
      <c r="U468" s="176">
        <f t="shared" si="80"/>
      </c>
      <c r="V468" s="177" t="s">
        <v>108</v>
      </c>
      <c r="W468" s="178" t="s">
        <v>133</v>
      </c>
      <c r="X468" s="208">
        <v>1</v>
      </c>
      <c r="Y468" s="170">
        <v>10664</v>
      </c>
      <c r="Z468" s="170">
        <v>280</v>
      </c>
      <c r="AA468" s="169">
        <v>323</v>
      </c>
      <c r="AB468" s="170">
        <v>65</v>
      </c>
      <c r="AC468" s="170">
        <v>40</v>
      </c>
      <c r="AD468" s="179">
        <v>3</v>
      </c>
      <c r="AE468" s="180">
        <v>20</v>
      </c>
      <c r="AF468" s="236"/>
      <c r="AG468" s="152"/>
    </row>
    <row r="469">
      <c r="A469" s="166"/>
      <c r="B469" s="181" t="s">
        <v>117</v>
      </c>
      <c r="C469" s="168" t="s">
        <v>107</v>
      </c>
      <c r="D469" s="169">
        <f t="shared" si="382"/>
      </c>
      <c r="E469" s="169">
        <v>2453.49</v>
      </c>
      <c r="F469" s="169">
        <v>992.77</v>
      </c>
      <c r="G469" s="170">
        <v>1726.7</v>
      </c>
      <c r="H469" s="170">
        <v>3</v>
      </c>
      <c r="I469" s="169">
        <v>5182.399999999994</v>
      </c>
      <c r="J469" s="171">
        <f t="shared" si="200"/>
      </c>
      <c r="K469" s="172">
        <f t="shared" si="110"/>
      </c>
      <c r="L469" s="173">
        <f t="shared" si="50"/>
      </c>
      <c r="M469" s="174">
        <f t="shared" si="140"/>
      </c>
      <c r="N469" s="172">
        <f t="shared" si="20"/>
      </c>
      <c r="O469" s="173">
        <f t="shared" si="471"/>
      </c>
      <c r="P469" s="172">
        <f t="shared" si="441"/>
      </c>
      <c r="Q469" s="172">
        <f t="shared" si="363"/>
      </c>
      <c r="R469" s="173">
        <f t="shared" si="333"/>
      </c>
      <c r="S469" s="175">
        <f t="shared" si="230"/>
      </c>
      <c r="T469" s="173">
        <f t="shared" si="170"/>
      </c>
      <c r="U469" s="176">
        <f t="shared" si="80"/>
      </c>
      <c r="V469" s="177" t="s">
        <v>108</v>
      </c>
      <c r="W469" s="178" t="s">
        <v>133</v>
      </c>
      <c r="X469" s="208">
        <v>2</v>
      </c>
      <c r="Y469" s="170">
        <v>13223</v>
      </c>
      <c r="Z469" s="170">
        <v>831</v>
      </c>
      <c r="AA469" s="170">
        <v>1223</v>
      </c>
      <c r="AB469" s="170">
        <v>217</v>
      </c>
      <c r="AC469" s="170">
        <v>71</v>
      </c>
      <c r="AD469" s="179">
        <v>5</v>
      </c>
      <c r="AE469" s="180">
        <v>36</v>
      </c>
      <c r="AF469" s="236"/>
      <c r="AG469" s="152"/>
    </row>
    <row r="470">
      <c r="A470" s="166"/>
      <c r="B470" s="181" t="s">
        <v>118</v>
      </c>
      <c r="C470" s="168" t="s">
        <v>107</v>
      </c>
      <c r="D470" s="169">
        <f t="shared" si="382"/>
      </c>
      <c r="E470" s="169">
        <f>1473.47+1649.75</f>
      </c>
      <c r="F470" s="170">
        <v>0</v>
      </c>
      <c r="G470" s="170">
        <v>1571.65</v>
      </c>
      <c r="H470" s="170">
        <v>1</v>
      </c>
      <c r="I470" s="170">
        <v>873.0000000000073</v>
      </c>
      <c r="J470" s="171">
        <f t="shared" si="200"/>
      </c>
      <c r="K470" s="172">
        <f t="shared" si="110"/>
      </c>
      <c r="L470" s="173">
        <f t="shared" si="50"/>
      </c>
      <c r="M470" s="174">
        <f t="shared" si="140"/>
      </c>
      <c r="N470" s="172">
        <f t="shared" si="20"/>
      </c>
      <c r="O470" s="173">
        <f t="shared" si="471"/>
      </c>
      <c r="P470" s="172">
        <f t="shared" si="441"/>
      </c>
      <c r="Q470" s="172">
        <f t="shared" si="363"/>
      </c>
      <c r="R470" s="173">
        <f t="shared" si="333"/>
      </c>
      <c r="S470" s="175">
        <f t="shared" si="230"/>
      </c>
      <c r="T470" s="173">
        <f t="shared" si="170"/>
      </c>
      <c r="U470" s="176">
        <f t="shared" si="80"/>
      </c>
      <c r="V470" s="177" t="s">
        <v>108</v>
      </c>
      <c r="W470" s="178" t="s">
        <v>133</v>
      </c>
      <c r="X470" s="208">
        <v>1</v>
      </c>
      <c r="Y470" s="170">
        <v>15425</v>
      </c>
      <c r="Z470" s="170">
        <v>741</v>
      </c>
      <c r="AA470" s="170">
        <v>958</v>
      </c>
      <c r="AB470" s="170">
        <v>191</v>
      </c>
      <c r="AC470" s="170">
        <v>61</v>
      </c>
      <c r="AD470" s="179">
        <v>3</v>
      </c>
      <c r="AE470" s="180">
        <v>13</v>
      </c>
      <c r="AF470" s="236"/>
      <c r="AG470" s="152"/>
    </row>
    <row r="471">
      <c r="A471" s="166"/>
      <c r="B471" s="184" t="s">
        <v>113</v>
      </c>
      <c r="C471" s="184"/>
      <c r="D471" s="185">
        <f>SUM(D467:D470)</f>
      </c>
      <c r="E471" s="185">
        <f>SUM(E467:E470)</f>
      </c>
      <c r="F471" s="185">
        <f>SUM(F467:F470)</f>
      </c>
      <c r="G471" s="185">
        <f>SUM(G467:G470)</f>
      </c>
      <c r="H471" s="185">
        <f>SUM(H467:H470)</f>
      </c>
      <c r="I471" s="185">
        <f>SUM(I467:I470)</f>
      </c>
      <c r="J471" s="186">
        <f t="shared" si="200"/>
      </c>
      <c r="K471" s="187">
        <f t="shared" si="110"/>
      </c>
      <c r="L471" s="188">
        <f t="shared" si="50"/>
      </c>
      <c r="M471" s="189">
        <f t="shared" si="140"/>
      </c>
      <c r="N471" s="187">
        <f t="shared" si="20"/>
      </c>
      <c r="O471" s="188">
        <f t="shared" si="471"/>
      </c>
      <c r="P471" s="187">
        <f t="shared" si="441"/>
      </c>
      <c r="Q471" s="187">
        <f t="shared" si="363"/>
      </c>
      <c r="R471" s="188">
        <f t="shared" si="333"/>
      </c>
      <c r="S471" s="190">
        <f t="shared" si="230"/>
      </c>
      <c r="T471" s="188">
        <f t="shared" si="170"/>
      </c>
      <c r="U471" s="191">
        <f t="shared" si="80"/>
      </c>
      <c r="V471" s="191"/>
      <c r="W471" s="191"/>
      <c r="X471" s="206">
        <f>SUM(X467:X470)</f>
      </c>
      <c r="Y471" s="185">
        <f>SUM(Y467:Y470)</f>
      </c>
      <c r="Z471" s="185">
        <f>SUM(Z467:Z470)</f>
      </c>
      <c r="AA471" s="185">
        <f>SUM(AA467:AA470)</f>
      </c>
      <c r="AB471" s="185">
        <f>SUM(AB467:AB470)</f>
      </c>
      <c r="AC471" s="185">
        <f>SUM(AC467:AC470)</f>
      </c>
      <c r="AD471" s="185">
        <f>SUM(AD467:AD470)</f>
      </c>
      <c r="AE471" s="185">
        <f>SUM(AE467:AE470)</f>
      </c>
      <c r="AF471" s="152"/>
      <c r="AG471" s="152"/>
    </row>
    <row r="472">
      <c r="A472" s="166"/>
      <c r="B472" s="192" t="s">
        <v>119</v>
      </c>
      <c r="C472" s="168" t="s">
        <v>115</v>
      </c>
      <c r="D472" s="169">
        <f t="shared" ref="D472:D475" si="383">E472+F472+G472</f>
      </c>
      <c r="E472" s="170">
        <f>735.72+348.32</f>
      </c>
      <c r="F472" s="170">
        <v>0</v>
      </c>
      <c r="G472" s="170">
        <v>2876.91</v>
      </c>
      <c r="H472" s="170">
        <v>2</v>
      </c>
      <c r="I472" s="170">
        <v>1123.1999999999898</v>
      </c>
      <c r="J472" s="171">
        <f t="shared" si="200"/>
      </c>
      <c r="K472" s="172">
        <f t="shared" si="110"/>
      </c>
      <c r="L472" s="173">
        <f t="shared" si="50"/>
      </c>
      <c r="M472" s="174">
        <f t="shared" si="140"/>
      </c>
      <c r="N472" s="172">
        <f t="shared" si="20"/>
      </c>
      <c r="O472" s="173">
        <f t="shared" si="471"/>
      </c>
      <c r="P472" s="172">
        <f t="shared" si="441"/>
      </c>
      <c r="Q472" s="172">
        <f t="shared" si="363"/>
      </c>
      <c r="R472" s="173">
        <f t="shared" si="333"/>
      </c>
      <c r="S472" s="175">
        <f t="shared" si="230"/>
      </c>
      <c r="T472" s="173">
        <f t="shared" si="170"/>
      </c>
      <c r="U472" s="176">
        <f t="shared" si="80"/>
      </c>
      <c r="V472" s="177" t="s">
        <v>108</v>
      </c>
      <c r="W472" s="178" t="s">
        <v>140</v>
      </c>
      <c r="X472" s="170">
        <v>2</v>
      </c>
      <c r="Y472" s="170">
        <v>9875</v>
      </c>
      <c r="Z472" s="170">
        <v>584</v>
      </c>
      <c r="AA472" s="169">
        <v>901</v>
      </c>
      <c r="AB472" s="170">
        <v>137</v>
      </c>
      <c r="AC472" s="179">
        <v>60</v>
      </c>
      <c r="AD472" s="179">
        <v>3</v>
      </c>
      <c r="AE472" s="180">
        <v>15</v>
      </c>
      <c r="AF472" s="236"/>
      <c r="AG472" s="152"/>
    </row>
    <row r="473">
      <c r="A473" s="166"/>
      <c r="B473" s="194" t="s">
        <v>122</v>
      </c>
      <c r="C473" s="168" t="s">
        <v>115</v>
      </c>
      <c r="D473" s="169">
        <f t="shared" si="383"/>
      </c>
      <c r="E473" s="169">
        <v>899.11</v>
      </c>
      <c r="F473" s="170">
        <v>0</v>
      </c>
      <c r="G473" s="170">
        <v>1791.18</v>
      </c>
      <c r="H473" s="170">
        <v>2</v>
      </c>
      <c r="I473" s="170">
        <v>2966.040000000001</v>
      </c>
      <c r="J473" s="171">
        <f t="shared" si="200"/>
      </c>
      <c r="K473" s="172">
        <f t="shared" si="110"/>
      </c>
      <c r="L473" s="173">
        <f t="shared" si="50"/>
      </c>
      <c r="M473" s="174">
        <f t="shared" si="140"/>
      </c>
      <c r="N473" s="172">
        <f t="shared" si="20"/>
      </c>
      <c r="O473" s="173">
        <f t="shared" si="471"/>
      </c>
      <c r="P473" s="172">
        <f t="shared" si="441"/>
      </c>
      <c r="Q473" s="172">
        <f t="shared" si="363"/>
      </c>
      <c r="R473" s="173">
        <f t="shared" si="333"/>
      </c>
      <c r="S473" s="175">
        <f t="shared" si="230"/>
      </c>
      <c r="T473" s="173">
        <f t="shared" si="170"/>
      </c>
      <c r="U473" s="176">
        <f t="shared" si="80"/>
      </c>
      <c r="V473" s="177" t="s">
        <v>108</v>
      </c>
      <c r="W473" s="178" t="s">
        <v>140</v>
      </c>
      <c r="X473" s="208">
        <v>2</v>
      </c>
      <c r="Y473" s="169">
        <v>7133</v>
      </c>
      <c r="Z473" s="169">
        <v>819</v>
      </c>
      <c r="AA473" s="169">
        <v>634</v>
      </c>
      <c r="AB473" s="169">
        <v>126</v>
      </c>
      <c r="AC473" s="169">
        <v>36</v>
      </c>
      <c r="AD473" s="179">
        <v>3</v>
      </c>
      <c r="AE473" s="180">
        <v>16</v>
      </c>
      <c r="AF473" s="152"/>
      <c r="AG473" s="152"/>
    </row>
    <row r="474">
      <c r="A474" s="166"/>
      <c r="B474" s="210" t="s">
        <v>123</v>
      </c>
      <c r="C474" s="168" t="s">
        <v>115</v>
      </c>
      <c r="D474" s="169">
        <f t="shared" si="383"/>
      </c>
      <c r="E474" s="169">
        <v>467.06</v>
      </c>
      <c r="F474" s="170">
        <v>0</v>
      </c>
      <c r="G474" s="170">
        <v>1695.29</v>
      </c>
      <c r="H474" s="170">
        <v>0</v>
      </c>
      <c r="I474" s="169">
        <v>0</v>
      </c>
      <c r="J474" s="171">
        <f t="shared" si="200"/>
      </c>
      <c r="K474" s="172">
        <f t="shared" si="110"/>
      </c>
      <c r="L474" s="173">
        <f t="shared" si="50"/>
      </c>
      <c r="M474" s="174">
        <f t="shared" si="140"/>
      </c>
      <c r="N474" s="172">
        <f t="shared" si="20"/>
      </c>
      <c r="O474" s="173">
        <f t="shared" si="471"/>
      </c>
      <c r="P474" s="172">
        <f t="shared" si="441"/>
      </c>
      <c r="Q474" s="172">
        <f t="shared" si="363"/>
      </c>
      <c r="R474" s="173">
        <f t="shared" si="333"/>
      </c>
      <c r="S474" s="175">
        <f t="shared" si="230"/>
      </c>
      <c r="T474" s="173">
        <f t="shared" si="170"/>
      </c>
      <c r="U474" s="176">
        <f t="shared" si="80"/>
      </c>
      <c r="V474" s="177" t="s">
        <v>108</v>
      </c>
      <c r="W474" s="178" t="s">
        <v>140</v>
      </c>
      <c r="X474" s="208">
        <v>0</v>
      </c>
      <c r="Y474" s="169">
        <v>8460</v>
      </c>
      <c r="Z474" s="169">
        <v>471</v>
      </c>
      <c r="AA474" s="169">
        <v>707</v>
      </c>
      <c r="AB474" s="169">
        <v>103</v>
      </c>
      <c r="AC474" s="169">
        <v>27</v>
      </c>
      <c r="AD474" s="179">
        <v>3</v>
      </c>
      <c r="AE474" s="180">
        <v>12</v>
      </c>
      <c r="AF474" s="152"/>
      <c r="AG474" s="152"/>
    </row>
    <row r="475">
      <c r="A475" s="166"/>
      <c r="B475" s="183" t="s">
        <v>124</v>
      </c>
      <c r="C475" s="168" t="s">
        <v>115</v>
      </c>
      <c r="D475" s="169">
        <f t="shared" si="383"/>
      </c>
      <c r="E475" s="169">
        <v>1883.96</v>
      </c>
      <c r="F475" s="170">
        <v>0</v>
      </c>
      <c r="G475" s="170">
        <v>1904.28</v>
      </c>
      <c r="H475" s="170">
        <v>2</v>
      </c>
      <c r="I475" s="170">
        <v>4887.479999999996</v>
      </c>
      <c r="J475" s="171">
        <f t="shared" si="200"/>
      </c>
      <c r="K475" s="172">
        <f t="shared" si="110"/>
      </c>
      <c r="L475" s="173">
        <f t="shared" si="50"/>
      </c>
      <c r="M475" s="174">
        <f t="shared" si="140"/>
      </c>
      <c r="N475" s="172">
        <f t="shared" si="20"/>
      </c>
      <c r="O475" s="173">
        <f t="shared" si="471"/>
      </c>
      <c r="P475" s="172">
        <f t="shared" si="441"/>
      </c>
      <c r="Q475" s="172">
        <f t="shared" si="363"/>
      </c>
      <c r="R475" s="173">
        <f t="shared" si="333"/>
      </c>
      <c r="S475" s="175">
        <f t="shared" si="230"/>
      </c>
      <c r="T475" s="173">
        <f t="shared" si="170"/>
      </c>
      <c r="U475" s="176">
        <f t="shared" si="80"/>
      </c>
      <c r="V475" s="177" t="s">
        <v>108</v>
      </c>
      <c r="W475" s="178" t="s">
        <v>140</v>
      </c>
      <c r="X475" s="205">
        <v>2</v>
      </c>
      <c r="Y475" s="169">
        <v>12163</v>
      </c>
      <c r="Z475" s="169">
        <v>572</v>
      </c>
      <c r="AA475" s="169">
        <v>703</v>
      </c>
      <c r="AB475" s="169">
        <v>95</v>
      </c>
      <c r="AC475" s="169">
        <v>45</v>
      </c>
      <c r="AD475" s="179">
        <v>4</v>
      </c>
      <c r="AE475" s="180">
        <v>26</v>
      </c>
      <c r="AF475" s="152"/>
      <c r="AG475" s="152"/>
    </row>
    <row r="476">
      <c r="A476" s="166"/>
      <c r="B476" s="184" t="s">
        <v>113</v>
      </c>
      <c r="C476" s="184"/>
      <c r="D476" s="185">
        <f>SUM(D472:D475)</f>
      </c>
      <c r="E476" s="185">
        <f>SUM(E472:E475)</f>
      </c>
      <c r="F476" s="185">
        <f>SUM(F472:F475)</f>
      </c>
      <c r="G476" s="185">
        <f>SUM(G472:G475)</f>
      </c>
      <c r="H476" s="185">
        <f>SUM(H472:H475)</f>
      </c>
      <c r="I476" s="185">
        <f>SUM(I472:I475)</f>
      </c>
      <c r="J476" s="186">
        <f t="shared" si="200"/>
      </c>
      <c r="K476" s="187">
        <f t="shared" si="110"/>
      </c>
      <c r="L476" s="188">
        <f t="shared" si="50"/>
      </c>
      <c r="M476" s="189">
        <f t="shared" si="140"/>
      </c>
      <c r="N476" s="187">
        <f t="shared" si="20"/>
      </c>
      <c r="O476" s="188">
        <f t="shared" si="471"/>
      </c>
      <c r="P476" s="187">
        <f t="shared" si="441"/>
      </c>
      <c r="Q476" s="187">
        <f t="shared" si="363"/>
      </c>
      <c r="R476" s="188">
        <f t="shared" si="333"/>
      </c>
      <c r="S476" s="190">
        <f t="shared" si="230"/>
      </c>
      <c r="T476" s="188">
        <f t="shared" si="170"/>
      </c>
      <c r="U476" s="191">
        <f t="shared" si="80"/>
      </c>
      <c r="V476" s="191"/>
      <c r="W476" s="191"/>
      <c r="X476" s="206">
        <f>SUM(X472:X475)</f>
      </c>
      <c r="Y476" s="185">
        <f>SUM(Y472:Y475)</f>
      </c>
      <c r="Z476" s="185">
        <f>SUM(Z472:Z475)</f>
      </c>
      <c r="AA476" s="185">
        <f>SUM(AA472:AA475)</f>
      </c>
      <c r="AB476" s="185">
        <f>SUM(AB472:AB475)</f>
      </c>
      <c r="AC476" s="185">
        <f>SUM(AC472:AC475)</f>
      </c>
      <c r="AD476" s="185">
        <f>SUM(AD472:AD475)</f>
      </c>
      <c r="AE476" s="185">
        <f>SUM(AE472:AE475)</f>
      </c>
      <c r="AF476" s="152"/>
      <c r="AG476" s="152"/>
    </row>
    <row r="477">
      <c r="A477" s="166"/>
      <c r="B477" s="181" t="s">
        <v>125</v>
      </c>
      <c r="C477" s="168" t="s">
        <v>126</v>
      </c>
      <c r="D477" s="169">
        <f t="shared" ref="D477:D480" si="384">E477+F477+G477</f>
      </c>
      <c r="E477" s="170">
        <v>2393.02</v>
      </c>
      <c r="F477" s="170">
        <v>0</v>
      </c>
      <c r="G477" s="170">
        <v>1710.94</v>
      </c>
      <c r="H477" s="170">
        <v>1</v>
      </c>
      <c r="I477" s="170">
        <v>1033.5599999999977</v>
      </c>
      <c r="J477" s="171">
        <f t="shared" si="200"/>
      </c>
      <c r="K477" s="172">
        <f t="shared" si="110"/>
      </c>
      <c r="L477" s="173">
        <f t="shared" si="50"/>
      </c>
      <c r="M477" s="174">
        <f t="shared" si="140"/>
      </c>
      <c r="N477" s="172">
        <f t="shared" si="20"/>
      </c>
      <c r="O477" s="173">
        <f t="shared" si="471"/>
      </c>
      <c r="P477" s="172">
        <f t="shared" si="441"/>
      </c>
      <c r="Q477" s="172">
        <f t="shared" si="363"/>
      </c>
      <c r="R477" s="173">
        <f t="shared" si="333"/>
      </c>
      <c r="S477" s="175">
        <f t="shared" si="230"/>
      </c>
      <c r="T477" s="173">
        <f t="shared" si="170"/>
      </c>
      <c r="U477" s="176">
        <f t="shared" si="80"/>
      </c>
      <c r="V477" s="177" t="s">
        <v>108</v>
      </c>
      <c r="W477" s="178" t="s">
        <v>140</v>
      </c>
      <c r="X477" s="170">
        <v>1</v>
      </c>
      <c r="Y477" s="169">
        <v>11575</v>
      </c>
      <c r="Z477" s="169">
        <v>597</v>
      </c>
      <c r="AA477" s="169">
        <v>734</v>
      </c>
      <c r="AB477" s="169">
        <v>116</v>
      </c>
      <c r="AC477" s="179">
        <v>47</v>
      </c>
      <c r="AD477" s="179">
        <v>3</v>
      </c>
      <c r="AE477" s="180">
        <v>29</v>
      </c>
      <c r="AF477" s="152"/>
      <c r="AG477" s="152"/>
    </row>
    <row r="478">
      <c r="A478" s="166"/>
      <c r="B478" s="195" t="s">
        <v>127</v>
      </c>
      <c r="C478" s="168" t="s">
        <v>126</v>
      </c>
      <c r="D478" s="169">
        <f t="shared" si="384"/>
      </c>
      <c r="E478" s="169">
        <v>1924.47</v>
      </c>
      <c r="F478" s="170">
        <v>0</v>
      </c>
      <c r="G478" s="170">
        <v>861.26</v>
      </c>
      <c r="H478" s="170">
        <v>1</v>
      </c>
      <c r="I478" s="170">
        <v>737.6399999999994</v>
      </c>
      <c r="J478" s="171">
        <f t="shared" si="200"/>
      </c>
      <c r="K478" s="172">
        <f t="shared" si="110"/>
      </c>
      <c r="L478" s="173">
        <f t="shared" si="50"/>
      </c>
      <c r="M478" s="174">
        <f t="shared" si="140"/>
      </c>
      <c r="N478" s="172">
        <f t="shared" si="20"/>
      </c>
      <c r="O478" s="173">
        <f t="shared" si="471"/>
      </c>
      <c r="P478" s="172">
        <f t="shared" si="441"/>
      </c>
      <c r="Q478" s="172">
        <f t="shared" si="363"/>
      </c>
      <c r="R478" s="173">
        <f t="shared" si="333"/>
      </c>
      <c r="S478" s="175">
        <f t="shared" si="230"/>
      </c>
      <c r="T478" s="173">
        <f t="shared" si="170"/>
      </c>
      <c r="U478" s="176">
        <f t="shared" si="80"/>
      </c>
      <c r="V478" s="177" t="s">
        <v>108</v>
      </c>
      <c r="W478" s="178" t="s">
        <v>140</v>
      </c>
      <c r="X478" s="208">
        <v>1</v>
      </c>
      <c r="Y478" s="169">
        <v>8503</v>
      </c>
      <c r="Z478" s="169">
        <v>317</v>
      </c>
      <c r="AA478" s="169">
        <v>397</v>
      </c>
      <c r="AB478" s="169">
        <v>73</v>
      </c>
      <c r="AC478" s="169">
        <v>41</v>
      </c>
      <c r="AD478" s="179">
        <v>2</v>
      </c>
      <c r="AE478" s="180">
        <v>13</v>
      </c>
      <c r="AF478" s="152"/>
      <c r="AG478" s="152"/>
    </row>
    <row r="479">
      <c r="A479" s="166"/>
      <c r="B479" s="195" t="s">
        <v>128</v>
      </c>
      <c r="C479" s="168" t="s">
        <v>126</v>
      </c>
      <c r="D479" s="169">
        <f t="shared" si="384"/>
      </c>
      <c r="E479" s="169">
        <v>2446.93</v>
      </c>
      <c r="F479" s="170">
        <v>0</v>
      </c>
      <c r="G479" s="170">
        <v>875.51</v>
      </c>
      <c r="H479" s="170">
        <v>3</v>
      </c>
      <c r="I479" s="170">
        <v>2105.279999999999</v>
      </c>
      <c r="J479" s="171">
        <f t="shared" si="200"/>
      </c>
      <c r="K479" s="172">
        <f t="shared" si="110"/>
      </c>
      <c r="L479" s="173">
        <f t="shared" si="50"/>
      </c>
      <c r="M479" s="174">
        <f t="shared" si="140"/>
      </c>
      <c r="N479" s="172">
        <f t="shared" si="20"/>
      </c>
      <c r="O479" s="173">
        <f t="shared" si="471"/>
      </c>
      <c r="P479" s="172">
        <f t="shared" si="441"/>
      </c>
      <c r="Q479" s="172">
        <f t="shared" si="363"/>
      </c>
      <c r="R479" s="173">
        <f t="shared" si="333"/>
      </c>
      <c r="S479" s="175">
        <f t="shared" si="230"/>
      </c>
      <c r="T479" s="173">
        <f t="shared" si="170"/>
      </c>
      <c r="U479" s="176">
        <f t="shared" si="80"/>
      </c>
      <c r="V479" s="177" t="s">
        <v>108</v>
      </c>
      <c r="W479" s="178" t="s">
        <v>140</v>
      </c>
      <c r="X479" s="208">
        <v>3</v>
      </c>
      <c r="Y479" s="169">
        <v>10640</v>
      </c>
      <c r="Z479" s="169">
        <v>432</v>
      </c>
      <c r="AA479" s="169">
        <v>541</v>
      </c>
      <c r="AB479" s="169">
        <v>110</v>
      </c>
      <c r="AC479" s="169">
        <v>51</v>
      </c>
      <c r="AD479" s="179">
        <v>3</v>
      </c>
      <c r="AE479" s="180">
        <v>20</v>
      </c>
      <c r="AF479" s="152"/>
      <c r="AG479" s="152"/>
    </row>
    <row r="480">
      <c r="A480" s="166"/>
      <c r="B480" s="212" t="s">
        <v>129</v>
      </c>
      <c r="C480" s="168" t="s">
        <v>126</v>
      </c>
      <c r="D480" s="169">
        <f t="shared" si="384"/>
      </c>
      <c r="E480" s="170">
        <v>484.32</v>
      </c>
      <c r="F480" s="170">
        <v>0</v>
      </c>
      <c r="G480" s="170">
        <v>376.93</v>
      </c>
      <c r="H480" s="170">
        <v>0</v>
      </c>
      <c r="I480" s="170">
        <v>0</v>
      </c>
      <c r="J480" s="171">
        <f t="shared" si="200"/>
      </c>
      <c r="K480" s="172">
        <f t="shared" si="110"/>
      </c>
      <c r="L480" s="173">
        <f t="shared" si="50"/>
      </c>
      <c r="M480" s="174">
        <f t="shared" si="140"/>
      </c>
      <c r="N480" s="172">
        <f t="shared" si="20"/>
      </c>
      <c r="O480" s="173">
        <f t="shared" si="471"/>
      </c>
      <c r="P480" s="172">
        <f t="shared" si="441"/>
      </c>
      <c r="Q480" s="172">
        <f t="shared" si="363"/>
      </c>
      <c r="R480" s="173">
        <f t="shared" si="333"/>
      </c>
      <c r="S480" s="175">
        <f t="shared" si="230"/>
      </c>
      <c r="T480" s="173">
        <f t="shared" si="170"/>
      </c>
      <c r="U480" s="176">
        <f t="shared" si="80"/>
      </c>
      <c r="V480" s="177" t="s">
        <v>108</v>
      </c>
      <c r="W480" s="178" t="s">
        <v>140</v>
      </c>
      <c r="X480" s="208">
        <v>0</v>
      </c>
      <c r="Y480" s="169">
        <v>2003</v>
      </c>
      <c r="Z480" s="169">
        <v>128</v>
      </c>
      <c r="AA480" s="169">
        <v>158</v>
      </c>
      <c r="AB480" s="169">
        <v>19</v>
      </c>
      <c r="AC480" s="169">
        <v>17</v>
      </c>
      <c r="AD480" s="179">
        <v>0</v>
      </c>
      <c r="AE480" s="230">
        <v>5</v>
      </c>
      <c r="AF480" s="152"/>
      <c r="AG480" s="152"/>
    </row>
    <row r="481">
      <c r="A481" s="166"/>
      <c r="B481" s="184" t="s">
        <v>113</v>
      </c>
      <c r="C481" s="184"/>
      <c r="D481" s="185">
        <f>SUM(D477:D480)</f>
      </c>
      <c r="E481" s="185">
        <f>SUM(E477:E480)</f>
      </c>
      <c r="F481" s="213">
        <f>SUM(F477:F480)</f>
      </c>
      <c r="G481" s="213">
        <f>SUM(G477:G480)</f>
      </c>
      <c r="H481" s="185">
        <f>SUM(H477:H480)</f>
      </c>
      <c r="I481" s="185">
        <f>SUM(I477:I480)</f>
      </c>
      <c r="J481" s="186">
        <f t="shared" si="200"/>
      </c>
      <c r="K481" s="187">
        <f t="shared" si="110"/>
      </c>
      <c r="L481" s="188">
        <f t="shared" si="50"/>
      </c>
      <c r="M481" s="189">
        <f t="shared" si="140"/>
      </c>
      <c r="N481" s="187">
        <f t="shared" si="20"/>
      </c>
      <c r="O481" s="188">
        <f t="shared" si="471"/>
      </c>
      <c r="P481" s="187">
        <f t="shared" si="441"/>
      </c>
      <c r="Q481" s="187">
        <f t="shared" si="363"/>
      </c>
      <c r="R481" s="188">
        <f t="shared" si="333"/>
      </c>
      <c r="S481" s="190">
        <f t="shared" si="230"/>
      </c>
      <c r="T481" s="188">
        <f t="shared" si="170"/>
      </c>
      <c r="U481" s="191">
        <f t="shared" si="80"/>
      </c>
      <c r="V481" s="191"/>
      <c r="W481" s="191"/>
      <c r="X481" s="206">
        <f>SUM(X477:X480)</f>
      </c>
      <c r="Y481" s="185">
        <f>SUM(Y477:Y480)</f>
      </c>
      <c r="Z481" s="185">
        <f>SUM(Z477:Z480)</f>
      </c>
      <c r="AA481" s="185">
        <f>SUM(AA477:AA480)</f>
      </c>
      <c r="AB481" s="185">
        <f>SUM(AB477:AB480)</f>
      </c>
      <c r="AC481" s="185">
        <f>SUM(AC477:AC480)</f>
      </c>
      <c r="AD481" s="231">
        <f>SUM(AD477:AD480)</f>
      </c>
      <c r="AE481" s="232">
        <f>SUM(AE477:AE480)</f>
      </c>
      <c r="AF481" s="152"/>
      <c r="AG481" s="152"/>
    </row>
    <row r="482">
      <c r="A482" s="166"/>
      <c r="B482" s="215" t="s">
        <v>130</v>
      </c>
      <c r="C482" s="215"/>
      <c r="D482" s="216">
        <f>D466+D471+D476+D481</f>
      </c>
      <c r="E482" s="217">
        <f>E466+E471+E476+E481</f>
      </c>
      <c r="F482" s="218">
        <f>F466+F471+F476+F481</f>
      </c>
      <c r="G482" s="218">
        <f>G466+G471+G476+G481</f>
      </c>
      <c r="H482" s="216">
        <f>H466+H471+H476+H481</f>
      </c>
      <c r="I482" s="216">
        <f>I466+I471+I476+I481</f>
      </c>
      <c r="J482" s="219">
        <f t="shared" si="200"/>
      </c>
      <c r="K482" s="220">
        <f t="shared" si="110"/>
      </c>
      <c r="L482" s="221">
        <f t="shared" si="50"/>
      </c>
      <c r="M482" s="222">
        <f t="shared" si="140"/>
      </c>
      <c r="N482" s="222">
        <f t="shared" si="20"/>
      </c>
      <c r="O482" s="221">
        <f t="shared" si="471"/>
      </c>
      <c r="P482" s="222">
        <f t="shared" si="441"/>
      </c>
      <c r="Q482" s="222">
        <f t="shared" si="363"/>
      </c>
      <c r="R482" s="221">
        <f t="shared" si="333"/>
      </c>
      <c r="S482" s="223">
        <f t="shared" si="230"/>
      </c>
      <c r="T482" s="221">
        <f t="shared" si="170"/>
      </c>
      <c r="U482" s="224">
        <f t="shared" si="80"/>
      </c>
      <c r="V482" s="224"/>
      <c r="W482" s="224"/>
      <c r="X482" s="219">
        <f>X466+X471+X476+X481</f>
      </c>
      <c r="Y482" s="219">
        <f>Y466+Y471+Y476+Y481</f>
      </c>
      <c r="Z482" s="219">
        <f>Z466+Z471+Z476+Z481</f>
      </c>
      <c r="AA482" s="219">
        <f>AA466+AA471+AA476+AA481</f>
      </c>
      <c r="AB482" s="219">
        <f>AB466+AB471+AB476+AB481</f>
      </c>
      <c r="AC482" s="219">
        <f>AC466+AC471+AC476+AC481</f>
      </c>
      <c r="AD482" s="233">
        <f>AD466+AD471+AD476+AD481</f>
      </c>
      <c r="AE482" s="218">
        <f>AE466+AE471+AE476+AE481</f>
      </c>
      <c r="AF482" s="152"/>
      <c r="AG482" s="152"/>
    </row>
    <row r="483">
      <c r="A483" s="240" t="s">
        <v>73</v>
      </c>
      <c r="B483" s="240"/>
      <c r="C483" s="240"/>
      <c r="D483" s="147" t="s">
        <v>74</v>
      </c>
      <c r="E483" s="147"/>
      <c r="F483" s="147"/>
      <c r="G483" s="147"/>
      <c r="H483" s="147"/>
      <c r="I483" s="147"/>
      <c r="J483" s="147"/>
      <c r="K483" s="148" t="s">
        <v>75</v>
      </c>
      <c r="L483" s="148"/>
      <c r="M483" s="148"/>
      <c r="N483" s="148"/>
      <c r="O483" s="148"/>
      <c r="P483" s="148"/>
      <c r="Q483" s="148"/>
      <c r="R483" s="148"/>
      <c r="S483" s="148"/>
      <c r="T483" s="148"/>
      <c r="U483" s="149"/>
      <c r="V483" s="149"/>
      <c r="W483" s="149"/>
      <c r="X483" s="150"/>
      <c r="Y483" s="150"/>
      <c r="Z483" s="150"/>
      <c r="AA483" s="150"/>
      <c r="AB483" s="150"/>
      <c r="AC483" s="150"/>
      <c r="AD483" s="150"/>
      <c r="AE483" s="151" t="s">
        <v>76</v>
      </c>
      <c r="AF483" s="152"/>
      <c r="AG483" s="152"/>
    </row>
    <row r="484">
      <c r="A484" s="240" t="s">
        <v>77</v>
      </c>
      <c r="B484" s="240" t="s">
        <v>78</v>
      </c>
      <c r="C484" s="240" t="s">
        <v>79</v>
      </c>
      <c r="D484" s="241" t="s">
        <v>80</v>
      </c>
      <c r="E484" s="225" t="s">
        <v>81</v>
      </c>
      <c r="F484" s="226" t="s">
        <v>82</v>
      </c>
      <c r="G484" s="227" t="s">
        <v>139</v>
      </c>
      <c r="H484" s="228" t="s">
        <v>83</v>
      </c>
      <c r="I484" s="157" t="s">
        <v>84</v>
      </c>
      <c r="J484" s="155" t="s">
        <v>85</v>
      </c>
      <c r="K484" s="158" t="s">
        <v>86</v>
      </c>
      <c r="L484" s="158" t="s">
        <v>87</v>
      </c>
      <c r="M484" s="159" t="s">
        <v>88</v>
      </c>
      <c r="N484" s="160" t="s">
        <v>89</v>
      </c>
      <c r="O484" s="148" t="s">
        <v>90</v>
      </c>
      <c r="P484" s="160" t="s">
        <v>91</v>
      </c>
      <c r="Q484" s="160" t="s">
        <v>92</v>
      </c>
      <c r="R484" s="161" t="s">
        <v>93</v>
      </c>
      <c r="S484" s="160" t="s">
        <v>94</v>
      </c>
      <c r="T484" s="161" t="s">
        <v>95</v>
      </c>
      <c r="U484" s="162" t="s">
        <v>96</v>
      </c>
      <c r="V484" s="162" t="s">
        <v>97</v>
      </c>
      <c r="W484" s="162" t="s">
        <v>98</v>
      </c>
      <c r="X484" s="163" t="s">
        <v>99</v>
      </c>
      <c r="Y484" s="164" t="s">
        <v>100</v>
      </c>
      <c r="Z484" s="164" t="s">
        <v>101</v>
      </c>
      <c r="AA484" s="164" t="s">
        <v>102</v>
      </c>
      <c r="AB484" s="164" t="s">
        <v>103</v>
      </c>
      <c r="AC484" s="164" t="s">
        <v>104</v>
      </c>
      <c r="AD484" s="165" t="s">
        <v>105</v>
      </c>
      <c r="AE484" s="151"/>
      <c r="AF484" s="152"/>
      <c r="AG484" s="152"/>
    </row>
    <row r="485">
      <c r="A485" s="242">
        <v>46287</v>
      </c>
      <c r="B485" s="243" t="s">
        <v>106</v>
      </c>
      <c r="C485" s="168" t="s">
        <v>107</v>
      </c>
      <c r="D485" s="169">
        <f t="shared" ref="D485:D488" si="385">E485+F485+G485</f>
      </c>
      <c r="E485" s="170">
        <v>2923.65</v>
      </c>
      <c r="F485" s="229">
        <v>952.8</v>
      </c>
      <c r="G485" s="229">
        <v>338.71</v>
      </c>
      <c r="H485" s="170">
        <v>3</v>
      </c>
      <c r="I485" s="170">
        <v>4156.200000000001</v>
      </c>
      <c r="J485" s="171">
        <f t="shared" ref="J485:J503" si="201">I485/D485</f>
      </c>
      <c r="K485" s="172">
        <f t="shared" ref="K485:K503" si="111">Z485/Y485</f>
      </c>
      <c r="L485" s="173">
        <f t="shared" ref="L485:L503" si="51">D485/AA485</f>
      </c>
      <c r="M485" s="174">
        <f t="shared" ref="M485:M503" si="141">AB485/AA485</f>
      </c>
      <c r="N485" s="172">
        <f t="shared" ref="N485:N503" si="21">AC485/AA485</f>
      </c>
      <c r="O485" s="173">
        <f t="shared" ref="O485:O503" si="472">D485/AC485</f>
      </c>
      <c r="P485" s="172">
        <f t="shared" ref="P485:P503" si="442">AD485/AC485</f>
      </c>
      <c r="Q485" s="172">
        <f t="shared" ref="Q485:Q503" si="364">H485/AD485</f>
      </c>
      <c r="R485" s="173">
        <f t="shared" ref="R485:R503" si="334">D485/H485</f>
      </c>
      <c r="S485" s="175">
        <f t="shared" ref="S485:S503" si="231">I485/H485</f>
      </c>
      <c r="T485" s="173">
        <f t="shared" ref="T485:T503" si="171">D485/X485</f>
      </c>
      <c r="U485" s="176">
        <f t="shared" ref="U485:U503" si="81">AE485*1000/D485</f>
      </c>
      <c r="V485" s="177" t="s">
        <v>108</v>
      </c>
      <c r="W485" s="178" t="s">
        <v>133</v>
      </c>
      <c r="X485" s="170">
        <v>1</v>
      </c>
      <c r="Y485" s="169">
        <v>13044</v>
      </c>
      <c r="Z485" s="169">
        <v>1089</v>
      </c>
      <c r="AA485" s="169">
        <v>1887</v>
      </c>
      <c r="AB485" s="169">
        <v>414</v>
      </c>
      <c r="AC485" s="179">
        <v>48</v>
      </c>
      <c r="AD485" s="179">
        <v>4</v>
      </c>
      <c r="AE485" s="180">
        <v>37</v>
      </c>
      <c r="AF485" s="236"/>
      <c r="AG485" s="152"/>
    </row>
    <row r="486">
      <c r="A486" s="242"/>
      <c r="B486" s="181" t="s">
        <v>110</v>
      </c>
      <c r="C486" s="168" t="s">
        <v>107</v>
      </c>
      <c r="D486" s="169">
        <f t="shared" si="385"/>
      </c>
      <c r="E486" s="170">
        <v>2652</v>
      </c>
      <c r="F486" s="170">
        <v>955.13</v>
      </c>
      <c r="G486" s="170">
        <v>841.43</v>
      </c>
      <c r="H486" s="170">
        <v>0</v>
      </c>
      <c r="I486" s="170">
        <v>0</v>
      </c>
      <c r="J486" s="171">
        <f t="shared" si="201"/>
      </c>
      <c r="K486" s="172">
        <f t="shared" si="111"/>
      </c>
      <c r="L486" s="173">
        <f t="shared" si="51"/>
      </c>
      <c r="M486" s="174">
        <f t="shared" si="141"/>
      </c>
      <c r="N486" s="172">
        <f t="shared" si="21"/>
      </c>
      <c r="O486" s="173">
        <f t="shared" si="472"/>
      </c>
      <c r="P486" s="172">
        <f t="shared" si="442"/>
      </c>
      <c r="Q486" s="172">
        <f t="shared" si="364"/>
      </c>
      <c r="R486" s="173">
        <f t="shared" si="334"/>
      </c>
      <c r="S486" s="175">
        <f t="shared" si="231"/>
      </c>
      <c r="T486" s="173">
        <f t="shared" si="171"/>
      </c>
      <c r="U486" s="176">
        <f t="shared" si="81"/>
      </c>
      <c r="V486" s="177" t="s">
        <v>108</v>
      </c>
      <c r="W486" s="178" t="s">
        <v>133</v>
      </c>
      <c r="X486" s="208">
        <v>0</v>
      </c>
      <c r="Y486" s="169">
        <v>9689</v>
      </c>
      <c r="Z486" s="169">
        <v>616</v>
      </c>
      <c r="AA486" s="169">
        <v>771</v>
      </c>
      <c r="AB486" s="169">
        <v>183</v>
      </c>
      <c r="AC486" s="169">
        <v>52</v>
      </c>
      <c r="AD486" s="179">
        <v>2</v>
      </c>
      <c r="AE486" s="180">
        <v>22</v>
      </c>
      <c r="AF486" s="236"/>
      <c r="AG486" s="152"/>
    </row>
    <row r="487">
      <c r="A487" s="242"/>
      <c r="B487" s="181" t="s">
        <v>111</v>
      </c>
      <c r="C487" s="168" t="s">
        <v>107</v>
      </c>
      <c r="D487" s="169">
        <f t="shared" si="385"/>
      </c>
      <c r="E487" s="169">
        <v>1534.3000000000002</v>
      </c>
      <c r="F487" s="169">
        <v>59.71</v>
      </c>
      <c r="G487" s="170">
        <v>1152.16</v>
      </c>
      <c r="H487" s="170">
        <v>2</v>
      </c>
      <c r="I487" s="170">
        <v>8387.759999999998</v>
      </c>
      <c r="J487" s="171">
        <f t="shared" si="201"/>
      </c>
      <c r="K487" s="172">
        <f t="shared" si="111"/>
      </c>
      <c r="L487" s="173">
        <f t="shared" si="51"/>
      </c>
      <c r="M487" s="174">
        <f t="shared" si="141"/>
      </c>
      <c r="N487" s="172">
        <f t="shared" si="21"/>
      </c>
      <c r="O487" s="173">
        <f t="shared" si="472"/>
      </c>
      <c r="P487" s="172">
        <f t="shared" si="442"/>
      </c>
      <c r="Q487" s="172">
        <f t="shared" si="364"/>
      </c>
      <c r="R487" s="173">
        <f t="shared" si="334"/>
      </c>
      <c r="S487" s="175">
        <f t="shared" si="231"/>
      </c>
      <c r="T487" s="173">
        <f t="shared" si="171"/>
      </c>
      <c r="U487" s="176">
        <f t="shared" si="81"/>
      </c>
      <c r="V487" s="177" t="s">
        <v>108</v>
      </c>
      <c r="W487" s="178" t="s">
        <v>133</v>
      </c>
      <c r="X487" s="205">
        <v>1</v>
      </c>
      <c r="Y487" s="169">
        <v>4460</v>
      </c>
      <c r="Z487" s="169">
        <v>164</v>
      </c>
      <c r="AA487" s="169">
        <v>191</v>
      </c>
      <c r="AB487" s="169">
        <v>46</v>
      </c>
      <c r="AC487" s="169">
        <v>24</v>
      </c>
      <c r="AD487" s="179">
        <v>2</v>
      </c>
      <c r="AE487" s="180">
        <v>9</v>
      </c>
      <c r="AF487" s="236"/>
      <c r="AG487" s="152"/>
    </row>
    <row r="488">
      <c r="A488" s="242"/>
      <c r="B488" s="183" t="s">
        <v>112</v>
      </c>
      <c r="C488" s="168" t="s">
        <v>107</v>
      </c>
      <c r="D488" s="169">
        <f t="shared" si="385"/>
      </c>
      <c r="E488" s="169">
        <v>2269.61</v>
      </c>
      <c r="F488" s="170">
        <v>32.36</v>
      </c>
      <c r="G488" s="170">
        <v>307.28</v>
      </c>
      <c r="H488" s="170">
        <v>0</v>
      </c>
      <c r="I488" s="170">
        <v>0</v>
      </c>
      <c r="J488" s="171">
        <f t="shared" si="201"/>
      </c>
      <c r="K488" s="172">
        <f t="shared" si="111"/>
      </c>
      <c r="L488" s="173">
        <f t="shared" si="51"/>
      </c>
      <c r="M488" s="174">
        <f t="shared" si="141"/>
      </c>
      <c r="N488" s="172">
        <f t="shared" si="21"/>
      </c>
      <c r="O488" s="173">
        <f t="shared" si="472"/>
      </c>
      <c r="P488" s="172">
        <f t="shared" si="442"/>
      </c>
      <c r="Q488" s="172">
        <f t="shared" si="364"/>
      </c>
      <c r="R488" s="173">
        <f t="shared" si="334"/>
      </c>
      <c r="S488" s="175">
        <f t="shared" si="231"/>
      </c>
      <c r="T488" s="173">
        <f t="shared" si="171"/>
      </c>
      <c r="U488" s="176">
        <f t="shared" si="81"/>
      </c>
      <c r="V488" s="177" t="s">
        <v>108</v>
      </c>
      <c r="W488" s="178" t="s">
        <v>133</v>
      </c>
      <c r="X488" s="205">
        <v>0</v>
      </c>
      <c r="Y488" s="169">
        <v>7348</v>
      </c>
      <c r="Z488" s="169">
        <v>390</v>
      </c>
      <c r="AA488" s="169">
        <v>481</v>
      </c>
      <c r="AB488" s="169">
        <v>100</v>
      </c>
      <c r="AC488" s="169">
        <v>25</v>
      </c>
      <c r="AD488" s="179">
        <v>1</v>
      </c>
      <c r="AE488" s="180">
        <v>17</v>
      </c>
      <c r="AF488" s="236"/>
      <c r="AG488" s="152"/>
    </row>
    <row r="489">
      <c r="A489" s="242"/>
      <c r="B489" s="184" t="s">
        <v>113</v>
      </c>
      <c r="C489" s="184"/>
      <c r="D489" s="185">
        <f>D485+D486+D487+D488</f>
      </c>
      <c r="E489" s="185">
        <f>SUM(E485:E488)</f>
      </c>
      <c r="F489" s="185">
        <f>SUM(F485:F488)</f>
      </c>
      <c r="G489" s="185">
        <f>SUM(G485:G488)</f>
      </c>
      <c r="H489" s="185">
        <f>SUM(H485:H488)</f>
      </c>
      <c r="I489" s="185">
        <f>SUM(I485:I488)</f>
      </c>
      <c r="J489" s="186">
        <f t="shared" si="201"/>
      </c>
      <c r="K489" s="187">
        <f t="shared" si="111"/>
      </c>
      <c r="L489" s="188">
        <f t="shared" si="51"/>
      </c>
      <c r="M489" s="189">
        <f t="shared" si="141"/>
      </c>
      <c r="N489" s="187">
        <f t="shared" si="21"/>
      </c>
      <c r="O489" s="188">
        <f t="shared" si="472"/>
      </c>
      <c r="P489" s="187">
        <f t="shared" si="442"/>
      </c>
      <c r="Q489" s="187">
        <f t="shared" si="364"/>
      </c>
      <c r="R489" s="188">
        <f t="shared" si="334"/>
      </c>
      <c r="S489" s="190">
        <f t="shared" si="231"/>
      </c>
      <c r="T489" s="188">
        <f t="shared" si="171"/>
      </c>
      <c r="U489" s="191">
        <f t="shared" si="81"/>
      </c>
      <c r="V489" s="191"/>
      <c r="W489" s="191"/>
      <c r="X489" s="206">
        <f>SUM(X485:X488)</f>
      </c>
      <c r="Y489" s="185">
        <f>SUM(Y485:Y488)</f>
      </c>
      <c r="Z489" s="185">
        <f>SUM(Z485:Z488)</f>
      </c>
      <c r="AA489" s="185">
        <f>SUM(AA485:AA488)</f>
      </c>
      <c r="AB489" s="185">
        <f>SUM(AB485:AB488)</f>
      </c>
      <c r="AC489" s="185">
        <f>SUM(AC485:AC488)</f>
      </c>
      <c r="AD489" s="185">
        <f>SUM(AD485:AD488)</f>
      </c>
      <c r="AE489" s="185">
        <f>SUM(AE485:AE488)</f>
      </c>
      <c r="AF489" s="152"/>
      <c r="AG489" s="152"/>
    </row>
    <row r="490">
      <c r="A490" s="242"/>
      <c r="B490" s="181" t="s">
        <v>114</v>
      </c>
      <c r="C490" s="244" t="s">
        <v>120</v>
      </c>
      <c r="D490" s="169">
        <f t="shared" ref="D490:D493" si="386">E490+F490+G490</f>
      </c>
      <c r="E490" s="170">
        <v>1295.87</v>
      </c>
      <c r="F490" s="170">
        <v>1015.99</v>
      </c>
      <c r="G490" s="170">
        <v>153.94</v>
      </c>
      <c r="H490" s="170">
        <v>2</v>
      </c>
      <c r="I490" s="170">
        <v>5921.760000000002</v>
      </c>
      <c r="J490" s="171">
        <f t="shared" si="201"/>
      </c>
      <c r="K490" s="172">
        <f t="shared" si="111"/>
      </c>
      <c r="L490" s="173">
        <f t="shared" si="51"/>
      </c>
      <c r="M490" s="174">
        <f t="shared" si="141"/>
      </c>
      <c r="N490" s="172">
        <f t="shared" si="21"/>
      </c>
      <c r="O490" s="173">
        <f t="shared" si="472"/>
      </c>
      <c r="P490" s="172">
        <f t="shared" si="442"/>
      </c>
      <c r="Q490" s="172">
        <f t="shared" si="364"/>
      </c>
      <c r="R490" s="173">
        <f t="shared" si="334"/>
      </c>
      <c r="S490" s="175">
        <f t="shared" si="231"/>
      </c>
      <c r="T490" s="173">
        <f t="shared" si="171"/>
      </c>
      <c r="U490" s="176">
        <f t="shared" si="81"/>
      </c>
      <c r="V490" s="177" t="s">
        <v>108</v>
      </c>
      <c r="W490" s="178" t="s">
        <v>133</v>
      </c>
      <c r="X490" s="170">
        <v>2</v>
      </c>
      <c r="Y490" s="170">
        <v>6447</v>
      </c>
      <c r="Z490" s="169">
        <v>374</v>
      </c>
      <c r="AA490" s="169">
        <v>477</v>
      </c>
      <c r="AB490" s="169">
        <v>111</v>
      </c>
      <c r="AC490" s="179">
        <v>37</v>
      </c>
      <c r="AD490" s="179">
        <v>3</v>
      </c>
      <c r="AE490" s="180">
        <v>16</v>
      </c>
      <c r="AF490" s="236"/>
      <c r="AG490" s="152"/>
    </row>
    <row r="491">
      <c r="A491" s="242"/>
      <c r="B491" s="181" t="s">
        <v>116</v>
      </c>
      <c r="C491" s="168" t="s">
        <v>120</v>
      </c>
      <c r="D491" s="169">
        <f t="shared" si="386"/>
      </c>
      <c r="E491" s="169">
        <v>1695.63</v>
      </c>
      <c r="F491" s="169">
        <v>484.01</v>
      </c>
      <c r="G491" s="170">
        <v>186.43</v>
      </c>
      <c r="H491" s="170">
        <v>0</v>
      </c>
      <c r="I491" s="170">
        <v>0</v>
      </c>
      <c r="J491" s="171">
        <f t="shared" si="201"/>
      </c>
      <c r="K491" s="172">
        <f t="shared" si="111"/>
      </c>
      <c r="L491" s="173">
        <f t="shared" si="51"/>
      </c>
      <c r="M491" s="174">
        <f t="shared" si="141"/>
      </c>
      <c r="N491" s="172">
        <f t="shared" si="21"/>
      </c>
      <c r="O491" s="173">
        <f t="shared" si="472"/>
      </c>
      <c r="P491" s="172">
        <f t="shared" si="442"/>
      </c>
      <c r="Q491" s="172">
        <f t="shared" si="364"/>
      </c>
      <c r="R491" s="173">
        <f t="shared" si="334"/>
      </c>
      <c r="S491" s="175">
        <f t="shared" si="231"/>
      </c>
      <c r="T491" s="173">
        <f t="shared" si="171"/>
      </c>
      <c r="U491" s="176">
        <f t="shared" si="81"/>
      </c>
      <c r="V491" s="177" t="s">
        <v>108</v>
      </c>
      <c r="W491" s="178" t="s">
        <v>133</v>
      </c>
      <c r="X491" s="208">
        <v>0</v>
      </c>
      <c r="Y491" s="170">
        <v>4283</v>
      </c>
      <c r="Z491" s="170">
        <v>180</v>
      </c>
      <c r="AA491" s="169">
        <v>201</v>
      </c>
      <c r="AB491" s="170">
        <v>57</v>
      </c>
      <c r="AC491" s="170">
        <v>31</v>
      </c>
      <c r="AD491" s="179">
        <v>2</v>
      </c>
      <c r="AE491" s="180">
        <v>14</v>
      </c>
      <c r="AF491" s="236"/>
      <c r="AG491" s="152"/>
    </row>
    <row r="492">
      <c r="A492" s="242"/>
      <c r="B492" s="181" t="s">
        <v>117</v>
      </c>
      <c r="C492" s="168" t="s">
        <v>120</v>
      </c>
      <c r="D492" s="169">
        <f t="shared" si="386"/>
      </c>
      <c r="E492" s="169">
        <v>438.49</v>
      </c>
      <c r="F492" s="169">
        <v>340.69</v>
      </c>
      <c r="G492" s="170">
        <v>219.32</v>
      </c>
      <c r="H492" s="170">
        <v>1</v>
      </c>
      <c r="I492" s="169">
        <v>561.5999999999985</v>
      </c>
      <c r="J492" s="171">
        <f t="shared" si="201"/>
      </c>
      <c r="K492" s="172">
        <f t="shared" si="111"/>
      </c>
      <c r="L492" s="173">
        <f t="shared" si="51"/>
      </c>
      <c r="M492" s="174">
        <f t="shared" si="141"/>
      </c>
      <c r="N492" s="172">
        <f t="shared" si="21"/>
      </c>
      <c r="O492" s="173">
        <f t="shared" si="472"/>
      </c>
      <c r="P492" s="172">
        <f t="shared" si="442"/>
      </c>
      <c r="Q492" s="172">
        <f t="shared" si="364"/>
      </c>
      <c r="R492" s="173">
        <f t="shared" si="334"/>
      </c>
      <c r="S492" s="175">
        <f t="shared" si="231"/>
      </c>
      <c r="T492" s="173">
        <f t="shared" si="171"/>
      </c>
      <c r="U492" s="176">
        <f t="shared" si="81"/>
      </c>
      <c r="V492" s="177" t="s">
        <v>108</v>
      </c>
      <c r="W492" s="178" t="s">
        <v>133</v>
      </c>
      <c r="X492" s="208">
        <v>1</v>
      </c>
      <c r="Y492" s="170">
        <v>2292</v>
      </c>
      <c r="Z492" s="170">
        <v>120</v>
      </c>
      <c r="AA492" s="170">
        <v>156</v>
      </c>
      <c r="AB492" s="170">
        <v>41</v>
      </c>
      <c r="AC492" s="170">
        <v>18</v>
      </c>
      <c r="AD492" s="179">
        <v>1</v>
      </c>
      <c r="AE492" s="180">
        <v>15</v>
      </c>
      <c r="AF492" s="236"/>
      <c r="AG492" s="152"/>
    </row>
    <row r="493">
      <c r="A493" s="242"/>
      <c r="B493" s="181" t="s">
        <v>118</v>
      </c>
      <c r="C493" s="168" t="s">
        <v>120</v>
      </c>
      <c r="D493" s="169">
        <f t="shared" si="386"/>
      </c>
      <c r="E493" s="169">
        <v>1593.5</v>
      </c>
      <c r="F493" s="170">
        <v>1529.41</v>
      </c>
      <c r="G493" s="170">
        <v>0</v>
      </c>
      <c r="H493" s="170">
        <v>1</v>
      </c>
      <c r="I493" s="170">
        <v>561.5999999999985</v>
      </c>
      <c r="J493" s="171">
        <f t="shared" si="201"/>
      </c>
      <c r="K493" s="172">
        <f t="shared" si="111"/>
      </c>
      <c r="L493" s="173">
        <f t="shared" si="51"/>
      </c>
      <c r="M493" s="174">
        <f t="shared" si="141"/>
      </c>
      <c r="N493" s="172">
        <f t="shared" si="21"/>
      </c>
      <c r="O493" s="173">
        <f t="shared" si="472"/>
      </c>
      <c r="P493" s="172">
        <f t="shared" si="442"/>
      </c>
      <c r="Q493" s="172">
        <f t="shared" si="364"/>
      </c>
      <c r="R493" s="173">
        <f t="shared" si="334"/>
      </c>
      <c r="S493" s="175">
        <f t="shared" si="231"/>
      </c>
      <c r="T493" s="173">
        <f t="shared" si="171"/>
      </c>
      <c r="U493" s="176">
        <f t="shared" si="81"/>
      </c>
      <c r="V493" s="177" t="s">
        <v>108</v>
      </c>
      <c r="W493" s="178" t="s">
        <v>133</v>
      </c>
      <c r="X493" s="208">
        <v>1</v>
      </c>
      <c r="Y493" s="170">
        <v>7362</v>
      </c>
      <c r="Z493" s="170">
        <v>743</v>
      </c>
      <c r="AA493" s="170">
        <v>1200</v>
      </c>
      <c r="AB493" s="170">
        <v>321</v>
      </c>
      <c r="AC493" s="170">
        <v>36</v>
      </c>
      <c r="AD493" s="179">
        <v>1</v>
      </c>
      <c r="AE493" s="180">
        <v>26</v>
      </c>
      <c r="AF493" s="236"/>
      <c r="AG493" s="152"/>
    </row>
    <row r="494">
      <c r="A494" s="242"/>
      <c r="B494" s="184" t="s">
        <v>113</v>
      </c>
      <c r="C494" s="184"/>
      <c r="D494" s="185">
        <f>SUM(D490:D493)</f>
      </c>
      <c r="E494" s="185">
        <f>SUM(E490:E493)</f>
      </c>
      <c r="F494" s="185">
        <f>SUM(F490:F493)</f>
      </c>
      <c r="G494" s="185">
        <f>SUM(G490:G493)</f>
      </c>
      <c r="H494" s="185">
        <f>SUM(H490:H493)</f>
      </c>
      <c r="I494" s="185">
        <f>SUM(I490:I493)</f>
      </c>
      <c r="J494" s="186">
        <f t="shared" si="201"/>
      </c>
      <c r="K494" s="187">
        <f t="shared" si="111"/>
      </c>
      <c r="L494" s="188">
        <f t="shared" si="51"/>
      </c>
      <c r="M494" s="189">
        <f t="shared" si="141"/>
      </c>
      <c r="N494" s="187">
        <f t="shared" si="21"/>
      </c>
      <c r="O494" s="188">
        <f t="shared" si="472"/>
      </c>
      <c r="P494" s="187">
        <f t="shared" si="442"/>
      </c>
      <c r="Q494" s="187">
        <f t="shared" si="364"/>
      </c>
      <c r="R494" s="188">
        <f t="shared" si="334"/>
      </c>
      <c r="S494" s="190">
        <f t="shared" si="231"/>
      </c>
      <c r="T494" s="188">
        <f t="shared" si="171"/>
      </c>
      <c r="U494" s="191">
        <f t="shared" si="81"/>
      </c>
      <c r="V494" s="191"/>
      <c r="W494" s="191"/>
      <c r="X494" s="206">
        <f>SUM(X490:X493)</f>
      </c>
      <c r="Y494" s="185">
        <f>SUM(Y490:Y493)</f>
      </c>
      <c r="Z494" s="185">
        <f>SUM(Z490:Z493)</f>
      </c>
      <c r="AA494" s="185">
        <f>SUM(AA490:AA493)</f>
      </c>
      <c r="AB494" s="185">
        <f>SUM(AB490:AB493)</f>
      </c>
      <c r="AC494" s="185">
        <f>SUM(AC490:AC493)</f>
      </c>
      <c r="AD494" s="185">
        <f>SUM(AD490:AD493)</f>
      </c>
      <c r="AE494" s="185">
        <f>SUM(AE490:AE493)</f>
      </c>
      <c r="AF494" s="152"/>
      <c r="AG494" s="152"/>
    </row>
    <row r="495">
      <c r="A495" s="242"/>
      <c r="B495" s="192" t="s">
        <v>119</v>
      </c>
      <c r="C495" s="168" t="s">
        <v>137</v>
      </c>
      <c r="D495" s="169">
        <f t="shared" ref="D495:D498" si="387">E495+F495+G495</f>
      </c>
      <c r="E495" s="170">
        <v>1462.8</v>
      </c>
      <c r="F495" s="170">
        <v>518.16</v>
      </c>
      <c r="G495" s="170">
        <v>0</v>
      </c>
      <c r="H495" s="170">
        <v>0</v>
      </c>
      <c r="I495" s="170">
        <v>0</v>
      </c>
      <c r="J495" s="171">
        <f t="shared" si="201"/>
      </c>
      <c r="K495" s="172">
        <f t="shared" si="111"/>
      </c>
      <c r="L495" s="173">
        <f t="shared" si="51"/>
      </c>
      <c r="M495" s="174">
        <f t="shared" si="141"/>
      </c>
      <c r="N495" s="172">
        <f t="shared" si="21"/>
      </c>
      <c r="O495" s="173">
        <f t="shared" si="472"/>
      </c>
      <c r="P495" s="172">
        <f t="shared" si="442"/>
      </c>
      <c r="Q495" s="172">
        <f t="shared" si="364"/>
      </c>
      <c r="R495" s="173">
        <f t="shared" si="334"/>
      </c>
      <c r="S495" s="175">
        <f t="shared" si="231"/>
      </c>
      <c r="T495" s="173">
        <f t="shared" si="171"/>
      </c>
      <c r="U495" s="176">
        <f t="shared" si="81"/>
      </c>
      <c r="V495" s="177" t="s">
        <v>108</v>
      </c>
      <c r="W495" s="178" t="s">
        <v>136</v>
      </c>
      <c r="X495" s="170">
        <v>0</v>
      </c>
      <c r="Y495" s="170">
        <v>5657</v>
      </c>
      <c r="Z495" s="170">
        <v>502</v>
      </c>
      <c r="AA495" s="169">
        <v>779</v>
      </c>
      <c r="AB495" s="170">
        <v>202</v>
      </c>
      <c r="AC495" s="179">
        <v>29</v>
      </c>
      <c r="AD495" s="179">
        <v>1</v>
      </c>
      <c r="AE495" s="180">
        <v>20</v>
      </c>
      <c r="AF495" s="236"/>
      <c r="AG495" s="152"/>
    </row>
    <row r="496">
      <c r="A496" s="242"/>
      <c r="B496" s="194" t="s">
        <v>122</v>
      </c>
      <c r="C496" s="168" t="s">
        <v>137</v>
      </c>
      <c r="D496" s="169">
        <f t="shared" si="387"/>
      </c>
      <c r="E496" s="169">
        <v>1281.67</v>
      </c>
      <c r="F496" s="170">
        <v>826.08</v>
      </c>
      <c r="G496" s="170">
        <v>0</v>
      </c>
      <c r="H496" s="170">
        <v>0</v>
      </c>
      <c r="I496" s="170">
        <v>0</v>
      </c>
      <c r="J496" s="171">
        <f t="shared" si="201"/>
      </c>
      <c r="K496" s="172">
        <f t="shared" si="111"/>
      </c>
      <c r="L496" s="173">
        <f t="shared" si="51"/>
      </c>
      <c r="M496" s="174">
        <f t="shared" si="141"/>
      </c>
      <c r="N496" s="172">
        <f t="shared" si="21"/>
      </c>
      <c r="O496" s="173">
        <f t="shared" si="472"/>
      </c>
      <c r="P496" s="172">
        <f t="shared" si="442"/>
      </c>
      <c r="Q496" s="172">
        <f t="shared" si="364"/>
      </c>
      <c r="R496" s="173">
        <f t="shared" si="334"/>
      </c>
      <c r="S496" s="175">
        <f t="shared" si="231"/>
      </c>
      <c r="T496" s="173">
        <f t="shared" si="171"/>
      </c>
      <c r="U496" s="176">
        <f t="shared" si="81"/>
      </c>
      <c r="V496" s="177" t="s">
        <v>108</v>
      </c>
      <c r="W496" s="178" t="s">
        <v>136</v>
      </c>
      <c r="X496" s="208">
        <v>0</v>
      </c>
      <c r="Y496" s="169">
        <v>5144</v>
      </c>
      <c r="Z496" s="169">
        <v>494</v>
      </c>
      <c r="AA496" s="169">
        <v>801</v>
      </c>
      <c r="AB496" s="169">
        <v>190</v>
      </c>
      <c r="AC496" s="169">
        <v>24</v>
      </c>
      <c r="AD496" s="179">
        <v>1</v>
      </c>
      <c r="AE496" s="180">
        <v>24</v>
      </c>
      <c r="AF496" s="152"/>
      <c r="AG496" s="152"/>
    </row>
    <row r="497">
      <c r="A497" s="242"/>
      <c r="B497" s="210" t="s">
        <v>123</v>
      </c>
      <c r="C497" s="168" t="s">
        <v>137</v>
      </c>
      <c r="D497" s="169">
        <f t="shared" si="387"/>
      </c>
      <c r="E497" s="169">
        <v>1423.87</v>
      </c>
      <c r="F497" s="170">
        <v>715.76</v>
      </c>
      <c r="G497" s="170">
        <v>0</v>
      </c>
      <c r="H497" s="170">
        <v>1</v>
      </c>
      <c r="I497" s="169">
        <v>561.5999999999985</v>
      </c>
      <c r="J497" s="171">
        <f t="shared" si="201"/>
      </c>
      <c r="K497" s="172">
        <f t="shared" si="111"/>
      </c>
      <c r="L497" s="173">
        <f t="shared" si="51"/>
      </c>
      <c r="M497" s="174">
        <f t="shared" si="141"/>
      </c>
      <c r="N497" s="172">
        <f t="shared" si="21"/>
      </c>
      <c r="O497" s="173">
        <f t="shared" si="472"/>
      </c>
      <c r="P497" s="172">
        <f t="shared" si="442"/>
      </c>
      <c r="Q497" s="172">
        <f t="shared" si="364"/>
      </c>
      <c r="R497" s="173">
        <f t="shared" si="334"/>
      </c>
      <c r="S497" s="175">
        <f t="shared" si="231"/>
      </c>
      <c r="T497" s="173">
        <f t="shared" si="171"/>
      </c>
      <c r="U497" s="176">
        <f t="shared" si="81"/>
      </c>
      <c r="V497" s="177" t="s">
        <v>108</v>
      </c>
      <c r="W497" s="178" t="s">
        <v>136</v>
      </c>
      <c r="X497" s="208">
        <v>1</v>
      </c>
      <c r="Y497" s="169">
        <v>5801</v>
      </c>
      <c r="Z497" s="169">
        <v>492</v>
      </c>
      <c r="AA497" s="169">
        <v>793</v>
      </c>
      <c r="AB497" s="169">
        <v>191</v>
      </c>
      <c r="AC497" s="169">
        <v>21</v>
      </c>
      <c r="AD497" s="179">
        <v>2</v>
      </c>
      <c r="AE497" s="180">
        <v>15</v>
      </c>
      <c r="AF497" s="152"/>
      <c r="AG497" s="152"/>
    </row>
    <row r="498">
      <c r="A498" s="242"/>
      <c r="B498" s="183" t="s">
        <v>124</v>
      </c>
      <c r="C498" s="168" t="s">
        <v>137</v>
      </c>
      <c r="D498" s="169">
        <f t="shared" si="387"/>
      </c>
      <c r="E498" s="169">
        <v>1662.14</v>
      </c>
      <c r="F498" s="170">
        <v>474.84000000000003</v>
      </c>
      <c r="G498" s="170">
        <v>0</v>
      </c>
      <c r="H498" s="170">
        <v>5</v>
      </c>
      <c r="I498" s="170">
        <v>9365.160000000003</v>
      </c>
      <c r="J498" s="171">
        <f t="shared" si="201"/>
      </c>
      <c r="K498" s="172">
        <f t="shared" si="111"/>
      </c>
      <c r="L498" s="173">
        <f t="shared" si="51"/>
      </c>
      <c r="M498" s="174">
        <f t="shared" si="141"/>
      </c>
      <c r="N498" s="172">
        <f t="shared" si="21"/>
      </c>
      <c r="O498" s="173">
        <f t="shared" si="472"/>
      </c>
      <c r="P498" s="172">
        <f t="shared" si="442"/>
      </c>
      <c r="Q498" s="172">
        <f t="shared" si="364"/>
      </c>
      <c r="R498" s="173">
        <f t="shared" si="334"/>
      </c>
      <c r="S498" s="175">
        <f t="shared" si="231"/>
      </c>
      <c r="T498" s="173">
        <f t="shared" si="171"/>
      </c>
      <c r="U498" s="176">
        <f t="shared" si="81"/>
      </c>
      <c r="V498" s="177" t="s">
        <v>108</v>
      </c>
      <c r="W498" s="178" t="s">
        <v>136</v>
      </c>
      <c r="X498" s="205">
        <v>2</v>
      </c>
      <c r="Y498" s="169">
        <v>5128</v>
      </c>
      <c r="Z498" s="169">
        <v>338</v>
      </c>
      <c r="AA498" s="169">
        <v>517</v>
      </c>
      <c r="AB498" s="169">
        <v>110</v>
      </c>
      <c r="AC498" s="169">
        <v>20</v>
      </c>
      <c r="AD498" s="179">
        <v>6</v>
      </c>
      <c r="AE498" s="180">
        <v>19</v>
      </c>
      <c r="AF498" s="152"/>
      <c r="AG498" s="152"/>
    </row>
    <row r="499">
      <c r="A499" s="242"/>
      <c r="B499" s="184" t="s">
        <v>113</v>
      </c>
      <c r="C499" s="184"/>
      <c r="D499" s="185">
        <f>SUM(D495:D498)</f>
      </c>
      <c r="E499" s="185">
        <f>SUM(E495:E498)</f>
      </c>
      <c r="F499" s="185">
        <f>SUM(F495:F498)</f>
      </c>
      <c r="G499" s="185">
        <f>SUM(G495:G498)</f>
      </c>
      <c r="H499" s="185">
        <f>SUM(H495:H498)</f>
      </c>
      <c r="I499" s="185">
        <f>SUM(I495:I498)</f>
      </c>
      <c r="J499" s="186">
        <f t="shared" si="201"/>
      </c>
      <c r="K499" s="187">
        <f t="shared" si="111"/>
      </c>
      <c r="L499" s="188">
        <f t="shared" si="51"/>
      </c>
      <c r="M499" s="189">
        <f t="shared" si="141"/>
      </c>
      <c r="N499" s="187">
        <f t="shared" si="21"/>
      </c>
      <c r="O499" s="188">
        <f t="shared" si="472"/>
      </c>
      <c r="P499" s="187">
        <f t="shared" si="442"/>
      </c>
      <c r="Q499" s="187">
        <f t="shared" si="364"/>
      </c>
      <c r="R499" s="188">
        <f t="shared" si="334"/>
      </c>
      <c r="S499" s="190">
        <f t="shared" si="231"/>
      </c>
      <c r="T499" s="188">
        <f t="shared" si="171"/>
      </c>
      <c r="U499" s="191">
        <f t="shared" si="81"/>
      </c>
      <c r="V499" s="191"/>
      <c r="W499" s="191"/>
      <c r="X499" s="206">
        <f>SUM(X495:X498)</f>
      </c>
      <c r="Y499" s="185">
        <f>SUM(Y495:Y498)</f>
      </c>
      <c r="Z499" s="185">
        <f>SUM(Z495:Z498)</f>
      </c>
      <c r="AA499" s="185">
        <f>SUM(AA495:AA498)</f>
      </c>
      <c r="AB499" s="185">
        <f>SUM(AB495:AB498)</f>
      </c>
      <c r="AC499" s="185">
        <f>SUM(AC495:AC498)</f>
      </c>
      <c r="AD499" s="185">
        <f>SUM(AD495:AD498)</f>
      </c>
      <c r="AE499" s="185">
        <f>SUM(AE495:AE498)</f>
      </c>
      <c r="AF499" s="152"/>
      <c r="AG499" s="152"/>
    </row>
    <row r="500">
      <c r="A500" s="242"/>
      <c r="B500" s="181" t="s">
        <v>125</v>
      </c>
      <c r="C500" s="168" t="s">
        <v>126</v>
      </c>
      <c r="D500" s="169">
        <f t="shared" ref="D500:D501" si="388">E500+F500+G500</f>
      </c>
      <c r="E500" s="170">
        <v>1409.8500000000001</v>
      </c>
      <c r="F500" s="170">
        <v>1812.23</v>
      </c>
      <c r="G500" s="170">
        <v>0</v>
      </c>
      <c r="H500" s="170">
        <v>1</v>
      </c>
      <c r="I500" s="170">
        <v>3990.1200000000026</v>
      </c>
      <c r="J500" s="171">
        <f t="shared" si="201"/>
      </c>
      <c r="K500" s="172">
        <f t="shared" si="111"/>
      </c>
      <c r="L500" s="173">
        <f t="shared" si="51"/>
      </c>
      <c r="M500" s="174">
        <f t="shared" si="141"/>
      </c>
      <c r="N500" s="172">
        <f t="shared" si="21"/>
      </c>
      <c r="O500" s="173">
        <f t="shared" si="472"/>
      </c>
      <c r="P500" s="172">
        <f t="shared" si="442"/>
      </c>
      <c r="Q500" s="172">
        <f t="shared" si="364"/>
      </c>
      <c r="R500" s="173">
        <f t="shared" si="334"/>
      </c>
      <c r="S500" s="175">
        <f t="shared" si="231"/>
      </c>
      <c r="T500" s="173">
        <f t="shared" si="171"/>
      </c>
      <c r="U500" s="176">
        <f t="shared" si="81"/>
      </c>
      <c r="V500" s="177" t="s">
        <v>108</v>
      </c>
      <c r="W500" s="178" t="s">
        <v>136</v>
      </c>
      <c r="X500" s="170">
        <v>3</v>
      </c>
      <c r="Y500" s="169">
        <v>7987</v>
      </c>
      <c r="Z500" s="169">
        <v>963</v>
      </c>
      <c r="AA500" s="169">
        <v>1592</v>
      </c>
      <c r="AB500" s="169">
        <v>415</v>
      </c>
      <c r="AC500" s="179">
        <v>36</v>
      </c>
      <c r="AD500" s="179">
        <v>2</v>
      </c>
      <c r="AE500" s="180">
        <v>23</v>
      </c>
      <c r="AF500" s="152"/>
      <c r="AG500" s="152"/>
    </row>
    <row r="501">
      <c r="A501" s="242"/>
      <c r="B501" s="212" t="s">
        <v>127</v>
      </c>
      <c r="C501" s="168" t="s">
        <v>126</v>
      </c>
      <c r="D501" s="169">
        <f t="shared" si="388"/>
      </c>
      <c r="E501" s="170">
        <v>1356.5799999999997</v>
      </c>
      <c r="F501" s="170">
        <v>1983.01</v>
      </c>
      <c r="G501" s="170">
        <v>0</v>
      </c>
      <c r="H501" s="170">
        <v>1</v>
      </c>
      <c r="I501" s="170">
        <v>452.5199999999968</v>
      </c>
      <c r="J501" s="171">
        <f t="shared" si="201"/>
      </c>
      <c r="K501" s="172">
        <f t="shared" si="111"/>
      </c>
      <c r="L501" s="173">
        <f t="shared" si="51"/>
      </c>
      <c r="M501" s="174">
        <f t="shared" si="141"/>
      </c>
      <c r="N501" s="172">
        <f t="shared" si="21"/>
      </c>
      <c r="O501" s="173">
        <f t="shared" si="472"/>
      </c>
      <c r="P501" s="172">
        <f t="shared" si="442"/>
      </c>
      <c r="Q501" s="172">
        <f t="shared" si="364"/>
      </c>
      <c r="R501" s="173">
        <f t="shared" si="334"/>
      </c>
      <c r="S501" s="175">
        <f t="shared" si="231"/>
      </c>
      <c r="T501" s="173">
        <f t="shared" si="171"/>
      </c>
      <c r="U501" s="176">
        <f t="shared" si="81"/>
      </c>
      <c r="V501" s="177" t="s">
        <v>108</v>
      </c>
      <c r="W501" s="178" t="s">
        <v>136</v>
      </c>
      <c r="X501" s="208">
        <v>1</v>
      </c>
      <c r="Y501" s="169">
        <v>7712</v>
      </c>
      <c r="Z501" s="169">
        <v>966</v>
      </c>
      <c r="AA501" s="169">
        <v>1617</v>
      </c>
      <c r="AB501" s="169">
        <v>378</v>
      </c>
      <c r="AC501" s="169">
        <v>32</v>
      </c>
      <c r="AD501" s="179">
        <v>1</v>
      </c>
      <c r="AE501" s="230">
        <v>34</v>
      </c>
      <c r="AF501" s="152"/>
      <c r="AG501" s="152"/>
    </row>
    <row r="502">
      <c r="A502" s="242"/>
      <c r="B502" s="184" t="s">
        <v>113</v>
      </c>
      <c r="C502" s="184"/>
      <c r="D502" s="185">
        <f>SUM(D500:D501)</f>
      </c>
      <c r="E502" s="185">
        <f>SUM(E500:E501)</f>
      </c>
      <c r="F502" s="213">
        <f>SUM(F500:F501)</f>
      </c>
      <c r="G502" s="213">
        <f>SUM(G500:G501)</f>
      </c>
      <c r="H502" s="185">
        <f>SUM(H500:H501)</f>
      </c>
      <c r="I502" s="185">
        <f>SUM(I500:I501)</f>
      </c>
      <c r="J502" s="186">
        <f t="shared" si="201"/>
      </c>
      <c r="K502" s="187">
        <f t="shared" si="111"/>
      </c>
      <c r="L502" s="188">
        <f t="shared" si="51"/>
      </c>
      <c r="M502" s="189">
        <f t="shared" si="141"/>
      </c>
      <c r="N502" s="187">
        <f t="shared" si="21"/>
      </c>
      <c r="O502" s="188">
        <f t="shared" si="472"/>
      </c>
      <c r="P502" s="187">
        <f t="shared" si="442"/>
      </c>
      <c r="Q502" s="187">
        <f t="shared" si="364"/>
      </c>
      <c r="R502" s="188">
        <f t="shared" si="334"/>
      </c>
      <c r="S502" s="190">
        <f t="shared" si="231"/>
      </c>
      <c r="T502" s="188">
        <f t="shared" si="171"/>
      </c>
      <c r="U502" s="191">
        <f t="shared" si="81"/>
      </c>
      <c r="V502" s="191"/>
      <c r="W502" s="191"/>
      <c r="X502" s="206">
        <f>SUM(X500:X501)</f>
      </c>
      <c r="Y502" s="185">
        <f>SUM(Y500:Y501)</f>
      </c>
      <c r="Z502" s="185">
        <f>SUM(Z500:Z501)</f>
      </c>
      <c r="AA502" s="185">
        <f>SUM(AA500:AA501)</f>
      </c>
      <c r="AB502" s="185">
        <f>SUM(AB500:AB501)</f>
      </c>
      <c r="AC502" s="185">
        <f>SUM(AC500:AC501)</f>
      </c>
      <c r="AD502" s="231">
        <f>SUM(AD500:AD501)</f>
      </c>
      <c r="AE502" s="232">
        <f>SUM(AE500:AE501)</f>
      </c>
      <c r="AF502" s="152"/>
      <c r="AG502" s="152"/>
    </row>
    <row r="503">
      <c r="A503" s="242"/>
      <c r="B503" s="215" t="s">
        <v>130</v>
      </c>
      <c r="C503" s="215"/>
      <c r="D503" s="216">
        <f>D489+D494+D499+D502</f>
      </c>
      <c r="E503" s="217">
        <f>E489+E494+E499+E502</f>
      </c>
      <c r="F503" s="218">
        <f>F489+F494+F499+F502</f>
      </c>
      <c r="G503" s="218">
        <f>G489+G494+G499+G502</f>
      </c>
      <c r="H503" s="216">
        <f>H489+H494+H499+H502</f>
      </c>
      <c r="I503" s="216">
        <f>I489+I494+I499+I502</f>
      </c>
      <c r="J503" s="219">
        <f t="shared" si="201"/>
      </c>
      <c r="K503" s="220">
        <f t="shared" si="111"/>
      </c>
      <c r="L503" s="221">
        <f t="shared" si="51"/>
      </c>
      <c r="M503" s="222">
        <f t="shared" si="141"/>
      </c>
      <c r="N503" s="222">
        <f t="shared" si="21"/>
      </c>
      <c r="O503" s="221">
        <f t="shared" si="472"/>
      </c>
      <c r="P503" s="222">
        <f t="shared" si="442"/>
      </c>
      <c r="Q503" s="222">
        <f t="shared" si="364"/>
      </c>
      <c r="R503" s="221">
        <f t="shared" si="334"/>
      </c>
      <c r="S503" s="223">
        <f t="shared" si="231"/>
      </c>
      <c r="T503" s="221">
        <f t="shared" si="171"/>
      </c>
      <c r="U503" s="224">
        <f t="shared" si="81"/>
      </c>
      <c r="V503" s="224"/>
      <c r="W503" s="224"/>
      <c r="X503" s="219">
        <f>X489+X494+X499+X502</f>
      </c>
      <c r="Y503" s="219">
        <f>Y489+Y494+Y499+Y502</f>
      </c>
      <c r="Z503" s="219">
        <f>Z489+Z494+Z499+Z502</f>
      </c>
      <c r="AA503" s="219">
        <f>AA489+AA494+AA499+AA502</f>
      </c>
      <c r="AB503" s="219">
        <f>AB489+AB494+AB499+AB502</f>
      </c>
      <c r="AC503" s="219">
        <f>AC489+AC494+AC499+AC502</f>
      </c>
      <c r="AD503" s="233">
        <f>AD489+AD494+AD499+AD502</f>
      </c>
      <c r="AE503" s="218">
        <f>AE489+AE494+AE499+AE502</f>
      </c>
      <c r="AF503" s="152"/>
      <c r="AG503" s="152"/>
    </row>
    <row r="504">
      <c r="A504" s="240" t="s">
        <v>73</v>
      </c>
      <c r="B504" s="240"/>
      <c r="C504" s="240"/>
      <c r="D504" s="147" t="s">
        <v>74</v>
      </c>
      <c r="E504" s="147"/>
      <c r="F504" s="147"/>
      <c r="G504" s="147"/>
      <c r="H504" s="147"/>
      <c r="I504" s="147"/>
      <c r="J504" s="147"/>
      <c r="K504" s="148" t="s">
        <v>75</v>
      </c>
      <c r="L504" s="148"/>
      <c r="M504" s="148"/>
      <c r="N504" s="148"/>
      <c r="O504" s="148"/>
      <c r="P504" s="148"/>
      <c r="Q504" s="148"/>
      <c r="R504" s="148"/>
      <c r="S504" s="148"/>
      <c r="T504" s="148"/>
      <c r="U504" s="149"/>
      <c r="V504" s="149"/>
      <c r="W504" s="149"/>
      <c r="X504" s="150"/>
      <c r="Y504" s="150"/>
      <c r="Z504" s="150"/>
      <c r="AA504" s="150"/>
      <c r="AB504" s="150"/>
      <c r="AC504" s="150"/>
      <c r="AD504" s="150"/>
      <c r="AE504" s="151" t="s">
        <v>76</v>
      </c>
      <c r="AF504" s="152"/>
      <c r="AG504" s="152"/>
    </row>
    <row r="505">
      <c r="A505" s="240" t="s">
        <v>77</v>
      </c>
      <c r="B505" s="240" t="s">
        <v>78</v>
      </c>
      <c r="C505" s="240" t="s">
        <v>79</v>
      </c>
      <c r="D505" s="241" t="s">
        <v>80</v>
      </c>
      <c r="E505" s="225" t="s">
        <v>81</v>
      </c>
      <c r="F505" s="226" t="s">
        <v>82</v>
      </c>
      <c r="G505" s="227" t="s">
        <v>139</v>
      </c>
      <c r="H505" s="228" t="s">
        <v>83</v>
      </c>
      <c r="I505" s="157" t="s">
        <v>84</v>
      </c>
      <c r="J505" s="155" t="s">
        <v>85</v>
      </c>
      <c r="K505" s="158" t="s">
        <v>86</v>
      </c>
      <c r="L505" s="158" t="s">
        <v>87</v>
      </c>
      <c r="M505" s="159" t="s">
        <v>88</v>
      </c>
      <c r="N505" s="160" t="s">
        <v>89</v>
      </c>
      <c r="O505" s="148" t="s">
        <v>90</v>
      </c>
      <c r="P505" s="160" t="s">
        <v>91</v>
      </c>
      <c r="Q505" s="160" t="s">
        <v>92</v>
      </c>
      <c r="R505" s="161" t="s">
        <v>93</v>
      </c>
      <c r="S505" s="160" t="s">
        <v>94</v>
      </c>
      <c r="T505" s="161" t="s">
        <v>95</v>
      </c>
      <c r="U505" s="162" t="s">
        <v>96</v>
      </c>
      <c r="V505" s="162" t="s">
        <v>97</v>
      </c>
      <c r="W505" s="162" t="s">
        <v>98</v>
      </c>
      <c r="X505" s="163" t="s">
        <v>99</v>
      </c>
      <c r="Y505" s="164" t="s">
        <v>100</v>
      </c>
      <c r="Z505" s="164" t="s">
        <v>101</v>
      </c>
      <c r="AA505" s="164" t="s">
        <v>102</v>
      </c>
      <c r="AB505" s="164" t="s">
        <v>103</v>
      </c>
      <c r="AC505" s="164" t="s">
        <v>104</v>
      </c>
      <c r="AD505" s="165" t="s">
        <v>105</v>
      </c>
      <c r="AE505" s="151"/>
      <c r="AF505" s="152"/>
      <c r="AG505" s="152"/>
    </row>
    <row r="506">
      <c r="A506" s="242">
        <v>46288</v>
      </c>
      <c r="B506" s="243" t="s">
        <v>138</v>
      </c>
      <c r="C506" s="168" t="s">
        <v>107</v>
      </c>
      <c r="D506" s="169">
        <f t="shared" ref="D506:D509" si="389">E506+F506+G506</f>
      </c>
      <c r="E506" s="170">
        <v>1895.09</v>
      </c>
      <c r="F506" s="229">
        <v>849.39</v>
      </c>
      <c r="G506" s="229">
        <v>658.32</v>
      </c>
      <c r="H506" s="170">
        <v>1</v>
      </c>
      <c r="I506" s="170">
        <v>942.8399999999999</v>
      </c>
      <c r="J506" s="171">
        <f t="shared" ref="J506:J525" si="202">I506/D506</f>
      </c>
      <c r="K506" s="172">
        <f t="shared" ref="K506:K525" si="112">Z506/Y506</f>
      </c>
      <c r="L506" s="173">
        <f t="shared" ref="L506:L525" si="52">D506/AA506</f>
      </c>
      <c r="M506" s="174">
        <f t="shared" ref="M506:M525" si="142">AB506/AA506</f>
      </c>
      <c r="N506" s="172">
        <f t="shared" ref="N506:N525" si="22">AC506/AA506</f>
      </c>
      <c r="O506" s="173">
        <f t="shared" ref="O506:O525" si="473">D506/AC506</f>
      </c>
      <c r="P506" s="172">
        <f t="shared" ref="P506:P525" si="443">AD506/AC506</f>
      </c>
      <c r="Q506" s="172">
        <f t="shared" ref="Q506:Q525" si="365">H506/AD506</f>
      </c>
      <c r="R506" s="173">
        <f t="shared" ref="R506:R525" si="335">D506/H506</f>
      </c>
      <c r="S506" s="175">
        <f t="shared" ref="S506:S525" si="232">I506/H506</f>
      </c>
      <c r="T506" s="173">
        <f t="shared" ref="T506:T525" si="172">D506/X506</f>
      </c>
      <c r="U506" s="176">
        <f t="shared" ref="U506:U525" si="82">AE506*1000/D506</f>
      </c>
      <c r="V506" s="177" t="s">
        <v>108</v>
      </c>
      <c r="W506" s="178" t="s">
        <v>133</v>
      </c>
      <c r="X506" s="170">
        <v>0</v>
      </c>
      <c r="Y506" s="169">
        <v>8320</v>
      </c>
      <c r="Z506" s="169">
        <v>558</v>
      </c>
      <c r="AA506" s="169">
        <v>890</v>
      </c>
      <c r="AB506" s="169">
        <v>195</v>
      </c>
      <c r="AC506" s="179">
        <v>45</v>
      </c>
      <c r="AD506" s="179">
        <v>2</v>
      </c>
      <c r="AE506" s="180">
        <v>24</v>
      </c>
      <c r="AF506" s="236"/>
      <c r="AG506" s="152"/>
    </row>
    <row r="507">
      <c r="A507" s="242"/>
      <c r="B507" s="181" t="s">
        <v>110</v>
      </c>
      <c r="C507" s="168" t="s">
        <v>107</v>
      </c>
      <c r="D507" s="169">
        <f t="shared" si="389"/>
      </c>
      <c r="E507" s="170">
        <v>1351.45</v>
      </c>
      <c r="F507" s="170">
        <v>756.94</v>
      </c>
      <c r="G507" s="170">
        <v>788.39</v>
      </c>
      <c r="H507" s="170">
        <v>1</v>
      </c>
      <c r="I507" s="170">
        <v>942.8399999999999</v>
      </c>
      <c r="J507" s="171">
        <f t="shared" si="202"/>
      </c>
      <c r="K507" s="172">
        <f t="shared" si="112"/>
      </c>
      <c r="L507" s="173">
        <f t="shared" si="52"/>
      </c>
      <c r="M507" s="174">
        <f t="shared" si="142"/>
      </c>
      <c r="N507" s="172">
        <f t="shared" si="22"/>
      </c>
      <c r="O507" s="173">
        <f t="shared" si="473"/>
      </c>
      <c r="P507" s="172">
        <f t="shared" si="443"/>
      </c>
      <c r="Q507" s="172">
        <f t="shared" si="365"/>
      </c>
      <c r="R507" s="173">
        <f t="shared" si="335"/>
      </c>
      <c r="S507" s="175">
        <f t="shared" si="232"/>
      </c>
      <c r="T507" s="173">
        <f t="shared" si="172"/>
      </c>
      <c r="U507" s="176">
        <f t="shared" si="82"/>
      </c>
      <c r="V507" s="177" t="s">
        <v>108</v>
      </c>
      <c r="W507" s="178" t="s">
        <v>133</v>
      </c>
      <c r="X507" s="208">
        <v>2</v>
      </c>
      <c r="Y507" s="169">
        <v>6801</v>
      </c>
      <c r="Z507" s="169">
        <v>404</v>
      </c>
      <c r="AA507" s="169">
        <v>616</v>
      </c>
      <c r="AB507" s="169">
        <v>140</v>
      </c>
      <c r="AC507" s="169">
        <v>42</v>
      </c>
      <c r="AD507" s="179">
        <v>1</v>
      </c>
      <c r="AE507" s="180">
        <v>7</v>
      </c>
      <c r="AF507" s="236"/>
      <c r="AG507" s="152"/>
    </row>
    <row r="508">
      <c r="A508" s="242"/>
      <c r="B508" s="181" t="s">
        <v>111</v>
      </c>
      <c r="C508" s="168" t="s">
        <v>107</v>
      </c>
      <c r="D508" s="169">
        <f t="shared" si="389"/>
      </c>
      <c r="E508" s="169">
        <v>2000.3000000000002</v>
      </c>
      <c r="F508" s="169">
        <v>958.91</v>
      </c>
      <c r="G508" s="170">
        <v>1057.95</v>
      </c>
      <c r="H508" s="170">
        <v>4</v>
      </c>
      <c r="I508" s="170">
        <v>4415.76</v>
      </c>
      <c r="J508" s="171">
        <f t="shared" si="202"/>
      </c>
      <c r="K508" s="172">
        <f t="shared" si="112"/>
      </c>
      <c r="L508" s="173">
        <f t="shared" si="52"/>
      </c>
      <c r="M508" s="174">
        <f t="shared" si="142"/>
      </c>
      <c r="N508" s="172">
        <f t="shared" si="22"/>
      </c>
      <c r="O508" s="173">
        <f t="shared" si="473"/>
      </c>
      <c r="P508" s="172">
        <f t="shared" si="443"/>
      </c>
      <c r="Q508" s="172">
        <f t="shared" si="365"/>
      </c>
      <c r="R508" s="173">
        <f t="shared" si="335"/>
      </c>
      <c r="S508" s="175">
        <f t="shared" si="232"/>
      </c>
      <c r="T508" s="173">
        <f t="shared" si="172"/>
      </c>
      <c r="U508" s="176">
        <f t="shared" si="82"/>
      </c>
      <c r="V508" s="177" t="s">
        <v>108</v>
      </c>
      <c r="W508" s="178" t="s">
        <v>133</v>
      </c>
      <c r="X508" s="205">
        <v>3</v>
      </c>
      <c r="Y508" s="169">
        <v>10443</v>
      </c>
      <c r="Z508" s="169">
        <v>988</v>
      </c>
      <c r="AA508" s="169">
        <v>1648</v>
      </c>
      <c r="AB508" s="169">
        <v>429</v>
      </c>
      <c r="AC508" s="169">
        <v>43</v>
      </c>
      <c r="AD508" s="179">
        <v>5</v>
      </c>
      <c r="AE508" s="180">
        <v>31</v>
      </c>
      <c r="AF508" s="236"/>
      <c r="AG508" s="152"/>
    </row>
    <row r="509">
      <c r="A509" s="242"/>
      <c r="B509" s="183" t="s">
        <v>112</v>
      </c>
      <c r="C509" s="168" t="s">
        <v>107</v>
      </c>
      <c r="D509" s="169">
        <f t="shared" si="389"/>
      </c>
      <c r="E509" s="169">
        <v>2176.25</v>
      </c>
      <c r="F509" s="170">
        <v>869.39</v>
      </c>
      <c r="G509" s="170">
        <v>0</v>
      </c>
      <c r="H509" s="170">
        <v>2</v>
      </c>
      <c r="I509" s="170">
        <v>7851.6</v>
      </c>
      <c r="J509" s="171">
        <f t="shared" si="202"/>
      </c>
      <c r="K509" s="172">
        <f t="shared" si="112"/>
      </c>
      <c r="L509" s="173">
        <f t="shared" si="52"/>
      </c>
      <c r="M509" s="174">
        <f t="shared" si="142"/>
      </c>
      <c r="N509" s="172">
        <f t="shared" si="22"/>
      </c>
      <c r="O509" s="173">
        <f t="shared" si="473"/>
      </c>
      <c r="P509" s="172">
        <f t="shared" si="443"/>
      </c>
      <c r="Q509" s="172">
        <f t="shared" si="365"/>
      </c>
      <c r="R509" s="173">
        <f t="shared" si="335"/>
      </c>
      <c r="S509" s="175">
        <f t="shared" si="232"/>
      </c>
      <c r="T509" s="173">
        <f t="shared" si="172"/>
      </c>
      <c r="U509" s="176">
        <f t="shared" si="82"/>
      </c>
      <c r="V509" s="177" t="s">
        <v>108</v>
      </c>
      <c r="W509" s="178" t="s">
        <v>133</v>
      </c>
      <c r="X509" s="205">
        <v>2</v>
      </c>
      <c r="Y509" s="169">
        <v>10716</v>
      </c>
      <c r="Z509" s="169">
        <v>689</v>
      </c>
      <c r="AA509" s="169">
        <v>1017</v>
      </c>
      <c r="AB509" s="169">
        <v>271</v>
      </c>
      <c r="AC509" s="169">
        <v>40</v>
      </c>
      <c r="AD509" s="179">
        <v>5</v>
      </c>
      <c r="AE509" s="180">
        <v>35</v>
      </c>
      <c r="AF509" s="236"/>
      <c r="AG509" s="152"/>
    </row>
    <row r="510">
      <c r="A510" s="242"/>
      <c r="B510" s="184" t="s">
        <v>113</v>
      </c>
      <c r="C510" s="184"/>
      <c r="D510" s="185">
        <f>D506+D507+D508+D509</f>
      </c>
      <c r="E510" s="185">
        <f>SUM(E506:E509)</f>
      </c>
      <c r="F510" s="185">
        <f>SUM(F506:F509)</f>
      </c>
      <c r="G510" s="185">
        <f>SUM(G506:G509)</f>
      </c>
      <c r="H510" s="185">
        <f>SUM(H506:H509)</f>
      </c>
      <c r="I510" s="185">
        <f>SUM(I506:I509)</f>
      </c>
      <c r="J510" s="186">
        <f t="shared" si="202"/>
      </c>
      <c r="K510" s="187">
        <f t="shared" si="112"/>
      </c>
      <c r="L510" s="188">
        <f t="shared" si="52"/>
      </c>
      <c r="M510" s="189">
        <f t="shared" si="142"/>
      </c>
      <c r="N510" s="187">
        <f t="shared" si="22"/>
      </c>
      <c r="O510" s="188">
        <f t="shared" si="473"/>
      </c>
      <c r="P510" s="187">
        <f t="shared" si="443"/>
      </c>
      <c r="Q510" s="187">
        <f t="shared" si="365"/>
      </c>
      <c r="R510" s="188">
        <f t="shared" si="335"/>
      </c>
      <c r="S510" s="190">
        <f t="shared" si="232"/>
      </c>
      <c r="T510" s="188">
        <f t="shared" si="172"/>
      </c>
      <c r="U510" s="191">
        <f t="shared" si="82"/>
      </c>
      <c r="V510" s="191"/>
      <c r="W510" s="191"/>
      <c r="X510" s="206">
        <f>SUM(X506:X509)</f>
      </c>
      <c r="Y510" s="185">
        <f>SUM(Y506:Y509)</f>
      </c>
      <c r="Z510" s="185">
        <f>SUM(Z506:Z509)</f>
      </c>
      <c r="AA510" s="185">
        <f>SUM(AA506:AA509)</f>
      </c>
      <c r="AB510" s="185">
        <f>SUM(AB506:AB509)</f>
      </c>
      <c r="AC510" s="185">
        <f>SUM(AC506:AC509)</f>
      </c>
      <c r="AD510" s="185">
        <f>SUM(AD506:AD509)</f>
      </c>
      <c r="AE510" s="185">
        <f>SUM(AE506:AE509)</f>
      </c>
      <c r="AF510" s="152"/>
      <c r="AG510" s="152"/>
    </row>
    <row r="511">
      <c r="A511" s="242"/>
      <c r="B511" s="181" t="s">
        <v>116</v>
      </c>
      <c r="C511" s="168" t="s">
        <v>120</v>
      </c>
      <c r="D511" s="169">
        <f t="shared" ref="D511:D513" si="390">E511+F511+G511</f>
      </c>
      <c r="E511" s="169">
        <v>2026.66</v>
      </c>
      <c r="F511" s="169">
        <v>504.39</v>
      </c>
      <c r="G511" s="170">
        <v>0</v>
      </c>
      <c r="H511" s="170">
        <v>0</v>
      </c>
      <c r="I511" s="170">
        <v>0</v>
      </c>
      <c r="J511" s="171">
        <f t="shared" si="202"/>
      </c>
      <c r="K511" s="172">
        <f t="shared" si="112"/>
      </c>
      <c r="L511" s="173">
        <f t="shared" si="52"/>
      </c>
      <c r="M511" s="174">
        <f t="shared" si="142"/>
      </c>
      <c r="N511" s="172">
        <f t="shared" si="22"/>
      </c>
      <c r="O511" s="173">
        <f t="shared" si="473"/>
      </c>
      <c r="P511" s="172">
        <f t="shared" si="443"/>
      </c>
      <c r="Q511" s="172">
        <f t="shared" si="365"/>
      </c>
      <c r="R511" s="173">
        <f t="shared" si="335"/>
      </c>
      <c r="S511" s="175">
        <f t="shared" si="232"/>
      </c>
      <c r="T511" s="173">
        <f t="shared" si="172"/>
      </c>
      <c r="U511" s="176">
        <f t="shared" si="82"/>
      </c>
      <c r="V511" s="177" t="s">
        <v>108</v>
      </c>
      <c r="W511" s="178" t="s">
        <v>133</v>
      </c>
      <c r="X511" s="208">
        <v>0</v>
      </c>
      <c r="Y511" s="170">
        <v>8242</v>
      </c>
      <c r="Z511" s="170">
        <v>574</v>
      </c>
      <c r="AA511" s="169">
        <v>882</v>
      </c>
      <c r="AB511" s="170">
        <v>220</v>
      </c>
      <c r="AC511" s="170">
        <v>22</v>
      </c>
      <c r="AD511" s="179">
        <v>0</v>
      </c>
      <c r="AE511" s="180">
        <v>15</v>
      </c>
      <c r="AF511" s="236"/>
      <c r="AG511" s="152"/>
    </row>
    <row r="512">
      <c r="A512" s="242"/>
      <c r="B512" s="181" t="s">
        <v>117</v>
      </c>
      <c r="C512" s="168" t="s">
        <v>120</v>
      </c>
      <c r="D512" s="169">
        <f t="shared" si="390"/>
      </c>
      <c r="E512" s="169">
        <v>737.35</v>
      </c>
      <c r="F512" s="169">
        <v>109.9</v>
      </c>
      <c r="G512" s="170">
        <v>0</v>
      </c>
      <c r="H512" s="170">
        <v>1</v>
      </c>
      <c r="I512" s="169">
        <v>1833.2399999999998</v>
      </c>
      <c r="J512" s="171">
        <f t="shared" si="202"/>
      </c>
      <c r="K512" s="172">
        <f t="shared" si="112"/>
      </c>
      <c r="L512" s="173">
        <f t="shared" si="52"/>
      </c>
      <c r="M512" s="174">
        <f t="shared" si="142"/>
      </c>
      <c r="N512" s="172">
        <f t="shared" si="22"/>
      </c>
      <c r="O512" s="173">
        <f t="shared" si="473"/>
      </c>
      <c r="P512" s="172">
        <f t="shared" si="443"/>
      </c>
      <c r="Q512" s="172">
        <f t="shared" si="365"/>
      </c>
      <c r="R512" s="173">
        <f t="shared" si="335"/>
      </c>
      <c r="S512" s="175">
        <f t="shared" si="232"/>
      </c>
      <c r="T512" s="173">
        <f t="shared" si="172"/>
      </c>
      <c r="U512" s="176">
        <f t="shared" si="82"/>
      </c>
      <c r="V512" s="177" t="s">
        <v>108</v>
      </c>
      <c r="W512" s="178" t="s">
        <v>133</v>
      </c>
      <c r="X512" s="208">
        <v>1</v>
      </c>
      <c r="Y512" s="170">
        <v>2315</v>
      </c>
      <c r="Z512" s="170">
        <v>118</v>
      </c>
      <c r="AA512" s="170">
        <v>157</v>
      </c>
      <c r="AB512" s="170">
        <v>45</v>
      </c>
      <c r="AC512" s="170">
        <v>7</v>
      </c>
      <c r="AD512" s="179">
        <v>1</v>
      </c>
      <c r="AE512" s="180">
        <v>7</v>
      </c>
      <c r="AF512" s="236"/>
      <c r="AG512" s="152"/>
    </row>
    <row r="513">
      <c r="A513" s="242"/>
      <c r="B513" s="181" t="s">
        <v>118</v>
      </c>
      <c r="C513" s="168" t="s">
        <v>120</v>
      </c>
      <c r="D513" s="169">
        <f t="shared" si="390"/>
      </c>
      <c r="E513" s="169">
        <v>2700.27</v>
      </c>
      <c r="F513" s="170">
        <v>599.76</v>
      </c>
      <c r="G513" s="170">
        <v>0</v>
      </c>
      <c r="H513" s="170">
        <v>2</v>
      </c>
      <c r="I513" s="170">
        <v>1687.6000000000004</v>
      </c>
      <c r="J513" s="171">
        <f t="shared" si="202"/>
      </c>
      <c r="K513" s="172">
        <f t="shared" si="112"/>
      </c>
      <c r="L513" s="173">
        <f t="shared" si="52"/>
      </c>
      <c r="M513" s="174">
        <f t="shared" si="142"/>
      </c>
      <c r="N513" s="172">
        <f t="shared" si="22"/>
      </c>
      <c r="O513" s="173">
        <f t="shared" si="473"/>
      </c>
      <c r="P513" s="172">
        <f t="shared" si="443"/>
      </c>
      <c r="Q513" s="172">
        <f t="shared" si="365"/>
      </c>
      <c r="R513" s="173">
        <f t="shared" si="335"/>
      </c>
      <c r="S513" s="175">
        <f t="shared" si="232"/>
      </c>
      <c r="T513" s="173">
        <f t="shared" si="172"/>
      </c>
      <c r="U513" s="176">
        <f t="shared" si="82"/>
      </c>
      <c r="V513" s="177" t="s">
        <v>108</v>
      </c>
      <c r="W513" s="178" t="s">
        <v>133</v>
      </c>
      <c r="X513" s="208">
        <v>1</v>
      </c>
      <c r="Y513" s="170">
        <v>9043</v>
      </c>
      <c r="Z513" s="170">
        <v>727</v>
      </c>
      <c r="AA513" s="170">
        <v>1109</v>
      </c>
      <c r="AB513" s="170">
        <v>285</v>
      </c>
      <c r="AC513" s="170">
        <v>50</v>
      </c>
      <c r="AD513" s="179">
        <v>2</v>
      </c>
      <c r="AE513" s="180">
        <v>32</v>
      </c>
      <c r="AF513" s="236"/>
      <c r="AG513" s="152"/>
    </row>
    <row r="514">
      <c r="A514" s="242"/>
      <c r="B514" s="184" t="s">
        <v>113</v>
      </c>
      <c r="C514" s="184"/>
      <c r="D514" s="185">
        <f>SUM(D511:D513)</f>
      </c>
      <c r="E514" s="185">
        <f>SUM(E511:E513)</f>
      </c>
      <c r="F514" s="185">
        <f>SUM(F511:F513)</f>
      </c>
      <c r="G514" s="185">
        <f>SUM(G511:G513)</f>
      </c>
      <c r="H514" s="185">
        <f>SUM(H511:H513)</f>
      </c>
      <c r="I514" s="185">
        <f>SUM(I511:I513)</f>
      </c>
      <c r="J514" s="186">
        <f t="shared" si="202"/>
      </c>
      <c r="K514" s="187">
        <f t="shared" si="112"/>
      </c>
      <c r="L514" s="188">
        <f t="shared" si="52"/>
      </c>
      <c r="M514" s="189">
        <f t="shared" si="142"/>
      </c>
      <c r="N514" s="187">
        <f t="shared" si="22"/>
      </c>
      <c r="O514" s="188">
        <f t="shared" si="473"/>
      </c>
      <c r="P514" s="187">
        <f t="shared" si="443"/>
      </c>
      <c r="Q514" s="187">
        <f t="shared" si="365"/>
      </c>
      <c r="R514" s="188">
        <f t="shared" si="335"/>
      </c>
      <c r="S514" s="190">
        <f t="shared" si="232"/>
      </c>
      <c r="T514" s="188">
        <f t="shared" si="172"/>
      </c>
      <c r="U514" s="191">
        <f t="shared" si="82"/>
      </c>
      <c r="V514" s="191"/>
      <c r="W514" s="191"/>
      <c r="X514" s="206">
        <f>SUM(X511:X513)</f>
      </c>
      <c r="Y514" s="185">
        <f>SUM(Y511:Y513)</f>
      </c>
      <c r="Z514" s="185">
        <f>SUM(Z511:Z513)</f>
      </c>
      <c r="AA514" s="185">
        <f>SUM(AA511:AA513)</f>
      </c>
      <c r="AB514" s="185">
        <f>SUM(AB511:AB513)</f>
      </c>
      <c r="AC514" s="185">
        <f>SUM(AC511:AC513)</f>
      </c>
      <c r="AD514" s="185">
        <f>SUM(AD511:AD513)</f>
      </c>
      <c r="AE514" s="185">
        <f>SUM(AE511:AE513)</f>
      </c>
      <c r="AF514" s="152"/>
      <c r="AG514" s="152"/>
    </row>
    <row r="515">
      <c r="A515" s="242"/>
      <c r="B515" s="192" t="s">
        <v>119</v>
      </c>
      <c r="C515" s="168" t="s">
        <v>137</v>
      </c>
      <c r="D515" s="169">
        <f t="shared" ref="D515:D518" si="391">E515+F515+G515</f>
      </c>
      <c r="E515" s="170">
        <v>1152.34</v>
      </c>
      <c r="F515" s="170">
        <v>1138.71</v>
      </c>
      <c r="G515" s="170">
        <v>0</v>
      </c>
      <c r="H515" s="170">
        <v>2</v>
      </c>
      <c r="I515" s="170">
        <v>3069.3600000000006</v>
      </c>
      <c r="J515" s="171">
        <f t="shared" si="202"/>
      </c>
      <c r="K515" s="172">
        <f t="shared" si="112"/>
      </c>
      <c r="L515" s="173">
        <f t="shared" si="52"/>
      </c>
      <c r="M515" s="174">
        <f t="shared" si="142"/>
      </c>
      <c r="N515" s="172">
        <f t="shared" si="22"/>
      </c>
      <c r="O515" s="173">
        <f t="shared" si="473"/>
      </c>
      <c r="P515" s="172">
        <f t="shared" si="443"/>
      </c>
      <c r="Q515" s="172">
        <f t="shared" si="365"/>
      </c>
      <c r="R515" s="173">
        <f t="shared" si="335"/>
      </c>
      <c r="S515" s="175">
        <f t="shared" si="232"/>
      </c>
      <c r="T515" s="173">
        <f t="shared" si="172"/>
      </c>
      <c r="U515" s="176">
        <f t="shared" si="82"/>
      </c>
      <c r="V515" s="177" t="s">
        <v>108</v>
      </c>
      <c r="W515" s="178" t="s">
        <v>136</v>
      </c>
      <c r="X515" s="170">
        <v>2</v>
      </c>
      <c r="Y515" s="170">
        <v>5972</v>
      </c>
      <c r="Z515" s="170">
        <v>451</v>
      </c>
      <c r="AA515" s="169">
        <v>771</v>
      </c>
      <c r="AB515" s="170">
        <v>210</v>
      </c>
      <c r="AC515" s="179">
        <v>28</v>
      </c>
      <c r="AD515" s="179">
        <v>3</v>
      </c>
      <c r="AE515" s="180">
        <v>9</v>
      </c>
      <c r="AF515" s="236"/>
      <c r="AG515" s="152"/>
    </row>
    <row r="516">
      <c r="A516" s="242"/>
      <c r="B516" s="194" t="s">
        <v>122</v>
      </c>
      <c r="C516" s="168" t="s">
        <v>137</v>
      </c>
      <c r="D516" s="169">
        <f t="shared" si="391"/>
      </c>
      <c r="E516" s="169">
        <v>1632.99</v>
      </c>
      <c r="F516" s="170">
        <v>1719.63</v>
      </c>
      <c r="G516" s="170">
        <v>0</v>
      </c>
      <c r="H516" s="170">
        <v>1</v>
      </c>
      <c r="I516" s="170">
        <v>561.5999999999985</v>
      </c>
      <c r="J516" s="171">
        <f t="shared" si="202"/>
      </c>
      <c r="K516" s="172">
        <f t="shared" si="112"/>
      </c>
      <c r="L516" s="173">
        <f t="shared" si="52"/>
      </c>
      <c r="M516" s="174">
        <f t="shared" si="142"/>
      </c>
      <c r="N516" s="172">
        <f t="shared" si="22"/>
      </c>
      <c r="O516" s="173">
        <f t="shared" si="473"/>
      </c>
      <c r="P516" s="172">
        <f t="shared" si="443"/>
      </c>
      <c r="Q516" s="172">
        <f t="shared" si="365"/>
      </c>
      <c r="R516" s="173">
        <f t="shared" si="335"/>
      </c>
      <c r="S516" s="175">
        <f t="shared" si="232"/>
      </c>
      <c r="T516" s="173">
        <f t="shared" si="172"/>
      </c>
      <c r="U516" s="176">
        <f t="shared" si="82"/>
      </c>
      <c r="V516" s="177" t="s">
        <v>108</v>
      </c>
      <c r="W516" s="178" t="s">
        <v>136</v>
      </c>
      <c r="X516" s="208">
        <v>1</v>
      </c>
      <c r="Y516" s="169">
        <v>8429</v>
      </c>
      <c r="Z516" s="169">
        <v>900</v>
      </c>
      <c r="AA516" s="169">
        <v>1429</v>
      </c>
      <c r="AB516" s="169">
        <v>427</v>
      </c>
      <c r="AC516" s="169">
        <v>26</v>
      </c>
      <c r="AD516" s="179">
        <v>1</v>
      </c>
      <c r="AE516" s="180">
        <v>32</v>
      </c>
      <c r="AF516" s="152"/>
      <c r="AG516" s="152"/>
    </row>
    <row r="517">
      <c r="A517" s="242"/>
      <c r="B517" s="210" t="s">
        <v>123</v>
      </c>
      <c r="C517" s="168" t="s">
        <v>137</v>
      </c>
      <c r="D517" s="169">
        <f t="shared" si="391"/>
      </c>
      <c r="E517" s="169">
        <v>1309.74</v>
      </c>
      <c r="F517" s="170">
        <v>1262.46</v>
      </c>
      <c r="G517" s="170">
        <v>0</v>
      </c>
      <c r="H517" s="170">
        <v>2</v>
      </c>
      <c r="I517" s="169">
        <v>8108.639999999999</v>
      </c>
      <c r="J517" s="171">
        <f t="shared" si="202"/>
      </c>
      <c r="K517" s="172">
        <f t="shared" si="112"/>
      </c>
      <c r="L517" s="173">
        <f t="shared" si="52"/>
      </c>
      <c r="M517" s="174">
        <f t="shared" si="142"/>
      </c>
      <c r="N517" s="172">
        <f t="shared" si="22"/>
      </c>
      <c r="O517" s="173">
        <f t="shared" si="473"/>
      </c>
      <c r="P517" s="172">
        <f t="shared" si="443"/>
      </c>
      <c r="Q517" s="172">
        <f t="shared" si="365"/>
      </c>
      <c r="R517" s="173">
        <f t="shared" si="335"/>
      </c>
      <c r="S517" s="175">
        <f t="shared" si="232"/>
      </c>
      <c r="T517" s="173">
        <f t="shared" si="172"/>
      </c>
      <c r="U517" s="176">
        <f t="shared" si="82"/>
      </c>
      <c r="V517" s="177" t="s">
        <v>108</v>
      </c>
      <c r="W517" s="178" t="s">
        <v>136</v>
      </c>
      <c r="X517" s="208">
        <v>1</v>
      </c>
      <c r="Y517" s="169">
        <v>8000</v>
      </c>
      <c r="Z517" s="169">
        <v>684</v>
      </c>
      <c r="AA517" s="169">
        <v>1150</v>
      </c>
      <c r="AB517" s="169">
        <v>310</v>
      </c>
      <c r="AC517" s="169">
        <v>25</v>
      </c>
      <c r="AD517" s="179">
        <v>3</v>
      </c>
      <c r="AE517" s="180">
        <v>25</v>
      </c>
      <c r="AF517" s="152"/>
      <c r="AG517" s="152"/>
    </row>
    <row r="518">
      <c r="A518" s="242"/>
      <c r="B518" s="183" t="s">
        <v>124</v>
      </c>
      <c r="C518" s="168" t="s">
        <v>137</v>
      </c>
      <c r="D518" s="169">
        <f t="shared" si="391"/>
      </c>
      <c r="E518" s="169">
        <v>2336.52</v>
      </c>
      <c r="F518" s="170">
        <v>668.12</v>
      </c>
      <c r="G518" s="170">
        <v>0</v>
      </c>
      <c r="H518" s="170">
        <v>3</v>
      </c>
      <c r="I518" s="170">
        <v>11085.359999999997</v>
      </c>
      <c r="J518" s="171">
        <f t="shared" si="202"/>
      </c>
      <c r="K518" s="172">
        <f t="shared" si="112"/>
      </c>
      <c r="L518" s="173">
        <f t="shared" si="52"/>
      </c>
      <c r="M518" s="174">
        <f t="shared" si="142"/>
      </c>
      <c r="N518" s="172">
        <f t="shared" si="22"/>
      </c>
      <c r="O518" s="173">
        <f t="shared" si="473"/>
      </c>
      <c r="P518" s="172">
        <f t="shared" si="443"/>
      </c>
      <c r="Q518" s="172">
        <f t="shared" si="365"/>
      </c>
      <c r="R518" s="173">
        <f t="shared" si="335"/>
      </c>
      <c r="S518" s="175">
        <f t="shared" si="232"/>
      </c>
      <c r="T518" s="173">
        <f t="shared" si="172"/>
      </c>
      <c r="U518" s="176">
        <f t="shared" si="82"/>
      </c>
      <c r="V518" s="177" t="s">
        <v>108</v>
      </c>
      <c r="W518" s="178" t="s">
        <v>136</v>
      </c>
      <c r="X518" s="205">
        <v>3</v>
      </c>
      <c r="Y518" s="169">
        <v>11802</v>
      </c>
      <c r="Z518" s="169">
        <v>772</v>
      </c>
      <c r="AA518" s="169">
        <v>1116</v>
      </c>
      <c r="AB518" s="169">
        <v>306</v>
      </c>
      <c r="AC518" s="169">
        <v>37</v>
      </c>
      <c r="AD518" s="179">
        <v>3</v>
      </c>
      <c r="AE518" s="180">
        <v>18</v>
      </c>
      <c r="AF518" s="152"/>
      <c r="AG518" s="152"/>
    </row>
    <row r="519">
      <c r="A519" s="242"/>
      <c r="B519" s="184" t="s">
        <v>113</v>
      </c>
      <c r="C519" s="184"/>
      <c r="D519" s="185">
        <f>SUM(D515:D518)</f>
      </c>
      <c r="E519" s="185">
        <f>SUM(E515:E518)</f>
      </c>
      <c r="F519" s="185">
        <f>SUM(F515:F518)</f>
      </c>
      <c r="G519" s="185">
        <f>SUM(G515:G518)</f>
      </c>
      <c r="H519" s="185">
        <f>SUM(H515:H518)</f>
      </c>
      <c r="I519" s="185">
        <f>SUM(I515:I518)</f>
      </c>
      <c r="J519" s="186">
        <f t="shared" si="202"/>
      </c>
      <c r="K519" s="187">
        <f t="shared" si="112"/>
      </c>
      <c r="L519" s="188">
        <f t="shared" si="52"/>
      </c>
      <c r="M519" s="189">
        <f t="shared" si="142"/>
      </c>
      <c r="N519" s="187">
        <f t="shared" si="22"/>
      </c>
      <c r="O519" s="188">
        <f t="shared" si="473"/>
      </c>
      <c r="P519" s="187">
        <f t="shared" si="443"/>
      </c>
      <c r="Q519" s="187">
        <f t="shared" si="365"/>
      </c>
      <c r="R519" s="188">
        <f t="shared" si="335"/>
      </c>
      <c r="S519" s="190">
        <f t="shared" si="232"/>
      </c>
      <c r="T519" s="188">
        <f t="shared" si="172"/>
      </c>
      <c r="U519" s="191">
        <f t="shared" si="82"/>
      </c>
      <c r="V519" s="191"/>
      <c r="W519" s="191"/>
      <c r="X519" s="206">
        <f>SUM(X515:X518)</f>
      </c>
      <c r="Y519" s="185">
        <f>SUM(Y515:Y518)</f>
      </c>
      <c r="Z519" s="185">
        <f>SUM(Z515:Z518)</f>
      </c>
      <c r="AA519" s="185">
        <f>SUM(AA515:AA518)</f>
      </c>
      <c r="AB519" s="185">
        <f>SUM(AB515:AB518)</f>
      </c>
      <c r="AC519" s="185">
        <f>SUM(AC515:AC518)</f>
      </c>
      <c r="AD519" s="185">
        <f>SUM(AD515:AD518)</f>
      </c>
      <c r="AE519" s="185">
        <f>SUM(AE515:AE518)</f>
      </c>
      <c r="AF519" s="152"/>
      <c r="AG519" s="152"/>
    </row>
    <row r="520">
      <c r="A520" s="242"/>
      <c r="B520" s="181" t="s">
        <v>125</v>
      </c>
      <c r="C520" s="168" t="s">
        <v>126</v>
      </c>
      <c r="D520" s="169">
        <f t="shared" ref="D520:D523" si="392">E520+F520+G520</f>
      </c>
      <c r="E520" s="170">
        <v>1217.1</v>
      </c>
      <c r="F520" s="170">
        <v>1051.86</v>
      </c>
      <c r="G520" s="170">
        <v>0</v>
      </c>
      <c r="H520" s="170">
        <v>2</v>
      </c>
      <c r="I520" s="170">
        <v>2750.6399999999994</v>
      </c>
      <c r="J520" s="171">
        <f t="shared" si="202"/>
      </c>
      <c r="K520" s="172">
        <f t="shared" si="112"/>
      </c>
      <c r="L520" s="173">
        <f t="shared" si="52"/>
      </c>
      <c r="M520" s="174">
        <f t="shared" si="142"/>
      </c>
      <c r="N520" s="172">
        <f t="shared" si="22"/>
      </c>
      <c r="O520" s="173">
        <f t="shared" si="473"/>
      </c>
      <c r="P520" s="172">
        <f t="shared" si="443"/>
      </c>
      <c r="Q520" s="172">
        <f t="shared" si="365"/>
      </c>
      <c r="R520" s="173">
        <f t="shared" si="335"/>
      </c>
      <c r="S520" s="175">
        <f t="shared" si="232"/>
      </c>
      <c r="T520" s="173">
        <f t="shared" si="172"/>
      </c>
      <c r="U520" s="176">
        <f t="shared" si="82"/>
      </c>
      <c r="V520" s="177" t="s">
        <v>108</v>
      </c>
      <c r="W520" s="178" t="s">
        <v>136</v>
      </c>
      <c r="X520" s="170">
        <v>2</v>
      </c>
      <c r="Y520" s="169">
        <v>7205</v>
      </c>
      <c r="Z520" s="169">
        <v>553</v>
      </c>
      <c r="AA520" s="169">
        <v>982</v>
      </c>
      <c r="AB520" s="169">
        <v>247</v>
      </c>
      <c r="AC520" s="179">
        <v>31</v>
      </c>
      <c r="AD520" s="179">
        <v>4</v>
      </c>
      <c r="AE520" s="180">
        <v>23</v>
      </c>
      <c r="AF520" s="152"/>
      <c r="AG520" s="152"/>
    </row>
    <row r="521">
      <c r="A521" s="242"/>
      <c r="B521" s="212" t="s">
        <v>127</v>
      </c>
      <c r="C521" s="168" t="s">
        <v>126</v>
      </c>
      <c r="D521" s="169">
        <f t="shared" si="392"/>
      </c>
      <c r="E521" s="170">
        <v>1866.07</v>
      </c>
      <c r="F521" s="170">
        <v>2197.76</v>
      </c>
      <c r="G521" s="170">
        <v>0</v>
      </c>
      <c r="H521" s="170">
        <v>2</v>
      </c>
      <c r="I521" s="170">
        <v>2508.8399999999965</v>
      </c>
      <c r="J521" s="171">
        <f t="shared" si="202"/>
      </c>
      <c r="K521" s="172">
        <f t="shared" si="112"/>
      </c>
      <c r="L521" s="173">
        <f t="shared" si="52"/>
      </c>
      <c r="M521" s="174">
        <f t="shared" si="142"/>
      </c>
      <c r="N521" s="172">
        <f t="shared" si="22"/>
      </c>
      <c r="O521" s="173">
        <f t="shared" si="473"/>
      </c>
      <c r="P521" s="172">
        <f t="shared" si="443"/>
      </c>
      <c r="Q521" s="172">
        <f t="shared" si="365"/>
      </c>
      <c r="R521" s="173">
        <f t="shared" si="335"/>
      </c>
      <c r="S521" s="175">
        <f t="shared" si="232"/>
      </c>
      <c r="T521" s="173">
        <f t="shared" si="172"/>
      </c>
      <c r="U521" s="176">
        <f t="shared" si="82"/>
      </c>
      <c r="V521" s="177" t="s">
        <v>108</v>
      </c>
      <c r="W521" s="178" t="s">
        <v>136</v>
      </c>
      <c r="X521" s="208">
        <v>3</v>
      </c>
      <c r="Y521" s="169">
        <v>11041</v>
      </c>
      <c r="Z521" s="169">
        <v>1092</v>
      </c>
      <c r="AA521" s="169">
        <v>1956</v>
      </c>
      <c r="AB521" s="169">
        <v>457</v>
      </c>
      <c r="AC521" s="169">
        <v>18</v>
      </c>
      <c r="AD521" s="179">
        <v>4</v>
      </c>
      <c r="AE521" s="230">
        <v>7</v>
      </c>
      <c r="AF521" s="152"/>
      <c r="AG521" s="152"/>
    </row>
    <row customHeight="true" ht="18.452380952380953" r="522">
      <c r="A522" s="242"/>
      <c r="B522" s="195" t="s">
        <v>128</v>
      </c>
      <c r="C522" s="168" t="s">
        <v>126</v>
      </c>
      <c r="D522" s="169">
        <f t="shared" si="392"/>
      </c>
      <c r="E522" s="169">
        <v>749.07</v>
      </c>
      <c r="F522" s="170">
        <v>2218.96</v>
      </c>
      <c r="G522" s="170">
        <v>0</v>
      </c>
      <c r="H522" s="170">
        <v>0</v>
      </c>
      <c r="I522" s="170">
        <v>0</v>
      </c>
      <c r="J522" s="171">
        <f t="shared" si="202"/>
      </c>
      <c r="K522" s="172">
        <f t="shared" si="112"/>
      </c>
      <c r="L522" s="173">
        <f t="shared" si="52"/>
      </c>
      <c r="M522" s="174">
        <f t="shared" si="142"/>
      </c>
      <c r="N522" s="172">
        <f t="shared" si="22"/>
      </c>
      <c r="O522" s="173">
        <f t="shared" si="473"/>
      </c>
      <c r="P522" s="172">
        <f t="shared" si="443"/>
      </c>
      <c r="Q522" s="172">
        <f t="shared" si="365"/>
      </c>
      <c r="R522" s="173">
        <f t="shared" si="335"/>
      </c>
      <c r="S522" s="175">
        <f t="shared" si="232"/>
      </c>
      <c r="T522" s="173">
        <f t="shared" si="172"/>
      </c>
      <c r="U522" s="176">
        <f t="shared" si="82"/>
      </c>
      <c r="V522" s="177" t="s">
        <v>108</v>
      </c>
      <c r="W522" s="178" t="s">
        <v>136</v>
      </c>
      <c r="X522" s="208">
        <v>0</v>
      </c>
      <c r="Y522" s="169">
        <v>5559</v>
      </c>
      <c r="Z522" s="169">
        <v>782</v>
      </c>
      <c r="AA522" s="169">
        <v>1469</v>
      </c>
      <c r="AB522" s="169">
        <v>332</v>
      </c>
      <c r="AC522" s="170">
        <v>11</v>
      </c>
      <c r="AD522" s="179">
        <v>1</v>
      </c>
      <c r="AE522" s="180">
        <v>12</v>
      </c>
      <c r="AF522" s="152"/>
      <c r="AG522" s="152"/>
    </row>
    <row customHeight="true" ht="18.452380952380953" r="523">
      <c r="A523" s="242"/>
      <c r="B523" s="212" t="s">
        <v>129</v>
      </c>
      <c r="C523" s="168" t="s">
        <v>126</v>
      </c>
      <c r="D523" s="169">
        <f t="shared" si="392"/>
      </c>
      <c r="E523" s="170">
        <v>657.17</v>
      </c>
      <c r="F523" s="170">
        <v>600.28</v>
      </c>
      <c r="G523" s="170">
        <v>0</v>
      </c>
      <c r="H523" s="170">
        <v>2</v>
      </c>
      <c r="I523" s="170">
        <v>1391.8800000000047</v>
      </c>
      <c r="J523" s="171">
        <f t="shared" si="202"/>
      </c>
      <c r="K523" s="172">
        <f t="shared" si="112"/>
      </c>
      <c r="L523" s="173">
        <f t="shared" si="52"/>
      </c>
      <c r="M523" s="174">
        <f t="shared" si="142"/>
      </c>
      <c r="N523" s="172">
        <f t="shared" si="22"/>
      </c>
      <c r="O523" s="173">
        <f t="shared" si="473"/>
      </c>
      <c r="P523" s="172">
        <f t="shared" si="443"/>
      </c>
      <c r="Q523" s="172">
        <f t="shared" si="365"/>
      </c>
      <c r="R523" s="173">
        <f t="shared" si="335"/>
      </c>
      <c r="S523" s="175">
        <f t="shared" si="232"/>
      </c>
      <c r="T523" s="173">
        <f t="shared" si="172"/>
      </c>
      <c r="U523" s="176">
        <f t="shared" si="82"/>
      </c>
      <c r="V523" s="177" t="s">
        <v>108</v>
      </c>
      <c r="W523" s="178" t="s">
        <v>136</v>
      </c>
      <c r="X523" s="208">
        <v>2</v>
      </c>
      <c r="Y523" s="169">
        <v>4997</v>
      </c>
      <c r="Z523" s="169">
        <v>346</v>
      </c>
      <c r="AA523" s="169">
        <v>611</v>
      </c>
      <c r="AB523" s="169">
        <v>138</v>
      </c>
      <c r="AC523" s="170">
        <v>22</v>
      </c>
      <c r="AD523" s="179">
        <v>3</v>
      </c>
      <c r="AE523" s="230">
        <v>16</v>
      </c>
      <c r="AF523" s="152"/>
      <c r="AG523" s="152"/>
    </row>
    <row r="524">
      <c r="A524" s="242"/>
      <c r="B524" s="184" t="s">
        <v>113</v>
      </c>
      <c r="C524" s="184"/>
      <c r="D524" s="185">
        <f>SUM(D520:D523)</f>
      </c>
      <c r="E524" s="185">
        <f>SUM(E520:E523)</f>
      </c>
      <c r="F524" s="185">
        <f>SUM(F520:F523)</f>
      </c>
      <c r="G524" s="185">
        <f>SUM(G520:G523)</f>
      </c>
      <c r="H524" s="185">
        <f>SUM(H520:H523)</f>
      </c>
      <c r="I524" s="185">
        <f>SUM(I520:I523)</f>
      </c>
      <c r="J524" s="186">
        <f t="shared" si="202"/>
      </c>
      <c r="K524" s="187">
        <f t="shared" si="112"/>
      </c>
      <c r="L524" s="188">
        <f t="shared" si="52"/>
      </c>
      <c r="M524" s="189">
        <f t="shared" si="142"/>
      </c>
      <c r="N524" s="187">
        <f t="shared" si="22"/>
      </c>
      <c r="O524" s="188">
        <f t="shared" si="473"/>
      </c>
      <c r="P524" s="187">
        <f t="shared" si="443"/>
      </c>
      <c r="Q524" s="187">
        <f t="shared" si="365"/>
      </c>
      <c r="R524" s="188">
        <f t="shared" si="335"/>
      </c>
      <c r="S524" s="190">
        <f t="shared" si="232"/>
      </c>
      <c r="T524" s="188">
        <f t="shared" si="172"/>
      </c>
      <c r="U524" s="191">
        <f t="shared" si="82"/>
      </c>
      <c r="V524" s="191"/>
      <c r="W524" s="191"/>
      <c r="X524" s="206">
        <f>SUM(X520:X523)</f>
      </c>
      <c r="Y524" s="206">
        <f>SUM(Y520:Y523)</f>
      </c>
      <c r="Z524" s="206">
        <f>SUM(Z520:Z523)</f>
      </c>
      <c r="AA524" s="206">
        <f>SUM(AA520:AA523)</f>
      </c>
      <c r="AB524" s="206">
        <f>SUM(AB520:AB523)</f>
      </c>
      <c r="AC524" s="206">
        <f>SUM(AC520:AC523)</f>
      </c>
      <c r="AD524" s="206">
        <f>SUM(AD520:AD523)</f>
      </c>
      <c r="AE524" s="206">
        <f>SUM(AE520:AE523)</f>
      </c>
      <c r="AF524" s="152"/>
      <c r="AG524" s="152"/>
    </row>
    <row r="525">
      <c r="A525" s="242"/>
      <c r="B525" s="215" t="s">
        <v>130</v>
      </c>
      <c r="C525" s="215"/>
      <c r="D525" s="216">
        <f>D510+D514+D519+D524</f>
      </c>
      <c r="E525" s="217">
        <f>E510+E514+E519+E524</f>
      </c>
      <c r="F525" s="218">
        <f>F510+F514+F519+F524</f>
      </c>
      <c r="G525" s="218">
        <f>G510+G514+G519+G524</f>
      </c>
      <c r="H525" s="216">
        <f>H510+H514+H519+H524</f>
      </c>
      <c r="I525" s="216">
        <f>I510+I514+I519+I524</f>
      </c>
      <c r="J525" s="219">
        <f t="shared" si="202"/>
      </c>
      <c r="K525" s="220">
        <f t="shared" si="112"/>
      </c>
      <c r="L525" s="221">
        <f t="shared" si="52"/>
      </c>
      <c r="M525" s="222">
        <f t="shared" si="142"/>
      </c>
      <c r="N525" s="222">
        <f t="shared" si="22"/>
      </c>
      <c r="O525" s="221">
        <f t="shared" si="473"/>
      </c>
      <c r="P525" s="222">
        <f t="shared" si="443"/>
      </c>
      <c r="Q525" s="222">
        <f t="shared" si="365"/>
      </c>
      <c r="R525" s="221">
        <f t="shared" si="335"/>
      </c>
      <c r="S525" s="223">
        <f t="shared" si="232"/>
      </c>
      <c r="T525" s="221">
        <f t="shared" si="172"/>
      </c>
      <c r="U525" s="224">
        <f t="shared" si="82"/>
      </c>
      <c r="V525" s="224"/>
      <c r="W525" s="224"/>
      <c r="X525" s="219">
        <f>X510+X514+X519+X524</f>
      </c>
      <c r="Y525" s="219">
        <f>Y510+Y514+Y519+Y524</f>
      </c>
      <c r="Z525" s="219">
        <f>Z510+Z514+Z519+Z524</f>
      </c>
      <c r="AA525" s="219">
        <f>AA510+AA514+AA519+AA524</f>
      </c>
      <c r="AB525" s="219">
        <f>AB510+AB514+AB519+AB524</f>
      </c>
      <c r="AC525" s="219">
        <f>AC510+AC514+AC519+AC524</f>
      </c>
      <c r="AD525" s="233">
        <f>AD510+AD514+AD519+AD524</f>
      </c>
      <c r="AE525" s="218">
        <f>AE510+AE514+AE519+AE524</f>
      </c>
      <c r="AF525" s="152"/>
      <c r="AG525" s="152"/>
    </row>
    <row r="526">
      <c r="A526" s="240" t="s">
        <v>73</v>
      </c>
      <c r="B526" s="240"/>
      <c r="C526" s="240"/>
      <c r="D526" s="147" t="s">
        <v>74</v>
      </c>
      <c r="E526" s="147"/>
      <c r="F526" s="147"/>
      <c r="G526" s="147"/>
      <c r="H526" s="147"/>
      <c r="I526" s="147"/>
      <c r="J526" s="147"/>
      <c r="K526" s="148" t="s">
        <v>75</v>
      </c>
      <c r="L526" s="148"/>
      <c r="M526" s="148"/>
      <c r="N526" s="148"/>
      <c r="O526" s="148"/>
      <c r="P526" s="148"/>
      <c r="Q526" s="148"/>
      <c r="R526" s="148"/>
      <c r="S526" s="148"/>
      <c r="T526" s="148"/>
      <c r="U526" s="149"/>
      <c r="V526" s="149"/>
      <c r="W526" s="149"/>
      <c r="X526" s="150"/>
      <c r="Y526" s="150"/>
      <c r="Z526" s="150"/>
      <c r="AA526" s="150"/>
      <c r="AB526" s="150"/>
      <c r="AC526" s="150"/>
      <c r="AD526" s="150"/>
      <c r="AE526" s="151" t="s">
        <v>76</v>
      </c>
      <c r="AF526" s="152"/>
      <c r="AG526" s="152"/>
    </row>
    <row r="527">
      <c r="A527" s="240" t="s">
        <v>77</v>
      </c>
      <c r="B527" s="240" t="s">
        <v>78</v>
      </c>
      <c r="C527" s="240" t="s">
        <v>79</v>
      </c>
      <c r="D527" s="241" t="s">
        <v>80</v>
      </c>
      <c r="E527" s="225" t="s">
        <v>81</v>
      </c>
      <c r="F527" s="226" t="s">
        <v>82</v>
      </c>
      <c r="G527" s="227" t="s">
        <v>139</v>
      </c>
      <c r="H527" s="228" t="s">
        <v>83</v>
      </c>
      <c r="I527" s="157" t="s">
        <v>84</v>
      </c>
      <c r="J527" s="155" t="s">
        <v>85</v>
      </c>
      <c r="K527" s="158" t="s">
        <v>86</v>
      </c>
      <c r="L527" s="158" t="s">
        <v>87</v>
      </c>
      <c r="M527" s="159" t="s">
        <v>88</v>
      </c>
      <c r="N527" s="160" t="s">
        <v>89</v>
      </c>
      <c r="O527" s="148" t="s">
        <v>90</v>
      </c>
      <c r="P527" s="160" t="s">
        <v>91</v>
      </c>
      <c r="Q527" s="160" t="s">
        <v>92</v>
      </c>
      <c r="R527" s="161" t="s">
        <v>93</v>
      </c>
      <c r="S527" s="160" t="s">
        <v>94</v>
      </c>
      <c r="T527" s="161" t="s">
        <v>95</v>
      </c>
      <c r="U527" s="162" t="s">
        <v>96</v>
      </c>
      <c r="V527" s="162" t="s">
        <v>97</v>
      </c>
      <c r="W527" s="162" t="s">
        <v>98</v>
      </c>
      <c r="X527" s="163" t="s">
        <v>99</v>
      </c>
      <c r="Y527" s="164" t="s">
        <v>100</v>
      </c>
      <c r="Z527" s="164" t="s">
        <v>101</v>
      </c>
      <c r="AA527" s="164" t="s">
        <v>102</v>
      </c>
      <c r="AB527" s="164" t="s">
        <v>103</v>
      </c>
      <c r="AC527" s="164" t="s">
        <v>104</v>
      </c>
      <c r="AD527" s="165" t="s">
        <v>105</v>
      </c>
      <c r="AE527" s="151"/>
      <c r="AF527" s="152"/>
      <c r="AG527" s="152"/>
    </row>
    <row r="528">
      <c r="A528" s="242">
        <v>46289</v>
      </c>
      <c r="B528" s="243" t="s">
        <v>138</v>
      </c>
      <c r="C528" s="168" t="s">
        <v>120</v>
      </c>
      <c r="D528" s="169">
        <f t="shared" ref="D528:D531" si="393">E528+F528+G528</f>
      </c>
      <c r="E528" s="170">
        <v>2498.3599999999997</v>
      </c>
      <c r="F528" s="229">
        <v>943.93</v>
      </c>
      <c r="G528" s="229">
        <v>0</v>
      </c>
      <c r="H528" s="170">
        <v>4</v>
      </c>
      <c r="I528" s="170">
        <v>5899.44</v>
      </c>
      <c r="J528" s="171">
        <f t="shared" ref="J528:J548" si="203">I528/D528</f>
      </c>
      <c r="K528" s="172">
        <f t="shared" ref="K528:K548" si="113">Z528/Y528</f>
      </c>
      <c r="L528" s="173">
        <f t="shared" ref="L528:L548" si="53">D528/AA528</f>
      </c>
      <c r="M528" s="174">
        <f t="shared" ref="M528:M548" si="143">AB528/AA528</f>
      </c>
      <c r="N528" s="172">
        <f t="shared" ref="N528:N548" si="23">AC528/AA528</f>
      </c>
      <c r="O528" s="173">
        <f t="shared" ref="O528:O548" si="474">D528/AC528</f>
      </c>
      <c r="P528" s="172">
        <f t="shared" ref="P528:P548" si="444">AD528/AC528</f>
      </c>
      <c r="Q528" s="172">
        <f t="shared" ref="Q528:Q548" si="366">H528/AD528</f>
      </c>
      <c r="R528" s="173">
        <f t="shared" ref="R528:R548" si="336">D528/H528</f>
      </c>
      <c r="S528" s="175">
        <f t="shared" ref="S528:S548" si="233">I528/H528</f>
      </c>
      <c r="T528" s="173">
        <f t="shared" ref="T528:T548" si="173">D528/X528</f>
      </c>
      <c r="U528" s="176">
        <f t="shared" ref="U528:U548" si="83">AE528*1000/D528</f>
      </c>
      <c r="V528" s="177" t="s">
        <v>108</v>
      </c>
      <c r="W528" s="178" t="s">
        <v>133</v>
      </c>
      <c r="X528" s="170">
        <v>4</v>
      </c>
      <c r="Y528" s="169">
        <v>10317</v>
      </c>
      <c r="Z528" s="169">
        <v>842</v>
      </c>
      <c r="AA528" s="169">
        <v>1525</v>
      </c>
      <c r="AB528" s="169">
        <v>353</v>
      </c>
      <c r="AC528" s="179">
        <v>48</v>
      </c>
      <c r="AD528" s="179">
        <v>9</v>
      </c>
      <c r="AE528" s="180">
        <v>32</v>
      </c>
      <c r="AF528" s="236"/>
      <c r="AG528" s="152"/>
    </row>
    <row r="529">
      <c r="A529" s="242"/>
      <c r="B529" s="181" t="s">
        <v>110</v>
      </c>
      <c r="C529" s="168" t="s">
        <v>120</v>
      </c>
      <c r="D529" s="169">
        <f t="shared" si="393"/>
      </c>
      <c r="E529" s="170">
        <v>1997.1200000000001</v>
      </c>
      <c r="F529" s="170">
        <v>1005.91</v>
      </c>
      <c r="G529" s="170">
        <v>0</v>
      </c>
      <c r="H529" s="170">
        <v>1</v>
      </c>
      <c r="I529" s="170">
        <v>561.5999999999995</v>
      </c>
      <c r="J529" s="171">
        <f t="shared" si="203"/>
      </c>
      <c r="K529" s="172">
        <f t="shared" si="113"/>
      </c>
      <c r="L529" s="173">
        <f t="shared" si="53"/>
      </c>
      <c r="M529" s="174">
        <f t="shared" si="143"/>
      </c>
      <c r="N529" s="172">
        <f t="shared" si="23"/>
      </c>
      <c r="O529" s="173">
        <f t="shared" si="474"/>
      </c>
      <c r="P529" s="172">
        <f t="shared" si="444"/>
      </c>
      <c r="Q529" s="172">
        <f t="shared" si="366"/>
      </c>
      <c r="R529" s="173">
        <f t="shared" si="336"/>
      </c>
      <c r="S529" s="175">
        <f t="shared" si="233"/>
      </c>
      <c r="T529" s="173">
        <f t="shared" si="173"/>
      </c>
      <c r="U529" s="176">
        <f t="shared" si="83"/>
      </c>
      <c r="V529" s="177" t="s">
        <v>108</v>
      </c>
      <c r="W529" s="178" t="s">
        <v>133</v>
      </c>
      <c r="X529" s="208">
        <v>1</v>
      </c>
      <c r="Y529" s="169">
        <v>5876</v>
      </c>
      <c r="Z529" s="169">
        <v>220</v>
      </c>
      <c r="AA529" s="169">
        <v>273</v>
      </c>
      <c r="AB529" s="169">
        <v>93</v>
      </c>
      <c r="AC529" s="169">
        <v>34</v>
      </c>
      <c r="AD529" s="179">
        <v>2</v>
      </c>
      <c r="AE529" s="180">
        <v>8</v>
      </c>
      <c r="AF529" s="236"/>
      <c r="AG529" s="152"/>
    </row>
    <row r="530">
      <c r="A530" s="242"/>
      <c r="B530" s="181" t="s">
        <v>111</v>
      </c>
      <c r="C530" s="168" t="s">
        <v>120</v>
      </c>
      <c r="D530" s="169">
        <f t="shared" si="393"/>
      </c>
      <c r="E530" s="169">
        <v>2370.84</v>
      </c>
      <c r="F530" s="169">
        <v>875.99</v>
      </c>
      <c r="G530" s="170">
        <v>0</v>
      </c>
      <c r="H530" s="170">
        <v>1</v>
      </c>
      <c r="I530" s="170">
        <v>4745.039999999999</v>
      </c>
      <c r="J530" s="171">
        <f t="shared" si="203"/>
      </c>
      <c r="K530" s="172">
        <f t="shared" si="113"/>
      </c>
      <c r="L530" s="173">
        <f t="shared" si="53"/>
      </c>
      <c r="M530" s="174">
        <f t="shared" si="143"/>
      </c>
      <c r="N530" s="172">
        <f t="shared" si="23"/>
      </c>
      <c r="O530" s="173">
        <f t="shared" si="474"/>
      </c>
      <c r="P530" s="172">
        <f t="shared" si="444"/>
      </c>
      <c r="Q530" s="172">
        <f t="shared" si="366"/>
      </c>
      <c r="R530" s="173">
        <f t="shared" si="336"/>
      </c>
      <c r="S530" s="175">
        <f t="shared" si="233"/>
      </c>
      <c r="T530" s="173">
        <f t="shared" si="173"/>
      </c>
      <c r="U530" s="176">
        <f t="shared" si="83"/>
      </c>
      <c r="V530" s="177" t="s">
        <v>108</v>
      </c>
      <c r="W530" s="178" t="s">
        <v>133</v>
      </c>
      <c r="X530" s="205">
        <v>0</v>
      </c>
      <c r="Y530" s="169">
        <v>8703</v>
      </c>
      <c r="Z530" s="169">
        <v>207</v>
      </c>
      <c r="AA530" s="169">
        <v>233</v>
      </c>
      <c r="AB530" s="169">
        <v>73</v>
      </c>
      <c r="AC530" s="169">
        <v>42</v>
      </c>
      <c r="AD530" s="179">
        <v>1</v>
      </c>
      <c r="AE530" s="180">
        <v>23</v>
      </c>
      <c r="AF530" s="236"/>
      <c r="AG530" s="152"/>
    </row>
    <row r="531">
      <c r="A531" s="242"/>
      <c r="B531" s="183" t="s">
        <v>112</v>
      </c>
      <c r="C531" s="168" t="s">
        <v>120</v>
      </c>
      <c r="D531" s="169">
        <f t="shared" si="393"/>
      </c>
      <c r="E531" s="169">
        <v>1308.32</v>
      </c>
      <c r="F531" s="170">
        <v>1474.98</v>
      </c>
      <c r="G531" s="170">
        <v>0</v>
      </c>
      <c r="H531" s="170">
        <v>0</v>
      </c>
      <c r="I531" s="170">
        <v>0</v>
      </c>
      <c r="J531" s="171">
        <f t="shared" si="203"/>
      </c>
      <c r="K531" s="172">
        <f t="shared" si="113"/>
      </c>
      <c r="L531" s="173">
        <f t="shared" si="53"/>
      </c>
      <c r="M531" s="174">
        <f t="shared" si="143"/>
      </c>
      <c r="N531" s="172">
        <f t="shared" si="23"/>
      </c>
      <c r="O531" s="173">
        <f t="shared" si="474"/>
      </c>
      <c r="P531" s="172">
        <f t="shared" si="444"/>
      </c>
      <c r="Q531" s="172">
        <f t="shared" si="366"/>
      </c>
      <c r="R531" s="173">
        <f t="shared" si="336"/>
      </c>
      <c r="S531" s="175">
        <f t="shared" si="233"/>
      </c>
      <c r="T531" s="173">
        <f t="shared" si="173"/>
      </c>
      <c r="U531" s="176">
        <f t="shared" si="83"/>
      </c>
      <c r="V531" s="177" t="s">
        <v>108</v>
      </c>
      <c r="W531" s="178" t="s">
        <v>133</v>
      </c>
      <c r="X531" s="205">
        <v>1</v>
      </c>
      <c r="Y531" s="169">
        <v>5341</v>
      </c>
      <c r="Z531" s="169">
        <v>393</v>
      </c>
      <c r="AA531" s="169">
        <v>653</v>
      </c>
      <c r="AB531" s="169">
        <v>227</v>
      </c>
      <c r="AC531" s="169">
        <v>25</v>
      </c>
      <c r="AD531" s="179">
        <v>2</v>
      </c>
      <c r="AE531" s="180">
        <v>16</v>
      </c>
      <c r="AF531" s="236"/>
      <c r="AG531" s="152"/>
    </row>
    <row r="532">
      <c r="A532" s="242"/>
      <c r="B532" s="184" t="s">
        <v>113</v>
      </c>
      <c r="C532" s="184"/>
      <c r="D532" s="185">
        <f>D528+D529+D530+D531</f>
      </c>
      <c r="E532" s="185">
        <f>SUM(E528:E531)</f>
      </c>
      <c r="F532" s="185">
        <f>SUM(F528:F531)</f>
      </c>
      <c r="G532" s="185">
        <f>SUM(G528:G531)</f>
      </c>
      <c r="H532" s="185">
        <f>SUM(H528:H531)</f>
      </c>
      <c r="I532" s="185">
        <f>SUM(I528:I531)</f>
      </c>
      <c r="J532" s="186">
        <f t="shared" si="203"/>
      </c>
      <c r="K532" s="187">
        <f t="shared" si="113"/>
      </c>
      <c r="L532" s="188">
        <f t="shared" si="53"/>
      </c>
      <c r="M532" s="189">
        <f t="shared" si="143"/>
      </c>
      <c r="N532" s="187">
        <f t="shared" si="23"/>
      </c>
      <c r="O532" s="188">
        <f t="shared" si="474"/>
      </c>
      <c r="P532" s="187">
        <f t="shared" si="444"/>
      </c>
      <c r="Q532" s="187">
        <f t="shared" si="366"/>
      </c>
      <c r="R532" s="188">
        <f t="shared" si="336"/>
      </c>
      <c r="S532" s="190">
        <f t="shared" si="233"/>
      </c>
      <c r="T532" s="188">
        <f t="shared" si="173"/>
      </c>
      <c r="U532" s="191">
        <f t="shared" si="83"/>
      </c>
      <c r="V532" s="191"/>
      <c r="W532" s="191"/>
      <c r="X532" s="206">
        <f>SUM(X528:X531)</f>
      </c>
      <c r="Y532" s="185">
        <f>SUM(Y528:Y531)</f>
      </c>
      <c r="Z532" s="185">
        <f>SUM(Z528:Z531)</f>
      </c>
      <c r="AA532" s="185">
        <f>SUM(AA528:AA531)</f>
      </c>
      <c r="AB532" s="185">
        <f>SUM(AB528:AB531)</f>
      </c>
      <c r="AC532" s="185">
        <f>SUM(AC528:AC531)</f>
      </c>
      <c r="AD532" s="185">
        <f>SUM(AD528:AD531)</f>
      </c>
      <c r="AE532" s="185">
        <f>SUM(AE528:AE531)</f>
      </c>
      <c r="AF532" s="152"/>
      <c r="AG532" s="152"/>
    </row>
    <row r="533">
      <c r="A533" s="242"/>
      <c r="B533" s="181" t="s">
        <v>114</v>
      </c>
      <c r="C533" s="168" t="s">
        <v>107</v>
      </c>
      <c r="D533" s="169">
        <f t="shared" ref="D533:D536" si="394">E533+F533+G533</f>
      </c>
      <c r="E533" s="169">
        <v>1824.42</v>
      </c>
      <c r="F533" s="169">
        <v>700.13</v>
      </c>
      <c r="G533" s="170">
        <v>0</v>
      </c>
      <c r="H533" s="170">
        <v>3</v>
      </c>
      <c r="I533" s="170">
        <v>5943.84</v>
      </c>
      <c r="J533" s="171">
        <f t="shared" si="203"/>
      </c>
      <c r="K533" s="172">
        <f t="shared" si="113"/>
      </c>
      <c r="L533" s="173">
        <f t="shared" si="53"/>
      </c>
      <c r="M533" s="174">
        <f t="shared" si="143"/>
      </c>
      <c r="N533" s="172">
        <f t="shared" si="23"/>
      </c>
      <c r="O533" s="173">
        <f t="shared" si="474"/>
      </c>
      <c r="P533" s="172">
        <f t="shared" si="444"/>
      </c>
      <c r="Q533" s="172">
        <f t="shared" si="366"/>
      </c>
      <c r="R533" s="173">
        <f t="shared" si="336"/>
      </c>
      <c r="S533" s="175">
        <f t="shared" si="233"/>
      </c>
      <c r="T533" s="173">
        <f t="shared" si="173"/>
      </c>
      <c r="U533" s="176">
        <f t="shared" si="83"/>
      </c>
      <c r="V533" s="177" t="s">
        <v>108</v>
      </c>
      <c r="W533" s="178" t="s">
        <v>133</v>
      </c>
      <c r="X533" s="208">
        <v>2</v>
      </c>
      <c r="Y533" s="170">
        <v>9167</v>
      </c>
      <c r="Z533" s="170">
        <v>520</v>
      </c>
      <c r="AA533" s="169">
        <v>851</v>
      </c>
      <c r="AB533" s="170">
        <v>236</v>
      </c>
      <c r="AC533" s="170">
        <v>15</v>
      </c>
      <c r="AD533" s="179">
        <v>3</v>
      </c>
      <c r="AE533" s="180">
        <v>19</v>
      </c>
      <c r="AF533" s="236"/>
      <c r="AG533" s="152"/>
    </row>
    <row r="534">
      <c r="A534" s="242"/>
      <c r="B534" s="181" t="s">
        <v>116</v>
      </c>
      <c r="C534" s="168" t="s">
        <v>107</v>
      </c>
      <c r="D534" s="169">
        <f t="shared" si="394"/>
      </c>
      <c r="E534" s="169">
        <v>2672.63</v>
      </c>
      <c r="F534" s="169">
        <v>381.84</v>
      </c>
      <c r="G534" s="170">
        <v>0</v>
      </c>
      <c r="H534" s="170">
        <v>3</v>
      </c>
      <c r="I534" s="169">
        <v>9399.869999999999</v>
      </c>
      <c r="J534" s="171">
        <f t="shared" si="203"/>
      </c>
      <c r="K534" s="172">
        <f t="shared" si="113"/>
      </c>
      <c r="L534" s="173">
        <f t="shared" si="53"/>
      </c>
      <c r="M534" s="174">
        <f t="shared" si="143"/>
      </c>
      <c r="N534" s="172">
        <f t="shared" si="23"/>
      </c>
      <c r="O534" s="173">
        <f t="shared" si="474"/>
      </c>
      <c r="P534" s="172">
        <f t="shared" si="444"/>
      </c>
      <c r="Q534" s="172">
        <f t="shared" si="366"/>
      </c>
      <c r="R534" s="173">
        <f t="shared" si="336"/>
      </c>
      <c r="S534" s="175">
        <f t="shared" si="233"/>
      </c>
      <c r="T534" s="173">
        <f t="shared" si="173"/>
      </c>
      <c r="U534" s="176">
        <f t="shared" si="83"/>
      </c>
      <c r="V534" s="177" t="s">
        <v>108</v>
      </c>
      <c r="W534" s="178" t="s">
        <v>133</v>
      </c>
      <c r="X534" s="208">
        <v>1</v>
      </c>
      <c r="Y534" s="170">
        <v>9876</v>
      </c>
      <c r="Z534" s="170">
        <v>396</v>
      </c>
      <c r="AA534" s="170">
        <v>618</v>
      </c>
      <c r="AB534" s="170">
        <v>169</v>
      </c>
      <c r="AC534" s="170">
        <v>42</v>
      </c>
      <c r="AD534" s="179">
        <v>3</v>
      </c>
      <c r="AE534" s="180">
        <v>21</v>
      </c>
      <c r="AF534" s="236"/>
      <c r="AG534" s="152"/>
    </row>
    <row r="535">
      <c r="A535" s="242"/>
      <c r="B535" s="181" t="s">
        <v>117</v>
      </c>
      <c r="C535" s="168" t="s">
        <v>107</v>
      </c>
      <c r="D535" s="169">
        <f t="shared" si="394"/>
      </c>
      <c r="E535" s="169">
        <v>3015.58</v>
      </c>
      <c r="F535" s="170">
        <v>518.05</v>
      </c>
      <c r="G535" s="170">
        <v>0</v>
      </c>
      <c r="H535" s="170">
        <v>3</v>
      </c>
      <c r="I535" s="170">
        <v>7165.799999999999</v>
      </c>
      <c r="J535" s="171">
        <f t="shared" si="203"/>
      </c>
      <c r="K535" s="172">
        <f t="shared" si="113"/>
      </c>
      <c r="L535" s="173">
        <f t="shared" si="53"/>
      </c>
      <c r="M535" s="174">
        <f t="shared" si="143"/>
      </c>
      <c r="N535" s="172">
        <f t="shared" si="23"/>
      </c>
      <c r="O535" s="173">
        <f t="shared" si="474"/>
      </c>
      <c r="P535" s="172">
        <f t="shared" si="444"/>
      </c>
      <c r="Q535" s="172">
        <f t="shared" si="366"/>
      </c>
      <c r="R535" s="173">
        <f t="shared" si="336"/>
      </c>
      <c r="S535" s="175">
        <f t="shared" si="233"/>
      </c>
      <c r="T535" s="173">
        <f t="shared" si="173"/>
      </c>
      <c r="U535" s="176">
        <f t="shared" si="83"/>
      </c>
      <c r="V535" s="177" t="s">
        <v>108</v>
      </c>
      <c r="W535" s="178" t="s">
        <v>133</v>
      </c>
      <c r="X535" s="208">
        <v>3</v>
      </c>
      <c r="Y535" s="170">
        <v>12384</v>
      </c>
      <c r="Z535" s="170">
        <v>538</v>
      </c>
      <c r="AA535" s="170">
        <v>825</v>
      </c>
      <c r="AB535" s="170">
        <v>254</v>
      </c>
      <c r="AC535" s="170">
        <v>33</v>
      </c>
      <c r="AD535" s="179">
        <v>4</v>
      </c>
      <c r="AE535" s="180">
        <v>24</v>
      </c>
      <c r="AF535" s="236"/>
      <c r="AG535" s="152"/>
    </row>
    <row customHeight="true" ht="18.452380952380953" r="536">
      <c r="A536" s="242"/>
      <c r="B536" s="181" t="s">
        <v>118</v>
      </c>
      <c r="C536" s="168" t="s">
        <v>107</v>
      </c>
      <c r="D536" s="169">
        <f t="shared" si="394"/>
      </c>
      <c r="E536" s="169">
        <v>2327.42</v>
      </c>
      <c r="F536" s="170">
        <v>995.62</v>
      </c>
      <c r="G536" s="170">
        <v>0</v>
      </c>
      <c r="H536" s="170">
        <v>4</v>
      </c>
      <c r="I536" s="170">
        <v>9138.720000000001</v>
      </c>
      <c r="J536" s="171">
        <f t="shared" si="203"/>
      </c>
      <c r="K536" s="172">
        <f t="shared" si="113"/>
      </c>
      <c r="L536" s="173">
        <f t="shared" si="53"/>
      </c>
      <c r="M536" s="174">
        <f t="shared" si="143"/>
      </c>
      <c r="N536" s="172">
        <f t="shared" si="23"/>
      </c>
      <c r="O536" s="173">
        <f t="shared" si="474"/>
      </c>
      <c r="P536" s="172">
        <f t="shared" si="444"/>
      </c>
      <c r="Q536" s="172">
        <f t="shared" si="366"/>
      </c>
      <c r="R536" s="173">
        <f t="shared" si="336"/>
      </c>
      <c r="S536" s="175">
        <f t="shared" si="233"/>
      </c>
      <c r="T536" s="173">
        <f t="shared" si="173"/>
      </c>
      <c r="U536" s="176">
        <f t="shared" si="83"/>
      </c>
      <c r="V536" s="177" t="s">
        <v>108</v>
      </c>
      <c r="W536" s="178" t="s">
        <v>133</v>
      </c>
      <c r="X536" s="208">
        <v>2</v>
      </c>
      <c r="Y536" s="170">
        <v>10515</v>
      </c>
      <c r="Z536" s="170">
        <v>777</v>
      </c>
      <c r="AA536" s="170">
        <v>1192</v>
      </c>
      <c r="AB536" s="170">
        <v>344</v>
      </c>
      <c r="AC536" s="170">
        <v>18</v>
      </c>
      <c r="AD536" s="179">
        <v>7</v>
      </c>
      <c r="AE536" s="180">
        <v>27</v>
      </c>
      <c r="AF536" s="236"/>
      <c r="AG536" s="152"/>
    </row>
    <row r="537">
      <c r="A537" s="242"/>
      <c r="B537" s="184" t="s">
        <v>113</v>
      </c>
      <c r="C537" s="184"/>
      <c r="D537" s="185">
        <f>SUM(D533:D536)</f>
      </c>
      <c r="E537" s="185">
        <f>SUM(E533:E536)</f>
      </c>
      <c r="F537" s="185">
        <f>SUM(F533:F536)</f>
      </c>
      <c r="G537" s="185">
        <f>SUM(G533:G536)</f>
      </c>
      <c r="H537" s="185">
        <f>SUM(H533:H536)</f>
      </c>
      <c r="I537" s="185">
        <f>SUM(I533:I536)</f>
      </c>
      <c r="J537" s="186">
        <f t="shared" si="203"/>
      </c>
      <c r="K537" s="187">
        <f t="shared" si="113"/>
      </c>
      <c r="L537" s="188">
        <f t="shared" si="53"/>
      </c>
      <c r="M537" s="189">
        <f t="shared" si="143"/>
      </c>
      <c r="N537" s="187">
        <f t="shared" si="23"/>
      </c>
      <c r="O537" s="188">
        <f t="shared" si="474"/>
      </c>
      <c r="P537" s="187">
        <f t="shared" si="444"/>
      </c>
      <c r="Q537" s="187">
        <f t="shared" si="366"/>
      </c>
      <c r="R537" s="188">
        <f t="shared" si="336"/>
      </c>
      <c r="S537" s="190">
        <f t="shared" si="233"/>
      </c>
      <c r="T537" s="188">
        <f t="shared" si="173"/>
      </c>
      <c r="U537" s="191">
        <f t="shared" si="83"/>
      </c>
      <c r="V537" s="191"/>
      <c r="W537" s="191"/>
      <c r="X537" s="206">
        <f>SUM(X533:X536)</f>
      </c>
      <c r="Y537" s="209">
        <f>SUM(Y533:Y536)</f>
      </c>
      <c r="Z537" s="209">
        <f>SUM(Z533:Z536)</f>
      </c>
      <c r="AA537" s="209">
        <f>SUM(AA533:AA536)</f>
      </c>
      <c r="AB537" s="209">
        <f>SUM(AB533:AB536)</f>
      </c>
      <c r="AC537" s="209">
        <f>SUM(AC533:AC536)</f>
      </c>
      <c r="AD537" s="209">
        <f>SUM(AD533:AD536)</f>
      </c>
      <c r="AE537" s="209">
        <f>SUM(AE533:AE536)</f>
      </c>
      <c r="AF537" s="152"/>
      <c r="AG537" s="152"/>
    </row>
    <row r="538">
      <c r="A538" s="242"/>
      <c r="B538" s="192" t="s">
        <v>119</v>
      </c>
      <c r="C538" s="168" t="s">
        <v>126</v>
      </c>
      <c r="D538" s="169">
        <f t="shared" ref="D538:D541" si="395">E538+F538+G538</f>
      </c>
      <c r="E538" s="170">
        <v>1939.35</v>
      </c>
      <c r="F538" s="170">
        <v>915.04</v>
      </c>
      <c r="G538" s="170">
        <v>0</v>
      </c>
      <c r="H538" s="170">
        <v>0</v>
      </c>
      <c r="I538" s="170">
        <v>0</v>
      </c>
      <c r="J538" s="171">
        <f t="shared" si="203"/>
      </c>
      <c r="K538" s="172">
        <f t="shared" si="113"/>
      </c>
      <c r="L538" s="173">
        <f t="shared" si="53"/>
      </c>
      <c r="M538" s="174">
        <f t="shared" si="143"/>
      </c>
      <c r="N538" s="172">
        <f t="shared" si="23"/>
      </c>
      <c r="O538" s="173">
        <f t="shared" si="474"/>
      </c>
      <c r="P538" s="172">
        <f t="shared" si="444"/>
      </c>
      <c r="Q538" s="172">
        <f t="shared" si="366"/>
      </c>
      <c r="R538" s="173">
        <f t="shared" si="336"/>
      </c>
      <c r="S538" s="175">
        <f t="shared" si="233"/>
      </c>
      <c r="T538" s="173">
        <f t="shared" si="173"/>
      </c>
      <c r="U538" s="176">
        <f t="shared" si="83"/>
      </c>
      <c r="V538" s="177" t="s">
        <v>108</v>
      </c>
      <c r="W538" s="178" t="s">
        <v>136</v>
      </c>
      <c r="X538" s="170">
        <v>0</v>
      </c>
      <c r="Y538" s="170">
        <v>9003</v>
      </c>
      <c r="Z538" s="170">
        <v>653</v>
      </c>
      <c r="AA538" s="169">
        <v>1095</v>
      </c>
      <c r="AB538" s="170">
        <v>317</v>
      </c>
      <c r="AC538" s="179">
        <v>43</v>
      </c>
      <c r="AD538" s="179">
        <v>2</v>
      </c>
      <c r="AE538" s="180">
        <v>24</v>
      </c>
      <c r="AF538" s="236"/>
      <c r="AG538" s="152"/>
    </row>
    <row r="539">
      <c r="A539" s="242"/>
      <c r="B539" s="194" t="s">
        <v>122</v>
      </c>
      <c r="C539" s="168" t="s">
        <v>126</v>
      </c>
      <c r="D539" s="169">
        <f t="shared" si="395"/>
      </c>
      <c r="E539" s="169">
        <v>1814.14</v>
      </c>
      <c r="F539" s="170">
        <v>782.08</v>
      </c>
      <c r="G539" s="170">
        <v>0</v>
      </c>
      <c r="H539" s="170">
        <v>2</v>
      </c>
      <c r="I539" s="170">
        <v>2596.9199999999983</v>
      </c>
      <c r="J539" s="171">
        <f t="shared" si="203"/>
      </c>
      <c r="K539" s="172">
        <f t="shared" si="113"/>
      </c>
      <c r="L539" s="173">
        <f t="shared" si="53"/>
      </c>
      <c r="M539" s="174">
        <f t="shared" si="143"/>
      </c>
      <c r="N539" s="172">
        <f t="shared" si="23"/>
      </c>
      <c r="O539" s="173">
        <f t="shared" si="474"/>
      </c>
      <c r="P539" s="172">
        <f t="shared" si="444"/>
      </c>
      <c r="Q539" s="172">
        <f t="shared" si="366"/>
      </c>
      <c r="R539" s="173">
        <f t="shared" si="336"/>
      </c>
      <c r="S539" s="175">
        <f t="shared" si="233"/>
      </c>
      <c r="T539" s="173">
        <f t="shared" si="173"/>
      </c>
      <c r="U539" s="176">
        <f t="shared" si="83"/>
      </c>
      <c r="V539" s="177" t="s">
        <v>108</v>
      </c>
      <c r="W539" s="178" t="s">
        <v>136</v>
      </c>
      <c r="X539" s="208">
        <v>1</v>
      </c>
      <c r="Y539" s="169">
        <v>7402</v>
      </c>
      <c r="Z539" s="169">
        <v>521</v>
      </c>
      <c r="AA539" s="169">
        <v>937</v>
      </c>
      <c r="AB539" s="169">
        <v>242</v>
      </c>
      <c r="AC539" s="169">
        <v>23</v>
      </c>
      <c r="AD539" s="179">
        <v>4</v>
      </c>
      <c r="AE539" s="180">
        <v>23</v>
      </c>
      <c r="AF539" s="152"/>
      <c r="AG539" s="152"/>
    </row>
    <row r="540">
      <c r="A540" s="242"/>
      <c r="B540" s="210" t="s">
        <v>123</v>
      </c>
      <c r="C540" s="168" t="s">
        <v>126</v>
      </c>
      <c r="D540" s="169">
        <f t="shared" si="395"/>
      </c>
      <c r="E540" s="169">
        <v>2096.35</v>
      </c>
      <c r="F540" s="170">
        <v>606.49</v>
      </c>
      <c r="G540" s="170">
        <v>0</v>
      </c>
      <c r="H540" s="170">
        <v>1</v>
      </c>
      <c r="I540" s="169">
        <v>5018.1600000000035</v>
      </c>
      <c r="J540" s="171">
        <f t="shared" si="203"/>
      </c>
      <c r="K540" s="172">
        <f t="shared" si="113"/>
      </c>
      <c r="L540" s="173">
        <f t="shared" si="53"/>
      </c>
      <c r="M540" s="174">
        <f t="shared" si="143"/>
      </c>
      <c r="N540" s="172">
        <f t="shared" si="23"/>
      </c>
      <c r="O540" s="173">
        <f t="shared" si="474"/>
      </c>
      <c r="P540" s="172">
        <f t="shared" si="444"/>
      </c>
      <c r="Q540" s="172">
        <f t="shared" si="366"/>
      </c>
      <c r="R540" s="173">
        <f t="shared" si="336"/>
      </c>
      <c r="S540" s="175">
        <f t="shared" si="233"/>
      </c>
      <c r="T540" s="173">
        <f t="shared" si="173"/>
      </c>
      <c r="U540" s="176">
        <f t="shared" si="83"/>
      </c>
      <c r="V540" s="177" t="s">
        <v>108</v>
      </c>
      <c r="W540" s="178" t="s">
        <v>136</v>
      </c>
      <c r="X540" s="208">
        <v>1</v>
      </c>
      <c r="Y540" s="169">
        <v>10731</v>
      </c>
      <c r="Z540" s="169">
        <v>456</v>
      </c>
      <c r="AA540" s="169">
        <v>688</v>
      </c>
      <c r="AB540" s="169">
        <v>186</v>
      </c>
      <c r="AC540" s="169">
        <v>23</v>
      </c>
      <c r="AD540" s="179">
        <v>2</v>
      </c>
      <c r="AE540" s="180">
        <v>13</v>
      </c>
      <c r="AF540" s="152"/>
      <c r="AG540" s="152"/>
    </row>
    <row r="541">
      <c r="A541" s="242"/>
      <c r="B541" s="183" t="s">
        <v>124</v>
      </c>
      <c r="C541" s="168" t="s">
        <v>126</v>
      </c>
      <c r="D541" s="169">
        <f t="shared" si="395"/>
      </c>
      <c r="E541" s="169">
        <v>1709.3200000000002</v>
      </c>
      <c r="F541" s="170">
        <v>428.15</v>
      </c>
      <c r="G541" s="170">
        <v>0</v>
      </c>
      <c r="H541" s="170">
        <v>0</v>
      </c>
      <c r="I541" s="170">
        <v>0</v>
      </c>
      <c r="J541" s="171">
        <f t="shared" si="203"/>
      </c>
      <c r="K541" s="172">
        <f t="shared" si="113"/>
      </c>
      <c r="L541" s="173">
        <f t="shared" si="53"/>
      </c>
      <c r="M541" s="174">
        <f t="shared" si="143"/>
      </c>
      <c r="N541" s="172">
        <f t="shared" si="23"/>
      </c>
      <c r="O541" s="173">
        <f t="shared" si="474"/>
      </c>
      <c r="P541" s="172">
        <f t="shared" si="444"/>
      </c>
      <c r="Q541" s="172">
        <f t="shared" si="366"/>
      </c>
      <c r="R541" s="173">
        <f t="shared" si="336"/>
      </c>
      <c r="S541" s="175">
        <f t="shared" si="233"/>
      </c>
      <c r="T541" s="173">
        <f t="shared" si="173"/>
      </c>
      <c r="U541" s="176">
        <f t="shared" si="83"/>
      </c>
      <c r="V541" s="177" t="s">
        <v>108</v>
      </c>
      <c r="W541" s="178" t="s">
        <v>136</v>
      </c>
      <c r="X541" s="205">
        <v>0</v>
      </c>
      <c r="Y541" s="169">
        <v>4380</v>
      </c>
      <c r="Z541" s="169">
        <v>294</v>
      </c>
      <c r="AA541" s="169">
        <v>533</v>
      </c>
      <c r="AB541" s="169">
        <v>149</v>
      </c>
      <c r="AC541" s="169">
        <v>24</v>
      </c>
      <c r="AD541" s="179">
        <v>1</v>
      </c>
      <c r="AE541" s="180">
        <v>17</v>
      </c>
      <c r="AF541" s="152"/>
      <c r="AG541" s="152"/>
    </row>
    <row r="542">
      <c r="A542" s="242"/>
      <c r="B542" s="184" t="s">
        <v>113</v>
      </c>
      <c r="C542" s="184"/>
      <c r="D542" s="185">
        <f>SUM(D538:D541)</f>
      </c>
      <c r="E542" s="185">
        <f>SUM(E538:E541)</f>
      </c>
      <c r="F542" s="185">
        <f>SUM(F538:F541)</f>
      </c>
      <c r="G542" s="185">
        <f>SUM(G538:G541)</f>
      </c>
      <c r="H542" s="185">
        <f>SUM(H538:H541)</f>
      </c>
      <c r="I542" s="185">
        <f>SUM(I538:I541)</f>
      </c>
      <c r="J542" s="186">
        <f t="shared" si="203"/>
      </c>
      <c r="K542" s="187">
        <f t="shared" si="113"/>
      </c>
      <c r="L542" s="188">
        <f t="shared" si="53"/>
      </c>
      <c r="M542" s="189">
        <f t="shared" si="143"/>
      </c>
      <c r="N542" s="187">
        <f t="shared" si="23"/>
      </c>
      <c r="O542" s="188">
        <f t="shared" si="474"/>
      </c>
      <c r="P542" s="187">
        <f t="shared" si="444"/>
      </c>
      <c r="Q542" s="187">
        <f t="shared" si="366"/>
      </c>
      <c r="R542" s="188">
        <f t="shared" si="336"/>
      </c>
      <c r="S542" s="190">
        <f t="shared" si="233"/>
      </c>
      <c r="T542" s="188">
        <f t="shared" si="173"/>
      </c>
      <c r="U542" s="191">
        <f t="shared" si="83"/>
      </c>
      <c r="V542" s="191"/>
      <c r="W542" s="191"/>
      <c r="X542" s="206">
        <f>SUM(X538:X541)</f>
      </c>
      <c r="Y542" s="185">
        <f>SUM(Y538:Y541)</f>
      </c>
      <c r="Z542" s="185">
        <f>SUM(Z538:Z541)</f>
      </c>
      <c r="AA542" s="185">
        <f>SUM(AA538:AA541)</f>
      </c>
      <c r="AB542" s="185">
        <f>SUM(AB538:AB541)</f>
      </c>
      <c r="AC542" s="185">
        <f>SUM(AC538:AC541)</f>
      </c>
      <c r="AD542" s="185">
        <f>SUM(AD538:AD541)</f>
      </c>
      <c r="AE542" s="185">
        <f>SUM(AE538:AE541)</f>
      </c>
      <c r="AF542" s="152"/>
      <c r="AG542" s="152"/>
    </row>
    <row r="543">
      <c r="A543" s="242"/>
      <c r="B543" s="181" t="s">
        <v>125</v>
      </c>
      <c r="C543" s="168" t="s">
        <v>137</v>
      </c>
      <c r="D543" s="169">
        <f t="shared" ref="D543:D546" si="396">E543+F543+G543</f>
      </c>
      <c r="E543" s="170">
        <v>811.15</v>
      </c>
      <c r="F543" s="170">
        <v>579.34</v>
      </c>
      <c r="G543" s="170">
        <v>0</v>
      </c>
      <c r="H543" s="170">
        <v>2</v>
      </c>
      <c r="I543" s="170">
        <v>2252.040000000001</v>
      </c>
      <c r="J543" s="171">
        <f t="shared" si="203"/>
      </c>
      <c r="K543" s="172">
        <f t="shared" si="113"/>
      </c>
      <c r="L543" s="173">
        <f t="shared" si="53"/>
      </c>
      <c r="M543" s="174">
        <f t="shared" si="143"/>
      </c>
      <c r="N543" s="172">
        <f t="shared" si="23"/>
      </c>
      <c r="O543" s="173">
        <f t="shared" si="474"/>
      </c>
      <c r="P543" s="172">
        <f t="shared" si="444"/>
      </c>
      <c r="Q543" s="172">
        <f t="shared" si="366"/>
      </c>
      <c r="R543" s="173">
        <f t="shared" si="336"/>
      </c>
      <c r="S543" s="175">
        <f t="shared" si="233"/>
      </c>
      <c r="T543" s="173">
        <f t="shared" si="173"/>
      </c>
      <c r="U543" s="176">
        <f t="shared" si="83"/>
      </c>
      <c r="V543" s="177" t="s">
        <v>108</v>
      </c>
      <c r="W543" s="178" t="s">
        <v>136</v>
      </c>
      <c r="X543" s="170">
        <v>1</v>
      </c>
      <c r="Y543" s="169">
        <v>3294</v>
      </c>
      <c r="Z543" s="169">
        <v>311</v>
      </c>
      <c r="AA543" s="169">
        <v>523</v>
      </c>
      <c r="AB543" s="169">
        <v>163</v>
      </c>
      <c r="AC543" s="179">
        <v>26</v>
      </c>
      <c r="AD543" s="179">
        <v>2</v>
      </c>
      <c r="AE543" s="180">
        <v>12</v>
      </c>
      <c r="AF543" s="152"/>
      <c r="AG543" s="152"/>
    </row>
    <row r="544">
      <c r="A544" s="242"/>
      <c r="B544" s="212" t="s">
        <v>127</v>
      </c>
      <c r="C544" s="168" t="s">
        <v>137</v>
      </c>
      <c r="D544" s="169">
        <f t="shared" si="396"/>
      </c>
      <c r="E544" s="170">
        <v>2148.64</v>
      </c>
      <c r="F544" s="170">
        <v>597.81</v>
      </c>
      <c r="G544" s="170">
        <v>0</v>
      </c>
      <c r="H544" s="170">
        <v>1</v>
      </c>
      <c r="I544" s="170">
        <v>1640</v>
      </c>
      <c r="J544" s="171">
        <f t="shared" si="203"/>
      </c>
      <c r="K544" s="172">
        <f t="shared" si="113"/>
      </c>
      <c r="L544" s="173">
        <f t="shared" si="53"/>
      </c>
      <c r="M544" s="174">
        <f t="shared" si="143"/>
      </c>
      <c r="N544" s="172">
        <f t="shared" si="23"/>
      </c>
      <c r="O544" s="173">
        <f t="shared" si="474"/>
      </c>
      <c r="P544" s="172">
        <f t="shared" si="444"/>
      </c>
      <c r="Q544" s="172">
        <f t="shared" si="366"/>
      </c>
      <c r="R544" s="173">
        <f t="shared" si="336"/>
      </c>
      <c r="S544" s="175">
        <f t="shared" si="233"/>
      </c>
      <c r="T544" s="173">
        <f t="shared" si="173"/>
      </c>
      <c r="U544" s="176">
        <f t="shared" si="83"/>
      </c>
      <c r="V544" s="177" t="s">
        <v>108</v>
      </c>
      <c r="W544" s="178" t="s">
        <v>136</v>
      </c>
      <c r="X544" s="208">
        <v>2</v>
      </c>
      <c r="Y544" s="169">
        <v>8550</v>
      </c>
      <c r="Z544" s="169">
        <v>382</v>
      </c>
      <c r="AA544" s="169">
        <v>643</v>
      </c>
      <c r="AB544" s="169">
        <v>171</v>
      </c>
      <c r="AC544" s="169">
        <v>41</v>
      </c>
      <c r="AD544" s="179">
        <v>4</v>
      </c>
      <c r="AE544" s="230">
        <v>20</v>
      </c>
      <c r="AF544" s="152"/>
      <c r="AG544" s="152"/>
    </row>
    <row r="545">
      <c r="A545" s="242"/>
      <c r="B545" s="195" t="s">
        <v>128</v>
      </c>
      <c r="C545" s="168" t="s">
        <v>137</v>
      </c>
      <c r="D545" s="169">
        <f t="shared" si="396"/>
      </c>
      <c r="E545" s="169">
        <v>1158.96</v>
      </c>
      <c r="F545" s="170">
        <v>1200.54</v>
      </c>
      <c r="G545" s="170">
        <v>0</v>
      </c>
      <c r="H545" s="170">
        <v>2</v>
      </c>
      <c r="I545" s="170">
        <v>6204.5999999999985</v>
      </c>
      <c r="J545" s="171">
        <f t="shared" si="203"/>
      </c>
      <c r="K545" s="172">
        <f t="shared" si="113"/>
      </c>
      <c r="L545" s="173">
        <f t="shared" si="53"/>
      </c>
      <c r="M545" s="174">
        <f t="shared" si="143"/>
      </c>
      <c r="N545" s="172">
        <f t="shared" si="23"/>
      </c>
      <c r="O545" s="173">
        <f t="shared" si="474"/>
      </c>
      <c r="P545" s="172">
        <f t="shared" si="444"/>
      </c>
      <c r="Q545" s="172">
        <f t="shared" si="366"/>
      </c>
      <c r="R545" s="173">
        <f t="shared" si="336"/>
      </c>
      <c r="S545" s="175">
        <f t="shared" si="233"/>
      </c>
      <c r="T545" s="173">
        <f t="shared" si="173"/>
      </c>
      <c r="U545" s="176">
        <f t="shared" si="83"/>
      </c>
      <c r="V545" s="177" t="s">
        <v>108</v>
      </c>
      <c r="W545" s="178" t="s">
        <v>136</v>
      </c>
      <c r="X545" s="208">
        <v>2</v>
      </c>
      <c r="Y545" s="169">
        <v>4832</v>
      </c>
      <c r="Z545" s="169">
        <v>481</v>
      </c>
      <c r="AA545" s="169">
        <v>859</v>
      </c>
      <c r="AB545" s="169">
        <v>195</v>
      </c>
      <c r="AC545" s="170">
        <v>33</v>
      </c>
      <c r="AD545" s="179">
        <v>3</v>
      </c>
      <c r="AE545" s="180">
        <v>13</v>
      </c>
      <c r="AF545" s="152"/>
      <c r="AG545" s="152"/>
    </row>
    <row r="546">
      <c r="A546" s="242"/>
      <c r="B546" s="212" t="s">
        <v>129</v>
      </c>
      <c r="C546" s="168" t="s">
        <v>137</v>
      </c>
      <c r="D546" s="169">
        <f t="shared" si="396"/>
      </c>
      <c r="E546" s="170">
        <v>853.04</v>
      </c>
      <c r="F546" s="170">
        <v>738.28</v>
      </c>
      <c r="G546" s="170">
        <v>0</v>
      </c>
      <c r="H546" s="170">
        <v>3</v>
      </c>
      <c r="I546" s="170">
        <v>7086.959999999992</v>
      </c>
      <c r="J546" s="171">
        <f t="shared" si="203"/>
      </c>
      <c r="K546" s="172">
        <f t="shared" si="113"/>
      </c>
      <c r="L546" s="173">
        <f t="shared" si="53"/>
      </c>
      <c r="M546" s="174">
        <f t="shared" si="143"/>
      </c>
      <c r="N546" s="172">
        <f t="shared" si="23"/>
      </c>
      <c r="O546" s="173">
        <f t="shared" si="474"/>
      </c>
      <c r="P546" s="172">
        <f t="shared" si="444"/>
      </c>
      <c r="Q546" s="172">
        <f t="shared" si="366"/>
      </c>
      <c r="R546" s="173">
        <f t="shared" si="336"/>
      </c>
      <c r="S546" s="175">
        <f t="shared" si="233"/>
      </c>
      <c r="T546" s="173">
        <f t="shared" si="173"/>
      </c>
      <c r="U546" s="176">
        <f t="shared" si="83"/>
      </c>
      <c r="V546" s="177" t="s">
        <v>108</v>
      </c>
      <c r="W546" s="178" t="s">
        <v>136</v>
      </c>
      <c r="X546" s="208">
        <v>1</v>
      </c>
      <c r="Y546" s="169">
        <v>4101</v>
      </c>
      <c r="Z546" s="169">
        <v>377</v>
      </c>
      <c r="AA546" s="169">
        <v>641</v>
      </c>
      <c r="AB546" s="169">
        <v>168</v>
      </c>
      <c r="AC546" s="170">
        <v>26</v>
      </c>
      <c r="AD546" s="179">
        <v>4</v>
      </c>
      <c r="AE546" s="230">
        <v>17</v>
      </c>
      <c r="AF546" s="152"/>
      <c r="AG546" s="152"/>
    </row>
    <row r="547">
      <c r="A547" s="242"/>
      <c r="B547" s="184" t="s">
        <v>113</v>
      </c>
      <c r="C547" s="184"/>
      <c r="D547" s="185">
        <f>SUM(D543:D546)</f>
      </c>
      <c r="E547" s="185">
        <f>SUM(E543:E546)</f>
      </c>
      <c r="F547" s="185">
        <f>SUM(F543:F546)</f>
      </c>
      <c r="G547" s="185">
        <f>SUM(G543:G546)</f>
      </c>
      <c r="H547" s="185">
        <f>SUM(H543:H546)</f>
      </c>
      <c r="I547" s="185">
        <f>SUM(I543:I546)</f>
      </c>
      <c r="J547" s="186">
        <f t="shared" si="203"/>
      </c>
      <c r="K547" s="187">
        <f t="shared" si="113"/>
      </c>
      <c r="L547" s="188">
        <f t="shared" si="53"/>
      </c>
      <c r="M547" s="189">
        <f t="shared" si="143"/>
      </c>
      <c r="N547" s="187">
        <f t="shared" si="23"/>
      </c>
      <c r="O547" s="188">
        <f t="shared" si="474"/>
      </c>
      <c r="P547" s="187">
        <f t="shared" si="444"/>
      </c>
      <c r="Q547" s="187">
        <f t="shared" si="366"/>
      </c>
      <c r="R547" s="188">
        <f t="shared" si="336"/>
      </c>
      <c r="S547" s="190">
        <f t="shared" si="233"/>
      </c>
      <c r="T547" s="188">
        <f t="shared" si="173"/>
      </c>
      <c r="U547" s="191">
        <f t="shared" si="83"/>
      </c>
      <c r="V547" s="191"/>
      <c r="W547" s="191"/>
      <c r="X547" s="206">
        <f>SUM(X543:X546)</f>
      </c>
      <c r="Y547" s="209">
        <f>SUM(Y543:Y546)</f>
      </c>
      <c r="Z547" s="209">
        <f>SUM(Z543:Z546)</f>
      </c>
      <c r="AA547" s="209">
        <f>SUM(AA543:AA546)</f>
      </c>
      <c r="AB547" s="209">
        <f>SUM(AB543:AB546)</f>
      </c>
      <c r="AC547" s="209">
        <f>SUM(AC543:AC546)</f>
      </c>
      <c r="AD547" s="209">
        <f>SUM(AD543:AD546)</f>
      </c>
      <c r="AE547" s="209">
        <f>SUM(AE543:AE546)</f>
      </c>
      <c r="AF547" s="152"/>
      <c r="AG547" s="152"/>
    </row>
    <row r="548">
      <c r="A548" s="242"/>
      <c r="B548" s="215" t="s">
        <v>130</v>
      </c>
      <c r="C548" s="215"/>
      <c r="D548" s="216">
        <f>D532+D537+D542+D547</f>
      </c>
      <c r="E548" s="217">
        <f>E532+E537+E542+E547</f>
      </c>
      <c r="F548" s="218">
        <f>F532+F537+F542+F547</f>
      </c>
      <c r="G548" s="218">
        <f>G532+G537+G542+G547</f>
      </c>
      <c r="H548" s="216">
        <f>H532+H537+H542+H547</f>
      </c>
      <c r="I548" s="216">
        <f>I532+I537+I542+I547</f>
      </c>
      <c r="J548" s="219">
        <f t="shared" si="203"/>
      </c>
      <c r="K548" s="220">
        <f t="shared" si="113"/>
      </c>
      <c r="L548" s="221">
        <f t="shared" si="53"/>
      </c>
      <c r="M548" s="222">
        <f t="shared" si="143"/>
      </c>
      <c r="N548" s="222">
        <f t="shared" si="23"/>
      </c>
      <c r="O548" s="221">
        <f t="shared" si="474"/>
      </c>
      <c r="P548" s="222">
        <f t="shared" si="444"/>
      </c>
      <c r="Q548" s="222">
        <f t="shared" si="366"/>
      </c>
      <c r="R548" s="221">
        <f t="shared" si="336"/>
      </c>
      <c r="S548" s="223">
        <f t="shared" si="233"/>
      </c>
      <c r="T548" s="221">
        <f t="shared" si="173"/>
      </c>
      <c r="U548" s="224">
        <f t="shared" si="83"/>
      </c>
      <c r="V548" s="224"/>
      <c r="W548" s="224"/>
      <c r="X548" s="219">
        <f>X532+X537+X542+X547</f>
      </c>
      <c r="Y548" s="219">
        <f>Y532+Y537+Y542+Y547</f>
      </c>
      <c r="Z548" s="219">
        <f>Z532+Z537+Z542+Z547</f>
      </c>
      <c r="AA548" s="219">
        <f>AA532+AA537+AA542+AA547</f>
      </c>
      <c r="AB548" s="219">
        <f>AB532+AB537+AB542+AB547</f>
      </c>
      <c r="AC548" s="219">
        <f>AC532+AC537+AC542+AC547</f>
      </c>
      <c r="AD548" s="233">
        <f>AD532+AD537+AD542+AD547</f>
      </c>
      <c r="AE548" s="218">
        <f>AE532+AE537+AE542+AE547</f>
      </c>
      <c r="AF548" s="152"/>
      <c r="AG548" s="152"/>
    </row>
    <row r="549">
      <c r="A549" s="240" t="s">
        <v>73</v>
      </c>
      <c r="B549" s="240"/>
      <c r="C549" s="240"/>
      <c r="D549" s="147" t="s">
        <v>74</v>
      </c>
      <c r="E549" s="147"/>
      <c r="F549" s="147"/>
      <c r="G549" s="147"/>
      <c r="H549" s="147"/>
      <c r="I549" s="147"/>
      <c r="J549" s="147"/>
      <c r="K549" s="148" t="s">
        <v>75</v>
      </c>
      <c r="L549" s="148"/>
      <c r="M549" s="148"/>
      <c r="N549" s="148"/>
      <c r="O549" s="148"/>
      <c r="P549" s="148"/>
      <c r="Q549" s="148"/>
      <c r="R549" s="148"/>
      <c r="S549" s="148"/>
      <c r="T549" s="148"/>
      <c r="U549" s="149"/>
      <c r="V549" s="149"/>
      <c r="W549" s="149"/>
      <c r="X549" s="150"/>
      <c r="Y549" s="150"/>
      <c r="Z549" s="150"/>
      <c r="AA549" s="150"/>
      <c r="AB549" s="150"/>
      <c r="AC549" s="150"/>
      <c r="AD549" s="150"/>
      <c r="AE549" s="151" t="s">
        <v>76</v>
      </c>
      <c r="AF549" s="152"/>
      <c r="AG549" s="152"/>
    </row>
    <row r="550">
      <c r="A550" s="240" t="s">
        <v>77</v>
      </c>
      <c r="B550" s="240" t="s">
        <v>78</v>
      </c>
      <c r="C550" s="240" t="s">
        <v>79</v>
      </c>
      <c r="D550" s="241" t="s">
        <v>80</v>
      </c>
      <c r="E550" s="225" t="s">
        <v>81</v>
      </c>
      <c r="F550" s="226" t="s">
        <v>82</v>
      </c>
      <c r="G550" s="227" t="s">
        <v>139</v>
      </c>
      <c r="H550" s="228" t="s">
        <v>83</v>
      </c>
      <c r="I550" s="157" t="s">
        <v>84</v>
      </c>
      <c r="J550" s="155" t="s">
        <v>85</v>
      </c>
      <c r="K550" s="158" t="s">
        <v>86</v>
      </c>
      <c r="L550" s="158" t="s">
        <v>87</v>
      </c>
      <c r="M550" s="159" t="s">
        <v>88</v>
      </c>
      <c r="N550" s="160" t="s">
        <v>89</v>
      </c>
      <c r="O550" s="148" t="s">
        <v>90</v>
      </c>
      <c r="P550" s="160" t="s">
        <v>91</v>
      </c>
      <c r="Q550" s="160" t="s">
        <v>92</v>
      </c>
      <c r="R550" s="161" t="s">
        <v>93</v>
      </c>
      <c r="S550" s="160" t="s">
        <v>94</v>
      </c>
      <c r="T550" s="161" t="s">
        <v>95</v>
      </c>
      <c r="U550" s="162" t="s">
        <v>96</v>
      </c>
      <c r="V550" s="162" t="s">
        <v>97</v>
      </c>
      <c r="W550" s="162" t="s">
        <v>98</v>
      </c>
      <c r="X550" s="163" t="s">
        <v>99</v>
      </c>
      <c r="Y550" s="164" t="s">
        <v>100</v>
      </c>
      <c r="Z550" s="164" t="s">
        <v>101</v>
      </c>
      <c r="AA550" s="164" t="s">
        <v>102</v>
      </c>
      <c r="AB550" s="164" t="s">
        <v>103</v>
      </c>
      <c r="AC550" s="164" t="s">
        <v>104</v>
      </c>
      <c r="AD550" s="165" t="s">
        <v>105</v>
      </c>
      <c r="AE550" s="151"/>
      <c r="AF550" s="152"/>
      <c r="AG550" s="152"/>
    </row>
    <row r="551">
      <c r="A551" s="242">
        <v>46290</v>
      </c>
      <c r="B551" s="243" t="s">
        <v>138</v>
      </c>
      <c r="C551" s="168" t="s">
        <v>107</v>
      </c>
      <c r="D551" s="169">
        <f t="shared" ref="D551:D554" si="397">E551+F551+G551</f>
      </c>
      <c r="E551" s="170">
        <v>3000</v>
      </c>
      <c r="F551" s="229">
        <v>1000.19</v>
      </c>
      <c r="G551" s="229">
        <v>0</v>
      </c>
      <c r="H551" s="170">
        <v>3</v>
      </c>
      <c r="I551" s="170">
        <v>6102.36</v>
      </c>
      <c r="J551" s="171">
        <f t="shared" ref="J551:J571" si="204">I551/D551</f>
      </c>
      <c r="K551" s="172">
        <f t="shared" ref="K551:K571" si="114">Z551/Y551</f>
      </c>
      <c r="L551" s="173">
        <f t="shared" ref="L551:L571" si="54">D551/AA551</f>
      </c>
      <c r="M551" s="174">
        <f t="shared" ref="M551:M571" si="144">AB551/AA551</f>
      </c>
      <c r="N551" s="172">
        <f t="shared" ref="N551:N571" si="24">AC551/AA551</f>
      </c>
      <c r="O551" s="173">
        <f t="shared" ref="O551:O571" si="475">D551/AC551</f>
      </c>
      <c r="P551" s="172">
        <f t="shared" ref="P551:P571" si="445">AD551/AC551</f>
      </c>
      <c r="Q551" s="172">
        <f t="shared" ref="Q551:Q571" si="367">H551/AD551</f>
      </c>
      <c r="R551" s="173">
        <f t="shared" ref="R551:R571" si="337">D551/H551</f>
      </c>
      <c r="S551" s="175">
        <f t="shared" ref="S551:S571" si="234">I551/H551</f>
      </c>
      <c r="T551" s="173">
        <f t="shared" ref="T551:T571" si="174">D551/X551</f>
      </c>
      <c r="U551" s="176">
        <f t="shared" ref="U551:U571" si="84">AE551*1000/D551</f>
      </c>
      <c r="V551" s="177" t="s">
        <v>108</v>
      </c>
      <c r="W551" s="178" t="s">
        <v>133</v>
      </c>
      <c r="X551" s="170">
        <v>2</v>
      </c>
      <c r="Y551" s="169">
        <v>16697</v>
      </c>
      <c r="Z551" s="169">
        <v>735</v>
      </c>
      <c r="AA551" s="169">
        <v>1093</v>
      </c>
      <c r="AB551" s="169">
        <v>219</v>
      </c>
      <c r="AC551" s="179">
        <v>49</v>
      </c>
      <c r="AD551" s="179">
        <v>6</v>
      </c>
      <c r="AE551" s="180">
        <v>25</v>
      </c>
      <c r="AF551" s="236"/>
      <c r="AG551" s="152"/>
    </row>
    <row r="552">
      <c r="A552" s="242"/>
      <c r="B552" s="181" t="s">
        <v>110</v>
      </c>
      <c r="C552" s="168" t="s">
        <v>107</v>
      </c>
      <c r="D552" s="169">
        <f t="shared" si="397"/>
      </c>
      <c r="E552" s="170">
        <v>2001.15</v>
      </c>
      <c r="F552" s="170">
        <v>791.58</v>
      </c>
      <c r="G552" s="170">
        <v>0</v>
      </c>
      <c r="H552" s="170">
        <v>1</v>
      </c>
      <c r="I552" s="170">
        <v>17368.199999999997</v>
      </c>
      <c r="J552" s="171">
        <f t="shared" si="204"/>
      </c>
      <c r="K552" s="172">
        <f t="shared" si="114"/>
      </c>
      <c r="L552" s="173">
        <f t="shared" si="54"/>
      </c>
      <c r="M552" s="174">
        <f t="shared" si="144"/>
      </c>
      <c r="N552" s="172">
        <f t="shared" si="24"/>
      </c>
      <c r="O552" s="173">
        <f t="shared" si="475"/>
      </c>
      <c r="P552" s="172">
        <f t="shared" si="445"/>
      </c>
      <c r="Q552" s="172">
        <f t="shared" si="367"/>
      </c>
      <c r="R552" s="173">
        <f t="shared" si="337"/>
      </c>
      <c r="S552" s="175">
        <f t="shared" si="234"/>
      </c>
      <c r="T552" s="173">
        <f t="shared" si="174"/>
      </c>
      <c r="U552" s="176">
        <f t="shared" si="84"/>
      </c>
      <c r="V552" s="177" t="s">
        <v>108</v>
      </c>
      <c r="W552" s="178" t="s">
        <v>133</v>
      </c>
      <c r="X552" s="208">
        <v>1</v>
      </c>
      <c r="Y552" s="169">
        <v>12207</v>
      </c>
      <c r="Z552" s="169">
        <v>340</v>
      </c>
      <c r="AA552" s="169">
        <v>451</v>
      </c>
      <c r="AB552" s="169">
        <v>118</v>
      </c>
      <c r="AC552" s="169">
        <v>51</v>
      </c>
      <c r="AD552" s="179">
        <v>1</v>
      </c>
      <c r="AE552" s="180">
        <v>16</v>
      </c>
      <c r="AF552" s="236"/>
      <c r="AG552" s="152"/>
    </row>
    <row r="553">
      <c r="A553" s="242"/>
      <c r="B553" s="181" t="s">
        <v>111</v>
      </c>
      <c r="C553" s="168" t="s">
        <v>107</v>
      </c>
      <c r="D553" s="169">
        <f t="shared" si="397"/>
      </c>
      <c r="E553" s="169">
        <v>2487.76</v>
      </c>
      <c r="F553" s="169">
        <v>695.25</v>
      </c>
      <c r="G553" s="170">
        <v>0</v>
      </c>
      <c r="H553" s="170">
        <v>3</v>
      </c>
      <c r="I553" s="170">
        <v>2849.4000000000015</v>
      </c>
      <c r="J553" s="171">
        <f t="shared" si="204"/>
      </c>
      <c r="K553" s="172">
        <f t="shared" si="114"/>
      </c>
      <c r="L553" s="173">
        <f t="shared" si="54"/>
      </c>
      <c r="M553" s="174">
        <f t="shared" si="144"/>
      </c>
      <c r="N553" s="172">
        <f t="shared" si="24"/>
      </c>
      <c r="O553" s="173">
        <f t="shared" si="475"/>
      </c>
      <c r="P553" s="172">
        <f t="shared" si="445"/>
      </c>
      <c r="Q553" s="172">
        <f t="shared" si="367"/>
      </c>
      <c r="R553" s="173">
        <f t="shared" si="337"/>
      </c>
      <c r="S553" s="175">
        <f t="shared" si="234"/>
      </c>
      <c r="T553" s="173">
        <f t="shared" si="174"/>
      </c>
      <c r="U553" s="176">
        <f t="shared" si="84"/>
      </c>
      <c r="V553" s="177" t="s">
        <v>108</v>
      </c>
      <c r="W553" s="178" t="s">
        <v>133</v>
      </c>
      <c r="X553" s="205">
        <v>3</v>
      </c>
      <c r="Y553" s="169">
        <v>10501</v>
      </c>
      <c r="Z553" s="169">
        <v>341</v>
      </c>
      <c r="AA553" s="169">
        <v>505</v>
      </c>
      <c r="AB553" s="169">
        <v>138</v>
      </c>
      <c r="AC553" s="169">
        <v>47</v>
      </c>
      <c r="AD553" s="179">
        <v>3</v>
      </c>
      <c r="AE553" s="180">
        <v>17</v>
      </c>
      <c r="AF553" s="236"/>
      <c r="AG553" s="152"/>
    </row>
    <row r="554">
      <c r="A554" s="242"/>
      <c r="B554" s="183" t="s">
        <v>112</v>
      </c>
      <c r="C554" s="168" t="s">
        <v>107</v>
      </c>
      <c r="D554" s="169">
        <f t="shared" si="397"/>
      </c>
      <c r="E554" s="169">
        <v>4119.29</v>
      </c>
      <c r="F554" s="170">
        <v>941.49</v>
      </c>
      <c r="G554" s="170">
        <v>0</v>
      </c>
      <c r="H554" s="170">
        <v>5</v>
      </c>
      <c r="I554" s="170">
        <v>9983.880000000005</v>
      </c>
      <c r="J554" s="171">
        <f t="shared" si="204"/>
      </c>
      <c r="K554" s="172">
        <f t="shared" si="114"/>
      </c>
      <c r="L554" s="173">
        <f t="shared" si="54"/>
      </c>
      <c r="M554" s="174">
        <f t="shared" si="144"/>
      </c>
      <c r="N554" s="172">
        <f t="shared" si="24"/>
      </c>
      <c r="O554" s="173">
        <f t="shared" si="475"/>
      </c>
      <c r="P554" s="172">
        <f t="shared" si="445"/>
      </c>
      <c r="Q554" s="172">
        <f t="shared" si="367"/>
      </c>
      <c r="R554" s="173">
        <f t="shared" si="337"/>
      </c>
      <c r="S554" s="175">
        <f t="shared" si="234"/>
      </c>
      <c r="T554" s="173">
        <f t="shared" si="174"/>
      </c>
      <c r="U554" s="176">
        <f t="shared" si="84"/>
      </c>
      <c r="V554" s="177" t="s">
        <v>108</v>
      </c>
      <c r="W554" s="178" t="s">
        <v>133</v>
      </c>
      <c r="X554" s="205">
        <v>3</v>
      </c>
      <c r="Y554" s="169">
        <v>17709</v>
      </c>
      <c r="Z554" s="169">
        <v>723</v>
      </c>
      <c r="AA554" s="169">
        <v>992</v>
      </c>
      <c r="AB554" s="169">
        <v>290</v>
      </c>
      <c r="AC554" s="169">
        <v>70</v>
      </c>
      <c r="AD554" s="179">
        <v>8</v>
      </c>
      <c r="AE554" s="180">
        <v>24</v>
      </c>
      <c r="AF554" s="236"/>
      <c r="AG554" s="152"/>
    </row>
    <row r="555">
      <c r="A555" s="242"/>
      <c r="B555" s="184" t="s">
        <v>113</v>
      </c>
      <c r="C555" s="184"/>
      <c r="D555" s="185">
        <f>D551+D552+D553+D554</f>
      </c>
      <c r="E555" s="185">
        <f>SUM(E551:E554)</f>
      </c>
      <c r="F555" s="185">
        <f>SUM(F551:F554)</f>
      </c>
      <c r="G555" s="185">
        <f>SUM(G551:G554)</f>
      </c>
      <c r="H555" s="185">
        <f>SUM(H551:H554)</f>
      </c>
      <c r="I555" s="185">
        <f>SUM(I551:I554)</f>
      </c>
      <c r="J555" s="186">
        <f t="shared" si="204"/>
      </c>
      <c r="K555" s="187">
        <f t="shared" si="114"/>
      </c>
      <c r="L555" s="188">
        <f t="shared" si="54"/>
      </c>
      <c r="M555" s="189">
        <f t="shared" si="144"/>
      </c>
      <c r="N555" s="187">
        <f t="shared" si="24"/>
      </c>
      <c r="O555" s="188">
        <f t="shared" si="475"/>
      </c>
      <c r="P555" s="187">
        <f t="shared" si="445"/>
      </c>
      <c r="Q555" s="187">
        <f t="shared" si="367"/>
      </c>
      <c r="R555" s="188">
        <f t="shared" si="337"/>
      </c>
      <c r="S555" s="190">
        <f t="shared" si="234"/>
      </c>
      <c r="T555" s="188">
        <f t="shared" si="174"/>
      </c>
      <c r="U555" s="191">
        <f t="shared" si="84"/>
      </c>
      <c r="V555" s="191"/>
      <c r="W555" s="191"/>
      <c r="X555" s="206">
        <f>SUM(X551:X554)</f>
      </c>
      <c r="Y555" s="185">
        <f>SUM(Y551:Y554)</f>
      </c>
      <c r="Z555" s="185">
        <f>SUM(Z551:Z554)</f>
      </c>
      <c r="AA555" s="185">
        <f>SUM(AA551:AA554)</f>
      </c>
      <c r="AB555" s="185">
        <f>SUM(AB551:AB554)</f>
      </c>
      <c r="AC555" s="185">
        <f>SUM(AC551:AC554)</f>
      </c>
      <c r="AD555" s="185">
        <f>SUM(AD551:AD554)</f>
      </c>
      <c r="AE555" s="185">
        <f>SUM(AE551:AE554)</f>
      </c>
      <c r="AF555" s="152"/>
      <c r="AG555" s="152"/>
    </row>
    <row r="556">
      <c r="A556" s="242"/>
      <c r="B556" s="181" t="s">
        <v>114</v>
      </c>
      <c r="C556" s="168" t="s">
        <v>141</v>
      </c>
      <c r="D556" s="169">
        <f t="shared" ref="D556:D559" si="398">E556+F556+G556</f>
      </c>
      <c r="E556" s="169">
        <v>4257.099999999999</v>
      </c>
      <c r="F556" s="169">
        <v>1106.26</v>
      </c>
      <c r="G556" s="170">
        <v>0</v>
      </c>
      <c r="H556" s="170">
        <v>1</v>
      </c>
      <c r="I556" s="170">
        <v>6168.239999999998</v>
      </c>
      <c r="J556" s="171">
        <f t="shared" si="204"/>
      </c>
      <c r="K556" s="172">
        <f t="shared" si="114"/>
      </c>
      <c r="L556" s="173">
        <f t="shared" si="54"/>
      </c>
      <c r="M556" s="174">
        <f t="shared" si="144"/>
      </c>
      <c r="N556" s="172">
        <f t="shared" si="24"/>
      </c>
      <c r="O556" s="173">
        <f t="shared" si="475"/>
      </c>
      <c r="P556" s="172">
        <f t="shared" si="445"/>
      </c>
      <c r="Q556" s="172">
        <f t="shared" si="367"/>
      </c>
      <c r="R556" s="173">
        <f t="shared" si="337"/>
      </c>
      <c r="S556" s="175">
        <f t="shared" si="234"/>
      </c>
      <c r="T556" s="173">
        <f t="shared" si="174"/>
      </c>
      <c r="U556" s="176">
        <f t="shared" si="84"/>
      </c>
      <c r="V556" s="177" t="s">
        <v>108</v>
      </c>
      <c r="W556" s="178" t="s">
        <v>133</v>
      </c>
      <c r="X556" s="208">
        <v>1</v>
      </c>
      <c r="Y556" s="170">
        <v>21862</v>
      </c>
      <c r="Z556" s="170">
        <v>714</v>
      </c>
      <c r="AA556" s="169">
        <v>1046</v>
      </c>
      <c r="AB556" s="170">
        <v>274</v>
      </c>
      <c r="AC556" s="170">
        <v>43</v>
      </c>
      <c r="AD556" s="179">
        <v>3</v>
      </c>
      <c r="AE556" s="180">
        <v>18</v>
      </c>
      <c r="AF556" s="236"/>
      <c r="AG556" s="152"/>
    </row>
    <row r="557">
      <c r="A557" s="242"/>
      <c r="B557" s="181" t="s">
        <v>116</v>
      </c>
      <c r="C557" s="168" t="s">
        <v>141</v>
      </c>
      <c r="D557" s="169">
        <f t="shared" si="398"/>
      </c>
      <c r="E557" s="169">
        <v>4679.83</v>
      </c>
      <c r="F557" s="169">
        <v>940.49</v>
      </c>
      <c r="G557" s="170">
        <v>0</v>
      </c>
      <c r="H557" s="170">
        <v>4</v>
      </c>
      <c r="I557" s="169">
        <v>15809.879999999997</v>
      </c>
      <c r="J557" s="171">
        <f t="shared" si="204"/>
      </c>
      <c r="K557" s="172">
        <f t="shared" si="114"/>
      </c>
      <c r="L557" s="173">
        <f t="shared" si="54"/>
      </c>
      <c r="M557" s="174">
        <f t="shared" si="144"/>
      </c>
      <c r="N557" s="172">
        <f t="shared" si="24"/>
      </c>
      <c r="O557" s="173">
        <f t="shared" si="475"/>
      </c>
      <c r="P557" s="172">
        <f t="shared" si="445"/>
      </c>
      <c r="Q557" s="172">
        <f t="shared" si="367"/>
      </c>
      <c r="R557" s="173">
        <f t="shared" si="337"/>
      </c>
      <c r="S557" s="175">
        <f t="shared" si="234"/>
      </c>
      <c r="T557" s="173">
        <f t="shared" si="174"/>
      </c>
      <c r="U557" s="176">
        <f t="shared" si="84"/>
      </c>
      <c r="V557" s="177" t="s">
        <v>108</v>
      </c>
      <c r="W557" s="178" t="s">
        <v>133</v>
      </c>
      <c r="X557" s="208">
        <v>3</v>
      </c>
      <c r="Y557" s="170">
        <v>21379</v>
      </c>
      <c r="Z557" s="170">
        <v>821</v>
      </c>
      <c r="AA557" s="170">
        <v>1110</v>
      </c>
      <c r="AB557" s="170">
        <v>301</v>
      </c>
      <c r="AC557" s="170">
        <v>82</v>
      </c>
      <c r="AD557" s="179">
        <v>6</v>
      </c>
      <c r="AE557" s="180">
        <v>47</v>
      </c>
      <c r="AF557" s="236"/>
      <c r="AG557" s="152"/>
    </row>
    <row r="558">
      <c r="A558" s="242"/>
      <c r="B558" s="181" t="s">
        <v>117</v>
      </c>
      <c r="C558" s="168" t="s">
        <v>141</v>
      </c>
      <c r="D558" s="169">
        <f t="shared" si="398"/>
      </c>
      <c r="E558" s="169">
        <v>3279</v>
      </c>
      <c r="F558" s="170">
        <v>1384.01</v>
      </c>
      <c r="G558" s="170">
        <v>0</v>
      </c>
      <c r="H558" s="170">
        <v>3</v>
      </c>
      <c r="I558" s="170">
        <v>8070.719999999994</v>
      </c>
      <c r="J558" s="171">
        <f t="shared" si="204"/>
      </c>
      <c r="K558" s="172">
        <f t="shared" si="114"/>
      </c>
      <c r="L558" s="173">
        <f t="shared" si="54"/>
      </c>
      <c r="M558" s="174">
        <f t="shared" si="144"/>
      </c>
      <c r="N558" s="172">
        <f t="shared" si="24"/>
      </c>
      <c r="O558" s="173">
        <f t="shared" si="475"/>
      </c>
      <c r="P558" s="172">
        <f t="shared" si="445"/>
      </c>
      <c r="Q558" s="172">
        <f t="shared" si="367"/>
      </c>
      <c r="R558" s="173">
        <f t="shared" si="337"/>
      </c>
      <c r="S558" s="175">
        <f t="shared" si="234"/>
      </c>
      <c r="T558" s="173">
        <f t="shared" si="174"/>
      </c>
      <c r="U558" s="176">
        <f t="shared" si="84"/>
      </c>
      <c r="V558" s="177" t="s">
        <v>108</v>
      </c>
      <c r="W558" s="178" t="s">
        <v>133</v>
      </c>
      <c r="X558" s="208">
        <v>3</v>
      </c>
      <c r="Y558" s="170">
        <v>19844</v>
      </c>
      <c r="Z558" s="170">
        <v>814</v>
      </c>
      <c r="AA558" s="170">
        <v>1230</v>
      </c>
      <c r="AB558" s="170">
        <v>321</v>
      </c>
      <c r="AC558" s="170">
        <v>64</v>
      </c>
      <c r="AD558" s="179">
        <v>5</v>
      </c>
      <c r="AE558" s="180">
        <v>32</v>
      </c>
      <c r="AF558" s="236"/>
      <c r="AG558" s="152"/>
    </row>
    <row r="559">
      <c r="A559" s="242"/>
      <c r="B559" s="181" t="s">
        <v>118</v>
      </c>
      <c r="C559" s="168" t="s">
        <v>141</v>
      </c>
      <c r="D559" s="169">
        <f t="shared" si="398"/>
      </c>
      <c r="E559" s="169">
        <v>857.35</v>
      </c>
      <c r="F559" s="170">
        <v>1643.11</v>
      </c>
      <c r="G559" s="170">
        <v>0</v>
      </c>
      <c r="H559" s="170">
        <v>1</v>
      </c>
      <c r="I559" s="170">
        <v>7293</v>
      </c>
      <c r="J559" s="171">
        <f t="shared" si="204"/>
      </c>
      <c r="K559" s="172">
        <f t="shared" si="114"/>
      </c>
      <c r="L559" s="173">
        <f t="shared" si="54"/>
      </c>
      <c r="M559" s="174">
        <f t="shared" si="144"/>
      </c>
      <c r="N559" s="172">
        <f t="shared" si="24"/>
      </c>
      <c r="O559" s="173">
        <f t="shared" si="475"/>
      </c>
      <c r="P559" s="172">
        <f t="shared" si="445"/>
      </c>
      <c r="Q559" s="172">
        <f t="shared" si="367"/>
      </c>
      <c r="R559" s="173">
        <f t="shared" si="337"/>
      </c>
      <c r="S559" s="175">
        <f t="shared" si="234"/>
      </c>
      <c r="T559" s="173">
        <f t="shared" si="174"/>
      </c>
      <c r="U559" s="176">
        <f t="shared" si="84"/>
      </c>
      <c r="V559" s="177" t="s">
        <v>108</v>
      </c>
      <c r="W559" s="178" t="s">
        <v>133</v>
      </c>
      <c r="X559" s="208">
        <v>1</v>
      </c>
      <c r="Y559" s="170">
        <v>4494</v>
      </c>
      <c r="Z559" s="170">
        <v>694</v>
      </c>
      <c r="AA559" s="170">
        <v>1152</v>
      </c>
      <c r="AB559" s="170">
        <v>359</v>
      </c>
      <c r="AC559" s="170">
        <v>28</v>
      </c>
      <c r="AD559" s="179">
        <v>1</v>
      </c>
      <c r="AE559" s="180">
        <v>24</v>
      </c>
      <c r="AF559" s="236"/>
      <c r="AG559" s="152"/>
    </row>
    <row r="560">
      <c r="A560" s="242"/>
      <c r="B560" s="184" t="s">
        <v>113</v>
      </c>
      <c r="C560" s="184"/>
      <c r="D560" s="185">
        <f>SUM(D556:D559)</f>
      </c>
      <c r="E560" s="185">
        <f>SUM(E556:E559)</f>
      </c>
      <c r="F560" s="185">
        <f>SUM(F556:F559)</f>
      </c>
      <c r="G560" s="185">
        <f>SUM(G556:G559)</f>
      </c>
      <c r="H560" s="185">
        <f>SUM(H556:H559)</f>
      </c>
      <c r="I560" s="185">
        <f>SUM(I556:I559)</f>
      </c>
      <c r="J560" s="186">
        <f t="shared" si="204"/>
      </c>
      <c r="K560" s="187">
        <f t="shared" si="114"/>
      </c>
      <c r="L560" s="188">
        <f t="shared" si="54"/>
      </c>
      <c r="M560" s="189">
        <f t="shared" si="144"/>
      </c>
      <c r="N560" s="187">
        <f t="shared" si="24"/>
      </c>
      <c r="O560" s="188">
        <f t="shared" si="475"/>
      </c>
      <c r="P560" s="187">
        <f t="shared" si="445"/>
      </c>
      <c r="Q560" s="187">
        <f t="shared" si="367"/>
      </c>
      <c r="R560" s="188">
        <f t="shared" si="337"/>
      </c>
      <c r="S560" s="190">
        <f t="shared" si="234"/>
      </c>
      <c r="T560" s="188">
        <f t="shared" si="174"/>
      </c>
      <c r="U560" s="191">
        <f t="shared" si="84"/>
      </c>
      <c r="V560" s="191"/>
      <c r="W560" s="191"/>
      <c r="X560" s="206">
        <f>SUM(X556:X559)</f>
      </c>
      <c r="Y560" s="209">
        <f>SUM(Y556:Y559)</f>
      </c>
      <c r="Z560" s="209">
        <f>SUM(Z556:Z559)</f>
      </c>
      <c r="AA560" s="209">
        <f>SUM(AA556:AA559)</f>
      </c>
      <c r="AB560" s="209">
        <f>SUM(AB556:AB559)</f>
      </c>
      <c r="AC560" s="209">
        <f>SUM(AC556:AC559)</f>
      </c>
      <c r="AD560" s="209">
        <f>SUM(AD556:AD559)</f>
      </c>
      <c r="AE560" s="209">
        <f>SUM(AE556:AE559)</f>
      </c>
      <c r="AF560" s="152"/>
      <c r="AG560" s="152"/>
    </row>
    <row r="561">
      <c r="A561" s="242"/>
      <c r="B561" s="192" t="s">
        <v>119</v>
      </c>
      <c r="C561" s="168" t="s">
        <v>137</v>
      </c>
      <c r="D561" s="169">
        <f t="shared" ref="D561:D564" si="399">E561+F561+G561</f>
      </c>
      <c r="E561" s="170">
        <v>1168.51</v>
      </c>
      <c r="F561" s="170">
        <v>1074.33</v>
      </c>
      <c r="G561" s="170">
        <v>0</v>
      </c>
      <c r="H561" s="170">
        <v>2</v>
      </c>
      <c r="I561" s="170">
        <v>986.5599999999977</v>
      </c>
      <c r="J561" s="171">
        <f t="shared" si="204"/>
      </c>
      <c r="K561" s="172">
        <f t="shared" si="114"/>
      </c>
      <c r="L561" s="173">
        <f t="shared" si="54"/>
      </c>
      <c r="M561" s="174">
        <f t="shared" si="144"/>
      </c>
      <c r="N561" s="172">
        <f t="shared" si="24"/>
      </c>
      <c r="O561" s="173">
        <f t="shared" si="475"/>
      </c>
      <c r="P561" s="172">
        <f t="shared" si="445"/>
      </c>
      <c r="Q561" s="172">
        <f t="shared" si="367"/>
      </c>
      <c r="R561" s="173">
        <f t="shared" si="337"/>
      </c>
      <c r="S561" s="175">
        <f t="shared" si="234"/>
      </c>
      <c r="T561" s="173">
        <f t="shared" si="174"/>
      </c>
      <c r="U561" s="176">
        <f t="shared" si="84"/>
      </c>
      <c r="V561" s="177" t="s">
        <v>108</v>
      </c>
      <c r="W561" s="178" t="s">
        <v>136</v>
      </c>
      <c r="X561" s="170">
        <v>3</v>
      </c>
      <c r="Y561" s="170">
        <v>5570</v>
      </c>
      <c r="Z561" s="170">
        <v>646</v>
      </c>
      <c r="AA561" s="169">
        <v>1106</v>
      </c>
      <c r="AB561" s="170">
        <v>292</v>
      </c>
      <c r="AC561" s="179">
        <v>21</v>
      </c>
      <c r="AD561" s="179">
        <v>3</v>
      </c>
      <c r="AE561" s="180">
        <v>22</v>
      </c>
      <c r="AF561" s="236"/>
      <c r="AG561" s="152"/>
    </row>
    <row r="562">
      <c r="A562" s="242"/>
      <c r="B562" s="194" t="s">
        <v>122</v>
      </c>
      <c r="C562" s="168" t="s">
        <v>137</v>
      </c>
      <c r="D562" s="169">
        <f t="shared" si="399"/>
      </c>
      <c r="E562" s="169">
        <v>1774.71</v>
      </c>
      <c r="F562" s="170">
        <v>1435.1</v>
      </c>
      <c r="G562" s="170">
        <v>0</v>
      </c>
      <c r="H562" s="170">
        <v>1</v>
      </c>
      <c r="I562" s="170">
        <v>4117.199999999997</v>
      </c>
      <c r="J562" s="171">
        <f t="shared" si="204"/>
      </c>
      <c r="K562" s="172">
        <f t="shared" si="114"/>
      </c>
      <c r="L562" s="173">
        <f t="shared" si="54"/>
      </c>
      <c r="M562" s="174">
        <f t="shared" si="144"/>
      </c>
      <c r="N562" s="172">
        <f t="shared" si="24"/>
      </c>
      <c r="O562" s="173">
        <f t="shared" si="475"/>
      </c>
      <c r="P562" s="172">
        <f t="shared" si="445"/>
      </c>
      <c r="Q562" s="172">
        <f t="shared" si="367"/>
      </c>
      <c r="R562" s="173">
        <f t="shared" si="337"/>
      </c>
      <c r="S562" s="175">
        <f t="shared" si="234"/>
      </c>
      <c r="T562" s="173">
        <f t="shared" si="174"/>
      </c>
      <c r="U562" s="176">
        <f t="shared" si="84"/>
      </c>
      <c r="V562" s="177" t="s">
        <v>108</v>
      </c>
      <c r="W562" s="178" t="s">
        <v>136</v>
      </c>
      <c r="X562" s="208">
        <v>1</v>
      </c>
      <c r="Y562" s="169">
        <v>6675</v>
      </c>
      <c r="Z562" s="169">
        <v>771</v>
      </c>
      <c r="AA562" s="169">
        <v>1313</v>
      </c>
      <c r="AB562" s="169">
        <v>328</v>
      </c>
      <c r="AC562" s="169">
        <v>28</v>
      </c>
      <c r="AD562" s="179">
        <v>2</v>
      </c>
      <c r="AE562" s="180">
        <v>31</v>
      </c>
      <c r="AF562" s="152"/>
      <c r="AG562" s="152"/>
    </row>
    <row r="563">
      <c r="A563" s="242"/>
      <c r="B563" s="210" t="s">
        <v>123</v>
      </c>
      <c r="C563" s="168" t="s">
        <v>137</v>
      </c>
      <c r="D563" s="169">
        <f t="shared" si="399"/>
      </c>
      <c r="E563" s="169">
        <v>3807.48</v>
      </c>
      <c r="F563" s="170">
        <v>783.05</v>
      </c>
      <c r="G563" s="170">
        <v>0</v>
      </c>
      <c r="H563" s="170">
        <v>1</v>
      </c>
      <c r="I563" s="169">
        <v>1813.0800000000017</v>
      </c>
      <c r="J563" s="171">
        <f t="shared" si="204"/>
      </c>
      <c r="K563" s="172">
        <f t="shared" si="114"/>
      </c>
      <c r="L563" s="173">
        <f t="shared" si="54"/>
      </c>
      <c r="M563" s="174">
        <f t="shared" si="144"/>
      </c>
      <c r="N563" s="172">
        <f t="shared" si="24"/>
      </c>
      <c r="O563" s="173">
        <f t="shared" si="475"/>
      </c>
      <c r="P563" s="172">
        <f t="shared" si="445"/>
      </c>
      <c r="Q563" s="172">
        <f t="shared" si="367"/>
      </c>
      <c r="R563" s="173">
        <f t="shared" si="337"/>
      </c>
      <c r="S563" s="175">
        <f t="shared" si="234"/>
      </c>
      <c r="T563" s="173">
        <f t="shared" si="174"/>
      </c>
      <c r="U563" s="176">
        <f t="shared" si="84"/>
      </c>
      <c r="V563" s="177" t="s">
        <v>108</v>
      </c>
      <c r="W563" s="178" t="s">
        <v>136</v>
      </c>
      <c r="X563" s="208">
        <v>1</v>
      </c>
      <c r="Y563" s="169">
        <v>19073</v>
      </c>
      <c r="Z563" s="169">
        <v>574</v>
      </c>
      <c r="AA563" s="169">
        <v>834</v>
      </c>
      <c r="AB563" s="169">
        <v>190</v>
      </c>
      <c r="AC563" s="169">
        <v>39</v>
      </c>
      <c r="AD563" s="179">
        <v>1</v>
      </c>
      <c r="AE563" s="180">
        <v>30</v>
      </c>
      <c r="AF563" s="152"/>
      <c r="AG563" s="152"/>
    </row>
    <row r="564">
      <c r="A564" s="242"/>
      <c r="B564" s="183" t="s">
        <v>124</v>
      </c>
      <c r="C564" s="168" t="s">
        <v>137</v>
      </c>
      <c r="D564" s="169">
        <f t="shared" si="399"/>
      </c>
      <c r="E564" s="169">
        <v>3353.27</v>
      </c>
      <c r="F564" s="170">
        <v>459.73</v>
      </c>
      <c r="G564" s="170">
        <v>0</v>
      </c>
      <c r="H564" s="170">
        <v>3</v>
      </c>
      <c r="I564" s="170">
        <v>4942.200000000012</v>
      </c>
      <c r="J564" s="171">
        <f t="shared" si="204"/>
      </c>
      <c r="K564" s="172">
        <f t="shared" si="114"/>
      </c>
      <c r="L564" s="173">
        <f t="shared" si="54"/>
      </c>
      <c r="M564" s="174">
        <f t="shared" si="144"/>
      </c>
      <c r="N564" s="172">
        <f t="shared" si="24"/>
      </c>
      <c r="O564" s="173">
        <f t="shared" si="475"/>
      </c>
      <c r="P564" s="172">
        <f t="shared" si="445"/>
      </c>
      <c r="Q564" s="172">
        <f t="shared" si="367"/>
      </c>
      <c r="R564" s="173">
        <f t="shared" si="337"/>
      </c>
      <c r="S564" s="175">
        <f t="shared" si="234"/>
      </c>
      <c r="T564" s="173">
        <f t="shared" si="174"/>
      </c>
      <c r="U564" s="176">
        <f t="shared" si="84"/>
      </c>
      <c r="V564" s="177" t="s">
        <v>108</v>
      </c>
      <c r="W564" s="178" t="s">
        <v>136</v>
      </c>
      <c r="X564" s="205">
        <v>3</v>
      </c>
      <c r="Y564" s="169">
        <v>15179</v>
      </c>
      <c r="Z564" s="169">
        <v>458</v>
      </c>
      <c r="AA564" s="169">
        <v>670</v>
      </c>
      <c r="AB564" s="169">
        <v>171</v>
      </c>
      <c r="AC564" s="169">
        <v>45</v>
      </c>
      <c r="AD564" s="179">
        <v>3</v>
      </c>
      <c r="AE564" s="180">
        <v>32</v>
      </c>
      <c r="AF564" s="152"/>
      <c r="AG564" s="152"/>
    </row>
    <row r="565">
      <c r="A565" s="242"/>
      <c r="B565" s="184" t="s">
        <v>113</v>
      </c>
      <c r="C565" s="184"/>
      <c r="D565" s="185">
        <f>SUM(D561:D564)</f>
      </c>
      <c r="E565" s="185">
        <f>SUM(E561:E564)</f>
      </c>
      <c r="F565" s="185">
        <f>SUM(F561:F564)</f>
      </c>
      <c r="G565" s="185">
        <f>SUM(G561:G564)</f>
      </c>
      <c r="H565" s="185">
        <f>SUM(H561:H564)</f>
      </c>
      <c r="I565" s="185">
        <f>SUM(I561:I564)</f>
      </c>
      <c r="J565" s="186">
        <f t="shared" si="204"/>
      </c>
      <c r="K565" s="187">
        <f t="shared" si="114"/>
      </c>
      <c r="L565" s="188">
        <f t="shared" si="54"/>
      </c>
      <c r="M565" s="189">
        <f t="shared" si="144"/>
      </c>
      <c r="N565" s="187">
        <f t="shared" si="24"/>
      </c>
      <c r="O565" s="188">
        <f t="shared" si="475"/>
      </c>
      <c r="P565" s="187">
        <f t="shared" si="445"/>
      </c>
      <c r="Q565" s="187">
        <f t="shared" si="367"/>
      </c>
      <c r="R565" s="188">
        <f t="shared" si="337"/>
      </c>
      <c r="S565" s="190">
        <f t="shared" si="234"/>
      </c>
      <c r="T565" s="188">
        <f t="shared" si="174"/>
      </c>
      <c r="U565" s="191">
        <f t="shared" si="84"/>
      </c>
      <c r="V565" s="191"/>
      <c r="W565" s="191"/>
      <c r="X565" s="206">
        <f>SUM(X561:X564)</f>
      </c>
      <c r="Y565" s="185">
        <f>SUM(Y561:Y564)</f>
      </c>
      <c r="Z565" s="185">
        <f>SUM(Z561:Z564)</f>
      </c>
      <c r="AA565" s="185">
        <f>SUM(AA561:AA564)</f>
      </c>
      <c r="AB565" s="185">
        <f>SUM(AB561:AB564)</f>
      </c>
      <c r="AC565" s="185">
        <f>SUM(AC561:AC564)</f>
      </c>
      <c r="AD565" s="185">
        <f>SUM(AD561:AD564)</f>
      </c>
      <c r="AE565" s="185">
        <f>SUM(AE561:AE564)</f>
      </c>
      <c r="AF565" s="152"/>
      <c r="AG565" s="152"/>
    </row>
    <row r="566">
      <c r="A566" s="242"/>
      <c r="B566" s="181" t="s">
        <v>125</v>
      </c>
      <c r="C566" s="168" t="s">
        <v>126</v>
      </c>
      <c r="D566" s="169">
        <f t="shared" ref="D566:D569" si="400">E566+F566+G566</f>
      </c>
      <c r="E566" s="170">
        <v>4950.18</v>
      </c>
      <c r="F566" s="170">
        <v>589.29</v>
      </c>
      <c r="G566" s="170">
        <v>0</v>
      </c>
      <c r="H566" s="170">
        <v>2</v>
      </c>
      <c r="I566" s="170">
        <v>2258.6399999999994</v>
      </c>
      <c r="J566" s="171">
        <f t="shared" si="204"/>
      </c>
      <c r="K566" s="172">
        <f t="shared" si="114"/>
      </c>
      <c r="L566" s="173">
        <f t="shared" si="54"/>
      </c>
      <c r="M566" s="174">
        <f t="shared" si="144"/>
      </c>
      <c r="N566" s="172">
        <f t="shared" si="24"/>
      </c>
      <c r="O566" s="173">
        <f t="shared" si="475"/>
      </c>
      <c r="P566" s="172">
        <f t="shared" si="445"/>
      </c>
      <c r="Q566" s="172">
        <f t="shared" si="367"/>
      </c>
      <c r="R566" s="173">
        <f t="shared" si="337"/>
      </c>
      <c r="S566" s="175">
        <f t="shared" si="234"/>
      </c>
      <c r="T566" s="173">
        <f t="shared" si="174"/>
      </c>
      <c r="U566" s="176">
        <f t="shared" si="84"/>
      </c>
      <c r="V566" s="177" t="s">
        <v>108</v>
      </c>
      <c r="W566" s="178" t="s">
        <v>136</v>
      </c>
      <c r="X566" s="170">
        <v>2</v>
      </c>
      <c r="Y566" s="169">
        <v>24162</v>
      </c>
      <c r="Z566" s="169">
        <v>589</v>
      </c>
      <c r="AA566" s="169">
        <v>820</v>
      </c>
      <c r="AB566" s="169">
        <v>168</v>
      </c>
      <c r="AC566" s="179">
        <v>66</v>
      </c>
      <c r="AD566" s="179">
        <v>2</v>
      </c>
      <c r="AE566" s="180">
        <v>28</v>
      </c>
      <c r="AF566" s="152"/>
      <c r="AG566" s="152"/>
    </row>
    <row r="567">
      <c r="A567" s="242"/>
      <c r="B567" s="212" t="s">
        <v>127</v>
      </c>
      <c r="C567" s="168" t="s">
        <v>126</v>
      </c>
      <c r="D567" s="169">
        <f t="shared" si="400"/>
      </c>
      <c r="E567" s="170">
        <v>6085.91</v>
      </c>
      <c r="F567" s="170">
        <v>495.73</v>
      </c>
      <c r="G567" s="170">
        <v>0</v>
      </c>
      <c r="H567" s="170">
        <v>0</v>
      </c>
      <c r="I567" s="170">
        <v>0</v>
      </c>
      <c r="J567" s="171">
        <f t="shared" si="204"/>
      </c>
      <c r="K567" s="172">
        <f t="shared" si="114"/>
      </c>
      <c r="L567" s="173">
        <f t="shared" si="54"/>
      </c>
      <c r="M567" s="174">
        <f t="shared" si="144"/>
      </c>
      <c r="N567" s="172">
        <f t="shared" si="24"/>
      </c>
      <c r="O567" s="173">
        <f t="shared" si="475"/>
      </c>
      <c r="P567" s="172">
        <f t="shared" si="445"/>
      </c>
      <c r="Q567" s="172">
        <f t="shared" si="367"/>
      </c>
      <c r="R567" s="173">
        <f t="shared" si="337"/>
      </c>
      <c r="S567" s="175">
        <f t="shared" si="234"/>
      </c>
      <c r="T567" s="173">
        <f t="shared" si="174"/>
      </c>
      <c r="U567" s="176">
        <f t="shared" si="84"/>
      </c>
      <c r="V567" s="177" t="s">
        <v>108</v>
      </c>
      <c r="W567" s="178" t="s">
        <v>136</v>
      </c>
      <c r="X567" s="208">
        <v>0</v>
      </c>
      <c r="Y567" s="169">
        <v>26960</v>
      </c>
      <c r="Z567" s="169">
        <v>764</v>
      </c>
      <c r="AA567" s="169">
        <v>1135</v>
      </c>
      <c r="AB567" s="169">
        <v>262</v>
      </c>
      <c r="AC567" s="169">
        <v>72</v>
      </c>
      <c r="AD567" s="179">
        <v>2</v>
      </c>
      <c r="AE567" s="230">
        <v>30</v>
      </c>
      <c r="AF567" s="152"/>
      <c r="AG567" s="152"/>
    </row>
    <row r="568">
      <c r="A568" s="242"/>
      <c r="B568" s="195" t="s">
        <v>128</v>
      </c>
      <c r="C568" s="168" t="s">
        <v>126</v>
      </c>
      <c r="D568" s="169">
        <f t="shared" si="400"/>
      </c>
      <c r="E568" s="169">
        <v>1918.87</v>
      </c>
      <c r="F568" s="170">
        <v>1037.66</v>
      </c>
      <c r="G568" s="170">
        <v>0</v>
      </c>
      <c r="H568" s="170">
        <v>0</v>
      </c>
      <c r="I568" s="170">
        <v>0</v>
      </c>
      <c r="J568" s="171">
        <f t="shared" si="204"/>
      </c>
      <c r="K568" s="172">
        <f t="shared" si="114"/>
      </c>
      <c r="L568" s="173">
        <f t="shared" si="54"/>
      </c>
      <c r="M568" s="174">
        <f t="shared" si="144"/>
      </c>
      <c r="N568" s="172">
        <f t="shared" si="24"/>
      </c>
      <c r="O568" s="173">
        <f t="shared" si="475"/>
      </c>
      <c r="P568" s="172">
        <f t="shared" si="445"/>
      </c>
      <c r="Q568" s="172">
        <f t="shared" si="367"/>
      </c>
      <c r="R568" s="173">
        <f t="shared" si="337"/>
      </c>
      <c r="S568" s="175">
        <f t="shared" si="234"/>
      </c>
      <c r="T568" s="173">
        <f t="shared" si="174"/>
      </c>
      <c r="U568" s="176">
        <f t="shared" si="84"/>
      </c>
      <c r="V568" s="177" t="s">
        <v>108</v>
      </c>
      <c r="W568" s="178" t="s">
        <v>136</v>
      </c>
      <c r="X568" s="208">
        <v>0</v>
      </c>
      <c r="Y568" s="169">
        <v>12968</v>
      </c>
      <c r="Z568" s="169">
        <v>953</v>
      </c>
      <c r="AA568" s="169">
        <v>1740</v>
      </c>
      <c r="AB568" s="169">
        <v>336</v>
      </c>
      <c r="AC568" s="170">
        <v>30</v>
      </c>
      <c r="AD568" s="179">
        <v>1</v>
      </c>
      <c r="AE568" s="180">
        <v>27</v>
      </c>
      <c r="AF568" s="152"/>
      <c r="AG568" s="152"/>
    </row>
    <row r="569">
      <c r="A569" s="242"/>
      <c r="B569" s="212" t="s">
        <v>129</v>
      </c>
      <c r="C569" s="168" t="s">
        <v>126</v>
      </c>
      <c r="D569" s="169">
        <f t="shared" si="400"/>
      </c>
      <c r="E569" s="170">
        <v>213.38</v>
      </c>
      <c r="F569" s="170">
        <v>497.06</v>
      </c>
      <c r="G569" s="170">
        <v>0</v>
      </c>
      <c r="H569" s="170">
        <v>0</v>
      </c>
      <c r="I569" s="170">
        <v>0</v>
      </c>
      <c r="J569" s="171">
        <f t="shared" si="204"/>
      </c>
      <c r="K569" s="172">
        <f t="shared" si="114"/>
      </c>
      <c r="L569" s="173">
        <f t="shared" si="54"/>
      </c>
      <c r="M569" s="174">
        <f t="shared" si="144"/>
      </c>
      <c r="N569" s="172">
        <f t="shared" si="24"/>
      </c>
      <c r="O569" s="173">
        <f t="shared" si="475"/>
      </c>
      <c r="P569" s="172">
        <f t="shared" si="445"/>
      </c>
      <c r="Q569" s="172">
        <f t="shared" si="367"/>
      </c>
      <c r="R569" s="173">
        <f t="shared" si="337"/>
      </c>
      <c r="S569" s="175">
        <f t="shared" si="234"/>
      </c>
      <c r="T569" s="173">
        <f t="shared" si="174"/>
      </c>
      <c r="U569" s="176">
        <f t="shared" si="84"/>
      </c>
      <c r="V569" s="177" t="s">
        <v>108</v>
      </c>
      <c r="W569" s="178" t="s">
        <v>136</v>
      </c>
      <c r="X569" s="208">
        <v>0</v>
      </c>
      <c r="Y569" s="169">
        <v>2165</v>
      </c>
      <c r="Z569" s="169">
        <v>256</v>
      </c>
      <c r="AA569" s="169">
        <v>515</v>
      </c>
      <c r="AB569" s="169">
        <v>90</v>
      </c>
      <c r="AC569" s="170">
        <v>9</v>
      </c>
      <c r="AD569" s="179">
        <v>1</v>
      </c>
      <c r="AE569" s="230">
        <v>5</v>
      </c>
      <c r="AF569" s="152"/>
      <c r="AG569" s="152"/>
    </row>
    <row r="570">
      <c r="A570" s="242"/>
      <c r="B570" s="184" t="s">
        <v>113</v>
      </c>
      <c r="C570" s="184"/>
      <c r="D570" s="185">
        <f>SUM(D566:D569)</f>
      </c>
      <c r="E570" s="185">
        <f>SUM(E566:E569)</f>
      </c>
      <c r="F570" s="185">
        <f>SUM(F566:F569)</f>
      </c>
      <c r="G570" s="185">
        <f>SUM(G566:G569)</f>
      </c>
      <c r="H570" s="185">
        <f>SUM(H566:H569)</f>
      </c>
      <c r="I570" s="185">
        <f>SUM(I566:I569)</f>
      </c>
      <c r="J570" s="186">
        <f t="shared" si="204"/>
      </c>
      <c r="K570" s="187">
        <f t="shared" si="114"/>
      </c>
      <c r="L570" s="188">
        <f t="shared" si="54"/>
      </c>
      <c r="M570" s="189">
        <f t="shared" si="144"/>
      </c>
      <c r="N570" s="187">
        <f t="shared" si="24"/>
      </c>
      <c r="O570" s="188">
        <f t="shared" si="475"/>
      </c>
      <c r="P570" s="187">
        <f t="shared" si="445"/>
      </c>
      <c r="Q570" s="187">
        <f t="shared" si="367"/>
      </c>
      <c r="R570" s="188">
        <f t="shared" si="337"/>
      </c>
      <c r="S570" s="190">
        <f t="shared" si="234"/>
      </c>
      <c r="T570" s="188">
        <f t="shared" si="174"/>
      </c>
      <c r="U570" s="191">
        <f t="shared" si="84"/>
      </c>
      <c r="V570" s="191"/>
      <c r="W570" s="191"/>
      <c r="X570" s="206">
        <f>SUM(X566:X569)</f>
      </c>
      <c r="Y570" s="209">
        <f>SUM(Y566:Y569)</f>
      </c>
      <c r="Z570" s="209">
        <f>SUM(Z566:Z569)</f>
      </c>
      <c r="AA570" s="209">
        <f>SUM(AA566:AA569)</f>
      </c>
      <c r="AB570" s="209">
        <f>SUM(AB566:AB569)</f>
      </c>
      <c r="AC570" s="209">
        <f>SUM(AC566:AC569)</f>
      </c>
      <c r="AD570" s="209">
        <f>SUM(AD566:AD569)</f>
      </c>
      <c r="AE570" s="209">
        <f>SUM(AE566:AE569)</f>
      </c>
      <c r="AF570" s="152"/>
      <c r="AG570" s="152"/>
    </row>
    <row r="571">
      <c r="A571" s="242"/>
      <c r="B571" s="215" t="s">
        <v>130</v>
      </c>
      <c r="C571" s="215"/>
      <c r="D571" s="216">
        <f>D555+D560+D565+D570</f>
      </c>
      <c r="E571" s="217">
        <f>E555+E560+E565+E570</f>
      </c>
      <c r="F571" s="218">
        <f>F555+F560+F565+F570</f>
      </c>
      <c r="G571" s="218">
        <f>G555+G560+G565+G570</f>
      </c>
      <c r="H571" s="216">
        <f>H555+H560+H565+H570</f>
      </c>
      <c r="I571" s="216">
        <f>I555+I560+I565+I570</f>
      </c>
      <c r="J571" s="219">
        <f t="shared" si="204"/>
      </c>
      <c r="K571" s="220">
        <f t="shared" si="114"/>
      </c>
      <c r="L571" s="221">
        <f t="shared" si="54"/>
      </c>
      <c r="M571" s="222">
        <f t="shared" si="144"/>
      </c>
      <c r="N571" s="222">
        <f t="shared" si="24"/>
      </c>
      <c r="O571" s="221">
        <f t="shared" si="475"/>
      </c>
      <c r="P571" s="222">
        <f t="shared" si="445"/>
      </c>
      <c r="Q571" s="222">
        <f t="shared" si="367"/>
      </c>
      <c r="R571" s="221">
        <f t="shared" si="337"/>
      </c>
      <c r="S571" s="223">
        <f t="shared" si="234"/>
      </c>
      <c r="T571" s="221">
        <f t="shared" si="174"/>
      </c>
      <c r="U571" s="224">
        <f t="shared" si="84"/>
      </c>
      <c r="V571" s="224"/>
      <c r="W571" s="224"/>
      <c r="X571" s="219">
        <f>X555+X560+X565+X570</f>
      </c>
      <c r="Y571" s="219">
        <f>Y555+Y560+Y565+Y570</f>
      </c>
      <c r="Z571" s="219">
        <f>Z555+Z560+Z565+Z570</f>
      </c>
      <c r="AA571" s="219">
        <f>AA555+AA560+AA565+AA570</f>
      </c>
      <c r="AB571" s="219">
        <f>AB555+AB560+AB565+AB570</f>
      </c>
      <c r="AC571" s="219">
        <f>AC555+AC560+AC565+AC570</f>
      </c>
      <c r="AD571" s="233">
        <f>AD555+AD560+AD565+AD570</f>
      </c>
      <c r="AE571" s="218">
        <f>AE555+AE560+AE565+AE570</f>
      </c>
      <c r="AF571" s="152"/>
      <c r="AG571" s="152"/>
    </row>
    <row r="572">
      <c r="A572" s="240" t="s">
        <v>73</v>
      </c>
      <c r="B572" s="240"/>
      <c r="C572" s="240"/>
      <c r="D572" s="147" t="s">
        <v>74</v>
      </c>
      <c r="E572" s="147"/>
      <c r="F572" s="147"/>
      <c r="G572" s="147"/>
      <c r="H572" s="147"/>
      <c r="I572" s="147"/>
      <c r="J572" s="147"/>
      <c r="K572" s="148" t="s">
        <v>75</v>
      </c>
      <c r="L572" s="148"/>
      <c r="M572" s="148"/>
      <c r="N572" s="148"/>
      <c r="O572" s="148"/>
      <c r="P572" s="148"/>
      <c r="Q572" s="148"/>
      <c r="R572" s="148"/>
      <c r="S572" s="148"/>
      <c r="T572" s="148"/>
      <c r="U572" s="149"/>
      <c r="V572" s="149"/>
      <c r="W572" s="149"/>
      <c r="X572" s="150"/>
      <c r="Y572" s="150"/>
      <c r="Z572" s="150"/>
      <c r="AA572" s="150"/>
      <c r="AB572" s="150"/>
      <c r="AC572" s="150"/>
      <c r="AD572" s="150"/>
      <c r="AE572" s="151" t="s">
        <v>76</v>
      </c>
      <c r="AF572" s="152"/>
      <c r="AG572" s="152"/>
    </row>
    <row r="573">
      <c r="A573" s="240" t="s">
        <v>77</v>
      </c>
      <c r="B573" s="245" t="s">
        <v>78</v>
      </c>
      <c r="C573" s="245" t="s">
        <v>79</v>
      </c>
      <c r="D573" s="241" t="s">
        <v>80</v>
      </c>
      <c r="E573" s="225" t="s">
        <v>81</v>
      </c>
      <c r="F573" s="226" t="s">
        <v>82</v>
      </c>
      <c r="G573" s="227" t="s">
        <v>139</v>
      </c>
      <c r="H573" s="228" t="s">
        <v>83</v>
      </c>
      <c r="I573" s="157" t="s">
        <v>84</v>
      </c>
      <c r="J573" s="155" t="s">
        <v>85</v>
      </c>
      <c r="K573" s="158" t="s">
        <v>86</v>
      </c>
      <c r="L573" s="158" t="s">
        <v>87</v>
      </c>
      <c r="M573" s="159" t="s">
        <v>88</v>
      </c>
      <c r="N573" s="160" t="s">
        <v>89</v>
      </c>
      <c r="O573" s="148" t="s">
        <v>90</v>
      </c>
      <c r="P573" s="160" t="s">
        <v>91</v>
      </c>
      <c r="Q573" s="160" t="s">
        <v>92</v>
      </c>
      <c r="R573" s="161" t="s">
        <v>93</v>
      </c>
      <c r="S573" s="160" t="s">
        <v>94</v>
      </c>
      <c r="T573" s="161" t="s">
        <v>95</v>
      </c>
      <c r="U573" s="162" t="s">
        <v>96</v>
      </c>
      <c r="V573" s="162" t="s">
        <v>97</v>
      </c>
      <c r="W573" s="162" t="s">
        <v>98</v>
      </c>
      <c r="X573" s="163" t="s">
        <v>99</v>
      </c>
      <c r="Y573" s="164" t="s">
        <v>100</v>
      </c>
      <c r="Z573" s="164" t="s">
        <v>101</v>
      </c>
      <c r="AA573" s="164" t="s">
        <v>102</v>
      </c>
      <c r="AB573" s="164" t="s">
        <v>103</v>
      </c>
      <c r="AC573" s="164" t="s">
        <v>104</v>
      </c>
      <c r="AD573" s="165" t="s">
        <v>105</v>
      </c>
      <c r="AE573" s="151"/>
      <c r="AF573" s="152"/>
      <c r="AG573" s="152"/>
    </row>
    <row r="574">
      <c r="A574" s="246">
        <v>46291</v>
      </c>
      <c r="B574" s="235" t="s">
        <v>138</v>
      </c>
      <c r="C574" s="168" t="s">
        <v>107</v>
      </c>
      <c r="D574" s="195">
        <f t="shared" ref="D574:D577" si="401">E574+F574+G574</f>
      </c>
      <c r="E574" s="170">
        <v>2000</v>
      </c>
      <c r="F574" s="229">
        <v>816.99</v>
      </c>
      <c r="G574" s="229">
        <v>0</v>
      </c>
      <c r="H574" s="170">
        <v>2</v>
      </c>
      <c r="I574" s="170">
        <v>2073.96</v>
      </c>
      <c r="J574" s="171">
        <f t="shared" ref="J574:J594" si="205">I574/D574</f>
      </c>
      <c r="K574" s="172">
        <f t="shared" ref="K574:K594" si="115">Z574/Y574</f>
      </c>
      <c r="L574" s="173">
        <f t="shared" ref="L574:L594" si="55">D574/AA574</f>
      </c>
      <c r="M574" s="174">
        <f t="shared" ref="M574:M594" si="145">AB574/AA574</f>
      </c>
      <c r="N574" s="172">
        <f t="shared" ref="N574:N594" si="25">AC574/AA574</f>
      </c>
      <c r="O574" s="173">
        <f t="shared" ref="O574:O594" si="476">D574/AC574</f>
      </c>
      <c r="P574" s="172">
        <f t="shared" ref="P574:P594" si="446">AD574/AC574</f>
      </c>
      <c r="Q574" s="172">
        <f t="shared" ref="Q574:Q594" si="368">H574/AD574</f>
      </c>
      <c r="R574" s="173">
        <f t="shared" ref="R574:R594" si="338">D574/H574</f>
      </c>
      <c r="S574" s="175">
        <f t="shared" ref="S574:S594" si="235">I574/H574</f>
      </c>
      <c r="T574" s="173">
        <f t="shared" ref="T574:T594" si="175">D574/X574</f>
      </c>
      <c r="U574" s="176">
        <f t="shared" ref="U574:U594" si="85">AE574*1000/D574</f>
      </c>
      <c r="V574" s="177" t="s">
        <v>108</v>
      </c>
      <c r="W574" s="178" t="s">
        <v>133</v>
      </c>
      <c r="X574" s="170">
        <v>2</v>
      </c>
      <c r="Y574" s="169">
        <v>9663</v>
      </c>
      <c r="Z574" s="169">
        <v>663</v>
      </c>
      <c r="AA574" s="169">
        <v>1169</v>
      </c>
      <c r="AB574" s="169">
        <v>247</v>
      </c>
      <c r="AC574" s="179">
        <v>35</v>
      </c>
      <c r="AD574" s="179">
        <v>4</v>
      </c>
      <c r="AE574" s="180">
        <v>18</v>
      </c>
      <c r="AF574" s="236"/>
      <c r="AG574" s="152"/>
    </row>
    <row r="575">
      <c r="A575" s="242"/>
      <c r="B575" s="247" t="s">
        <v>110</v>
      </c>
      <c r="C575" s="244" t="s">
        <v>107</v>
      </c>
      <c r="D575" s="169">
        <f t="shared" si="401"/>
      </c>
      <c r="E575" s="170">
        <v>3986.17</v>
      </c>
      <c r="F575" s="170">
        <v>853.68</v>
      </c>
      <c r="G575" s="170">
        <v>0</v>
      </c>
      <c r="H575" s="170">
        <v>2</v>
      </c>
      <c r="I575" s="170">
        <v>4397.639999999999</v>
      </c>
      <c r="J575" s="171">
        <f t="shared" si="205"/>
      </c>
      <c r="K575" s="172">
        <f t="shared" si="115"/>
      </c>
      <c r="L575" s="173">
        <f t="shared" si="55"/>
      </c>
      <c r="M575" s="174">
        <f t="shared" si="145"/>
      </c>
      <c r="N575" s="172">
        <f t="shared" si="25"/>
      </c>
      <c r="O575" s="173">
        <f t="shared" si="476"/>
      </c>
      <c r="P575" s="172">
        <f t="shared" si="446"/>
      </c>
      <c r="Q575" s="172">
        <f t="shared" si="368"/>
      </c>
      <c r="R575" s="173">
        <f t="shared" si="338"/>
      </c>
      <c r="S575" s="175">
        <f t="shared" si="235"/>
      </c>
      <c r="T575" s="173">
        <f t="shared" si="175"/>
      </c>
      <c r="U575" s="176">
        <f t="shared" si="85"/>
      </c>
      <c r="V575" s="177" t="s">
        <v>108</v>
      </c>
      <c r="W575" s="178" t="s">
        <v>133</v>
      </c>
      <c r="X575" s="208">
        <v>1</v>
      </c>
      <c r="Y575" s="169">
        <v>14940</v>
      </c>
      <c r="Z575" s="169">
        <v>598</v>
      </c>
      <c r="AA575" s="169">
        <v>724</v>
      </c>
      <c r="AB575" s="169">
        <v>196</v>
      </c>
      <c r="AC575" s="169">
        <v>73</v>
      </c>
      <c r="AD575" s="179">
        <v>3</v>
      </c>
      <c r="AE575" s="180">
        <v>36</v>
      </c>
      <c r="AF575" s="236"/>
      <c r="AG575" s="152"/>
    </row>
    <row r="576">
      <c r="A576" s="242"/>
      <c r="B576" s="181" t="s">
        <v>111</v>
      </c>
      <c r="C576" s="168" t="s">
        <v>107</v>
      </c>
      <c r="D576" s="169">
        <f t="shared" si="401"/>
      </c>
      <c r="E576" s="169">
        <v>2276.7300000000005</v>
      </c>
      <c r="F576" s="169">
        <v>1541.3</v>
      </c>
      <c r="G576" s="170">
        <v>0</v>
      </c>
      <c r="H576" s="170">
        <v>1</v>
      </c>
      <c r="I576" s="170">
        <v>9170.880000000001</v>
      </c>
      <c r="J576" s="171">
        <f t="shared" si="205"/>
      </c>
      <c r="K576" s="172">
        <f t="shared" si="115"/>
      </c>
      <c r="L576" s="173">
        <f t="shared" si="55"/>
      </c>
      <c r="M576" s="174">
        <f t="shared" si="145"/>
      </c>
      <c r="N576" s="172">
        <f t="shared" si="25"/>
      </c>
      <c r="O576" s="173">
        <f t="shared" si="476"/>
      </c>
      <c r="P576" s="172">
        <f t="shared" si="446"/>
      </c>
      <c r="Q576" s="172">
        <f t="shared" si="368"/>
      </c>
      <c r="R576" s="173">
        <f t="shared" si="338"/>
      </c>
      <c r="S576" s="175">
        <f t="shared" si="235"/>
      </c>
      <c r="T576" s="173">
        <f t="shared" si="175"/>
      </c>
      <c r="U576" s="176">
        <f t="shared" si="85"/>
      </c>
      <c r="V576" s="177" t="s">
        <v>108</v>
      </c>
      <c r="W576" s="178" t="s">
        <v>133</v>
      </c>
      <c r="X576" s="205">
        <v>1</v>
      </c>
      <c r="Y576" s="169">
        <v>12151</v>
      </c>
      <c r="Z576" s="169">
        <v>668</v>
      </c>
      <c r="AA576" s="169">
        <v>972</v>
      </c>
      <c r="AB576" s="169">
        <v>224</v>
      </c>
      <c r="AC576" s="169">
        <v>64</v>
      </c>
      <c r="AD576" s="179">
        <v>3</v>
      </c>
      <c r="AE576" s="180">
        <v>29</v>
      </c>
      <c r="AF576" s="236"/>
      <c r="AG576" s="152"/>
    </row>
    <row r="577">
      <c r="A577" s="242"/>
      <c r="B577" s="183" t="s">
        <v>112</v>
      </c>
      <c r="C577" s="168" t="s">
        <v>107</v>
      </c>
      <c r="D577" s="169">
        <f t="shared" si="401"/>
      </c>
      <c r="E577" s="169">
        <v>1664.57</v>
      </c>
      <c r="F577" s="170">
        <v>1033.84</v>
      </c>
      <c r="G577" s="170">
        <v>0</v>
      </c>
      <c r="H577" s="170">
        <v>1</v>
      </c>
      <c r="I577" s="170">
        <v>1778.7599999999984</v>
      </c>
      <c r="J577" s="171">
        <f t="shared" si="205"/>
      </c>
      <c r="K577" s="172">
        <f t="shared" si="115"/>
      </c>
      <c r="L577" s="173">
        <f t="shared" si="55"/>
      </c>
      <c r="M577" s="174">
        <f t="shared" si="145"/>
      </c>
      <c r="N577" s="172">
        <f t="shared" si="25"/>
      </c>
      <c r="O577" s="173">
        <f t="shared" si="476"/>
      </c>
      <c r="P577" s="172">
        <f t="shared" si="446"/>
      </c>
      <c r="Q577" s="172">
        <f t="shared" si="368"/>
      </c>
      <c r="R577" s="173">
        <f t="shared" si="338"/>
      </c>
      <c r="S577" s="175">
        <f t="shared" si="235"/>
      </c>
      <c r="T577" s="173">
        <f t="shared" si="175"/>
      </c>
      <c r="U577" s="176">
        <f t="shared" si="85"/>
      </c>
      <c r="V577" s="177" t="s">
        <v>108</v>
      </c>
      <c r="W577" s="178" t="s">
        <v>133</v>
      </c>
      <c r="X577" s="205">
        <v>1</v>
      </c>
      <c r="Y577" s="169">
        <v>6947</v>
      </c>
      <c r="Z577" s="169">
        <v>465</v>
      </c>
      <c r="AA577" s="169">
        <v>637</v>
      </c>
      <c r="AB577" s="169">
        <v>174</v>
      </c>
      <c r="AC577" s="169">
        <v>33</v>
      </c>
      <c r="AD577" s="179">
        <v>2</v>
      </c>
      <c r="AE577" s="180">
        <v>17</v>
      </c>
      <c r="AF577" s="236"/>
      <c r="AG577" s="152"/>
    </row>
    <row r="578">
      <c r="A578" s="242"/>
      <c r="B578" s="184" t="s">
        <v>113</v>
      </c>
      <c r="C578" s="184"/>
      <c r="D578" s="185">
        <f>D574+D575+D576+D577</f>
      </c>
      <c r="E578" s="185">
        <v>1052.59</v>
      </c>
      <c r="F578" s="185">
        <f>SUM(F574:F577)</f>
      </c>
      <c r="G578" s="185">
        <f>SUM(G574:G577)</f>
      </c>
      <c r="H578" s="185">
        <f>SUM(H574:H577)</f>
      </c>
      <c r="I578" s="185">
        <f>SUM(I574:I577)</f>
      </c>
      <c r="J578" s="186">
        <f t="shared" si="205"/>
      </c>
      <c r="K578" s="187">
        <f t="shared" si="115"/>
      </c>
      <c r="L578" s="188">
        <f t="shared" si="55"/>
      </c>
      <c r="M578" s="189">
        <f t="shared" si="145"/>
      </c>
      <c r="N578" s="187">
        <f t="shared" si="25"/>
      </c>
      <c r="O578" s="188">
        <f t="shared" si="476"/>
      </c>
      <c r="P578" s="187">
        <f t="shared" si="446"/>
      </c>
      <c r="Q578" s="187">
        <f t="shared" si="368"/>
      </c>
      <c r="R578" s="188">
        <f t="shared" si="338"/>
      </c>
      <c r="S578" s="190">
        <f t="shared" si="235"/>
      </c>
      <c r="T578" s="188">
        <f t="shared" si="175"/>
      </c>
      <c r="U578" s="191">
        <f t="shared" si="85"/>
      </c>
      <c r="V578" s="191"/>
      <c r="W578" s="191"/>
      <c r="X578" s="206">
        <f>SUM(X574:X577)</f>
      </c>
      <c r="Y578" s="185">
        <f>SUM(Y574:Y577)</f>
      </c>
      <c r="Z578" s="185">
        <f>SUM(Z574:Z577)</f>
      </c>
      <c r="AA578" s="185">
        <f>SUM(AA574:AA577)</f>
      </c>
      <c r="AB578" s="185">
        <f>SUM(AB574:AB577)</f>
      </c>
      <c r="AC578" s="185">
        <f>SUM(AC574:AC577)</f>
      </c>
      <c r="AD578" s="185">
        <f>SUM(AD574:AD577)</f>
      </c>
      <c r="AE578" s="185">
        <f>SUM(AE574:AE577)</f>
      </c>
      <c r="AF578" s="152"/>
      <c r="AG578" s="152"/>
    </row>
    <row r="579">
      <c r="A579" s="242"/>
      <c r="B579" s="181" t="s">
        <v>114</v>
      </c>
      <c r="C579" s="168" t="s">
        <v>120</v>
      </c>
      <c r="D579" s="169">
        <f t="shared" ref="D579:D582" si="402">E579+F579+G579</f>
      </c>
      <c r="E579" s="169">
        <v>2040.67</v>
      </c>
      <c r="F579" s="169">
        <v>802.96</v>
      </c>
      <c r="G579" s="170">
        <v>0</v>
      </c>
      <c r="H579" s="170">
        <v>3</v>
      </c>
      <c r="I579" s="170">
        <v>3855.959999999999</v>
      </c>
      <c r="J579" s="171">
        <f t="shared" si="205"/>
      </c>
      <c r="K579" s="172">
        <f t="shared" si="115"/>
      </c>
      <c r="L579" s="173">
        <f t="shared" si="55"/>
      </c>
      <c r="M579" s="174">
        <f t="shared" si="145"/>
      </c>
      <c r="N579" s="172">
        <f t="shared" si="25"/>
      </c>
      <c r="O579" s="173">
        <f t="shared" si="476"/>
      </c>
      <c r="P579" s="172">
        <f t="shared" si="446"/>
      </c>
      <c r="Q579" s="172">
        <f t="shared" si="368"/>
      </c>
      <c r="R579" s="173">
        <f t="shared" si="338"/>
      </c>
      <c r="S579" s="175">
        <f t="shared" si="235"/>
      </c>
      <c r="T579" s="173">
        <f t="shared" si="175"/>
      </c>
      <c r="U579" s="176">
        <f t="shared" si="85"/>
      </c>
      <c r="V579" s="177" t="s">
        <v>108</v>
      </c>
      <c r="W579" s="178" t="s">
        <v>133</v>
      </c>
      <c r="X579" s="208">
        <v>2</v>
      </c>
      <c r="Y579" s="170">
        <v>9992</v>
      </c>
      <c r="Z579" s="170">
        <v>615</v>
      </c>
      <c r="AA579" s="169">
        <v>944</v>
      </c>
      <c r="AB579" s="170">
        <v>269</v>
      </c>
      <c r="AC579" s="170">
        <v>39</v>
      </c>
      <c r="AD579" s="179">
        <v>4</v>
      </c>
      <c r="AE579" s="180">
        <v>38</v>
      </c>
      <c r="AF579" s="236"/>
      <c r="AG579" s="152"/>
    </row>
    <row r="580">
      <c r="A580" s="242"/>
      <c r="B580" s="181" t="s">
        <v>116</v>
      </c>
      <c r="C580" s="168" t="s">
        <v>120</v>
      </c>
      <c r="D580" s="169">
        <f t="shared" si="402"/>
      </c>
      <c r="E580" s="169">
        <v>2756.2</v>
      </c>
      <c r="F580" s="169">
        <v>969.75</v>
      </c>
      <c r="G580" s="170">
        <v>0</v>
      </c>
      <c r="H580" s="170">
        <v>6</v>
      </c>
      <c r="I580" s="169">
        <v>17741.28</v>
      </c>
      <c r="J580" s="171">
        <f t="shared" si="205"/>
      </c>
      <c r="K580" s="172">
        <f t="shared" si="115"/>
      </c>
      <c r="L580" s="173">
        <f t="shared" si="55"/>
      </c>
      <c r="M580" s="174">
        <f t="shared" si="145"/>
      </c>
      <c r="N580" s="172">
        <f t="shared" si="25"/>
      </c>
      <c r="O580" s="173">
        <f t="shared" si="476"/>
      </c>
      <c r="P580" s="172">
        <f t="shared" si="446"/>
      </c>
      <c r="Q580" s="172">
        <f t="shared" si="368"/>
      </c>
      <c r="R580" s="173">
        <f t="shared" si="338"/>
      </c>
      <c r="S580" s="175">
        <f t="shared" si="235"/>
      </c>
      <c r="T580" s="173">
        <f t="shared" si="175"/>
      </c>
      <c r="U580" s="176">
        <f t="shared" si="85"/>
      </c>
      <c r="V580" s="177" t="s">
        <v>108</v>
      </c>
      <c r="W580" s="178" t="s">
        <v>133</v>
      </c>
      <c r="X580" s="208">
        <v>5</v>
      </c>
      <c r="Y580" s="170">
        <v>12754</v>
      </c>
      <c r="Z580" s="170">
        <v>944</v>
      </c>
      <c r="AA580" s="170">
        <v>1315</v>
      </c>
      <c r="AB580" s="170">
        <v>381</v>
      </c>
      <c r="AC580" s="170">
        <v>26</v>
      </c>
      <c r="AD580" s="179">
        <v>8</v>
      </c>
      <c r="AE580" s="180">
        <v>45</v>
      </c>
      <c r="AF580" s="236"/>
      <c r="AG580" s="152"/>
    </row>
    <row r="581">
      <c r="A581" s="242"/>
      <c r="B581" s="181" t="s">
        <v>117</v>
      </c>
      <c r="C581" s="168" t="s">
        <v>120</v>
      </c>
      <c r="D581" s="169">
        <f t="shared" si="402"/>
      </c>
      <c r="E581" s="169">
        <v>4575.87</v>
      </c>
      <c r="F581" s="170">
        <v>511.43</v>
      </c>
      <c r="G581" s="170">
        <v>0</v>
      </c>
      <c r="H581" s="170">
        <v>2</v>
      </c>
      <c r="I581" s="170">
        <v>3583.040000000001</v>
      </c>
      <c r="J581" s="171">
        <f t="shared" si="205"/>
      </c>
      <c r="K581" s="172">
        <f t="shared" si="115"/>
      </c>
      <c r="L581" s="173">
        <f t="shared" si="55"/>
      </c>
      <c r="M581" s="174">
        <f t="shared" si="145"/>
      </c>
      <c r="N581" s="172">
        <f t="shared" si="25"/>
      </c>
      <c r="O581" s="173">
        <f t="shared" si="476"/>
      </c>
      <c r="P581" s="172">
        <f t="shared" si="446"/>
      </c>
      <c r="Q581" s="172">
        <f t="shared" si="368"/>
      </c>
      <c r="R581" s="173">
        <f t="shared" si="338"/>
      </c>
      <c r="S581" s="175">
        <f t="shared" si="235"/>
      </c>
      <c r="T581" s="173">
        <f t="shared" si="175"/>
      </c>
      <c r="U581" s="176">
        <f t="shared" si="85"/>
      </c>
      <c r="V581" s="177" t="s">
        <v>108</v>
      </c>
      <c r="W581" s="178" t="s">
        <v>133</v>
      </c>
      <c r="X581" s="208">
        <v>2</v>
      </c>
      <c r="Y581" s="170">
        <v>17301</v>
      </c>
      <c r="Z581" s="170">
        <v>939</v>
      </c>
      <c r="AA581" s="170">
        <v>1237</v>
      </c>
      <c r="AB581" s="170">
        <v>356</v>
      </c>
      <c r="AC581" s="170">
        <v>56</v>
      </c>
      <c r="AD581" s="179">
        <v>5</v>
      </c>
      <c r="AE581" s="180">
        <v>55</v>
      </c>
      <c r="AF581" s="236"/>
      <c r="AG581" s="152"/>
    </row>
    <row r="582">
      <c r="A582" s="242"/>
      <c r="B582" s="181" t="s">
        <v>118</v>
      </c>
      <c r="C582" s="168" t="s">
        <v>120</v>
      </c>
      <c r="D582" s="169">
        <f t="shared" si="402"/>
      </c>
      <c r="E582" s="169">
        <v>4859.849999999999</v>
      </c>
      <c r="F582" s="170">
        <v>833.58</v>
      </c>
      <c r="G582" s="170">
        <v>0</v>
      </c>
      <c r="H582" s="170">
        <v>4</v>
      </c>
      <c r="I582" s="170">
        <v>9004.199999999997</v>
      </c>
      <c r="J582" s="171">
        <f t="shared" si="205"/>
      </c>
      <c r="K582" s="172">
        <f t="shared" si="115"/>
      </c>
      <c r="L582" s="173">
        <f t="shared" si="55"/>
      </c>
      <c r="M582" s="174">
        <f t="shared" si="145"/>
      </c>
      <c r="N582" s="172">
        <f t="shared" si="25"/>
      </c>
      <c r="O582" s="173">
        <f t="shared" si="476"/>
      </c>
      <c r="P582" s="172">
        <f t="shared" si="446"/>
      </c>
      <c r="Q582" s="172">
        <f t="shared" si="368"/>
      </c>
      <c r="R582" s="173">
        <f t="shared" si="338"/>
      </c>
      <c r="S582" s="175">
        <f t="shared" si="235"/>
      </c>
      <c r="T582" s="173">
        <f t="shared" si="175"/>
      </c>
      <c r="U582" s="176">
        <f t="shared" si="85"/>
      </c>
      <c r="V582" s="177" t="s">
        <v>108</v>
      </c>
      <c r="W582" s="178" t="s">
        <v>133</v>
      </c>
      <c r="X582" s="208">
        <v>4</v>
      </c>
      <c r="Y582" s="170">
        <v>23870</v>
      </c>
      <c r="Z582" s="170">
        <v>1546</v>
      </c>
      <c r="AA582" s="170">
        <v>2124</v>
      </c>
      <c r="AB582" s="170">
        <v>591</v>
      </c>
      <c r="AC582" s="170">
        <v>55</v>
      </c>
      <c r="AD582" s="179">
        <v>7</v>
      </c>
      <c r="AE582" s="180">
        <v>63</v>
      </c>
      <c r="AF582" s="236"/>
      <c r="AG582" s="152"/>
    </row>
    <row r="583">
      <c r="A583" s="242"/>
      <c r="B583" s="184" t="s">
        <v>113</v>
      </c>
      <c r="C583" s="184"/>
      <c r="D583" s="185">
        <f>SUM(D579:D582)</f>
      </c>
      <c r="E583" s="185">
        <f>SUM(E579:E582)</f>
      </c>
      <c r="F583" s="185">
        <f>SUM(F579:F582)</f>
      </c>
      <c r="G583" s="185">
        <f>SUM(G579:G582)</f>
      </c>
      <c r="H583" s="185">
        <f>SUM(H579:H582)</f>
      </c>
      <c r="I583" s="185">
        <f>SUM(I579:I582)</f>
      </c>
      <c r="J583" s="186">
        <f t="shared" si="205"/>
      </c>
      <c r="K583" s="187">
        <f t="shared" si="115"/>
      </c>
      <c r="L583" s="188">
        <f t="shared" si="55"/>
      </c>
      <c r="M583" s="189">
        <f t="shared" si="145"/>
      </c>
      <c r="N583" s="187">
        <f t="shared" si="25"/>
      </c>
      <c r="O583" s="188">
        <f t="shared" si="476"/>
      </c>
      <c r="P583" s="187">
        <f t="shared" si="446"/>
      </c>
      <c r="Q583" s="187">
        <f t="shared" si="368"/>
      </c>
      <c r="R583" s="188">
        <f t="shared" si="338"/>
      </c>
      <c r="S583" s="190">
        <f t="shared" si="235"/>
      </c>
      <c r="T583" s="188">
        <f t="shared" si="175"/>
      </c>
      <c r="U583" s="191">
        <f t="shared" si="85"/>
      </c>
      <c r="V583" s="191"/>
      <c r="W583" s="191"/>
      <c r="X583" s="206">
        <f>SUM(X579:X582)</f>
      </c>
      <c r="Y583" s="209">
        <f>SUM(Y579:Y582)</f>
      </c>
      <c r="Z583" s="209">
        <f>SUM(Z579:Z582)</f>
      </c>
      <c r="AA583" s="209">
        <f>SUM(AA579:AA582)</f>
      </c>
      <c r="AB583" s="209">
        <f>SUM(AB579:AB582)</f>
      </c>
      <c r="AC583" s="209">
        <f>SUM(AC579:AC582)</f>
      </c>
      <c r="AD583" s="209">
        <f>SUM(AD579:AD582)</f>
      </c>
      <c r="AE583" s="209">
        <f>SUM(AE579:AE582)</f>
      </c>
      <c r="AF583" s="152"/>
      <c r="AG583" s="152"/>
    </row>
    <row r="584">
      <c r="A584" s="242"/>
      <c r="B584" s="192" t="s">
        <v>119</v>
      </c>
      <c r="C584" s="168" t="s">
        <v>142</v>
      </c>
      <c r="D584" s="169">
        <f t="shared" ref="D584:D587" si="403">E584+F584+G584</f>
      </c>
      <c r="E584" s="170">
        <v>5241.61</v>
      </c>
      <c r="F584" s="170">
        <v>1071.83</v>
      </c>
      <c r="G584" s="170">
        <v>0</v>
      </c>
      <c r="H584" s="170">
        <v>3</v>
      </c>
      <c r="I584" s="170">
        <v>3192.480000000003</v>
      </c>
      <c r="J584" s="171">
        <f t="shared" si="205"/>
      </c>
      <c r="K584" s="172">
        <f t="shared" si="115"/>
      </c>
      <c r="L584" s="173">
        <f t="shared" si="55"/>
      </c>
      <c r="M584" s="174">
        <f t="shared" si="145"/>
      </c>
      <c r="N584" s="172">
        <f t="shared" si="25"/>
      </c>
      <c r="O584" s="173">
        <f t="shared" si="476"/>
      </c>
      <c r="P584" s="172">
        <f t="shared" si="446"/>
      </c>
      <c r="Q584" s="172">
        <f t="shared" si="368"/>
      </c>
      <c r="R584" s="173">
        <f t="shared" si="338"/>
      </c>
      <c r="S584" s="175">
        <f t="shared" si="235"/>
      </c>
      <c r="T584" s="173">
        <f t="shared" si="175"/>
      </c>
      <c r="U584" s="176">
        <f t="shared" si="85"/>
      </c>
      <c r="V584" s="177" t="s">
        <v>108</v>
      </c>
      <c r="W584" s="178" t="s">
        <v>136</v>
      </c>
      <c r="X584" s="170">
        <v>2</v>
      </c>
      <c r="Y584" s="170">
        <v>18371</v>
      </c>
      <c r="Z584" s="170">
        <v>1324</v>
      </c>
      <c r="AA584" s="169">
        <v>1919</v>
      </c>
      <c r="AB584" s="170">
        <v>522</v>
      </c>
      <c r="AC584" s="179">
        <v>25</v>
      </c>
      <c r="AD584" s="179">
        <v>5</v>
      </c>
      <c r="AE584" s="180">
        <v>52</v>
      </c>
      <c r="AF584" s="236"/>
      <c r="AG584" s="152"/>
    </row>
    <row r="585">
      <c r="A585" s="242"/>
      <c r="B585" s="194" t="s">
        <v>122</v>
      </c>
      <c r="C585" s="168" t="s">
        <v>142</v>
      </c>
      <c r="D585" s="169">
        <f t="shared" si="403"/>
      </c>
      <c r="E585" s="169">
        <v>3817.0499999999997</v>
      </c>
      <c r="F585" s="170">
        <v>509.69</v>
      </c>
      <c r="G585" s="170">
        <v>0</v>
      </c>
      <c r="H585" s="170">
        <v>3</v>
      </c>
      <c r="I585" s="170">
        <v>3805.439999999995</v>
      </c>
      <c r="J585" s="171">
        <f t="shared" si="205"/>
      </c>
      <c r="K585" s="172">
        <f t="shared" si="115"/>
      </c>
      <c r="L585" s="173">
        <f t="shared" si="55"/>
      </c>
      <c r="M585" s="174">
        <f t="shared" si="145"/>
      </c>
      <c r="N585" s="172">
        <f t="shared" si="25"/>
      </c>
      <c r="O585" s="173">
        <f t="shared" si="476"/>
      </c>
      <c r="P585" s="172">
        <f t="shared" si="446"/>
      </c>
      <c r="Q585" s="172">
        <f t="shared" si="368"/>
      </c>
      <c r="R585" s="173">
        <f t="shared" si="338"/>
      </c>
      <c r="S585" s="175">
        <f t="shared" si="235"/>
      </c>
      <c r="T585" s="173">
        <f t="shared" si="175"/>
      </c>
      <c r="U585" s="176">
        <f t="shared" si="85"/>
      </c>
      <c r="V585" s="177" t="s">
        <v>108</v>
      </c>
      <c r="W585" s="178" t="s">
        <v>136</v>
      </c>
      <c r="X585" s="208">
        <v>3</v>
      </c>
      <c r="Y585" s="169">
        <v>17659</v>
      </c>
      <c r="Z585" s="169">
        <v>1074</v>
      </c>
      <c r="AA585" s="169">
        <v>1474</v>
      </c>
      <c r="AB585" s="169">
        <v>409</v>
      </c>
      <c r="AC585" s="169">
        <v>16</v>
      </c>
      <c r="AD585" s="179">
        <v>4</v>
      </c>
      <c r="AE585" s="180">
        <v>43</v>
      </c>
      <c r="AF585" s="152"/>
      <c r="AG585" s="152"/>
    </row>
    <row r="586">
      <c r="A586" s="242"/>
      <c r="B586" s="210" t="s">
        <v>123</v>
      </c>
      <c r="C586" s="168" t="s">
        <v>142</v>
      </c>
      <c r="D586" s="169">
        <f t="shared" si="403"/>
      </c>
      <c r="E586" s="170">
        <v>1644.7</v>
      </c>
      <c r="F586" s="170">
        <v>1338.88</v>
      </c>
      <c r="G586" s="170">
        <v>0</v>
      </c>
      <c r="H586" s="170">
        <v>2</v>
      </c>
      <c r="I586" s="169">
        <v>5333.159999999996</v>
      </c>
      <c r="J586" s="171">
        <f t="shared" si="205"/>
      </c>
      <c r="K586" s="172">
        <f t="shared" si="115"/>
      </c>
      <c r="L586" s="173">
        <f t="shared" si="55"/>
      </c>
      <c r="M586" s="174">
        <f t="shared" si="145"/>
      </c>
      <c r="N586" s="172">
        <f t="shared" si="25"/>
      </c>
      <c r="O586" s="173">
        <f t="shared" si="476"/>
      </c>
      <c r="P586" s="172">
        <f t="shared" si="446"/>
      </c>
      <c r="Q586" s="172">
        <f t="shared" si="368"/>
      </c>
      <c r="R586" s="173">
        <f t="shared" si="338"/>
      </c>
      <c r="S586" s="175">
        <f t="shared" si="235"/>
      </c>
      <c r="T586" s="173">
        <f t="shared" si="175"/>
      </c>
      <c r="U586" s="176">
        <f t="shared" si="85"/>
      </c>
      <c r="V586" s="177" t="s">
        <v>108</v>
      </c>
      <c r="W586" s="178" t="s">
        <v>136</v>
      </c>
      <c r="X586" s="208">
        <v>0</v>
      </c>
      <c r="Y586" s="169">
        <v>7797</v>
      </c>
      <c r="Z586" s="169">
        <v>989</v>
      </c>
      <c r="AA586" s="169">
        <v>1674</v>
      </c>
      <c r="AB586" s="169">
        <v>509</v>
      </c>
      <c r="AC586" s="169">
        <v>12</v>
      </c>
      <c r="AD586" s="179">
        <v>3</v>
      </c>
      <c r="AE586" s="180">
        <v>40</v>
      </c>
      <c r="AF586" s="152"/>
      <c r="AG586" s="152"/>
    </row>
    <row r="587">
      <c r="A587" s="242"/>
      <c r="B587" s="183" t="s">
        <v>124</v>
      </c>
      <c r="C587" s="168" t="s">
        <v>142</v>
      </c>
      <c r="D587" s="169">
        <f t="shared" si="403"/>
      </c>
      <c r="E587" s="169">
        <v>2179.6499999999996</v>
      </c>
      <c r="F587" s="170">
        <v>1234.49</v>
      </c>
      <c r="G587" s="170">
        <v>0</v>
      </c>
      <c r="H587" s="170">
        <v>2</v>
      </c>
      <c r="I587" s="170">
        <v>8411.64</v>
      </c>
      <c r="J587" s="171">
        <f t="shared" si="205"/>
      </c>
      <c r="K587" s="172">
        <f t="shared" si="115"/>
      </c>
      <c r="L587" s="173">
        <f t="shared" si="55"/>
      </c>
      <c r="M587" s="174">
        <f t="shared" si="145"/>
      </c>
      <c r="N587" s="172">
        <f t="shared" si="25"/>
      </c>
      <c r="O587" s="173">
        <f t="shared" si="476"/>
      </c>
      <c r="P587" s="172">
        <f t="shared" si="446"/>
      </c>
      <c r="Q587" s="172">
        <f t="shared" si="368"/>
      </c>
      <c r="R587" s="173">
        <f t="shared" si="338"/>
      </c>
      <c r="S587" s="175">
        <f t="shared" si="235"/>
      </c>
      <c r="T587" s="173">
        <f t="shared" si="175"/>
      </c>
      <c r="U587" s="176">
        <f t="shared" si="85"/>
      </c>
      <c r="V587" s="177" t="s">
        <v>108</v>
      </c>
      <c r="W587" s="178" t="s">
        <v>136</v>
      </c>
      <c r="X587" s="205">
        <v>1</v>
      </c>
      <c r="Y587" s="169">
        <v>10272</v>
      </c>
      <c r="Z587" s="169">
        <v>1073</v>
      </c>
      <c r="AA587" s="169">
        <v>1680</v>
      </c>
      <c r="AB587" s="169">
        <v>482</v>
      </c>
      <c r="AC587" s="169">
        <v>26</v>
      </c>
      <c r="AD587" s="179">
        <v>4</v>
      </c>
      <c r="AE587" s="180">
        <v>33</v>
      </c>
      <c r="AF587" s="152"/>
      <c r="AG587" s="152"/>
    </row>
    <row r="588">
      <c r="A588" s="242"/>
      <c r="B588" s="184" t="s">
        <v>113</v>
      </c>
      <c r="C588" s="184"/>
      <c r="D588" s="185">
        <f>SUM(D584:D587)</f>
      </c>
      <c r="E588" s="185">
        <f>SUM(E584:E587)</f>
      </c>
      <c r="F588" s="185">
        <f>SUM(F584:F587)</f>
      </c>
      <c r="G588" s="185">
        <f>SUM(G584:G587)</f>
      </c>
      <c r="H588" s="185">
        <f>SUM(H584:H587)</f>
      </c>
      <c r="I588" s="185">
        <f>SUM(I584:I587)</f>
      </c>
      <c r="J588" s="186">
        <f t="shared" si="205"/>
      </c>
      <c r="K588" s="187">
        <f t="shared" si="115"/>
      </c>
      <c r="L588" s="188">
        <f t="shared" si="55"/>
      </c>
      <c r="M588" s="189">
        <f t="shared" si="145"/>
      </c>
      <c r="N588" s="187">
        <f t="shared" si="25"/>
      </c>
      <c r="O588" s="188">
        <f t="shared" si="476"/>
      </c>
      <c r="P588" s="187">
        <f t="shared" si="446"/>
      </c>
      <c r="Q588" s="187">
        <f t="shared" si="368"/>
      </c>
      <c r="R588" s="188">
        <f t="shared" si="338"/>
      </c>
      <c r="S588" s="190">
        <f t="shared" si="235"/>
      </c>
      <c r="T588" s="188">
        <f t="shared" si="175"/>
      </c>
      <c r="U588" s="191">
        <f t="shared" si="85"/>
      </c>
      <c r="V588" s="191"/>
      <c r="W588" s="191"/>
      <c r="X588" s="206">
        <f>SUM(X584:X587)</f>
      </c>
      <c r="Y588" s="185">
        <f>SUM(Y584:Y587)</f>
      </c>
      <c r="Z588" s="185">
        <f>SUM(Z584:Z587)</f>
      </c>
      <c r="AA588" s="185">
        <f>SUM(AA584:AA587)</f>
      </c>
      <c r="AB588" s="185">
        <f>SUM(AB584:AB587)</f>
      </c>
      <c r="AC588" s="185">
        <f>SUM(AC584:AC587)</f>
      </c>
      <c r="AD588" s="185">
        <f>SUM(AD584:AD587)</f>
      </c>
      <c r="AE588" s="185">
        <f>SUM(AE584:AE587)</f>
      </c>
      <c r="AF588" s="152"/>
      <c r="AG588" s="152"/>
    </row>
    <row r="589">
      <c r="A589" s="242"/>
      <c r="B589" s="181" t="s">
        <v>125</v>
      </c>
      <c r="C589" s="168" t="s">
        <v>137</v>
      </c>
      <c r="D589" s="169">
        <f t="shared" ref="D589:D592" si="404">E589+F589+G589</f>
      </c>
      <c r="E589" s="170">
        <v>1640.3200000000002</v>
      </c>
      <c r="F589" s="170">
        <v>2142.48</v>
      </c>
      <c r="G589" s="170">
        <v>0</v>
      </c>
      <c r="H589" s="170">
        <v>3</v>
      </c>
      <c r="I589" s="170">
        <v>2529.9600000000064</v>
      </c>
      <c r="J589" s="171">
        <f t="shared" si="205"/>
      </c>
      <c r="K589" s="172">
        <f t="shared" si="115"/>
      </c>
      <c r="L589" s="173">
        <f t="shared" si="55"/>
      </c>
      <c r="M589" s="174">
        <f t="shared" si="145"/>
      </c>
      <c r="N589" s="172">
        <f t="shared" si="25"/>
      </c>
      <c r="O589" s="173">
        <f t="shared" si="476"/>
      </c>
      <c r="P589" s="172">
        <f t="shared" si="446"/>
      </c>
      <c r="Q589" s="172">
        <f t="shared" si="368"/>
      </c>
      <c r="R589" s="173">
        <f t="shared" si="338"/>
      </c>
      <c r="S589" s="175">
        <f t="shared" si="235"/>
      </c>
      <c r="T589" s="173">
        <f t="shared" si="175"/>
      </c>
      <c r="U589" s="176">
        <f t="shared" si="85"/>
      </c>
      <c r="V589" s="177" t="s">
        <v>108</v>
      </c>
      <c r="W589" s="178" t="s">
        <v>136</v>
      </c>
      <c r="X589" s="170">
        <v>3</v>
      </c>
      <c r="Y589" s="169">
        <v>8490</v>
      </c>
      <c r="Z589" s="169">
        <v>1116</v>
      </c>
      <c r="AA589" s="169">
        <v>1888</v>
      </c>
      <c r="AB589" s="169">
        <v>484</v>
      </c>
      <c r="AC589" s="179">
        <v>39</v>
      </c>
      <c r="AD589" s="179">
        <v>3</v>
      </c>
      <c r="AE589" s="180">
        <v>53</v>
      </c>
      <c r="AF589" s="152"/>
      <c r="AG589" s="152"/>
    </row>
    <row r="590">
      <c r="A590" s="242"/>
      <c r="B590" s="212" t="s">
        <v>127</v>
      </c>
      <c r="C590" s="168" t="s">
        <v>137</v>
      </c>
      <c r="D590" s="169">
        <f t="shared" si="404"/>
      </c>
      <c r="E590" s="170">
        <v>3576</v>
      </c>
      <c r="F590" s="170">
        <v>3073.54</v>
      </c>
      <c r="G590" s="170">
        <v>0</v>
      </c>
      <c r="H590" s="170">
        <v>5</v>
      </c>
      <c r="I590" s="170">
        <v>13738.080000000002</v>
      </c>
      <c r="J590" s="171">
        <f t="shared" si="205"/>
      </c>
      <c r="K590" s="172">
        <f t="shared" si="115"/>
      </c>
      <c r="L590" s="173">
        <f t="shared" si="55"/>
      </c>
      <c r="M590" s="174">
        <f t="shared" si="145"/>
      </c>
      <c r="N590" s="172">
        <f t="shared" si="25"/>
      </c>
      <c r="O590" s="173">
        <f t="shared" si="476"/>
      </c>
      <c r="P590" s="172">
        <f t="shared" si="446"/>
      </c>
      <c r="Q590" s="172">
        <f t="shared" si="368"/>
      </c>
      <c r="R590" s="173">
        <f t="shared" si="338"/>
      </c>
      <c r="S590" s="175">
        <f t="shared" si="235"/>
      </c>
      <c r="T590" s="173">
        <f t="shared" si="175"/>
      </c>
      <c r="U590" s="176">
        <f t="shared" si="85"/>
      </c>
      <c r="V590" s="177" t="s">
        <v>108</v>
      </c>
      <c r="W590" s="178" t="s">
        <v>136</v>
      </c>
      <c r="X590" s="208">
        <v>4</v>
      </c>
      <c r="Y590" s="169">
        <v>18031</v>
      </c>
      <c r="Z590" s="169">
        <v>2043</v>
      </c>
      <c r="AA590" s="169">
        <v>3439</v>
      </c>
      <c r="AB590" s="169">
        <v>924</v>
      </c>
      <c r="AC590" s="169">
        <v>83</v>
      </c>
      <c r="AD590" s="179">
        <v>7</v>
      </c>
      <c r="AE590" s="230">
        <v>49</v>
      </c>
      <c r="AF590" s="152"/>
      <c r="AG590" s="152"/>
    </row>
    <row r="591">
      <c r="A591" s="242"/>
      <c r="B591" s="195" t="s">
        <v>128</v>
      </c>
      <c r="C591" s="168" t="s">
        <v>137</v>
      </c>
      <c r="D591" s="169">
        <f t="shared" si="404"/>
      </c>
      <c r="E591" s="169">
        <v>2454.14</v>
      </c>
      <c r="F591" s="170">
        <v>2057.38</v>
      </c>
      <c r="G591" s="170">
        <v>0</v>
      </c>
      <c r="H591" s="170">
        <v>5</v>
      </c>
      <c r="I591" s="170">
        <v>15307.12000000001</v>
      </c>
      <c r="J591" s="171">
        <f t="shared" si="205"/>
      </c>
      <c r="K591" s="172">
        <f t="shared" si="115"/>
      </c>
      <c r="L591" s="173">
        <f t="shared" si="55"/>
      </c>
      <c r="M591" s="174">
        <f t="shared" si="145"/>
      </c>
      <c r="N591" s="172">
        <f t="shared" si="25"/>
      </c>
      <c r="O591" s="173">
        <f t="shared" si="476"/>
      </c>
      <c r="P591" s="172">
        <f t="shared" si="446"/>
      </c>
      <c r="Q591" s="172">
        <f t="shared" si="368"/>
      </c>
      <c r="R591" s="173">
        <f t="shared" si="338"/>
      </c>
      <c r="S591" s="175">
        <f t="shared" si="235"/>
      </c>
      <c r="T591" s="173">
        <f t="shared" si="175"/>
      </c>
      <c r="U591" s="176">
        <f t="shared" si="85"/>
      </c>
      <c r="V591" s="177" t="s">
        <v>108</v>
      </c>
      <c r="W591" s="178" t="s">
        <v>136</v>
      </c>
      <c r="X591" s="208">
        <v>4</v>
      </c>
      <c r="Y591" s="169">
        <v>10665</v>
      </c>
      <c r="Z591" s="169">
        <v>832</v>
      </c>
      <c r="AA591" s="169">
        <v>1466</v>
      </c>
      <c r="AB591" s="169">
        <v>359</v>
      </c>
      <c r="AC591" s="170">
        <v>68</v>
      </c>
      <c r="AD591" s="179">
        <v>6</v>
      </c>
      <c r="AE591" s="180">
        <v>41</v>
      </c>
      <c r="AF591" s="152"/>
      <c r="AG591" s="152"/>
    </row>
    <row r="592">
      <c r="A592" s="242"/>
      <c r="B592" s="212" t="s">
        <v>129</v>
      </c>
      <c r="C592" s="168" t="s">
        <v>137</v>
      </c>
      <c r="D592" s="169">
        <f t="shared" si="404"/>
      </c>
      <c r="E592" s="170">
        <v>3451.8199999999997</v>
      </c>
      <c r="F592" s="170">
        <v>1461.27</v>
      </c>
      <c r="G592" s="170">
        <v>0</v>
      </c>
      <c r="H592" s="170">
        <v>2</v>
      </c>
      <c r="I592" s="170">
        <v>1680.4799999999814</v>
      </c>
      <c r="J592" s="171">
        <f t="shared" si="205"/>
      </c>
      <c r="K592" s="172">
        <f t="shared" si="115"/>
      </c>
      <c r="L592" s="173">
        <f t="shared" si="55"/>
      </c>
      <c r="M592" s="174">
        <f t="shared" si="145"/>
      </c>
      <c r="N592" s="172">
        <f t="shared" si="25"/>
      </c>
      <c r="O592" s="173">
        <f t="shared" si="476"/>
      </c>
      <c r="P592" s="172">
        <f t="shared" si="446"/>
      </c>
      <c r="Q592" s="172">
        <f t="shared" si="368"/>
      </c>
      <c r="R592" s="173">
        <f t="shared" si="338"/>
      </c>
      <c r="S592" s="175">
        <f t="shared" si="235"/>
      </c>
      <c r="T592" s="173">
        <f t="shared" si="175"/>
      </c>
      <c r="U592" s="176">
        <f t="shared" si="85"/>
      </c>
      <c r="V592" s="177" t="s">
        <v>108</v>
      </c>
      <c r="W592" s="178" t="s">
        <v>136</v>
      </c>
      <c r="X592" s="208">
        <v>2</v>
      </c>
      <c r="Y592" s="169">
        <v>19400</v>
      </c>
      <c r="Z592" s="169">
        <v>1182</v>
      </c>
      <c r="AA592" s="169">
        <v>1795</v>
      </c>
      <c r="AB592" s="169">
        <v>434</v>
      </c>
      <c r="AC592" s="170">
        <v>41</v>
      </c>
      <c r="AD592" s="179">
        <v>5</v>
      </c>
      <c r="AE592" s="230">
        <v>43</v>
      </c>
      <c r="AF592" s="152"/>
      <c r="AG592" s="152"/>
    </row>
    <row r="593">
      <c r="A593" s="242"/>
      <c r="B593" s="184" t="s">
        <v>113</v>
      </c>
      <c r="C593" s="184"/>
      <c r="D593" s="185">
        <f>SUM(D589:D592)</f>
      </c>
      <c r="E593" s="185">
        <f>SUM(E589:E592)</f>
      </c>
      <c r="F593" s="185">
        <f>SUM(F589:F592)</f>
      </c>
      <c r="G593" s="185">
        <f>SUM(G589:G592)</f>
      </c>
      <c r="H593" s="185">
        <f>SUM(H589:H592)</f>
      </c>
      <c r="I593" s="185">
        <f>SUM(I589:I592)</f>
      </c>
      <c r="J593" s="186">
        <f t="shared" si="205"/>
      </c>
      <c r="K593" s="187">
        <f t="shared" si="115"/>
      </c>
      <c r="L593" s="188">
        <f t="shared" si="55"/>
      </c>
      <c r="M593" s="189">
        <f t="shared" si="145"/>
      </c>
      <c r="N593" s="187">
        <f t="shared" si="25"/>
      </c>
      <c r="O593" s="188">
        <f t="shared" si="476"/>
      </c>
      <c r="P593" s="187">
        <f t="shared" si="446"/>
      </c>
      <c r="Q593" s="187">
        <f t="shared" si="368"/>
      </c>
      <c r="R593" s="188">
        <f t="shared" si="338"/>
      </c>
      <c r="S593" s="190">
        <f t="shared" si="235"/>
      </c>
      <c r="T593" s="188">
        <f t="shared" si="175"/>
      </c>
      <c r="U593" s="191">
        <f t="shared" si="85"/>
      </c>
      <c r="V593" s="191"/>
      <c r="W593" s="191"/>
      <c r="X593" s="206">
        <f>SUM(X589:X592)</f>
      </c>
      <c r="Y593" s="209">
        <f>SUM(Y589:Y592)</f>
      </c>
      <c r="Z593" s="209">
        <f>SUM(Z589:Z592)</f>
      </c>
      <c r="AA593" s="209">
        <f>SUM(AA589:AA592)</f>
      </c>
      <c r="AB593" s="209">
        <f>SUM(AB589:AB592)</f>
      </c>
      <c r="AC593" s="209">
        <f>SUM(AC589:AC592)</f>
      </c>
      <c r="AD593" s="209">
        <f>SUM(AD589:AD592)</f>
      </c>
      <c r="AE593" s="209">
        <f>SUM(AE589:AE592)</f>
      </c>
      <c r="AF593" s="152"/>
      <c r="AG593" s="152"/>
    </row>
    <row r="594">
      <c r="A594" s="242"/>
      <c r="B594" s="215" t="s">
        <v>130</v>
      </c>
      <c r="C594" s="215"/>
      <c r="D594" s="216">
        <f>D578+D583+D588+D593</f>
      </c>
      <c r="E594" s="217">
        <f>E578+E583+E588+E593</f>
      </c>
      <c r="F594" s="218">
        <f>F578+F583+F588+F593</f>
      </c>
      <c r="G594" s="218">
        <f>G578+G583+G588+G593</f>
      </c>
      <c r="H594" s="216">
        <f>H578+H583+H588+H593</f>
      </c>
      <c r="I594" s="216">
        <f>I578+I583+I588+I593</f>
      </c>
      <c r="J594" s="219">
        <f t="shared" si="205"/>
      </c>
      <c r="K594" s="220">
        <f t="shared" si="115"/>
      </c>
      <c r="L594" s="221">
        <f t="shared" si="55"/>
      </c>
      <c r="M594" s="222">
        <f t="shared" si="145"/>
      </c>
      <c r="N594" s="222">
        <f t="shared" si="25"/>
      </c>
      <c r="O594" s="221">
        <f t="shared" si="476"/>
      </c>
      <c r="P594" s="222">
        <f t="shared" si="446"/>
      </c>
      <c r="Q594" s="222">
        <f t="shared" si="368"/>
      </c>
      <c r="R594" s="221">
        <f t="shared" si="338"/>
      </c>
      <c r="S594" s="223">
        <f t="shared" si="235"/>
      </c>
      <c r="T594" s="221">
        <f t="shared" si="175"/>
      </c>
      <c r="U594" s="224">
        <f t="shared" si="85"/>
      </c>
      <c r="V594" s="224"/>
      <c r="W594" s="224"/>
      <c r="X594" s="219">
        <f>X578+X583+X588+X593</f>
      </c>
      <c r="Y594" s="219">
        <f>Y578+Y583+Y588+Y593</f>
      </c>
      <c r="Z594" s="219">
        <f>Z578+Z583+Z588+Z593</f>
      </c>
      <c r="AA594" s="219">
        <f>AA578+AA583+AA588+AA593</f>
      </c>
      <c r="AB594" s="219">
        <f>AB578+AB583+AB588+AB593</f>
      </c>
      <c r="AC594" s="219">
        <f>AC578+AC583+AC588+AC593</f>
      </c>
      <c r="AD594" s="233">
        <f>AD578+AD583+AD588+AD593</f>
      </c>
      <c r="AE594" s="218">
        <f>AE578+AE583+AE588+AE593</f>
      </c>
      <c r="AF594" s="152"/>
      <c r="AG594" s="152"/>
    </row>
    <row r="595">
      <c r="A595" s="240" t="s">
        <v>73</v>
      </c>
      <c r="B595" s="240"/>
      <c r="C595" s="240"/>
      <c r="D595" s="147" t="s">
        <v>74</v>
      </c>
      <c r="E595" s="147"/>
      <c r="F595" s="147"/>
      <c r="G595" s="147"/>
      <c r="H595" s="147"/>
      <c r="I595" s="147"/>
      <c r="J595" s="147"/>
      <c r="K595" s="148" t="s">
        <v>75</v>
      </c>
      <c r="L595" s="148"/>
      <c r="M595" s="148"/>
      <c r="N595" s="148"/>
      <c r="O595" s="148"/>
      <c r="P595" s="148"/>
      <c r="Q595" s="148"/>
      <c r="R595" s="148"/>
      <c r="S595" s="148"/>
      <c r="T595" s="148"/>
      <c r="U595" s="149"/>
      <c r="V595" s="149"/>
      <c r="W595" s="149"/>
      <c r="X595" s="150"/>
      <c r="Y595" s="150"/>
      <c r="Z595" s="150"/>
      <c r="AA595" s="150"/>
      <c r="AB595" s="150"/>
      <c r="AC595" s="150"/>
      <c r="AD595" s="150"/>
      <c r="AE595" s="151" t="s">
        <v>76</v>
      </c>
      <c r="AF595" s="152"/>
      <c r="AG595" s="152"/>
    </row>
    <row r="596">
      <c r="A596" s="245" t="s">
        <v>77</v>
      </c>
      <c r="B596" s="245" t="s">
        <v>78</v>
      </c>
      <c r="C596" s="245" t="s">
        <v>79</v>
      </c>
      <c r="D596" s="241" t="s">
        <v>80</v>
      </c>
      <c r="E596" s="225" t="s">
        <v>81</v>
      </c>
      <c r="F596" s="226" t="s">
        <v>82</v>
      </c>
      <c r="G596" s="227" t="s">
        <v>139</v>
      </c>
      <c r="H596" s="228" t="s">
        <v>83</v>
      </c>
      <c r="I596" s="157" t="s">
        <v>84</v>
      </c>
      <c r="J596" s="155" t="s">
        <v>85</v>
      </c>
      <c r="K596" s="158" t="s">
        <v>86</v>
      </c>
      <c r="L596" s="158" t="s">
        <v>87</v>
      </c>
      <c r="M596" s="159" t="s">
        <v>88</v>
      </c>
      <c r="N596" s="160" t="s">
        <v>89</v>
      </c>
      <c r="O596" s="148" t="s">
        <v>90</v>
      </c>
      <c r="P596" s="160" t="s">
        <v>91</v>
      </c>
      <c r="Q596" s="160" t="s">
        <v>92</v>
      </c>
      <c r="R596" s="161" t="s">
        <v>93</v>
      </c>
      <c r="S596" s="160" t="s">
        <v>94</v>
      </c>
      <c r="T596" s="161" t="s">
        <v>95</v>
      </c>
      <c r="U596" s="162" t="s">
        <v>96</v>
      </c>
      <c r="V596" s="162" t="s">
        <v>97</v>
      </c>
      <c r="W596" s="162" t="s">
        <v>98</v>
      </c>
      <c r="X596" s="163" t="s">
        <v>99</v>
      </c>
      <c r="Y596" s="164" t="s">
        <v>100</v>
      </c>
      <c r="Z596" s="164" t="s">
        <v>101</v>
      </c>
      <c r="AA596" s="164" t="s">
        <v>102</v>
      </c>
      <c r="AB596" s="164" t="s">
        <v>103</v>
      </c>
      <c r="AC596" s="164" t="s">
        <v>104</v>
      </c>
      <c r="AD596" s="165" t="s">
        <v>105</v>
      </c>
      <c r="AE596" s="151"/>
      <c r="AF596" s="152"/>
      <c r="AG596" s="152"/>
    </row>
    <row r="597">
      <c r="A597" s="166">
        <v>46292</v>
      </c>
      <c r="B597" s="192" t="s">
        <v>138</v>
      </c>
      <c r="C597" s="168" t="s">
        <v>107</v>
      </c>
      <c r="D597" s="195">
        <f t="shared" ref="D597:D600" si="405">E597+F597+G597</f>
      </c>
      <c r="E597" s="170">
        <v>1990.28</v>
      </c>
      <c r="F597" s="229">
        <v>1000</v>
      </c>
      <c r="G597" s="229">
        <v>0</v>
      </c>
      <c r="H597" s="170">
        <v>1</v>
      </c>
      <c r="I597" s="170">
        <v>737.64</v>
      </c>
      <c r="J597" s="171">
        <f t="shared" ref="J597:J617" si="206">I597/D597</f>
      </c>
      <c r="K597" s="172">
        <f t="shared" ref="K597:K617" si="116">Z597/Y597</f>
      </c>
      <c r="L597" s="173">
        <f t="shared" ref="L597:L617" si="56">D597/AA597</f>
      </c>
      <c r="M597" s="174">
        <f t="shared" ref="M597:M617" si="146">AB597/AA597</f>
      </c>
      <c r="N597" s="172">
        <f t="shared" ref="N597:N617" si="26">AC597/AA597</f>
      </c>
      <c r="O597" s="173">
        <f t="shared" ref="O597:O617" si="477">D597/AC597</f>
      </c>
      <c r="P597" s="172">
        <f t="shared" ref="P597:P617" si="447">AD597/AC597</f>
      </c>
      <c r="Q597" s="172">
        <f t="shared" ref="Q597:Q617" si="369">H597/AD597</f>
      </c>
      <c r="R597" s="173">
        <f t="shared" ref="R597:R617" si="339">D597/H597</f>
      </c>
      <c r="S597" s="175">
        <f t="shared" ref="S597:S617" si="236">I597/H597</f>
      </c>
      <c r="T597" s="173">
        <f t="shared" ref="T597:T617" si="176">D597/X597</f>
      </c>
      <c r="U597" s="176">
        <f t="shared" ref="U597:U617" si="86">AE597*1000/D597</f>
      </c>
      <c r="V597" s="177" t="s">
        <v>108</v>
      </c>
      <c r="W597" s="178" t="s">
        <v>133</v>
      </c>
      <c r="X597" s="170">
        <v>1</v>
      </c>
      <c r="Y597" s="169">
        <v>8395</v>
      </c>
      <c r="Z597" s="169">
        <v>732</v>
      </c>
      <c r="AA597" s="169">
        <v>1223</v>
      </c>
      <c r="AB597" s="169">
        <v>313</v>
      </c>
      <c r="AC597" s="179">
        <v>33</v>
      </c>
      <c r="AD597" s="179">
        <v>4</v>
      </c>
      <c r="AE597" s="180">
        <v>31</v>
      </c>
      <c r="AF597" s="236"/>
      <c r="AG597" s="152"/>
    </row>
    <row r="598">
      <c r="A598" s="166"/>
      <c r="B598" s="247" t="s">
        <v>110</v>
      </c>
      <c r="C598" s="244" t="s">
        <v>107</v>
      </c>
      <c r="D598" s="169">
        <f t="shared" si="405"/>
      </c>
      <c r="E598" s="170">
        <v>2717.54</v>
      </c>
      <c r="F598" s="170">
        <v>956.54</v>
      </c>
      <c r="G598" s="170">
        <v>0</v>
      </c>
      <c r="H598" s="170">
        <v>2</v>
      </c>
      <c r="I598" s="170">
        <v>1399.6799999999998</v>
      </c>
      <c r="J598" s="171">
        <f t="shared" si="206"/>
      </c>
      <c r="K598" s="172">
        <f t="shared" si="116"/>
      </c>
      <c r="L598" s="173">
        <f t="shared" si="56"/>
      </c>
      <c r="M598" s="174">
        <f t="shared" si="146"/>
      </c>
      <c r="N598" s="172">
        <f t="shared" si="26"/>
      </c>
      <c r="O598" s="173">
        <f t="shared" si="477"/>
      </c>
      <c r="P598" s="172">
        <f t="shared" si="447"/>
      </c>
      <c r="Q598" s="172">
        <f t="shared" si="369"/>
      </c>
      <c r="R598" s="173">
        <f t="shared" si="339"/>
      </c>
      <c r="S598" s="175">
        <f t="shared" si="236"/>
      </c>
      <c r="T598" s="173">
        <f t="shared" si="176"/>
      </c>
      <c r="U598" s="176">
        <f t="shared" si="86"/>
      </c>
      <c r="V598" s="177" t="s">
        <v>108</v>
      </c>
      <c r="W598" s="178" t="s">
        <v>133</v>
      </c>
      <c r="X598" s="208">
        <v>2</v>
      </c>
      <c r="Y598" s="169">
        <v>8835</v>
      </c>
      <c r="Z598" s="169">
        <v>458</v>
      </c>
      <c r="AA598" s="169">
        <v>528</v>
      </c>
      <c r="AB598" s="169">
        <v>153</v>
      </c>
      <c r="AC598" s="169">
        <v>44</v>
      </c>
      <c r="AD598" s="179">
        <v>3</v>
      </c>
      <c r="AE598" s="180">
        <v>14</v>
      </c>
      <c r="AF598" s="236"/>
      <c r="AG598" s="152"/>
    </row>
    <row r="599">
      <c r="A599" s="166"/>
      <c r="B599" s="181" t="s">
        <v>111</v>
      </c>
      <c r="C599" s="168" t="s">
        <v>107</v>
      </c>
      <c r="D599" s="169">
        <f t="shared" si="405"/>
      </c>
      <c r="E599" s="169">
        <v>4796.81</v>
      </c>
      <c r="F599" s="169">
        <v>521.8</v>
      </c>
      <c r="G599" s="170">
        <v>0</v>
      </c>
      <c r="H599" s="170">
        <v>1</v>
      </c>
      <c r="I599" s="170">
        <v>3669.84</v>
      </c>
      <c r="J599" s="171">
        <f t="shared" si="206"/>
      </c>
      <c r="K599" s="172">
        <f t="shared" si="116"/>
      </c>
      <c r="L599" s="173">
        <f t="shared" si="56"/>
      </c>
      <c r="M599" s="174">
        <f t="shared" si="146"/>
      </c>
      <c r="N599" s="172">
        <f t="shared" si="26"/>
      </c>
      <c r="O599" s="173">
        <f t="shared" si="477"/>
      </c>
      <c r="P599" s="172">
        <f t="shared" si="447"/>
      </c>
      <c r="Q599" s="172">
        <f t="shared" si="369"/>
      </c>
      <c r="R599" s="173">
        <f t="shared" si="339"/>
      </c>
      <c r="S599" s="175">
        <f t="shared" si="236"/>
      </c>
      <c r="T599" s="173">
        <f t="shared" si="176"/>
      </c>
      <c r="U599" s="176">
        <f t="shared" si="86"/>
      </c>
      <c r="V599" s="177" t="s">
        <v>108</v>
      </c>
      <c r="W599" s="178" t="s">
        <v>133</v>
      </c>
      <c r="X599" s="205">
        <v>1</v>
      </c>
      <c r="Y599" s="169">
        <v>20142</v>
      </c>
      <c r="Z599" s="169">
        <v>817</v>
      </c>
      <c r="AA599" s="169">
        <v>913</v>
      </c>
      <c r="AB599" s="169">
        <v>244</v>
      </c>
      <c r="AC599" s="169">
        <v>35</v>
      </c>
      <c r="AD599" s="179">
        <v>2</v>
      </c>
      <c r="AE599" s="180">
        <v>39</v>
      </c>
      <c r="AF599" s="236"/>
      <c r="AG599" s="152"/>
    </row>
    <row r="600">
      <c r="A600" s="166"/>
      <c r="B600" s="183" t="s">
        <v>112</v>
      </c>
      <c r="C600" s="168" t="s">
        <v>107</v>
      </c>
      <c r="D600" s="169">
        <f t="shared" si="405"/>
      </c>
      <c r="E600" s="169">
        <v>2503.26</v>
      </c>
      <c r="F600" s="170">
        <v>383.01</v>
      </c>
      <c r="G600" s="170">
        <v>0</v>
      </c>
      <c r="H600" s="170">
        <v>1</v>
      </c>
      <c r="I600" s="170">
        <v>873</v>
      </c>
      <c r="J600" s="171">
        <f t="shared" si="206"/>
      </c>
      <c r="K600" s="172">
        <f t="shared" si="116"/>
      </c>
      <c r="L600" s="173">
        <f t="shared" si="56"/>
      </c>
      <c r="M600" s="174">
        <f t="shared" si="146"/>
      </c>
      <c r="N600" s="172">
        <f t="shared" si="26"/>
      </c>
      <c r="O600" s="173">
        <f t="shared" si="477"/>
      </c>
      <c r="P600" s="172">
        <f t="shared" si="447"/>
      </c>
      <c r="Q600" s="172">
        <f t="shared" si="369"/>
      </c>
      <c r="R600" s="173">
        <f t="shared" si="339"/>
      </c>
      <c r="S600" s="175">
        <f t="shared" si="236"/>
      </c>
      <c r="T600" s="173">
        <f t="shared" si="176"/>
      </c>
      <c r="U600" s="176">
        <f t="shared" si="86"/>
      </c>
      <c r="V600" s="177" t="s">
        <v>108</v>
      </c>
      <c r="W600" s="178" t="s">
        <v>133</v>
      </c>
      <c r="X600" s="205">
        <v>1</v>
      </c>
      <c r="Y600" s="169">
        <v>8659</v>
      </c>
      <c r="Z600" s="169">
        <v>755</v>
      </c>
      <c r="AA600" s="169">
        <v>977</v>
      </c>
      <c r="AB600" s="169">
        <v>294</v>
      </c>
      <c r="AC600" s="169">
        <v>24</v>
      </c>
      <c r="AD600" s="179">
        <v>4</v>
      </c>
      <c r="AE600" s="180">
        <v>18</v>
      </c>
      <c r="AF600" s="236"/>
      <c r="AG600" s="152"/>
    </row>
    <row r="601">
      <c r="A601" s="166"/>
      <c r="B601" s="184" t="s">
        <v>113</v>
      </c>
      <c r="C601" s="184"/>
      <c r="D601" s="185">
        <f>D597+D598+D599+D600</f>
      </c>
      <c r="E601" s="185">
        <v>1052.59</v>
      </c>
      <c r="F601" s="185">
        <f>SUM(F597:F600)</f>
      </c>
      <c r="G601" s="185">
        <f>SUM(G597:G600)</f>
      </c>
      <c r="H601" s="185">
        <f>SUM(H597:H600)</f>
      </c>
      <c r="I601" s="185">
        <f>SUM(I597:I600)</f>
      </c>
      <c r="J601" s="186">
        <f t="shared" si="206"/>
      </c>
      <c r="K601" s="187">
        <f t="shared" si="116"/>
      </c>
      <c r="L601" s="188">
        <f t="shared" si="56"/>
      </c>
      <c r="M601" s="189">
        <f t="shared" si="146"/>
      </c>
      <c r="N601" s="187">
        <f t="shared" si="26"/>
      </c>
      <c r="O601" s="188">
        <f t="shared" si="477"/>
      </c>
      <c r="P601" s="187">
        <f t="shared" si="447"/>
      </c>
      <c r="Q601" s="187">
        <f t="shared" si="369"/>
      </c>
      <c r="R601" s="188">
        <f t="shared" si="339"/>
      </c>
      <c r="S601" s="190">
        <f t="shared" si="236"/>
      </c>
      <c r="T601" s="188">
        <f t="shared" si="176"/>
      </c>
      <c r="U601" s="191">
        <f t="shared" si="86"/>
      </c>
      <c r="V601" s="191"/>
      <c r="W601" s="191"/>
      <c r="X601" s="206">
        <f>SUM(X597:X600)</f>
      </c>
      <c r="Y601" s="185">
        <f>SUM(Y597:Y600)</f>
      </c>
      <c r="Z601" s="185">
        <f>SUM(Z597:Z600)</f>
      </c>
      <c r="AA601" s="185">
        <f>SUM(AA597:AA600)</f>
      </c>
      <c r="AB601" s="185">
        <f>SUM(AB597:AB600)</f>
      </c>
      <c r="AC601" s="185">
        <f>SUM(AC597:AC600)</f>
      </c>
      <c r="AD601" s="185">
        <f>SUM(AD597:AD600)</f>
      </c>
      <c r="AE601" s="185">
        <f>SUM(AE597:AE600)</f>
      </c>
      <c r="AF601" s="152"/>
      <c r="AG601" s="152"/>
    </row>
    <row r="602">
      <c r="A602" s="166"/>
      <c r="B602" s="181" t="s">
        <v>114</v>
      </c>
      <c r="C602" s="168" t="s">
        <v>137</v>
      </c>
      <c r="D602" s="169">
        <f t="shared" ref="D602:D605" si="406">E602+F602+G602</f>
      </c>
      <c r="E602" s="169">
        <v>1723.73</v>
      </c>
      <c r="F602" s="169">
        <v>1074.86</v>
      </c>
      <c r="G602" s="170">
        <v>0</v>
      </c>
      <c r="H602" s="170">
        <v>3</v>
      </c>
      <c r="I602" s="170">
        <v>3892.7999999999993</v>
      </c>
      <c r="J602" s="171">
        <f t="shared" si="206"/>
      </c>
      <c r="K602" s="172">
        <f t="shared" si="116"/>
      </c>
      <c r="L602" s="173">
        <f t="shared" si="56"/>
      </c>
      <c r="M602" s="174">
        <f t="shared" si="146"/>
      </c>
      <c r="N602" s="172">
        <f t="shared" si="26"/>
      </c>
      <c r="O602" s="173">
        <f t="shared" si="477"/>
      </c>
      <c r="P602" s="172">
        <f t="shared" si="447"/>
      </c>
      <c r="Q602" s="172">
        <f t="shared" si="369"/>
      </c>
      <c r="R602" s="173">
        <f t="shared" si="339"/>
      </c>
      <c r="S602" s="175">
        <f t="shared" si="236"/>
      </c>
      <c r="T602" s="173">
        <f t="shared" si="176"/>
      </c>
      <c r="U602" s="176">
        <f t="shared" si="86"/>
      </c>
      <c r="V602" s="177" t="s">
        <v>108</v>
      </c>
      <c r="W602" s="178" t="s">
        <v>133</v>
      </c>
      <c r="X602" s="208">
        <v>3</v>
      </c>
      <c r="Y602" s="170">
        <v>9791</v>
      </c>
      <c r="Z602" s="170">
        <v>984</v>
      </c>
      <c r="AA602" s="169">
        <v>1683</v>
      </c>
      <c r="AB602" s="170">
        <v>445</v>
      </c>
      <c r="AC602" s="170">
        <v>26</v>
      </c>
      <c r="AD602" s="179">
        <v>6</v>
      </c>
      <c r="AE602" s="180">
        <v>33</v>
      </c>
      <c r="AF602" s="236"/>
      <c r="AG602" s="152"/>
    </row>
    <row r="603">
      <c r="A603" s="166"/>
      <c r="B603" s="181" t="s">
        <v>116</v>
      </c>
      <c r="C603" s="168" t="s">
        <v>137</v>
      </c>
      <c r="D603" s="169">
        <f t="shared" si="406"/>
      </c>
      <c r="E603" s="169">
        <v>1565.49</v>
      </c>
      <c r="F603" s="169">
        <v>1119.96</v>
      </c>
      <c r="G603" s="170">
        <v>0</v>
      </c>
      <c r="H603" s="170">
        <v>1</v>
      </c>
      <c r="I603" s="169">
        <v>942.8400000000001</v>
      </c>
      <c r="J603" s="171">
        <f t="shared" si="206"/>
      </c>
      <c r="K603" s="172">
        <f t="shared" si="116"/>
      </c>
      <c r="L603" s="173">
        <f t="shared" si="56"/>
      </c>
      <c r="M603" s="174">
        <f t="shared" si="146"/>
      </c>
      <c r="N603" s="172">
        <f t="shared" si="26"/>
      </c>
      <c r="O603" s="173">
        <f t="shared" si="477"/>
      </c>
      <c r="P603" s="172">
        <f t="shared" si="447"/>
      </c>
      <c r="Q603" s="172">
        <f t="shared" si="369"/>
      </c>
      <c r="R603" s="173">
        <f t="shared" si="339"/>
      </c>
      <c r="S603" s="175">
        <f t="shared" si="236"/>
      </c>
      <c r="T603" s="173">
        <f t="shared" si="176"/>
      </c>
      <c r="U603" s="176">
        <f t="shared" si="86"/>
      </c>
      <c r="V603" s="177" t="s">
        <v>108</v>
      </c>
      <c r="W603" s="178" t="s">
        <v>133</v>
      </c>
      <c r="X603" s="208">
        <v>1</v>
      </c>
      <c r="Y603" s="170">
        <v>6373</v>
      </c>
      <c r="Z603" s="170">
        <v>995</v>
      </c>
      <c r="AA603" s="170">
        <v>1493</v>
      </c>
      <c r="AB603" s="170">
        <v>459</v>
      </c>
      <c r="AC603" s="170">
        <v>19</v>
      </c>
      <c r="AD603" s="179">
        <v>2</v>
      </c>
      <c r="AE603" s="180">
        <v>24</v>
      </c>
      <c r="AF603" s="236"/>
      <c r="AG603" s="152"/>
    </row>
    <row r="604">
      <c r="A604" s="166"/>
      <c r="B604" s="181" t="s">
        <v>117</v>
      </c>
      <c r="C604" s="168" t="s">
        <v>137</v>
      </c>
      <c r="D604" s="169">
        <f t="shared" si="406"/>
      </c>
      <c r="E604" s="169">
        <v>2829.1400000000003</v>
      </c>
      <c r="F604" s="170">
        <v>951.03</v>
      </c>
      <c r="G604" s="170">
        <v>0</v>
      </c>
      <c r="H604" s="170">
        <v>3</v>
      </c>
      <c r="I604" s="170">
        <v>3275.6400000000012</v>
      </c>
      <c r="J604" s="171">
        <f t="shared" si="206"/>
      </c>
      <c r="K604" s="172">
        <f t="shared" si="116"/>
      </c>
      <c r="L604" s="173">
        <f t="shared" si="56"/>
      </c>
      <c r="M604" s="174">
        <f t="shared" si="146"/>
      </c>
      <c r="N604" s="172">
        <f t="shared" si="26"/>
      </c>
      <c r="O604" s="173">
        <f t="shared" si="477"/>
      </c>
      <c r="P604" s="172">
        <f t="shared" si="447"/>
      </c>
      <c r="Q604" s="172">
        <f t="shared" si="369"/>
      </c>
      <c r="R604" s="173">
        <f t="shared" si="339"/>
      </c>
      <c r="S604" s="175">
        <f t="shared" si="236"/>
      </c>
      <c r="T604" s="173">
        <f t="shared" si="176"/>
      </c>
      <c r="U604" s="176">
        <f t="shared" si="86"/>
      </c>
      <c r="V604" s="177" t="s">
        <v>108</v>
      </c>
      <c r="W604" s="178" t="s">
        <v>133</v>
      </c>
      <c r="X604" s="208">
        <v>3</v>
      </c>
      <c r="Y604" s="170">
        <v>11899</v>
      </c>
      <c r="Z604" s="170">
        <v>1104</v>
      </c>
      <c r="AA604" s="170">
        <v>1638</v>
      </c>
      <c r="AB604" s="170">
        <v>472</v>
      </c>
      <c r="AC604" s="170">
        <v>10</v>
      </c>
      <c r="AD604" s="179">
        <v>6</v>
      </c>
      <c r="AE604" s="180">
        <v>48</v>
      </c>
      <c r="AF604" s="236"/>
      <c r="AG604" s="152"/>
    </row>
    <row r="605">
      <c r="A605" s="166"/>
      <c r="B605" s="181" t="s">
        <v>118</v>
      </c>
      <c r="C605" s="168" t="s">
        <v>137</v>
      </c>
      <c r="D605" s="169">
        <f t="shared" si="406"/>
      </c>
      <c r="E605" s="169">
        <v>5126.42</v>
      </c>
      <c r="F605" s="170">
        <v>1236.51</v>
      </c>
      <c r="G605" s="170">
        <v>0</v>
      </c>
      <c r="H605" s="170">
        <v>1</v>
      </c>
      <c r="I605" s="170">
        <v>1686.4799999999977</v>
      </c>
      <c r="J605" s="171">
        <f t="shared" si="206"/>
      </c>
      <c r="K605" s="172">
        <f t="shared" si="116"/>
      </c>
      <c r="L605" s="173">
        <f t="shared" si="56"/>
      </c>
      <c r="M605" s="174">
        <f t="shared" si="146"/>
      </c>
      <c r="N605" s="172">
        <f t="shared" si="26"/>
      </c>
      <c r="O605" s="173">
        <f t="shared" si="477"/>
      </c>
      <c r="P605" s="172">
        <f t="shared" si="447"/>
      </c>
      <c r="Q605" s="172">
        <f t="shared" si="369"/>
      </c>
      <c r="R605" s="173">
        <f t="shared" si="339"/>
      </c>
      <c r="S605" s="175">
        <f t="shared" si="236"/>
      </c>
      <c r="T605" s="173">
        <f t="shared" si="176"/>
      </c>
      <c r="U605" s="176">
        <f t="shared" si="86"/>
      </c>
      <c r="V605" s="177" t="s">
        <v>108</v>
      </c>
      <c r="W605" s="178" t="s">
        <v>133</v>
      </c>
      <c r="X605" s="208">
        <v>0</v>
      </c>
      <c r="Y605" s="170">
        <v>19854</v>
      </c>
      <c r="Z605" s="170">
        <v>2005</v>
      </c>
      <c r="AA605" s="170">
        <v>2704</v>
      </c>
      <c r="AB605" s="170">
        <v>794</v>
      </c>
      <c r="AC605" s="170">
        <v>29</v>
      </c>
      <c r="AD605" s="179">
        <v>2</v>
      </c>
      <c r="AE605" s="180">
        <v>78</v>
      </c>
      <c r="AF605" s="236"/>
      <c r="AG605" s="152"/>
    </row>
    <row r="606">
      <c r="A606" s="166"/>
      <c r="B606" s="184" t="s">
        <v>113</v>
      </c>
      <c r="C606" s="184"/>
      <c r="D606" s="185">
        <f>SUM(D602:D605)</f>
      </c>
      <c r="E606" s="185">
        <f>SUM(E602:E605)</f>
      </c>
      <c r="F606" s="185">
        <f>SUM(F602:F605)</f>
      </c>
      <c r="G606" s="185">
        <f>SUM(G602:G605)</f>
      </c>
      <c r="H606" s="185">
        <f>SUM(H602:H605)</f>
      </c>
      <c r="I606" s="185">
        <f>SUM(I602:I605)</f>
      </c>
      <c r="J606" s="186">
        <f t="shared" si="206"/>
      </c>
      <c r="K606" s="187">
        <f t="shared" si="116"/>
      </c>
      <c r="L606" s="188">
        <f t="shared" si="56"/>
      </c>
      <c r="M606" s="189">
        <f t="shared" si="146"/>
      </c>
      <c r="N606" s="187">
        <f t="shared" si="26"/>
      </c>
      <c r="O606" s="188">
        <f t="shared" si="477"/>
      </c>
      <c r="P606" s="187">
        <f t="shared" si="447"/>
      </c>
      <c r="Q606" s="187">
        <f t="shared" si="369"/>
      </c>
      <c r="R606" s="188">
        <f t="shared" si="339"/>
      </c>
      <c r="S606" s="190">
        <f t="shared" si="236"/>
      </c>
      <c r="T606" s="188">
        <f t="shared" si="176"/>
      </c>
      <c r="U606" s="191">
        <f t="shared" si="86"/>
      </c>
      <c r="V606" s="191"/>
      <c r="W606" s="191"/>
      <c r="X606" s="206">
        <f>SUM(X602:X605)</f>
      </c>
      <c r="Y606" s="209">
        <f>SUM(Y602:Y605)</f>
      </c>
      <c r="Z606" s="209">
        <f>SUM(Z602:Z605)</f>
      </c>
      <c r="AA606" s="209">
        <f>SUM(AA602:AA605)</f>
      </c>
      <c r="AB606" s="209">
        <f>SUM(AB602:AB605)</f>
      </c>
      <c r="AC606" s="209">
        <f>SUM(AC602:AC605)</f>
      </c>
      <c r="AD606" s="209">
        <f>SUM(AD602:AD605)</f>
      </c>
      <c r="AE606" s="209">
        <f>SUM(AE602:AE605)</f>
      </c>
      <c r="AF606" s="152"/>
      <c r="AG606" s="152"/>
    </row>
    <row r="607">
      <c r="A607" s="166"/>
      <c r="B607" s="192" t="s">
        <v>119</v>
      </c>
      <c r="C607" s="168" t="s">
        <v>126</v>
      </c>
      <c r="D607" s="169">
        <f t="shared" ref="D607:D610" si="407">E607+F607+G607</f>
      </c>
      <c r="E607" s="170">
        <v>840.38</v>
      </c>
      <c r="F607" s="170">
        <v>993.33</v>
      </c>
      <c r="G607" s="170">
        <v>0</v>
      </c>
      <c r="H607" s="170">
        <v>1</v>
      </c>
      <c r="I607" s="170">
        <v>1010.880000000001</v>
      </c>
      <c r="J607" s="171">
        <f t="shared" si="206"/>
      </c>
      <c r="K607" s="172">
        <f t="shared" si="116"/>
      </c>
      <c r="L607" s="173">
        <f t="shared" si="56"/>
      </c>
      <c r="M607" s="174">
        <f t="shared" si="146"/>
      </c>
      <c r="N607" s="172">
        <f t="shared" si="26"/>
      </c>
      <c r="O607" s="173">
        <f t="shared" si="477"/>
      </c>
      <c r="P607" s="172">
        <f t="shared" si="447"/>
      </c>
      <c r="Q607" s="172">
        <f t="shared" si="369"/>
      </c>
      <c r="R607" s="173">
        <f t="shared" si="339"/>
      </c>
      <c r="S607" s="175">
        <f t="shared" si="236"/>
      </c>
      <c r="T607" s="173">
        <f t="shared" si="176"/>
      </c>
      <c r="U607" s="176">
        <f t="shared" si="86"/>
      </c>
      <c r="V607" s="177" t="s">
        <v>108</v>
      </c>
      <c r="W607" s="178" t="s">
        <v>136</v>
      </c>
      <c r="X607" s="170">
        <v>0</v>
      </c>
      <c r="Y607" s="170">
        <v>4803</v>
      </c>
      <c r="Z607" s="170">
        <v>770</v>
      </c>
      <c r="AA607" s="169">
        <v>1255</v>
      </c>
      <c r="AB607" s="170">
        <v>384</v>
      </c>
      <c r="AC607" s="179">
        <v>14</v>
      </c>
      <c r="AD607" s="179">
        <v>2</v>
      </c>
      <c r="AE607" s="180">
        <v>27</v>
      </c>
      <c r="AF607" s="236"/>
      <c r="AG607" s="152"/>
    </row>
    <row r="608">
      <c r="A608" s="166"/>
      <c r="B608" s="194" t="s">
        <v>122</v>
      </c>
      <c r="C608" s="168" t="s">
        <v>126</v>
      </c>
      <c r="D608" s="169">
        <f t="shared" si="407"/>
      </c>
      <c r="E608" s="169">
        <v>268.37</v>
      </c>
      <c r="F608" s="170">
        <v>1626.25</v>
      </c>
      <c r="G608" s="170">
        <v>0</v>
      </c>
      <c r="H608" s="170">
        <v>1</v>
      </c>
      <c r="I608" s="170">
        <v>3581.279999999999</v>
      </c>
      <c r="J608" s="171">
        <f t="shared" si="206"/>
      </c>
      <c r="K608" s="172">
        <f t="shared" si="116"/>
      </c>
      <c r="L608" s="173">
        <f t="shared" si="56"/>
      </c>
      <c r="M608" s="174">
        <f t="shared" si="146"/>
      </c>
      <c r="N608" s="172">
        <f t="shared" si="26"/>
      </c>
      <c r="O608" s="173">
        <f t="shared" si="477"/>
      </c>
      <c r="P608" s="172">
        <f t="shared" si="447"/>
      </c>
      <c r="Q608" s="172">
        <f t="shared" si="369"/>
      </c>
      <c r="R608" s="173">
        <f t="shared" si="339"/>
      </c>
      <c r="S608" s="175">
        <f t="shared" si="236"/>
      </c>
      <c r="T608" s="173">
        <f t="shared" si="176"/>
      </c>
      <c r="U608" s="176">
        <f t="shared" si="86"/>
      </c>
      <c r="V608" s="177" t="s">
        <v>108</v>
      </c>
      <c r="W608" s="178" t="s">
        <v>136</v>
      </c>
      <c r="X608" s="208">
        <v>1</v>
      </c>
      <c r="Y608" s="169">
        <v>5956</v>
      </c>
      <c r="Z608" s="169">
        <v>943</v>
      </c>
      <c r="AA608" s="169">
        <v>1664</v>
      </c>
      <c r="AB608" s="169">
        <v>419</v>
      </c>
      <c r="AC608" s="169">
        <v>18</v>
      </c>
      <c r="AD608" s="179">
        <v>1</v>
      </c>
      <c r="AE608" s="180">
        <v>26</v>
      </c>
      <c r="AF608" s="152"/>
      <c r="AG608" s="152"/>
    </row>
    <row r="609">
      <c r="A609" s="166"/>
      <c r="B609" s="210" t="s">
        <v>123</v>
      </c>
      <c r="C609" s="168" t="s">
        <v>126</v>
      </c>
      <c r="D609" s="169">
        <f t="shared" si="407"/>
      </c>
      <c r="E609" s="170">
        <v>2408.2799999999997</v>
      </c>
      <c r="F609" s="170">
        <v>1413.92</v>
      </c>
      <c r="G609" s="170">
        <v>0</v>
      </c>
      <c r="H609" s="170">
        <v>1</v>
      </c>
      <c r="I609" s="169">
        <v>4433.399999999998</v>
      </c>
      <c r="J609" s="171">
        <f t="shared" si="206"/>
      </c>
      <c r="K609" s="172">
        <f t="shared" si="116"/>
      </c>
      <c r="L609" s="173">
        <f t="shared" si="56"/>
      </c>
      <c r="M609" s="174">
        <f t="shared" si="146"/>
      </c>
      <c r="N609" s="172">
        <f t="shared" si="26"/>
      </c>
      <c r="O609" s="173">
        <f t="shared" si="477"/>
      </c>
      <c r="P609" s="172">
        <f t="shared" si="447"/>
      </c>
      <c r="Q609" s="172">
        <f t="shared" si="369"/>
      </c>
      <c r="R609" s="173">
        <f t="shared" si="339"/>
      </c>
      <c r="S609" s="175">
        <f t="shared" si="236"/>
      </c>
      <c r="T609" s="173">
        <f t="shared" si="176"/>
      </c>
      <c r="U609" s="176">
        <f t="shared" si="86"/>
      </c>
      <c r="V609" s="177" t="s">
        <v>108</v>
      </c>
      <c r="W609" s="178" t="s">
        <v>136</v>
      </c>
      <c r="X609" s="208">
        <v>1</v>
      </c>
      <c r="Y609" s="169">
        <v>9024</v>
      </c>
      <c r="Z609" s="169">
        <v>1242</v>
      </c>
      <c r="AA609" s="169">
        <v>1992</v>
      </c>
      <c r="AB609" s="169">
        <v>579</v>
      </c>
      <c r="AC609" s="169">
        <v>29</v>
      </c>
      <c r="AD609" s="179">
        <v>3</v>
      </c>
      <c r="AE609" s="180">
        <v>33</v>
      </c>
      <c r="AF609" s="152"/>
      <c r="AG609" s="152"/>
    </row>
    <row r="610">
      <c r="A610" s="166"/>
      <c r="B610" s="183" t="s">
        <v>124</v>
      </c>
      <c r="C610" s="168" t="s">
        <v>126</v>
      </c>
      <c r="D610" s="169">
        <f t="shared" si="407"/>
      </c>
      <c r="E610" s="170">
        <v>451.62</v>
      </c>
      <c r="F610" s="170">
        <v>1190</v>
      </c>
      <c r="G610" s="170">
        <v>0</v>
      </c>
      <c r="H610" s="170">
        <v>1</v>
      </c>
      <c r="I610" s="170">
        <v>2485.0800000000017</v>
      </c>
      <c r="J610" s="171">
        <f t="shared" si="206"/>
      </c>
      <c r="K610" s="172">
        <f t="shared" si="116"/>
      </c>
      <c r="L610" s="173">
        <f t="shared" si="56"/>
      </c>
      <c r="M610" s="174">
        <f t="shared" si="146"/>
      </c>
      <c r="N610" s="172">
        <f t="shared" si="26"/>
      </c>
      <c r="O610" s="173">
        <f t="shared" si="477"/>
      </c>
      <c r="P610" s="172">
        <f t="shared" si="447"/>
      </c>
      <c r="Q610" s="172">
        <f t="shared" si="369"/>
      </c>
      <c r="R610" s="173">
        <f t="shared" si="339"/>
      </c>
      <c r="S610" s="175">
        <f t="shared" si="236"/>
      </c>
      <c r="T610" s="173">
        <f t="shared" si="176"/>
      </c>
      <c r="U610" s="176">
        <f t="shared" si="86"/>
      </c>
      <c r="V610" s="177" t="s">
        <v>108</v>
      </c>
      <c r="W610" s="178" t="s">
        <v>136</v>
      </c>
      <c r="X610" s="205">
        <v>1</v>
      </c>
      <c r="Y610" s="169">
        <v>4151</v>
      </c>
      <c r="Z610" s="169">
        <v>718</v>
      </c>
      <c r="AA610" s="169">
        <v>1207</v>
      </c>
      <c r="AB610" s="169">
        <v>309</v>
      </c>
      <c r="AC610" s="169">
        <v>12</v>
      </c>
      <c r="AD610" s="179">
        <v>1</v>
      </c>
      <c r="AE610" s="180">
        <v>9</v>
      </c>
      <c r="AF610" s="152"/>
      <c r="AG610" s="152"/>
    </row>
    <row r="611">
      <c r="A611" s="166"/>
      <c r="B611" s="184" t="s">
        <v>113</v>
      </c>
      <c r="C611" s="184"/>
      <c r="D611" s="185">
        <f>SUM(D607:D610)</f>
      </c>
      <c r="E611" s="185">
        <f>SUM(E607:E610)</f>
      </c>
      <c r="F611" s="185">
        <f>SUM(F607:F610)</f>
      </c>
      <c r="G611" s="185">
        <f>SUM(G607:G610)</f>
      </c>
      <c r="H611" s="185">
        <f>SUM(H607:H610)</f>
      </c>
      <c r="I611" s="185">
        <f>SUM(I607:I610)</f>
      </c>
      <c r="J611" s="186">
        <f t="shared" si="206"/>
      </c>
      <c r="K611" s="187">
        <f t="shared" si="116"/>
      </c>
      <c r="L611" s="188">
        <f t="shared" si="56"/>
      </c>
      <c r="M611" s="189">
        <f t="shared" si="146"/>
      </c>
      <c r="N611" s="187">
        <f t="shared" si="26"/>
      </c>
      <c r="O611" s="188">
        <f t="shared" si="477"/>
      </c>
      <c r="P611" s="187">
        <f t="shared" si="447"/>
      </c>
      <c r="Q611" s="187">
        <f t="shared" si="369"/>
      </c>
      <c r="R611" s="188">
        <f t="shared" si="339"/>
      </c>
      <c r="S611" s="190">
        <f t="shared" si="236"/>
      </c>
      <c r="T611" s="188">
        <f t="shared" si="176"/>
      </c>
      <c r="U611" s="191">
        <f t="shared" si="86"/>
      </c>
      <c r="V611" s="191"/>
      <c r="W611" s="191"/>
      <c r="X611" s="206">
        <f>SUM(X607:X610)</f>
      </c>
      <c r="Y611" s="185">
        <f>SUM(Y607:Y610)</f>
      </c>
      <c r="Z611" s="185">
        <f>SUM(Z607:Z610)</f>
      </c>
      <c r="AA611" s="185">
        <f>SUM(AA607:AA610)</f>
      </c>
      <c r="AB611" s="185">
        <f>SUM(AB607:AB610)</f>
      </c>
      <c r="AC611" s="185">
        <f>SUM(AC607:AC610)</f>
      </c>
      <c r="AD611" s="185">
        <f>SUM(AD607:AD610)</f>
      </c>
      <c r="AE611" s="185">
        <f>SUM(AE607:AE610)</f>
      </c>
      <c r="AF611" s="152"/>
      <c r="AG611" s="152"/>
    </row>
    <row r="612">
      <c r="A612" s="166"/>
      <c r="B612" s="181" t="s">
        <v>125</v>
      </c>
      <c r="C612" s="168" t="s">
        <v>142</v>
      </c>
      <c r="D612" s="169">
        <f t="shared" ref="D612:D615" si="408">E612+F612+G612</f>
      </c>
      <c r="E612" s="170">
        <v>900.31</v>
      </c>
      <c r="F612" s="170">
        <v>1520.86</v>
      </c>
      <c r="G612" s="170">
        <v>0</v>
      </c>
      <c r="H612" s="170">
        <v>2</v>
      </c>
      <c r="I612" s="170">
        <v>4374</v>
      </c>
      <c r="J612" s="171">
        <f t="shared" si="206"/>
      </c>
      <c r="K612" s="172">
        <f t="shared" si="116"/>
      </c>
      <c r="L612" s="173">
        <f t="shared" si="56"/>
      </c>
      <c r="M612" s="174">
        <f t="shared" si="146"/>
      </c>
      <c r="N612" s="172">
        <f t="shared" si="26"/>
      </c>
      <c r="O612" s="173">
        <f t="shared" si="477"/>
      </c>
      <c r="P612" s="172">
        <f t="shared" si="447"/>
      </c>
      <c r="Q612" s="172">
        <f t="shared" si="369"/>
      </c>
      <c r="R612" s="173">
        <f t="shared" si="339"/>
      </c>
      <c r="S612" s="175">
        <f t="shared" si="236"/>
      </c>
      <c r="T612" s="173">
        <f t="shared" si="176"/>
      </c>
      <c r="U612" s="176">
        <f t="shared" si="86"/>
      </c>
      <c r="V612" s="177" t="s">
        <v>108</v>
      </c>
      <c r="W612" s="178" t="s">
        <v>136</v>
      </c>
      <c r="X612" s="170">
        <v>2</v>
      </c>
      <c r="Y612" s="169">
        <v>6382</v>
      </c>
      <c r="Z612" s="169">
        <v>920</v>
      </c>
      <c r="AA612" s="169">
        <v>1560</v>
      </c>
      <c r="AB612" s="169">
        <v>365</v>
      </c>
      <c r="AC612" s="179">
        <v>18</v>
      </c>
      <c r="AD612" s="179">
        <v>3</v>
      </c>
      <c r="AE612" s="180">
        <v>18</v>
      </c>
      <c r="AF612" s="152"/>
      <c r="AG612" s="152"/>
    </row>
    <row r="613">
      <c r="A613" s="166"/>
      <c r="B613" s="212" t="s">
        <v>127</v>
      </c>
      <c r="C613" s="168" t="s">
        <v>142</v>
      </c>
      <c r="D613" s="169">
        <f t="shared" si="408"/>
      </c>
      <c r="E613" s="170">
        <v>2310.53</v>
      </c>
      <c r="F613" s="170">
        <v>2061.39</v>
      </c>
      <c r="G613" s="170">
        <v>0</v>
      </c>
      <c r="H613" s="170">
        <v>3</v>
      </c>
      <c r="I613" s="170">
        <v>6630.119999999995</v>
      </c>
      <c r="J613" s="171">
        <f t="shared" si="206"/>
      </c>
      <c r="K613" s="172">
        <f t="shared" si="116"/>
      </c>
      <c r="L613" s="173">
        <f t="shared" si="56"/>
      </c>
      <c r="M613" s="174">
        <f t="shared" si="146"/>
      </c>
      <c r="N613" s="172">
        <f t="shared" si="26"/>
      </c>
      <c r="O613" s="173">
        <f t="shared" si="477"/>
      </c>
      <c r="P613" s="172">
        <f t="shared" si="447"/>
      </c>
      <c r="Q613" s="172">
        <f t="shared" si="369"/>
      </c>
      <c r="R613" s="173">
        <f t="shared" si="339"/>
      </c>
      <c r="S613" s="175">
        <f t="shared" si="236"/>
      </c>
      <c r="T613" s="173">
        <f t="shared" si="176"/>
      </c>
      <c r="U613" s="176">
        <f t="shared" si="86"/>
      </c>
      <c r="V613" s="177" t="s">
        <v>108</v>
      </c>
      <c r="W613" s="178" t="s">
        <v>136</v>
      </c>
      <c r="X613" s="208">
        <v>2</v>
      </c>
      <c r="Y613" s="169">
        <v>11115</v>
      </c>
      <c r="Z613" s="169">
        <v>750</v>
      </c>
      <c r="AA613" s="169">
        <v>1238</v>
      </c>
      <c r="AB613" s="169">
        <v>284</v>
      </c>
      <c r="AC613" s="169">
        <v>17</v>
      </c>
      <c r="AD613" s="179">
        <v>7</v>
      </c>
      <c r="AE613" s="230">
        <v>48</v>
      </c>
      <c r="AF613" s="152"/>
      <c r="AG613" s="152"/>
    </row>
    <row r="614">
      <c r="A614" s="166"/>
      <c r="B614" s="195" t="s">
        <v>128</v>
      </c>
      <c r="C614" s="168" t="s">
        <v>142</v>
      </c>
      <c r="D614" s="169">
        <f t="shared" si="408"/>
      </c>
      <c r="E614" s="169">
        <v>2432.72</v>
      </c>
      <c r="F614" s="170">
        <v>729.38</v>
      </c>
      <c r="G614" s="170">
        <v>0</v>
      </c>
      <c r="H614" s="170">
        <v>0</v>
      </c>
      <c r="I614" s="170">
        <v>0</v>
      </c>
      <c r="J614" s="171">
        <f t="shared" si="206"/>
      </c>
      <c r="K614" s="172">
        <f t="shared" si="116"/>
      </c>
      <c r="L614" s="173">
        <f t="shared" si="56"/>
      </c>
      <c r="M614" s="174">
        <f t="shared" si="146"/>
      </c>
      <c r="N614" s="172">
        <f t="shared" si="26"/>
      </c>
      <c r="O614" s="173">
        <f t="shared" si="477"/>
      </c>
      <c r="P614" s="172">
        <f t="shared" si="447"/>
      </c>
      <c r="Q614" s="172">
        <f t="shared" si="369"/>
      </c>
      <c r="R614" s="173">
        <f t="shared" si="339"/>
      </c>
      <c r="S614" s="175">
        <f t="shared" si="236"/>
      </c>
      <c r="T614" s="173">
        <f t="shared" si="176"/>
      </c>
      <c r="U614" s="176">
        <f t="shared" si="86"/>
      </c>
      <c r="V614" s="177" t="s">
        <v>108</v>
      </c>
      <c r="W614" s="178" t="s">
        <v>136</v>
      </c>
      <c r="X614" s="208">
        <v>0</v>
      </c>
      <c r="Y614" s="169">
        <v>10211</v>
      </c>
      <c r="Z614" s="169">
        <v>618</v>
      </c>
      <c r="AA614" s="169">
        <v>947</v>
      </c>
      <c r="AB614" s="169">
        <v>228</v>
      </c>
      <c r="AC614" s="170">
        <v>24</v>
      </c>
      <c r="AD614" s="179">
        <v>1</v>
      </c>
      <c r="AE614" s="180">
        <v>24</v>
      </c>
      <c r="AF614" s="152"/>
      <c r="AG614" s="152"/>
    </row>
    <row r="615">
      <c r="A615" s="166"/>
      <c r="B615" s="212" t="s">
        <v>129</v>
      </c>
      <c r="C615" s="168" t="s">
        <v>142</v>
      </c>
      <c r="D615" s="169">
        <f t="shared" si="408"/>
      </c>
      <c r="E615" s="170">
        <v>1411.64</v>
      </c>
      <c r="F615" s="170">
        <v>344.2</v>
      </c>
      <c r="G615" s="170">
        <v>0</v>
      </c>
      <c r="H615" s="170">
        <v>2</v>
      </c>
      <c r="I615" s="170">
        <v>1123.2000000000044</v>
      </c>
      <c r="J615" s="171">
        <f t="shared" si="206"/>
      </c>
      <c r="K615" s="172">
        <f t="shared" si="116"/>
      </c>
      <c r="L615" s="173">
        <f t="shared" si="56"/>
      </c>
      <c r="M615" s="174">
        <f t="shared" si="146"/>
      </c>
      <c r="N615" s="172">
        <f t="shared" si="26"/>
      </c>
      <c r="O615" s="173">
        <f t="shared" si="477"/>
      </c>
      <c r="P615" s="172">
        <f t="shared" si="447"/>
      </c>
      <c r="Q615" s="172">
        <f t="shared" si="369"/>
      </c>
      <c r="R615" s="173">
        <f t="shared" si="339"/>
      </c>
      <c r="S615" s="175">
        <f t="shared" si="236"/>
      </c>
      <c r="T615" s="173">
        <f t="shared" si="176"/>
      </c>
      <c r="U615" s="176">
        <f t="shared" si="86"/>
      </c>
      <c r="V615" s="177" t="s">
        <v>108</v>
      </c>
      <c r="W615" s="178" t="s">
        <v>136</v>
      </c>
      <c r="X615" s="208">
        <v>2</v>
      </c>
      <c r="Y615" s="169">
        <v>5427</v>
      </c>
      <c r="Z615" s="169">
        <v>494</v>
      </c>
      <c r="AA615" s="169">
        <v>739</v>
      </c>
      <c r="AB615" s="169">
        <v>193</v>
      </c>
      <c r="AC615" s="170">
        <v>12</v>
      </c>
      <c r="AD615" s="179">
        <v>4</v>
      </c>
      <c r="AE615" s="230">
        <v>17</v>
      </c>
      <c r="AF615" s="152"/>
      <c r="AG615" s="152"/>
    </row>
    <row r="616">
      <c r="A616" s="166"/>
      <c r="B616" s="184" t="s">
        <v>113</v>
      </c>
      <c r="C616" s="184"/>
      <c r="D616" s="185">
        <f>SUM(D612:D615)</f>
      </c>
      <c r="E616" s="185">
        <f>SUM(E612:E615)</f>
      </c>
      <c r="F616" s="185">
        <f>SUM(F612:F615)</f>
      </c>
      <c r="G616" s="185">
        <f>SUM(G612:G615)</f>
      </c>
      <c r="H616" s="185">
        <f>SUM(H612:H615)</f>
      </c>
      <c r="I616" s="185">
        <f>SUM(I612:I615)</f>
      </c>
      <c r="J616" s="186">
        <f t="shared" si="206"/>
      </c>
      <c r="K616" s="187">
        <f t="shared" si="116"/>
      </c>
      <c r="L616" s="188">
        <f t="shared" si="56"/>
      </c>
      <c r="M616" s="189">
        <f t="shared" si="146"/>
      </c>
      <c r="N616" s="187">
        <f t="shared" si="26"/>
      </c>
      <c r="O616" s="188">
        <f t="shared" si="477"/>
      </c>
      <c r="P616" s="187">
        <f t="shared" si="447"/>
      </c>
      <c r="Q616" s="187">
        <f t="shared" si="369"/>
      </c>
      <c r="R616" s="188">
        <f t="shared" si="339"/>
      </c>
      <c r="S616" s="190">
        <f t="shared" si="236"/>
      </c>
      <c r="T616" s="188">
        <f t="shared" si="176"/>
      </c>
      <c r="U616" s="191">
        <f t="shared" si="86"/>
      </c>
      <c r="V616" s="191"/>
      <c r="W616" s="191"/>
      <c r="X616" s="206">
        <f>SUM(X612:X615)</f>
      </c>
      <c r="Y616" s="209">
        <f>SUM(Y612:Y615)</f>
      </c>
      <c r="Z616" s="209">
        <f>SUM(Z612:Z615)</f>
      </c>
      <c r="AA616" s="209">
        <f>SUM(AA612:AA615)</f>
      </c>
      <c r="AB616" s="209">
        <f>SUM(AB612:AB615)</f>
      </c>
      <c r="AC616" s="209">
        <f>SUM(AC612:AC615)</f>
      </c>
      <c r="AD616" s="209">
        <f>SUM(AD612:AD615)</f>
      </c>
      <c r="AE616" s="209">
        <f>SUM(AE612:AE615)</f>
      </c>
      <c r="AF616" s="152"/>
      <c r="AG616" s="152"/>
    </row>
    <row r="617">
      <c r="A617" s="166"/>
      <c r="B617" s="215" t="s">
        <v>130</v>
      </c>
      <c r="C617" s="215"/>
      <c r="D617" s="216">
        <f>D601+D606+D611+D616</f>
      </c>
      <c r="E617" s="217">
        <f>E601+E606+E611+E616</f>
      </c>
      <c r="F617" s="218">
        <f>F601+F606+F611+F616</f>
      </c>
      <c r="G617" s="218">
        <f>G601+G606+G611+G616</f>
      </c>
      <c r="H617" s="216">
        <f>H601+H606+H611+H616</f>
      </c>
      <c r="I617" s="216">
        <f>I601+I606+I611+I616</f>
      </c>
      <c r="J617" s="219">
        <f t="shared" si="206"/>
      </c>
      <c r="K617" s="220">
        <f t="shared" si="116"/>
      </c>
      <c r="L617" s="221">
        <f t="shared" si="56"/>
      </c>
      <c r="M617" s="222">
        <f t="shared" si="146"/>
      </c>
      <c r="N617" s="222">
        <f t="shared" si="26"/>
      </c>
      <c r="O617" s="221">
        <f t="shared" si="477"/>
      </c>
      <c r="P617" s="222">
        <f t="shared" si="447"/>
      </c>
      <c r="Q617" s="222">
        <f t="shared" si="369"/>
      </c>
      <c r="R617" s="221">
        <f t="shared" si="339"/>
      </c>
      <c r="S617" s="223">
        <f t="shared" si="236"/>
      </c>
      <c r="T617" s="221">
        <f t="shared" si="176"/>
      </c>
      <c r="U617" s="224">
        <f t="shared" si="86"/>
      </c>
      <c r="V617" s="224"/>
      <c r="W617" s="224"/>
      <c r="X617" s="219">
        <f>X601+X606+X611+X616</f>
      </c>
      <c r="Y617" s="219">
        <f>Y601+Y606+Y611+Y616</f>
      </c>
      <c r="Z617" s="219">
        <f>Z601+Z606+Z611+Z616</f>
      </c>
      <c r="AA617" s="219">
        <f>AA601+AA606+AA611+AA616</f>
      </c>
      <c r="AB617" s="219">
        <f>AB601+AB606+AB611+AB616</f>
      </c>
      <c r="AC617" s="219">
        <f>AC601+AC606+AC611+AC616</f>
      </c>
      <c r="AD617" s="233">
        <f>AD601+AD606+AD611+AD616</f>
      </c>
      <c r="AE617" s="218">
        <f>AE601+AE606+AE611+AE616</f>
      </c>
      <c r="AF617" s="152"/>
      <c r="AG617" s="152"/>
    </row>
    <row r="618">
      <c r="A618" s="240" t="s">
        <v>73</v>
      </c>
      <c r="B618" s="240"/>
      <c r="C618" s="240"/>
      <c r="D618" s="147" t="s">
        <v>74</v>
      </c>
      <c r="E618" s="147"/>
      <c r="F618" s="147"/>
      <c r="G618" s="147"/>
      <c r="H618" s="147"/>
      <c r="I618" s="147"/>
      <c r="J618" s="147"/>
      <c r="K618" s="148" t="s">
        <v>75</v>
      </c>
      <c r="L618" s="148"/>
      <c r="M618" s="148"/>
      <c r="N618" s="148"/>
      <c r="O618" s="148"/>
      <c r="P618" s="148"/>
      <c r="Q618" s="148"/>
      <c r="R618" s="148"/>
      <c r="S618" s="148"/>
      <c r="T618" s="148"/>
      <c r="U618" s="149"/>
      <c r="V618" s="149"/>
      <c r="W618" s="149"/>
      <c r="X618" s="150"/>
      <c r="Y618" s="150"/>
      <c r="Z618" s="150"/>
      <c r="AA618" s="150"/>
      <c r="AB618" s="150"/>
      <c r="AC618" s="150"/>
      <c r="AD618" s="150"/>
      <c r="AE618" s="151" t="s">
        <v>76</v>
      </c>
      <c r="AF618" s="152"/>
      <c r="AG618" s="152"/>
    </row>
    <row r="619">
      <c r="A619" s="245" t="s">
        <v>77</v>
      </c>
      <c r="B619" s="245" t="s">
        <v>78</v>
      </c>
      <c r="C619" s="245" t="s">
        <v>79</v>
      </c>
      <c r="D619" s="241" t="s">
        <v>80</v>
      </c>
      <c r="E619" s="225" t="s">
        <v>81</v>
      </c>
      <c r="F619" s="226" t="s">
        <v>82</v>
      </c>
      <c r="G619" s="227" t="s">
        <v>139</v>
      </c>
      <c r="H619" s="228" t="s">
        <v>83</v>
      </c>
      <c r="I619" s="157" t="s">
        <v>84</v>
      </c>
      <c r="J619" s="155" t="s">
        <v>85</v>
      </c>
      <c r="K619" s="158" t="s">
        <v>86</v>
      </c>
      <c r="L619" s="158" t="s">
        <v>87</v>
      </c>
      <c r="M619" s="159" t="s">
        <v>88</v>
      </c>
      <c r="N619" s="160" t="s">
        <v>89</v>
      </c>
      <c r="O619" s="148" t="s">
        <v>90</v>
      </c>
      <c r="P619" s="160" t="s">
        <v>91</v>
      </c>
      <c r="Q619" s="160" t="s">
        <v>92</v>
      </c>
      <c r="R619" s="161" t="s">
        <v>93</v>
      </c>
      <c r="S619" s="160" t="s">
        <v>94</v>
      </c>
      <c r="T619" s="161" t="s">
        <v>95</v>
      </c>
      <c r="U619" s="162" t="s">
        <v>96</v>
      </c>
      <c r="V619" s="162" t="s">
        <v>97</v>
      </c>
      <c r="W619" s="162" t="s">
        <v>98</v>
      </c>
      <c r="X619" s="163" t="s">
        <v>99</v>
      </c>
      <c r="Y619" s="164" t="s">
        <v>100</v>
      </c>
      <c r="Z619" s="164" t="s">
        <v>101</v>
      </c>
      <c r="AA619" s="164" t="s">
        <v>102</v>
      </c>
      <c r="AB619" s="164" t="s">
        <v>103</v>
      </c>
      <c r="AC619" s="164" t="s">
        <v>104</v>
      </c>
      <c r="AD619" s="165" t="s">
        <v>105</v>
      </c>
      <c r="AE619" s="151"/>
      <c r="AF619" s="152"/>
      <c r="AG619" s="152"/>
    </row>
    <row r="620">
      <c r="A620" s="166">
        <v>46293</v>
      </c>
      <c r="B620" s="192" t="s">
        <v>138</v>
      </c>
      <c r="C620" s="168" t="s">
        <v>120</v>
      </c>
      <c r="D620" s="195">
        <f t="shared" ref="D620:D623" si="409">E620+F620+G620</f>
      </c>
      <c r="E620" s="170">
        <v>3515.87</v>
      </c>
      <c r="F620" s="229">
        <v>902.28</v>
      </c>
      <c r="G620" s="229">
        <v>0</v>
      </c>
      <c r="H620" s="170">
        <v>2</v>
      </c>
      <c r="I620" s="170">
        <v>4827.6</v>
      </c>
      <c r="J620" s="171">
        <f t="shared" ref="J620:J640" si="207">I620/D620</f>
      </c>
      <c r="K620" s="172">
        <f t="shared" ref="K620:K640" si="117">Z620/Y620</f>
      </c>
      <c r="L620" s="173">
        <f t="shared" ref="L620:L640" si="57">D620/AA620</f>
      </c>
      <c r="M620" s="174">
        <f t="shared" ref="M620:M640" si="147">AB620/AA620</f>
      </c>
      <c r="N620" s="172">
        <f t="shared" ref="N620:N640" si="27">AC620/AA620</f>
      </c>
      <c r="O620" s="173">
        <f t="shared" ref="O620:O640" si="478">D620/AC620</f>
      </c>
      <c r="P620" s="172">
        <f t="shared" ref="P620:P640" si="448">AD620/AC620</f>
      </c>
      <c r="Q620" s="172">
        <f t="shared" ref="Q620:Q640" si="370">H620/AD620</f>
      </c>
      <c r="R620" s="173">
        <f t="shared" ref="R620:R640" si="340">D620/H620</f>
      </c>
      <c r="S620" s="175">
        <f t="shared" ref="S620:S640" si="237">I620/H620</f>
      </c>
      <c r="T620" s="173">
        <f t="shared" ref="T620:T640" si="177">D620/X620</f>
      </c>
      <c r="U620" s="176">
        <f t="shared" ref="U620:U640" si="87">AE620*1000/D620</f>
      </c>
      <c r="V620" s="177" t="s">
        <v>108</v>
      </c>
      <c r="W620" s="178" t="s">
        <v>109</v>
      </c>
      <c r="X620" s="170">
        <v>1</v>
      </c>
      <c r="Y620" s="169">
        <v>12302</v>
      </c>
      <c r="Z620" s="169">
        <v>853</v>
      </c>
      <c r="AA620" s="169">
        <v>1365</v>
      </c>
      <c r="AB620" s="169">
        <v>336</v>
      </c>
      <c r="AC620" s="179">
        <v>43</v>
      </c>
      <c r="AD620" s="179">
        <v>3</v>
      </c>
      <c r="AE620" s="180">
        <v>32</v>
      </c>
      <c r="AF620" s="236"/>
      <c r="AG620" s="152"/>
    </row>
    <row r="621">
      <c r="A621" s="166"/>
      <c r="B621" s="247" t="s">
        <v>110</v>
      </c>
      <c r="C621" s="168" t="s">
        <v>120</v>
      </c>
      <c r="D621" s="169">
        <f t="shared" si="409"/>
      </c>
      <c r="E621" s="170">
        <v>4782.9</v>
      </c>
      <c r="F621" s="170">
        <v>1002.17</v>
      </c>
      <c r="G621" s="170">
        <v>0</v>
      </c>
      <c r="H621" s="170">
        <v>1</v>
      </c>
      <c r="I621" s="170">
        <v>3191.04</v>
      </c>
      <c r="J621" s="171">
        <f t="shared" si="207"/>
      </c>
      <c r="K621" s="172">
        <f t="shared" si="117"/>
      </c>
      <c r="L621" s="173">
        <f t="shared" si="57"/>
      </c>
      <c r="M621" s="174">
        <f t="shared" si="147"/>
      </c>
      <c r="N621" s="172">
        <f t="shared" si="27"/>
      </c>
      <c r="O621" s="173">
        <f t="shared" si="478"/>
      </c>
      <c r="P621" s="172">
        <f t="shared" si="448"/>
      </c>
      <c r="Q621" s="172">
        <f t="shared" si="370"/>
      </c>
      <c r="R621" s="173">
        <f t="shared" si="340"/>
      </c>
      <c r="S621" s="175">
        <f t="shared" si="237"/>
      </c>
      <c r="T621" s="173">
        <f t="shared" si="177"/>
      </c>
      <c r="U621" s="176">
        <f t="shared" si="87"/>
      </c>
      <c r="V621" s="177" t="s">
        <v>108</v>
      </c>
      <c r="W621" s="178" t="s">
        <v>109</v>
      </c>
      <c r="X621" s="208">
        <v>1</v>
      </c>
      <c r="Y621" s="169">
        <v>16716</v>
      </c>
      <c r="Z621" s="169">
        <v>899</v>
      </c>
      <c r="AA621" s="169">
        <v>1297</v>
      </c>
      <c r="AB621" s="169">
        <v>385</v>
      </c>
      <c r="AC621" s="169">
        <v>56</v>
      </c>
      <c r="AD621" s="179">
        <v>2</v>
      </c>
      <c r="AE621" s="180">
        <v>42</v>
      </c>
      <c r="AF621" s="236"/>
      <c r="AG621" s="152"/>
    </row>
    <row r="622">
      <c r="A622" s="166"/>
      <c r="B622" s="181" t="s">
        <v>111</v>
      </c>
      <c r="C622" s="168" t="s">
        <v>120</v>
      </c>
      <c r="D622" s="169">
        <f t="shared" si="409"/>
      </c>
      <c r="E622" s="169">
        <v>2779.4</v>
      </c>
      <c r="F622" s="169">
        <v>907.02</v>
      </c>
      <c r="G622" s="170">
        <v>0</v>
      </c>
      <c r="H622" s="170">
        <v>0</v>
      </c>
      <c r="I622" s="170">
        <v>0</v>
      </c>
      <c r="J622" s="171">
        <f t="shared" si="207"/>
      </c>
      <c r="K622" s="172">
        <f t="shared" si="117"/>
      </c>
      <c r="L622" s="173">
        <f t="shared" si="57"/>
      </c>
      <c r="M622" s="174">
        <f t="shared" si="147"/>
      </c>
      <c r="N622" s="172">
        <f t="shared" si="27"/>
      </c>
      <c r="O622" s="173">
        <f t="shared" si="478"/>
      </c>
      <c r="P622" s="172">
        <f t="shared" si="448"/>
      </c>
      <c r="Q622" s="172">
        <f t="shared" si="370"/>
      </c>
      <c r="R622" s="173">
        <f t="shared" si="340"/>
      </c>
      <c r="S622" s="175">
        <f t="shared" si="237"/>
      </c>
      <c r="T622" s="173">
        <f t="shared" si="177"/>
      </c>
      <c r="U622" s="176">
        <f t="shared" si="87"/>
      </c>
      <c r="V622" s="177" t="s">
        <v>108</v>
      </c>
      <c r="W622" s="178" t="s">
        <v>109</v>
      </c>
      <c r="X622" s="205">
        <v>0</v>
      </c>
      <c r="Y622" s="169">
        <v>10343</v>
      </c>
      <c r="Z622" s="169">
        <v>840</v>
      </c>
      <c r="AA622" s="169">
        <v>1262</v>
      </c>
      <c r="AB622" s="169">
        <v>362</v>
      </c>
      <c r="AC622" s="169">
        <v>27</v>
      </c>
      <c r="AD622" s="179">
        <v>1</v>
      </c>
      <c r="AE622" s="180">
        <v>42</v>
      </c>
      <c r="AF622" s="236"/>
      <c r="AG622" s="152"/>
    </row>
    <row r="623">
      <c r="A623" s="166"/>
      <c r="B623" s="183" t="s">
        <v>112</v>
      </c>
      <c r="C623" s="168" t="s">
        <v>120</v>
      </c>
      <c r="D623" s="169">
        <f t="shared" si="409"/>
      </c>
      <c r="E623" s="169">
        <v>2800.21</v>
      </c>
      <c r="F623" s="170">
        <v>851.07</v>
      </c>
      <c r="G623" s="170">
        <v>0</v>
      </c>
      <c r="H623" s="170">
        <v>1</v>
      </c>
      <c r="I623" s="170">
        <v>1771.1999999999998</v>
      </c>
      <c r="J623" s="171">
        <f t="shared" si="207"/>
      </c>
      <c r="K623" s="172">
        <f t="shared" si="117"/>
      </c>
      <c r="L623" s="173">
        <f t="shared" si="57"/>
      </c>
      <c r="M623" s="174">
        <f t="shared" si="147"/>
      </c>
      <c r="N623" s="172">
        <f t="shared" si="27"/>
      </c>
      <c r="O623" s="173">
        <f t="shared" si="478"/>
      </c>
      <c r="P623" s="172">
        <f t="shared" si="448"/>
      </c>
      <c r="Q623" s="172">
        <f t="shared" si="370"/>
      </c>
      <c r="R623" s="173">
        <f t="shared" si="340"/>
      </c>
      <c r="S623" s="175">
        <f t="shared" si="237"/>
      </c>
      <c r="T623" s="173">
        <f t="shared" si="177"/>
      </c>
      <c r="U623" s="176">
        <f t="shared" si="87"/>
      </c>
      <c r="V623" s="177" t="s">
        <v>108</v>
      </c>
      <c r="W623" s="178" t="s">
        <v>109</v>
      </c>
      <c r="X623" s="205">
        <v>1</v>
      </c>
      <c r="Y623" s="169">
        <v>11022</v>
      </c>
      <c r="Z623" s="169">
        <v>657</v>
      </c>
      <c r="AA623" s="169">
        <v>972</v>
      </c>
      <c r="AB623" s="169">
        <v>255</v>
      </c>
      <c r="AC623" s="169">
        <v>35</v>
      </c>
      <c r="AD623" s="179">
        <v>2</v>
      </c>
      <c r="AE623" s="180">
        <v>25</v>
      </c>
      <c r="AF623" s="236"/>
      <c r="AG623" s="152"/>
    </row>
    <row r="624">
      <c r="A624" s="166"/>
      <c r="B624" s="184" t="s">
        <v>113</v>
      </c>
      <c r="C624" s="184"/>
      <c r="D624" s="185">
        <f>D620+D621+D622+D623</f>
      </c>
      <c r="E624" s="185">
        <f>SUM(E620:E623)</f>
      </c>
      <c r="F624" s="185">
        <f>SUM(F620:F623)</f>
      </c>
      <c r="G624" s="185">
        <f>SUM(G620:G623)</f>
      </c>
      <c r="H624" s="185">
        <f>SUM(H620:H623)</f>
      </c>
      <c r="I624" s="185">
        <f>SUM(I620:I623)</f>
      </c>
      <c r="J624" s="186">
        <f t="shared" si="207"/>
      </c>
      <c r="K624" s="187">
        <f t="shared" si="117"/>
      </c>
      <c r="L624" s="188">
        <f t="shared" si="57"/>
      </c>
      <c r="M624" s="189">
        <f t="shared" si="147"/>
      </c>
      <c r="N624" s="187">
        <f t="shared" si="27"/>
      </c>
      <c r="O624" s="188">
        <f t="shared" si="478"/>
      </c>
      <c r="P624" s="187">
        <f t="shared" si="448"/>
      </c>
      <c r="Q624" s="187">
        <f t="shared" si="370"/>
      </c>
      <c r="R624" s="188">
        <f t="shared" si="340"/>
      </c>
      <c r="S624" s="190">
        <f t="shared" si="237"/>
      </c>
      <c r="T624" s="188">
        <f t="shared" si="177"/>
      </c>
      <c r="U624" s="191">
        <f t="shared" si="87"/>
      </c>
      <c r="V624" s="191"/>
      <c r="W624" s="191"/>
      <c r="X624" s="206">
        <f>SUM(X620:X623)</f>
      </c>
      <c r="Y624" s="185">
        <f>SUM(Y620:Y623)</f>
      </c>
      <c r="Z624" s="185">
        <f>SUM(Z620:Z623)</f>
      </c>
      <c r="AA624" s="185">
        <f>SUM(AA620:AA623)</f>
      </c>
      <c r="AB624" s="185">
        <f>SUM(AB620:AB623)</f>
      </c>
      <c r="AC624" s="185">
        <f>SUM(AC620:AC623)</f>
      </c>
      <c r="AD624" s="185">
        <f>SUM(AD620:AD623)</f>
      </c>
      <c r="AE624" s="185">
        <f>SUM(AE620:AE623)</f>
      </c>
      <c r="AF624" s="152"/>
      <c r="AG624" s="152"/>
    </row>
    <row r="625">
      <c r="A625" s="166"/>
      <c r="B625" s="181" t="s">
        <v>114</v>
      </c>
      <c r="C625" s="168" t="s">
        <v>107</v>
      </c>
      <c r="D625" s="169">
        <f t="shared" ref="D625:D628" si="410">E625+F625+G625</f>
      </c>
      <c r="E625" s="169">
        <v>1579.18</v>
      </c>
      <c r="F625" s="169">
        <v>854.22</v>
      </c>
      <c r="G625" s="170">
        <v>0</v>
      </c>
      <c r="H625" s="170">
        <v>3</v>
      </c>
      <c r="I625" s="170">
        <v>5637.360000000001</v>
      </c>
      <c r="J625" s="171">
        <f t="shared" si="207"/>
      </c>
      <c r="K625" s="172">
        <f t="shared" si="117"/>
      </c>
      <c r="L625" s="173">
        <f t="shared" si="57"/>
      </c>
      <c r="M625" s="174">
        <f t="shared" si="147"/>
      </c>
      <c r="N625" s="172">
        <f t="shared" si="27"/>
      </c>
      <c r="O625" s="173">
        <f t="shared" si="478"/>
      </c>
      <c r="P625" s="172">
        <f t="shared" si="448"/>
      </c>
      <c r="Q625" s="172">
        <f t="shared" si="370"/>
      </c>
      <c r="R625" s="173">
        <f t="shared" si="340"/>
      </c>
      <c r="S625" s="175">
        <f t="shared" si="237"/>
      </c>
      <c r="T625" s="173">
        <f t="shared" si="177"/>
      </c>
      <c r="U625" s="176">
        <f t="shared" si="87"/>
      </c>
      <c r="V625" s="177" t="s">
        <v>108</v>
      </c>
      <c r="W625" s="178" t="s">
        <v>109</v>
      </c>
      <c r="X625" s="208">
        <v>2</v>
      </c>
      <c r="Y625" s="170">
        <v>9808</v>
      </c>
      <c r="Z625" s="170">
        <v>497</v>
      </c>
      <c r="AA625" s="169">
        <v>818</v>
      </c>
      <c r="AB625" s="170">
        <v>176</v>
      </c>
      <c r="AC625" s="170">
        <v>35</v>
      </c>
      <c r="AD625" s="179">
        <v>3</v>
      </c>
      <c r="AE625" s="180">
        <v>20</v>
      </c>
      <c r="AF625" s="236"/>
      <c r="AG625" s="152"/>
    </row>
    <row r="626">
      <c r="A626" s="166"/>
      <c r="B626" s="181" t="s">
        <v>116</v>
      </c>
      <c r="C626" s="168" t="s">
        <v>107</v>
      </c>
      <c r="D626" s="169">
        <f t="shared" si="410"/>
      </c>
      <c r="E626" s="169">
        <v>2400.97</v>
      </c>
      <c r="F626" s="169">
        <v>1156.23</v>
      </c>
      <c r="G626" s="170">
        <v>0</v>
      </c>
      <c r="H626" s="170">
        <v>1</v>
      </c>
      <c r="I626" s="169">
        <v>561.5999999999985</v>
      </c>
      <c r="J626" s="171">
        <f t="shared" si="207"/>
      </c>
      <c r="K626" s="172">
        <f t="shared" si="117"/>
      </c>
      <c r="L626" s="173">
        <f t="shared" si="57"/>
      </c>
      <c r="M626" s="174">
        <f t="shared" si="147"/>
      </c>
      <c r="N626" s="172">
        <f t="shared" si="27"/>
      </c>
      <c r="O626" s="173">
        <f t="shared" si="478"/>
      </c>
      <c r="P626" s="172">
        <f t="shared" si="448"/>
      </c>
      <c r="Q626" s="172">
        <f t="shared" si="370"/>
      </c>
      <c r="R626" s="173">
        <f t="shared" si="340"/>
      </c>
      <c r="S626" s="175">
        <f t="shared" si="237"/>
      </c>
      <c r="T626" s="173">
        <f t="shared" si="177"/>
      </c>
      <c r="U626" s="176">
        <f t="shared" si="87"/>
      </c>
      <c r="V626" s="177" t="s">
        <v>108</v>
      </c>
      <c r="W626" s="178" t="s">
        <v>109</v>
      </c>
      <c r="X626" s="208">
        <v>1</v>
      </c>
      <c r="Y626" s="170">
        <v>12262</v>
      </c>
      <c r="Z626" s="170">
        <v>714</v>
      </c>
      <c r="AA626" s="170">
        <v>1135</v>
      </c>
      <c r="AB626" s="170">
        <v>256</v>
      </c>
      <c r="AC626" s="170">
        <v>48</v>
      </c>
      <c r="AD626" s="179">
        <v>2</v>
      </c>
      <c r="AE626" s="180">
        <v>26</v>
      </c>
      <c r="AF626" s="236"/>
      <c r="AG626" s="152"/>
    </row>
    <row r="627">
      <c r="A627" s="166"/>
      <c r="B627" s="181" t="s">
        <v>117</v>
      </c>
      <c r="C627" s="168" t="s">
        <v>107</v>
      </c>
      <c r="D627" s="169">
        <f t="shared" si="410"/>
      </c>
      <c r="E627" s="169">
        <v>1038.51</v>
      </c>
      <c r="F627" s="170">
        <v>1030.51</v>
      </c>
      <c r="G627" s="170">
        <v>0</v>
      </c>
      <c r="H627" s="170">
        <v>2</v>
      </c>
      <c r="I627" s="170">
        <v>1882.079999999998</v>
      </c>
      <c r="J627" s="171">
        <f t="shared" si="207"/>
      </c>
      <c r="K627" s="172">
        <f t="shared" si="117"/>
      </c>
      <c r="L627" s="173">
        <f t="shared" si="57"/>
      </c>
      <c r="M627" s="174">
        <f t="shared" si="147"/>
      </c>
      <c r="N627" s="172">
        <f t="shared" si="27"/>
      </c>
      <c r="O627" s="173">
        <f t="shared" si="478"/>
      </c>
      <c r="P627" s="172">
        <f t="shared" si="448"/>
      </c>
      <c r="Q627" s="172">
        <f t="shared" si="370"/>
      </c>
      <c r="R627" s="173">
        <f t="shared" si="340"/>
      </c>
      <c r="S627" s="175">
        <f t="shared" si="237"/>
      </c>
      <c r="T627" s="173">
        <f t="shared" si="177"/>
      </c>
      <c r="U627" s="176">
        <f t="shared" si="87"/>
      </c>
      <c r="V627" s="177" t="s">
        <v>108</v>
      </c>
      <c r="W627" s="178" t="s">
        <v>109</v>
      </c>
      <c r="X627" s="208">
        <v>1</v>
      </c>
      <c r="Y627" s="170">
        <v>4543</v>
      </c>
      <c r="Z627" s="170">
        <v>469</v>
      </c>
      <c r="AA627" s="170">
        <v>807</v>
      </c>
      <c r="AB627" s="170">
        <v>203</v>
      </c>
      <c r="AC627" s="170">
        <v>32</v>
      </c>
      <c r="AD627" s="179">
        <v>3</v>
      </c>
      <c r="AE627" s="180">
        <v>14</v>
      </c>
      <c r="AF627" s="236"/>
      <c r="AG627" s="152"/>
    </row>
    <row r="628">
      <c r="A628" s="166"/>
      <c r="B628" s="181" t="s">
        <v>118</v>
      </c>
      <c r="C628" s="168" t="s">
        <v>107</v>
      </c>
      <c r="D628" s="169">
        <f t="shared" si="410"/>
      </c>
      <c r="E628" s="169">
        <v>2213.1400000000003</v>
      </c>
      <c r="F628" s="170">
        <v>1533.05</v>
      </c>
      <c r="G628" s="170">
        <v>0</v>
      </c>
      <c r="H628" s="170">
        <v>2</v>
      </c>
      <c r="I628" s="170">
        <v>1953.7200000000012</v>
      </c>
      <c r="J628" s="171">
        <f t="shared" si="207"/>
      </c>
      <c r="K628" s="172">
        <f t="shared" si="117"/>
      </c>
      <c r="L628" s="173">
        <f t="shared" si="57"/>
      </c>
      <c r="M628" s="174">
        <f t="shared" si="147"/>
      </c>
      <c r="N628" s="172">
        <f t="shared" si="27"/>
      </c>
      <c r="O628" s="173">
        <f t="shared" si="478"/>
      </c>
      <c r="P628" s="172">
        <f t="shared" si="448"/>
      </c>
      <c r="Q628" s="172">
        <f t="shared" si="370"/>
      </c>
      <c r="R628" s="173">
        <f t="shared" si="340"/>
      </c>
      <c r="S628" s="175">
        <f t="shared" si="237"/>
      </c>
      <c r="T628" s="173">
        <f t="shared" si="177"/>
      </c>
      <c r="U628" s="176">
        <f t="shared" si="87"/>
      </c>
      <c r="V628" s="177" t="s">
        <v>108</v>
      </c>
      <c r="W628" s="178" t="s">
        <v>109</v>
      </c>
      <c r="X628" s="208">
        <v>2</v>
      </c>
      <c r="Y628" s="170">
        <v>8363</v>
      </c>
      <c r="Z628" s="170">
        <v>1141</v>
      </c>
      <c r="AA628" s="170">
        <v>1673</v>
      </c>
      <c r="AB628" s="170">
        <v>561</v>
      </c>
      <c r="AC628" s="170">
        <v>31</v>
      </c>
      <c r="AD628" s="179">
        <v>4</v>
      </c>
      <c r="AE628" s="180">
        <v>39</v>
      </c>
      <c r="AF628" s="236"/>
      <c r="AG628" s="152"/>
    </row>
    <row r="629">
      <c r="A629" s="166"/>
      <c r="B629" s="184" t="s">
        <v>113</v>
      </c>
      <c r="C629" s="184"/>
      <c r="D629" s="185">
        <f>SUM(D625:D628)</f>
      </c>
      <c r="E629" s="185">
        <f>SUM(E625:E628)</f>
      </c>
      <c r="F629" s="185">
        <f>SUM(F625:F628)</f>
      </c>
      <c r="G629" s="185">
        <f>SUM(G625:G628)</f>
      </c>
      <c r="H629" s="185">
        <f>SUM(H625:H628)</f>
      </c>
      <c r="I629" s="185">
        <f>SUM(I625:I628)</f>
      </c>
      <c r="J629" s="186">
        <f t="shared" si="207"/>
      </c>
      <c r="K629" s="187">
        <f t="shared" si="117"/>
      </c>
      <c r="L629" s="188">
        <f t="shared" si="57"/>
      </c>
      <c r="M629" s="189">
        <f t="shared" si="147"/>
      </c>
      <c r="N629" s="187">
        <f t="shared" si="27"/>
      </c>
      <c r="O629" s="188">
        <f t="shared" si="478"/>
      </c>
      <c r="P629" s="187">
        <f t="shared" si="448"/>
      </c>
      <c r="Q629" s="187">
        <f t="shared" si="370"/>
      </c>
      <c r="R629" s="188">
        <f t="shared" si="340"/>
      </c>
      <c r="S629" s="190">
        <f t="shared" si="237"/>
      </c>
      <c r="T629" s="188">
        <f t="shared" si="177"/>
      </c>
      <c r="U629" s="191">
        <f t="shared" si="87"/>
      </c>
      <c r="V629" s="191"/>
      <c r="W629" s="191"/>
      <c r="X629" s="206">
        <f>SUM(X625:X628)</f>
      </c>
      <c r="Y629" s="209">
        <f>SUM(Y625:Y628)</f>
      </c>
      <c r="Z629" s="209">
        <f>SUM(Z625:Z628)</f>
      </c>
      <c r="AA629" s="209">
        <f>SUM(AA625:AA628)</f>
      </c>
      <c r="AB629" s="209">
        <f>SUM(AB625:AB628)</f>
      </c>
      <c r="AC629" s="209">
        <f>SUM(AC625:AC628)</f>
      </c>
      <c r="AD629" s="209">
        <f>SUM(AD625:AD628)</f>
      </c>
      <c r="AE629" s="209">
        <f>SUM(AE625:AE628)</f>
      </c>
      <c r="AF629" s="152"/>
      <c r="AG629" s="152"/>
    </row>
    <row r="630">
      <c r="A630" s="166"/>
      <c r="B630" s="192" t="s">
        <v>119</v>
      </c>
      <c r="C630" s="168" t="s">
        <v>126</v>
      </c>
      <c r="D630" s="169">
        <f t="shared" ref="D630:D633" si="411">E630+F630+G630</f>
      </c>
      <c r="E630" s="170">
        <v>232.52</v>
      </c>
      <c r="F630" s="170">
        <v>2030.63</v>
      </c>
      <c r="G630" s="170">
        <v>0</v>
      </c>
      <c r="H630" s="170">
        <v>3</v>
      </c>
      <c r="I630" s="170">
        <v>1788.4799999999996</v>
      </c>
      <c r="J630" s="171">
        <f t="shared" si="207"/>
      </c>
      <c r="K630" s="172">
        <f t="shared" si="117"/>
      </c>
      <c r="L630" s="173">
        <f t="shared" si="57"/>
      </c>
      <c r="M630" s="174">
        <f t="shared" si="147"/>
      </c>
      <c r="N630" s="172">
        <f t="shared" si="27"/>
      </c>
      <c r="O630" s="173">
        <f t="shared" si="478"/>
      </c>
      <c r="P630" s="172">
        <f t="shared" si="448"/>
      </c>
      <c r="Q630" s="172">
        <f t="shared" si="370"/>
      </c>
      <c r="R630" s="173">
        <f t="shared" si="340"/>
      </c>
      <c r="S630" s="175">
        <f t="shared" si="237"/>
      </c>
      <c r="T630" s="173">
        <f t="shared" si="177"/>
      </c>
      <c r="U630" s="176">
        <f t="shared" si="87"/>
      </c>
      <c r="V630" s="177" t="s">
        <v>108</v>
      </c>
      <c r="W630" s="178" t="s">
        <v>136</v>
      </c>
      <c r="X630" s="170">
        <v>2</v>
      </c>
      <c r="Y630" s="170">
        <v>3887</v>
      </c>
      <c r="Z630" s="170">
        <v>723</v>
      </c>
      <c r="AA630" s="169">
        <v>1139</v>
      </c>
      <c r="AB630" s="170">
        <v>328</v>
      </c>
      <c r="AC630" s="179">
        <v>18</v>
      </c>
      <c r="AD630" s="179">
        <v>3</v>
      </c>
      <c r="AE630" s="180">
        <v>23</v>
      </c>
      <c r="AF630" s="236"/>
      <c r="AG630" s="152"/>
    </row>
    <row r="631">
      <c r="A631" s="166"/>
      <c r="B631" s="194" t="s">
        <v>122</v>
      </c>
      <c r="C631" s="168" t="s">
        <v>126</v>
      </c>
      <c r="D631" s="169">
        <f t="shared" si="411"/>
      </c>
      <c r="E631" s="169">
        <v>18.009999999999998</v>
      </c>
      <c r="F631" s="170">
        <v>2574.08</v>
      </c>
      <c r="G631" s="170">
        <v>0</v>
      </c>
      <c r="H631" s="170">
        <v>2</v>
      </c>
      <c r="I631" s="170">
        <v>1409.4000000000015</v>
      </c>
      <c r="J631" s="171">
        <f t="shared" si="207"/>
      </c>
      <c r="K631" s="172">
        <f t="shared" si="117"/>
      </c>
      <c r="L631" s="173">
        <f t="shared" si="57"/>
      </c>
      <c r="M631" s="174">
        <f t="shared" si="147"/>
      </c>
      <c r="N631" s="172">
        <f t="shared" si="27"/>
      </c>
      <c r="O631" s="173">
        <f t="shared" si="478"/>
      </c>
      <c r="P631" s="172">
        <f t="shared" si="448"/>
      </c>
      <c r="Q631" s="172">
        <f t="shared" si="370"/>
      </c>
      <c r="R631" s="173">
        <f t="shared" si="340"/>
      </c>
      <c r="S631" s="175">
        <f t="shared" si="237"/>
      </c>
      <c r="T631" s="173">
        <f t="shared" si="177"/>
      </c>
      <c r="U631" s="176">
        <f t="shared" si="87"/>
      </c>
      <c r="V631" s="177" t="s">
        <v>108</v>
      </c>
      <c r="W631" s="178" t="s">
        <v>136</v>
      </c>
      <c r="X631" s="208">
        <v>1</v>
      </c>
      <c r="Y631" s="169">
        <v>3878</v>
      </c>
      <c r="Z631" s="169">
        <v>966</v>
      </c>
      <c r="AA631" s="169">
        <v>1515</v>
      </c>
      <c r="AB631" s="169">
        <v>497</v>
      </c>
      <c r="AC631" s="169">
        <v>18</v>
      </c>
      <c r="AD631" s="179">
        <v>3</v>
      </c>
      <c r="AE631" s="180">
        <v>25</v>
      </c>
      <c r="AF631" s="152"/>
      <c r="AG631" s="152"/>
    </row>
    <row r="632">
      <c r="A632" s="166"/>
      <c r="B632" s="210" t="s">
        <v>123</v>
      </c>
      <c r="C632" s="168" t="s">
        <v>126</v>
      </c>
      <c r="D632" s="169">
        <f t="shared" si="411"/>
      </c>
      <c r="E632" s="170">
        <v>440.95</v>
      </c>
      <c r="F632" s="170">
        <v>2481.17</v>
      </c>
      <c r="G632" s="170">
        <v>0</v>
      </c>
      <c r="H632" s="170">
        <v>0</v>
      </c>
      <c r="I632" s="170">
        <v>0</v>
      </c>
      <c r="J632" s="171">
        <f t="shared" si="207"/>
      </c>
      <c r="K632" s="172">
        <f t="shared" si="117"/>
      </c>
      <c r="L632" s="173">
        <f t="shared" si="57"/>
      </c>
      <c r="M632" s="174">
        <f t="shared" si="147"/>
      </c>
      <c r="N632" s="172">
        <f t="shared" si="27"/>
      </c>
      <c r="O632" s="173">
        <f t="shared" si="478"/>
      </c>
      <c r="P632" s="172">
        <f t="shared" si="448"/>
      </c>
      <c r="Q632" s="172">
        <f t="shared" si="370"/>
      </c>
      <c r="R632" s="173">
        <f t="shared" si="340"/>
      </c>
      <c r="S632" s="175">
        <f t="shared" si="237"/>
      </c>
      <c r="T632" s="173">
        <f t="shared" si="177"/>
      </c>
      <c r="U632" s="176">
        <f t="shared" si="87"/>
      </c>
      <c r="V632" s="177" t="s">
        <v>108</v>
      </c>
      <c r="W632" s="178" t="s">
        <v>136</v>
      </c>
      <c r="X632" s="208">
        <v>1</v>
      </c>
      <c r="Y632" s="169">
        <v>4729</v>
      </c>
      <c r="Z632" s="169">
        <v>1070</v>
      </c>
      <c r="AA632" s="169">
        <v>1818</v>
      </c>
      <c r="AB632" s="169">
        <v>499</v>
      </c>
      <c r="AC632" s="169">
        <v>20</v>
      </c>
      <c r="AD632" s="179">
        <v>0</v>
      </c>
      <c r="AE632" s="180">
        <v>32</v>
      </c>
      <c r="AF632" s="152"/>
      <c r="AG632" s="152"/>
    </row>
    <row r="633">
      <c r="A633" s="166"/>
      <c r="B633" s="183" t="s">
        <v>124</v>
      </c>
      <c r="C633" s="168" t="s">
        <v>126</v>
      </c>
      <c r="D633" s="169">
        <f t="shared" si="411"/>
      </c>
      <c r="E633" s="170">
        <v>1753.3400000000001</v>
      </c>
      <c r="F633" s="170">
        <v>3319.35</v>
      </c>
      <c r="G633" s="170">
        <v>0</v>
      </c>
      <c r="H633" s="170">
        <v>1</v>
      </c>
      <c r="I633" s="170">
        <v>1663.4399999999987</v>
      </c>
      <c r="J633" s="171">
        <f t="shared" si="207"/>
      </c>
      <c r="K633" s="172">
        <f t="shared" si="117"/>
      </c>
      <c r="L633" s="173">
        <f t="shared" si="57"/>
      </c>
      <c r="M633" s="174">
        <f t="shared" si="147"/>
      </c>
      <c r="N633" s="172">
        <f t="shared" si="27"/>
      </c>
      <c r="O633" s="173">
        <f t="shared" si="478"/>
      </c>
      <c r="P633" s="172">
        <f t="shared" si="448"/>
      </c>
      <c r="Q633" s="172">
        <f t="shared" si="370"/>
      </c>
      <c r="R633" s="173">
        <f t="shared" si="340"/>
      </c>
      <c r="S633" s="175">
        <f t="shared" si="237"/>
      </c>
      <c r="T633" s="173">
        <f t="shared" si="177"/>
      </c>
      <c r="U633" s="176">
        <f t="shared" si="87"/>
      </c>
      <c r="V633" s="177" t="s">
        <v>108</v>
      </c>
      <c r="W633" s="178" t="s">
        <v>136</v>
      </c>
      <c r="X633" s="205">
        <v>1</v>
      </c>
      <c r="Y633" s="169">
        <v>10543</v>
      </c>
      <c r="Z633" s="169">
        <v>1966</v>
      </c>
      <c r="AA633" s="169">
        <v>3286</v>
      </c>
      <c r="AB633" s="169">
        <v>867</v>
      </c>
      <c r="AC633" s="169">
        <v>21</v>
      </c>
      <c r="AD633" s="179">
        <v>1</v>
      </c>
      <c r="AE633" s="180">
        <v>53</v>
      </c>
      <c r="AF633" s="152"/>
      <c r="AG633" s="152"/>
    </row>
    <row r="634">
      <c r="A634" s="166"/>
      <c r="B634" s="184" t="s">
        <v>113</v>
      </c>
      <c r="C634" s="184"/>
      <c r="D634" s="185">
        <f>SUM(D630:D633)</f>
      </c>
      <c r="E634" s="185">
        <f>SUM(E630:E633)</f>
      </c>
      <c r="F634" s="185">
        <f>SUM(F630:F633)</f>
      </c>
      <c r="G634" s="185">
        <f>SUM(G630:G633)</f>
      </c>
      <c r="H634" s="185">
        <f>SUM(H630:H633)</f>
      </c>
      <c r="I634" s="185">
        <f>SUM(I630:I633)</f>
      </c>
      <c r="J634" s="186">
        <f t="shared" si="207"/>
      </c>
      <c r="K634" s="187">
        <f t="shared" si="117"/>
      </c>
      <c r="L634" s="188">
        <f t="shared" si="57"/>
      </c>
      <c r="M634" s="189">
        <f t="shared" si="147"/>
      </c>
      <c r="N634" s="187">
        <f t="shared" si="27"/>
      </c>
      <c r="O634" s="188">
        <f t="shared" si="478"/>
      </c>
      <c r="P634" s="187">
        <f t="shared" si="448"/>
      </c>
      <c r="Q634" s="187">
        <f t="shared" si="370"/>
      </c>
      <c r="R634" s="188">
        <f t="shared" si="340"/>
      </c>
      <c r="S634" s="190">
        <f t="shared" si="237"/>
      </c>
      <c r="T634" s="188">
        <f t="shared" si="177"/>
      </c>
      <c r="U634" s="191">
        <f t="shared" si="87"/>
      </c>
      <c r="V634" s="191"/>
      <c r="W634" s="191"/>
      <c r="X634" s="206">
        <f>SUM(X630:X633)</f>
      </c>
      <c r="Y634" s="185">
        <f>SUM(Y630:Y633)</f>
      </c>
      <c r="Z634" s="185">
        <f>SUM(Z630:Z633)</f>
      </c>
      <c r="AA634" s="185">
        <f>SUM(AA630:AA633)</f>
      </c>
      <c r="AB634" s="185">
        <f>SUM(AB630:AB633)</f>
      </c>
      <c r="AC634" s="185">
        <f>SUM(AC630:AC633)</f>
      </c>
      <c r="AD634" s="185">
        <f>SUM(AD630:AD633)</f>
      </c>
      <c r="AE634" s="185">
        <f>SUM(AE630:AE633)</f>
      </c>
      <c r="AF634" s="152"/>
      <c r="AG634" s="152"/>
    </row>
    <row r="635">
      <c r="A635" s="166"/>
      <c r="B635" s="181" t="s">
        <v>125</v>
      </c>
      <c r="C635" s="168" t="s">
        <v>137</v>
      </c>
      <c r="D635" s="169">
        <f t="shared" ref="D635:D638" si="412">E635+F635+G635</f>
      </c>
      <c r="E635" s="170">
        <v>0</v>
      </c>
      <c r="F635" s="170">
        <v>2626.79</v>
      </c>
      <c r="G635" s="170">
        <v>0</v>
      </c>
      <c r="H635" s="170">
        <v>0</v>
      </c>
      <c r="I635" s="170">
        <v>0</v>
      </c>
      <c r="J635" s="171">
        <f t="shared" si="207"/>
      </c>
      <c r="K635" s="172">
        <f t="shared" si="117"/>
      </c>
      <c r="L635" s="173">
        <f t="shared" si="57"/>
      </c>
      <c r="M635" s="174">
        <f t="shared" si="147"/>
      </c>
      <c r="N635" s="172">
        <f t="shared" si="27"/>
      </c>
      <c r="O635" s="173">
        <f t="shared" si="478"/>
      </c>
      <c r="P635" s="172">
        <f t="shared" si="448"/>
      </c>
      <c r="Q635" s="172">
        <f t="shared" si="370"/>
      </c>
      <c r="R635" s="173">
        <f t="shared" si="340"/>
      </c>
      <c r="S635" s="175">
        <f t="shared" si="237"/>
      </c>
      <c r="T635" s="173">
        <f t="shared" si="177"/>
      </c>
      <c r="U635" s="176">
        <f t="shared" si="87"/>
      </c>
      <c r="V635" s="177" t="s">
        <v>108</v>
      </c>
      <c r="W635" s="178" t="s">
        <v>136</v>
      </c>
      <c r="X635" s="170">
        <v>0</v>
      </c>
      <c r="Y635" s="169">
        <v>3077</v>
      </c>
      <c r="Z635" s="169">
        <v>764</v>
      </c>
      <c r="AA635" s="169">
        <v>1323</v>
      </c>
      <c r="AB635" s="169">
        <v>386</v>
      </c>
      <c r="AC635" s="179">
        <v>23</v>
      </c>
      <c r="AD635" s="179">
        <v>1</v>
      </c>
      <c r="AE635" s="180">
        <v>23</v>
      </c>
      <c r="AF635" s="152"/>
      <c r="AG635" s="152"/>
    </row>
    <row r="636">
      <c r="A636" s="166"/>
      <c r="B636" s="212" t="s">
        <v>127</v>
      </c>
      <c r="C636" s="168" t="s">
        <v>137</v>
      </c>
      <c r="D636" s="169">
        <f t="shared" si="412"/>
      </c>
      <c r="E636" s="170">
        <v>521.92</v>
      </c>
      <c r="F636" s="170">
        <v>1773.39</v>
      </c>
      <c r="G636" s="170">
        <v>0</v>
      </c>
      <c r="H636" s="170">
        <v>3</v>
      </c>
      <c r="I636" s="170">
        <v>8700.599999999999</v>
      </c>
      <c r="J636" s="171">
        <f t="shared" si="207"/>
      </c>
      <c r="K636" s="172">
        <f t="shared" si="117"/>
      </c>
      <c r="L636" s="173">
        <f t="shared" si="57"/>
      </c>
      <c r="M636" s="174">
        <f t="shared" si="147"/>
      </c>
      <c r="N636" s="172">
        <f t="shared" si="27"/>
      </c>
      <c r="O636" s="173">
        <f t="shared" si="478"/>
      </c>
      <c r="P636" s="172">
        <f t="shared" si="448"/>
      </c>
      <c r="Q636" s="172">
        <f t="shared" si="370"/>
      </c>
      <c r="R636" s="173">
        <f t="shared" si="340"/>
      </c>
      <c r="S636" s="175">
        <f t="shared" si="237"/>
      </c>
      <c r="T636" s="173">
        <f t="shared" si="177"/>
      </c>
      <c r="U636" s="176">
        <f t="shared" si="87"/>
      </c>
      <c r="V636" s="177" t="s">
        <v>108</v>
      </c>
      <c r="W636" s="178" t="s">
        <v>136</v>
      </c>
      <c r="X636" s="208">
        <v>1</v>
      </c>
      <c r="Y636" s="169">
        <v>4440</v>
      </c>
      <c r="Z636" s="169">
        <v>807</v>
      </c>
      <c r="AA636" s="169">
        <v>1354</v>
      </c>
      <c r="AB636" s="169">
        <v>376</v>
      </c>
      <c r="AC636" s="169">
        <v>35</v>
      </c>
      <c r="AD636" s="179">
        <v>4</v>
      </c>
      <c r="AE636" s="230">
        <v>21</v>
      </c>
      <c r="AF636" s="152"/>
      <c r="AG636" s="152"/>
    </row>
    <row r="637">
      <c r="A637" s="166"/>
      <c r="B637" s="195" t="s">
        <v>128</v>
      </c>
      <c r="C637" s="168" t="s">
        <v>137</v>
      </c>
      <c r="D637" s="169">
        <f t="shared" si="412"/>
      </c>
      <c r="E637" s="170">
        <v>1440.24</v>
      </c>
      <c r="F637" s="170">
        <v>2396.92</v>
      </c>
      <c r="G637" s="170">
        <v>0</v>
      </c>
      <c r="H637" s="170">
        <v>3</v>
      </c>
      <c r="I637" s="170">
        <v>3691.9200000000055</v>
      </c>
      <c r="J637" s="171">
        <f t="shared" si="207"/>
      </c>
      <c r="K637" s="172">
        <f t="shared" si="117"/>
      </c>
      <c r="L637" s="173">
        <f t="shared" si="57"/>
      </c>
      <c r="M637" s="174">
        <f t="shared" si="147"/>
      </c>
      <c r="N637" s="172">
        <f t="shared" si="27"/>
      </c>
      <c r="O637" s="173">
        <f t="shared" si="478"/>
      </c>
      <c r="P637" s="172">
        <f t="shared" si="448"/>
      </c>
      <c r="Q637" s="172">
        <f t="shared" si="370"/>
      </c>
      <c r="R637" s="173">
        <f t="shared" si="340"/>
      </c>
      <c r="S637" s="175">
        <f t="shared" si="237"/>
      </c>
      <c r="T637" s="173">
        <f t="shared" si="177"/>
      </c>
      <c r="U637" s="176">
        <f t="shared" si="87"/>
      </c>
      <c r="V637" s="177" t="s">
        <v>108</v>
      </c>
      <c r="W637" s="178" t="s">
        <v>136</v>
      </c>
      <c r="X637" s="208">
        <v>2</v>
      </c>
      <c r="Y637" s="169">
        <v>8692</v>
      </c>
      <c r="Z637" s="169">
        <v>1274</v>
      </c>
      <c r="AA637" s="169">
        <v>2064</v>
      </c>
      <c r="AB637" s="169">
        <v>519</v>
      </c>
      <c r="AC637" s="170">
        <v>41</v>
      </c>
      <c r="AD637" s="179">
        <v>6</v>
      </c>
      <c r="AE637" s="180">
        <v>32</v>
      </c>
      <c r="AF637" s="152"/>
      <c r="AG637" s="152"/>
    </row>
    <row r="638">
      <c r="A638" s="166"/>
      <c r="B638" s="212" t="s">
        <v>129</v>
      </c>
      <c r="C638" s="168" t="s">
        <v>137</v>
      </c>
      <c r="D638" s="169">
        <f t="shared" si="412"/>
      </c>
      <c r="E638" s="170">
        <v>0.3</v>
      </c>
      <c r="F638" s="170">
        <v>932.05</v>
      </c>
      <c r="G638" s="170">
        <v>0</v>
      </c>
      <c r="H638" s="170">
        <v>1</v>
      </c>
      <c r="I638" s="170">
        <v>561.5999999999985</v>
      </c>
      <c r="J638" s="171">
        <f t="shared" si="207"/>
      </c>
      <c r="K638" s="172">
        <f t="shared" si="117"/>
      </c>
      <c r="L638" s="173">
        <f t="shared" si="57"/>
      </c>
      <c r="M638" s="174">
        <f t="shared" si="147"/>
      </c>
      <c r="N638" s="172">
        <f t="shared" si="27"/>
      </c>
      <c r="O638" s="173">
        <f t="shared" si="478"/>
      </c>
      <c r="P638" s="172">
        <f t="shared" si="448"/>
      </c>
      <c r="Q638" s="172">
        <f t="shared" si="370"/>
      </c>
      <c r="R638" s="173">
        <f t="shared" si="340"/>
      </c>
      <c r="S638" s="175">
        <f t="shared" si="237"/>
      </c>
      <c r="T638" s="173">
        <f t="shared" si="177"/>
      </c>
      <c r="U638" s="176">
        <f t="shared" si="87"/>
      </c>
      <c r="V638" s="177" t="s">
        <v>108</v>
      </c>
      <c r="W638" s="178" t="s">
        <v>143</v>
      </c>
      <c r="X638" s="208">
        <v>1</v>
      </c>
      <c r="Y638" s="169">
        <v>2935</v>
      </c>
      <c r="Z638" s="169">
        <v>463</v>
      </c>
      <c r="AA638" s="169">
        <v>825</v>
      </c>
      <c r="AB638" s="169">
        <v>200</v>
      </c>
      <c r="AC638" s="170">
        <v>19</v>
      </c>
      <c r="AD638" s="179">
        <v>3</v>
      </c>
      <c r="AE638" s="230">
        <v>25</v>
      </c>
      <c r="AF638" s="152"/>
      <c r="AG638" s="152"/>
    </row>
    <row r="639">
      <c r="A639" s="166"/>
      <c r="B639" s="184" t="s">
        <v>113</v>
      </c>
      <c r="C639" s="184"/>
      <c r="D639" s="185">
        <f>SUM(D635:D638)</f>
      </c>
      <c r="E639" s="185">
        <f>SUM(E635:E638)</f>
      </c>
      <c r="F639" s="185">
        <f>SUM(F635:F638)</f>
      </c>
      <c r="G639" s="185">
        <f>SUM(G635:G638)</f>
      </c>
      <c r="H639" s="185">
        <f>SUM(H635:H638)</f>
      </c>
      <c r="I639" s="185">
        <f>SUM(I635:I638)</f>
      </c>
      <c r="J639" s="186">
        <f t="shared" si="207"/>
      </c>
      <c r="K639" s="187">
        <f t="shared" si="117"/>
      </c>
      <c r="L639" s="188">
        <f t="shared" si="57"/>
      </c>
      <c r="M639" s="189">
        <f t="shared" si="147"/>
      </c>
      <c r="N639" s="187">
        <f t="shared" si="27"/>
      </c>
      <c r="O639" s="188">
        <f t="shared" si="478"/>
      </c>
      <c r="P639" s="187">
        <f t="shared" si="448"/>
      </c>
      <c r="Q639" s="187">
        <f t="shared" si="370"/>
      </c>
      <c r="R639" s="188">
        <f t="shared" si="340"/>
      </c>
      <c r="S639" s="190">
        <f t="shared" si="237"/>
      </c>
      <c r="T639" s="188">
        <f t="shared" si="177"/>
      </c>
      <c r="U639" s="191">
        <f t="shared" si="87"/>
      </c>
      <c r="V639" s="191"/>
      <c r="W639" s="191"/>
      <c r="X639" s="206">
        <f>SUM(X635:X638)</f>
      </c>
      <c r="Y639" s="209">
        <f>SUM(Y635:Y638)</f>
      </c>
      <c r="Z639" s="209">
        <f>SUM(Z635:Z638)</f>
      </c>
      <c r="AA639" s="209">
        <f>SUM(AA635:AA638)</f>
      </c>
      <c r="AB639" s="209">
        <f>SUM(AB635:AB638)</f>
      </c>
      <c r="AC639" s="209">
        <f>SUM(AC635:AC638)</f>
      </c>
      <c r="AD639" s="209">
        <f>SUM(AD635:AD638)</f>
      </c>
      <c r="AE639" s="209">
        <f>SUM(AE635:AE638)</f>
      </c>
      <c r="AF639" s="152"/>
      <c r="AG639" s="152"/>
    </row>
    <row r="640">
      <c r="A640" s="166"/>
      <c r="B640" s="215" t="s">
        <v>130</v>
      </c>
      <c r="C640" s="215"/>
      <c r="D640" s="216">
        <f>D624+D629+D634+D639</f>
      </c>
      <c r="E640" s="217">
        <f>E624+E629+E634+E639</f>
      </c>
      <c r="F640" s="218">
        <f>F624+F629+F634+F639</f>
      </c>
      <c r="G640" s="218">
        <f>G624+G629+G634+G639</f>
      </c>
      <c r="H640" s="216">
        <f>H624+H629+H634+H639</f>
      </c>
      <c r="I640" s="216">
        <f>I624+I629+I634+I639</f>
      </c>
      <c r="J640" s="219">
        <f t="shared" si="207"/>
      </c>
      <c r="K640" s="220">
        <f t="shared" si="117"/>
      </c>
      <c r="L640" s="221">
        <f t="shared" si="57"/>
      </c>
      <c r="M640" s="222">
        <f t="shared" si="147"/>
      </c>
      <c r="N640" s="222">
        <f t="shared" si="27"/>
      </c>
      <c r="O640" s="221">
        <f t="shared" si="478"/>
      </c>
      <c r="P640" s="222">
        <f t="shared" si="448"/>
      </c>
      <c r="Q640" s="222">
        <f t="shared" si="370"/>
      </c>
      <c r="R640" s="221">
        <f t="shared" si="340"/>
      </c>
      <c r="S640" s="223">
        <f t="shared" si="237"/>
      </c>
      <c r="T640" s="221">
        <f t="shared" si="177"/>
      </c>
      <c r="U640" s="224">
        <f t="shared" si="87"/>
      </c>
      <c r="V640" s="224"/>
      <c r="W640" s="224"/>
      <c r="X640" s="219">
        <f>X624+X629+X634+X639</f>
      </c>
      <c r="Y640" s="219">
        <f>Y624+Y629+Y634+Y639</f>
      </c>
      <c r="Z640" s="219">
        <f>Z624+Z629+Z634+Z639</f>
      </c>
      <c r="AA640" s="219">
        <f>AA624+AA629+AA634+AA639</f>
      </c>
      <c r="AB640" s="219">
        <f>AB624+AB629+AB634+AB639</f>
      </c>
      <c r="AC640" s="219">
        <f>AC624+AC629+AC634+AC639</f>
      </c>
      <c r="AD640" s="233">
        <f>AD624+AD629+AD634+AD639</f>
      </c>
      <c r="AE640" s="218">
        <f>AE624+AE629+AE634+AE639</f>
      </c>
      <c r="AF640" s="152"/>
      <c r="AG640" s="152"/>
    </row>
    <row r="641">
      <c r="A641" s="240" t="s">
        <v>73</v>
      </c>
      <c r="B641" s="240"/>
      <c r="C641" s="240"/>
      <c r="D641" s="147" t="s">
        <v>74</v>
      </c>
      <c r="E641" s="147"/>
      <c r="F641" s="147"/>
      <c r="G641" s="147"/>
      <c r="H641" s="147"/>
      <c r="I641" s="147"/>
      <c r="J641" s="147"/>
      <c r="K641" s="148" t="s">
        <v>75</v>
      </c>
      <c r="L641" s="148"/>
      <c r="M641" s="148"/>
      <c r="N641" s="148"/>
      <c r="O641" s="148"/>
      <c r="P641" s="148"/>
      <c r="Q641" s="148"/>
      <c r="R641" s="148"/>
      <c r="S641" s="148"/>
      <c r="T641" s="148"/>
      <c r="U641" s="149"/>
      <c r="V641" s="149"/>
      <c r="W641" s="149"/>
      <c r="X641" s="150"/>
      <c r="Y641" s="150"/>
      <c r="Z641" s="150"/>
      <c r="AA641" s="150"/>
      <c r="AB641" s="150"/>
      <c r="AC641" s="150"/>
      <c r="AD641" s="150"/>
      <c r="AE641" s="151" t="s">
        <v>76</v>
      </c>
      <c r="AF641" s="152"/>
      <c r="AG641" s="152"/>
    </row>
    <row r="642">
      <c r="A642" s="245" t="s">
        <v>77</v>
      </c>
      <c r="B642" s="245" t="s">
        <v>78</v>
      </c>
      <c r="C642" s="245" t="s">
        <v>79</v>
      </c>
      <c r="D642" s="241" t="s">
        <v>80</v>
      </c>
      <c r="E642" s="225" t="s">
        <v>81</v>
      </c>
      <c r="F642" s="226" t="s">
        <v>82</v>
      </c>
      <c r="G642" s="227" t="s">
        <v>139</v>
      </c>
      <c r="H642" s="228" t="s">
        <v>83</v>
      </c>
      <c r="I642" s="157" t="s">
        <v>84</v>
      </c>
      <c r="J642" s="155" t="s">
        <v>85</v>
      </c>
      <c r="K642" s="158" t="s">
        <v>86</v>
      </c>
      <c r="L642" s="158" t="s">
        <v>87</v>
      </c>
      <c r="M642" s="159" t="s">
        <v>88</v>
      </c>
      <c r="N642" s="160" t="s">
        <v>89</v>
      </c>
      <c r="O642" s="148" t="s">
        <v>90</v>
      </c>
      <c r="P642" s="160" t="s">
        <v>91</v>
      </c>
      <c r="Q642" s="160" t="s">
        <v>92</v>
      </c>
      <c r="R642" s="161" t="s">
        <v>93</v>
      </c>
      <c r="S642" s="160" t="s">
        <v>94</v>
      </c>
      <c r="T642" s="161" t="s">
        <v>95</v>
      </c>
      <c r="U642" s="162" t="s">
        <v>96</v>
      </c>
      <c r="V642" s="162" t="s">
        <v>97</v>
      </c>
      <c r="W642" s="162" t="s">
        <v>98</v>
      </c>
      <c r="X642" s="163" t="s">
        <v>99</v>
      </c>
      <c r="Y642" s="164" t="s">
        <v>100</v>
      </c>
      <c r="Z642" s="164" t="s">
        <v>101</v>
      </c>
      <c r="AA642" s="164" t="s">
        <v>102</v>
      </c>
      <c r="AB642" s="164" t="s">
        <v>103</v>
      </c>
      <c r="AC642" s="164" t="s">
        <v>104</v>
      </c>
      <c r="AD642" s="165" t="s">
        <v>105</v>
      </c>
      <c r="AE642" s="151"/>
      <c r="AF642" s="152"/>
      <c r="AG642" s="152"/>
    </row>
    <row r="643">
      <c r="A643" s="166">
        <v>46294</v>
      </c>
      <c r="B643" s="192" t="s">
        <v>138</v>
      </c>
      <c r="C643" s="168" t="s">
        <v>107</v>
      </c>
      <c r="D643" s="195">
        <f t="shared" ref="D643:D646" si="413">E643+F643+G643</f>
      </c>
      <c r="E643" s="170">
        <v>991.23</v>
      </c>
      <c r="F643" s="229">
        <v>593.4</v>
      </c>
      <c r="G643" s="229">
        <v>0</v>
      </c>
      <c r="H643" s="170">
        <v>0</v>
      </c>
      <c r="I643" s="170">
        <v>0</v>
      </c>
      <c r="J643" s="171">
        <f t="shared" ref="J643:J663" si="208">I643/D643</f>
      </c>
      <c r="K643" s="172">
        <f t="shared" ref="K643:K663" si="118">Z643/Y643</f>
      </c>
      <c r="L643" s="173">
        <f t="shared" ref="L643:L663" si="58">D643/AA643</f>
      </c>
      <c r="M643" s="174">
        <f t="shared" ref="M643:M663" si="148">AB643/AA643</f>
      </c>
      <c r="N643" s="172">
        <f t="shared" ref="N643:N663" si="28">AC643/AA643</f>
      </c>
      <c r="O643" s="173">
        <f t="shared" ref="O643:O663" si="479">D643/AC643</f>
      </c>
      <c r="P643" s="172">
        <f t="shared" ref="P643:P663" si="449">AD643/AC643</f>
      </c>
      <c r="Q643" s="172">
        <f t="shared" ref="Q643:Q663" si="371">H643/AD643</f>
      </c>
      <c r="R643" s="173">
        <f t="shared" ref="R643:R663" si="341">D643/H643</f>
      </c>
      <c r="S643" s="175">
        <f t="shared" ref="S643:S663" si="238">I643/H643</f>
      </c>
      <c r="T643" s="173">
        <f t="shared" ref="T643:T663" si="178">D643/X643</f>
      </c>
      <c r="U643" s="176">
        <f t="shared" ref="U643:U663" si="88">AE643*1000/D643</f>
      </c>
      <c r="V643" s="177" t="s">
        <v>108</v>
      </c>
      <c r="W643" s="178" t="s">
        <v>109</v>
      </c>
      <c r="X643" s="170">
        <v>0</v>
      </c>
      <c r="Y643" s="169">
        <v>3589</v>
      </c>
      <c r="Z643" s="169">
        <v>675</v>
      </c>
      <c r="AA643" s="169">
        <v>1057</v>
      </c>
      <c r="AB643" s="169">
        <v>299</v>
      </c>
      <c r="AC643" s="179">
        <v>7</v>
      </c>
      <c r="AD643" s="179">
        <v>0</v>
      </c>
      <c r="AE643" s="180">
        <v>22</v>
      </c>
      <c r="AF643" s="236"/>
      <c r="AG643" s="152"/>
    </row>
    <row r="644">
      <c r="A644" s="166"/>
      <c r="B644" s="247" t="s">
        <v>110</v>
      </c>
      <c r="C644" s="168" t="s">
        <v>107</v>
      </c>
      <c r="D644" s="169">
        <f t="shared" si="413"/>
      </c>
      <c r="E644" s="170">
        <v>1874.88</v>
      </c>
      <c r="F644" s="170">
        <v>1671.51</v>
      </c>
      <c r="G644" s="170">
        <v>0</v>
      </c>
      <c r="H644" s="170">
        <v>4</v>
      </c>
      <c r="I644" s="170">
        <v>7614.68</v>
      </c>
      <c r="J644" s="171">
        <f t="shared" si="208"/>
      </c>
      <c r="K644" s="172">
        <f t="shared" si="118"/>
      </c>
      <c r="L644" s="173">
        <f t="shared" si="58"/>
      </c>
      <c r="M644" s="174">
        <f t="shared" si="148"/>
      </c>
      <c r="N644" s="172">
        <f t="shared" si="28"/>
      </c>
      <c r="O644" s="173">
        <f t="shared" si="479"/>
      </c>
      <c r="P644" s="172">
        <f t="shared" si="449"/>
      </c>
      <c r="Q644" s="172">
        <f t="shared" si="371"/>
      </c>
      <c r="R644" s="173">
        <f t="shared" si="341"/>
      </c>
      <c r="S644" s="175">
        <f t="shared" si="238"/>
      </c>
      <c r="T644" s="173">
        <f t="shared" si="178"/>
      </c>
      <c r="U644" s="176">
        <f t="shared" si="88"/>
      </c>
      <c r="V644" s="177" t="s">
        <v>108</v>
      </c>
      <c r="W644" s="178" t="s">
        <v>109</v>
      </c>
      <c r="X644" s="208">
        <v>3</v>
      </c>
      <c r="Y644" s="169">
        <v>6486</v>
      </c>
      <c r="Z644" s="169">
        <v>1001</v>
      </c>
      <c r="AA644" s="169">
        <v>1512</v>
      </c>
      <c r="AB644" s="169">
        <v>422</v>
      </c>
      <c r="AC644" s="169">
        <v>22</v>
      </c>
      <c r="AD644" s="179">
        <v>5</v>
      </c>
      <c r="AE644" s="180">
        <v>34</v>
      </c>
      <c r="AF644" s="236"/>
      <c r="AG644" s="152"/>
    </row>
    <row r="645">
      <c r="A645" s="166"/>
      <c r="B645" s="181" t="s">
        <v>111</v>
      </c>
      <c r="C645" s="168" t="s">
        <v>107</v>
      </c>
      <c r="D645" s="169">
        <f t="shared" si="413"/>
      </c>
      <c r="E645" s="169">
        <v>1321.99</v>
      </c>
      <c r="F645" s="169">
        <v>1337.16</v>
      </c>
      <c r="G645" s="170">
        <v>0</v>
      </c>
      <c r="H645" s="170">
        <v>4</v>
      </c>
      <c r="I645" s="170">
        <v>15365.640000000007</v>
      </c>
      <c r="J645" s="171">
        <f t="shared" si="208"/>
      </c>
      <c r="K645" s="172">
        <f t="shared" si="118"/>
      </c>
      <c r="L645" s="173">
        <f t="shared" si="58"/>
      </c>
      <c r="M645" s="174">
        <f t="shared" si="148"/>
      </c>
      <c r="N645" s="172">
        <f t="shared" si="28"/>
      </c>
      <c r="O645" s="173">
        <f t="shared" si="479"/>
      </c>
      <c r="P645" s="172">
        <f t="shared" si="449"/>
      </c>
      <c r="Q645" s="172">
        <f t="shared" si="371"/>
      </c>
      <c r="R645" s="173">
        <f t="shared" si="341"/>
      </c>
      <c r="S645" s="175">
        <f t="shared" si="238"/>
      </c>
      <c r="T645" s="173">
        <f t="shared" si="178"/>
      </c>
      <c r="U645" s="176">
        <f t="shared" si="88"/>
      </c>
      <c r="V645" s="177" t="s">
        <v>108</v>
      </c>
      <c r="W645" s="178" t="s">
        <v>109</v>
      </c>
      <c r="X645" s="205">
        <v>4</v>
      </c>
      <c r="Y645" s="169">
        <v>5123</v>
      </c>
      <c r="Z645" s="169">
        <v>851</v>
      </c>
      <c r="AA645" s="169">
        <v>1276</v>
      </c>
      <c r="AB645" s="169">
        <v>393</v>
      </c>
      <c r="AC645" s="169">
        <v>26</v>
      </c>
      <c r="AD645" s="179">
        <v>5</v>
      </c>
      <c r="AE645" s="180">
        <v>31</v>
      </c>
      <c r="AF645" s="236"/>
      <c r="AG645" s="152"/>
    </row>
    <row r="646">
      <c r="A646" s="166"/>
      <c r="B646" s="183" t="s">
        <v>112</v>
      </c>
      <c r="C646" s="168" t="s">
        <v>107</v>
      </c>
      <c r="D646" s="169">
        <f t="shared" si="413"/>
      </c>
      <c r="E646" s="169">
        <v>4136.19</v>
      </c>
      <c r="F646" s="170">
        <v>2304.66</v>
      </c>
      <c r="G646" s="170">
        <v>0</v>
      </c>
      <c r="H646" s="170">
        <v>2</v>
      </c>
      <c r="I646" s="170">
        <v>6352.239999999998</v>
      </c>
      <c r="J646" s="171">
        <f t="shared" si="208"/>
      </c>
      <c r="K646" s="172">
        <f t="shared" si="118"/>
      </c>
      <c r="L646" s="173">
        <f t="shared" si="58"/>
      </c>
      <c r="M646" s="174">
        <f t="shared" si="148"/>
      </c>
      <c r="N646" s="172">
        <f t="shared" si="28"/>
      </c>
      <c r="O646" s="173">
        <f t="shared" si="479"/>
      </c>
      <c r="P646" s="172">
        <f t="shared" si="449"/>
      </c>
      <c r="Q646" s="172">
        <f t="shared" si="371"/>
      </c>
      <c r="R646" s="173">
        <f t="shared" si="341"/>
      </c>
      <c r="S646" s="175">
        <f t="shared" si="238"/>
      </c>
      <c r="T646" s="173">
        <f t="shared" si="178"/>
      </c>
      <c r="U646" s="176">
        <f t="shared" si="88"/>
      </c>
      <c r="V646" s="177" t="s">
        <v>108</v>
      </c>
      <c r="W646" s="178" t="s">
        <v>109</v>
      </c>
      <c r="X646" s="208">
        <v>2</v>
      </c>
      <c r="Y646" s="169">
        <v>16377</v>
      </c>
      <c r="Z646" s="169">
        <v>1802</v>
      </c>
      <c r="AA646" s="169">
        <v>2557</v>
      </c>
      <c r="AB646" s="169">
        <v>792</v>
      </c>
      <c r="AC646" s="169">
        <v>48</v>
      </c>
      <c r="AD646" s="179">
        <v>3</v>
      </c>
      <c r="AE646" s="180">
        <v>73</v>
      </c>
      <c r="AF646" s="236"/>
      <c r="AG646" s="152"/>
    </row>
    <row r="647">
      <c r="A647" s="166"/>
      <c r="B647" s="184" t="s">
        <v>113</v>
      </c>
      <c r="C647" s="184"/>
      <c r="D647" s="185">
        <f>D643+D644+D645+D646</f>
      </c>
      <c r="E647" s="185">
        <f>SUM(E643:E646)</f>
      </c>
      <c r="F647" s="185">
        <f>SUM(F643:F646)</f>
      </c>
      <c r="G647" s="185">
        <f>SUM(G643:G646)</f>
      </c>
      <c r="H647" s="185">
        <f>SUM(H643:H646)</f>
      </c>
      <c r="I647" s="185">
        <f>SUM(I643:I646)</f>
      </c>
      <c r="J647" s="186">
        <f t="shared" si="208"/>
      </c>
      <c r="K647" s="187">
        <f t="shared" si="118"/>
      </c>
      <c r="L647" s="188">
        <f t="shared" si="58"/>
      </c>
      <c r="M647" s="189">
        <f t="shared" si="148"/>
      </c>
      <c r="N647" s="187">
        <f t="shared" si="28"/>
      </c>
      <c r="O647" s="188">
        <f t="shared" si="479"/>
      </c>
      <c r="P647" s="187">
        <f t="shared" si="449"/>
      </c>
      <c r="Q647" s="187">
        <f t="shared" si="371"/>
      </c>
      <c r="R647" s="188">
        <f t="shared" si="341"/>
      </c>
      <c r="S647" s="190">
        <f t="shared" si="238"/>
      </c>
      <c r="T647" s="188">
        <f t="shared" si="178"/>
      </c>
      <c r="U647" s="191">
        <f t="shared" si="88"/>
      </c>
      <c r="V647" s="191"/>
      <c r="W647" s="191"/>
      <c r="X647" s="206">
        <f>SUM(X643:X646)</f>
      </c>
      <c r="Y647" s="185">
        <f>SUM(Y643:Y646)</f>
      </c>
      <c r="Z647" s="185">
        <f>SUM(Z643:Z646)</f>
      </c>
      <c r="AA647" s="185">
        <f>SUM(AA643:AA646)</f>
      </c>
      <c r="AB647" s="185">
        <f>SUM(AB643:AB646)</f>
      </c>
      <c r="AC647" s="185">
        <f>SUM(AC643:AC646)</f>
      </c>
      <c r="AD647" s="185">
        <f>SUM(AD643:AD646)</f>
      </c>
      <c r="AE647" s="185">
        <f>SUM(AE643:AE646)</f>
      </c>
      <c r="AF647" s="152"/>
      <c r="AG647" s="152"/>
    </row>
    <row r="648">
      <c r="A648" s="166"/>
      <c r="B648" s="181" t="s">
        <v>114</v>
      </c>
      <c r="C648" s="168" t="s">
        <v>120</v>
      </c>
      <c r="D648" s="169">
        <f t="shared" ref="D648:D651" si="414">E648+F648+G648</f>
      </c>
      <c r="E648" s="169">
        <v>1803.91</v>
      </c>
      <c r="F648" s="169">
        <v>1161.34</v>
      </c>
      <c r="G648" s="170">
        <v>0</v>
      </c>
      <c r="H648" s="170">
        <v>1</v>
      </c>
      <c r="I648" s="170">
        <v>494.6399999999994</v>
      </c>
      <c r="J648" s="171">
        <f t="shared" si="208"/>
      </c>
      <c r="K648" s="172">
        <f t="shared" si="118"/>
      </c>
      <c r="L648" s="173">
        <f t="shared" si="58"/>
      </c>
      <c r="M648" s="174">
        <f t="shared" si="148"/>
      </c>
      <c r="N648" s="172">
        <f t="shared" si="28"/>
      </c>
      <c r="O648" s="173">
        <f t="shared" si="479"/>
      </c>
      <c r="P648" s="172">
        <f t="shared" si="449"/>
      </c>
      <c r="Q648" s="172">
        <f t="shared" si="371"/>
      </c>
      <c r="R648" s="173">
        <f t="shared" si="341"/>
      </c>
      <c r="S648" s="175">
        <f t="shared" si="238"/>
      </c>
      <c r="T648" s="173">
        <f t="shared" si="178"/>
      </c>
      <c r="U648" s="176">
        <f t="shared" si="88"/>
      </c>
      <c r="V648" s="177" t="s">
        <v>108</v>
      </c>
      <c r="W648" s="178" t="s">
        <v>109</v>
      </c>
      <c r="X648" s="208">
        <v>1</v>
      </c>
      <c r="Y648" s="170">
        <v>5983</v>
      </c>
      <c r="Z648" s="170">
        <v>825</v>
      </c>
      <c r="AA648" s="169">
        <v>1130</v>
      </c>
      <c r="AB648" s="170">
        <v>359</v>
      </c>
      <c r="AC648" s="170">
        <v>18</v>
      </c>
      <c r="AD648" s="179">
        <v>1</v>
      </c>
      <c r="AE648" s="180">
        <v>21</v>
      </c>
      <c r="AF648" s="236"/>
      <c r="AG648" s="152"/>
    </row>
    <row r="649">
      <c r="A649" s="166"/>
      <c r="B649" s="181" t="s">
        <v>116</v>
      </c>
      <c r="C649" s="168" t="s">
        <v>120</v>
      </c>
      <c r="D649" s="169">
        <f t="shared" si="414"/>
      </c>
      <c r="E649" s="169">
        <v>2620.47</v>
      </c>
      <c r="F649" s="169">
        <v>718.44</v>
      </c>
      <c r="G649" s="170">
        <v>0</v>
      </c>
      <c r="H649" s="170">
        <v>1</v>
      </c>
      <c r="I649" s="169">
        <v>737.6399999999994</v>
      </c>
      <c r="J649" s="171">
        <f t="shared" si="208"/>
      </c>
      <c r="K649" s="172">
        <f t="shared" si="118"/>
      </c>
      <c r="L649" s="173">
        <f t="shared" si="58"/>
      </c>
      <c r="M649" s="174">
        <f t="shared" si="148"/>
      </c>
      <c r="N649" s="172">
        <f t="shared" si="28"/>
      </c>
      <c r="O649" s="173">
        <f t="shared" si="479"/>
      </c>
      <c r="P649" s="172">
        <f t="shared" si="449"/>
      </c>
      <c r="Q649" s="172">
        <f t="shared" si="371"/>
      </c>
      <c r="R649" s="173">
        <f t="shared" si="341"/>
      </c>
      <c r="S649" s="175">
        <f t="shared" si="238"/>
      </c>
      <c r="T649" s="173">
        <f t="shared" si="178"/>
      </c>
      <c r="U649" s="176">
        <f t="shared" si="88"/>
      </c>
      <c r="V649" s="177" t="s">
        <v>108</v>
      </c>
      <c r="W649" s="178" t="s">
        <v>109</v>
      </c>
      <c r="X649" s="208">
        <v>1</v>
      </c>
      <c r="Y649" s="170">
        <v>7686</v>
      </c>
      <c r="Z649" s="170">
        <v>824</v>
      </c>
      <c r="AA649" s="170">
        <v>1129</v>
      </c>
      <c r="AB649" s="170">
        <v>314</v>
      </c>
      <c r="AC649" s="170">
        <v>23</v>
      </c>
      <c r="AD649" s="179">
        <v>2</v>
      </c>
      <c r="AE649" s="180">
        <v>21</v>
      </c>
      <c r="AF649" s="236"/>
      <c r="AG649" s="152"/>
    </row>
    <row r="650">
      <c r="A650" s="166"/>
      <c r="B650" s="181" t="s">
        <v>117</v>
      </c>
      <c r="C650" s="168" t="s">
        <v>120</v>
      </c>
      <c r="D650" s="169">
        <f t="shared" si="414"/>
      </c>
      <c r="E650" s="169">
        <v>2381.68</v>
      </c>
      <c r="F650" s="170">
        <v>1048.04</v>
      </c>
      <c r="G650" s="170">
        <v>0</v>
      </c>
      <c r="H650" s="170">
        <v>1</v>
      </c>
      <c r="I650" s="170">
        <v>5756.4000000000015</v>
      </c>
      <c r="J650" s="171">
        <f t="shared" si="208"/>
      </c>
      <c r="K650" s="172">
        <f t="shared" si="118"/>
      </c>
      <c r="L650" s="173">
        <f t="shared" si="58"/>
      </c>
      <c r="M650" s="174">
        <f t="shared" si="148"/>
      </c>
      <c r="N650" s="172">
        <f t="shared" si="28"/>
      </c>
      <c r="O650" s="173">
        <f t="shared" si="479"/>
      </c>
      <c r="P650" s="172">
        <f t="shared" si="449"/>
      </c>
      <c r="Q650" s="172">
        <f t="shared" si="371"/>
      </c>
      <c r="R650" s="173">
        <f t="shared" si="341"/>
      </c>
      <c r="S650" s="175">
        <f t="shared" si="238"/>
      </c>
      <c r="T650" s="173">
        <f t="shared" si="178"/>
      </c>
      <c r="U650" s="176">
        <f t="shared" si="88"/>
      </c>
      <c r="V650" s="177" t="s">
        <v>108</v>
      </c>
      <c r="W650" s="178" t="s">
        <v>109</v>
      </c>
      <c r="X650" s="208">
        <v>1</v>
      </c>
      <c r="Y650" s="170">
        <v>7164</v>
      </c>
      <c r="Z650" s="170">
        <v>1186</v>
      </c>
      <c r="AA650" s="170">
        <v>1593</v>
      </c>
      <c r="AB650" s="170">
        <v>531</v>
      </c>
      <c r="AC650" s="170">
        <v>28</v>
      </c>
      <c r="AD650" s="179">
        <v>2</v>
      </c>
      <c r="AE650" s="180">
        <v>54</v>
      </c>
      <c r="AF650" s="236"/>
      <c r="AG650" s="152"/>
    </row>
    <row r="651">
      <c r="A651" s="166"/>
      <c r="B651" s="181" t="s">
        <v>118</v>
      </c>
      <c r="C651" s="168" t="s">
        <v>120</v>
      </c>
      <c r="D651" s="169">
        <f t="shared" si="414"/>
      </c>
      <c r="E651" s="169">
        <v>2219.74</v>
      </c>
      <c r="F651" s="170">
        <v>871.76</v>
      </c>
      <c r="G651" s="170">
        <v>0</v>
      </c>
      <c r="H651" s="170">
        <v>3</v>
      </c>
      <c r="I651" s="170">
        <v>3582.4400000000023</v>
      </c>
      <c r="J651" s="171">
        <f t="shared" si="208"/>
      </c>
      <c r="K651" s="172">
        <f t="shared" si="118"/>
      </c>
      <c r="L651" s="173">
        <f t="shared" si="58"/>
      </c>
      <c r="M651" s="174">
        <f t="shared" si="148"/>
      </c>
      <c r="N651" s="172">
        <f t="shared" si="28"/>
      </c>
      <c r="O651" s="173">
        <f t="shared" si="479"/>
      </c>
      <c r="P651" s="172">
        <f t="shared" si="449"/>
      </c>
      <c r="Q651" s="172">
        <f t="shared" si="371"/>
      </c>
      <c r="R651" s="173">
        <f t="shared" si="341"/>
      </c>
      <c r="S651" s="175">
        <f t="shared" si="238"/>
      </c>
      <c r="T651" s="173">
        <f t="shared" si="178"/>
      </c>
      <c r="U651" s="176">
        <f t="shared" si="88"/>
      </c>
      <c r="V651" s="177" t="s">
        <v>108</v>
      </c>
      <c r="W651" s="178" t="s">
        <v>109</v>
      </c>
      <c r="X651" s="208">
        <v>3</v>
      </c>
      <c r="Y651" s="170">
        <v>6086</v>
      </c>
      <c r="Z651" s="170">
        <v>1121</v>
      </c>
      <c r="AA651" s="170">
        <v>1514</v>
      </c>
      <c r="AB651" s="170">
        <v>508</v>
      </c>
      <c r="AC651" s="170">
        <v>18</v>
      </c>
      <c r="AD651" s="179">
        <v>7</v>
      </c>
      <c r="AE651" s="180">
        <v>56</v>
      </c>
      <c r="AF651" s="236"/>
      <c r="AG651" s="152"/>
    </row>
    <row r="652">
      <c r="A652" s="166"/>
      <c r="B652" s="184" t="s">
        <v>113</v>
      </c>
      <c r="C652" s="184"/>
      <c r="D652" s="185">
        <f>SUM(D648:D651)</f>
      </c>
      <c r="E652" s="185">
        <f>SUM(E648:E651)</f>
      </c>
      <c r="F652" s="185">
        <f>SUM(F648:F651)</f>
      </c>
      <c r="G652" s="185">
        <f>SUM(G648:G651)</f>
      </c>
      <c r="H652" s="185">
        <f>SUM(H648:H651)</f>
      </c>
      <c r="I652" s="185">
        <f>SUM(I648:I651)</f>
      </c>
      <c r="J652" s="186">
        <f t="shared" si="208"/>
      </c>
      <c r="K652" s="187">
        <f t="shared" si="118"/>
      </c>
      <c r="L652" s="188">
        <f t="shared" si="58"/>
      </c>
      <c r="M652" s="189">
        <f t="shared" si="148"/>
      </c>
      <c r="N652" s="187">
        <f t="shared" si="28"/>
      </c>
      <c r="O652" s="188">
        <f t="shared" si="479"/>
      </c>
      <c r="P652" s="187">
        <f t="shared" si="449"/>
      </c>
      <c r="Q652" s="187">
        <f t="shared" si="371"/>
      </c>
      <c r="R652" s="188">
        <f t="shared" si="341"/>
      </c>
      <c r="S652" s="190">
        <f t="shared" si="238"/>
      </c>
      <c r="T652" s="188">
        <f t="shared" si="178"/>
      </c>
      <c r="U652" s="191">
        <f t="shared" si="88"/>
      </c>
      <c r="V652" s="191"/>
      <c r="W652" s="191"/>
      <c r="X652" s="206">
        <f>SUM(X648:X651)</f>
      </c>
      <c r="Y652" s="209">
        <f>SUM(Y648:Y651)</f>
      </c>
      <c r="Z652" s="209">
        <f>SUM(Z648:Z651)</f>
      </c>
      <c r="AA652" s="209">
        <f>SUM(AA648:AA651)</f>
      </c>
      <c r="AB652" s="209">
        <f>SUM(AB648:AB651)</f>
      </c>
      <c r="AC652" s="209">
        <f>SUM(AC648:AC651)</f>
      </c>
      <c r="AD652" s="209">
        <f>SUM(AD648:AD651)</f>
      </c>
      <c r="AE652" s="209">
        <f>SUM(AE648:AE651)</f>
      </c>
      <c r="AF652" s="152"/>
      <c r="AG652" s="152"/>
    </row>
    <row r="653">
      <c r="A653" s="166"/>
      <c r="B653" s="192" t="s">
        <v>119</v>
      </c>
      <c r="C653" s="168" t="s">
        <v>137</v>
      </c>
      <c r="D653" s="169">
        <f t="shared" ref="D653:D656" si="415">E653+F653+G653</f>
      </c>
      <c r="E653" s="170">
        <v>4213.950000000001</v>
      </c>
      <c r="F653" s="170">
        <v>791.09</v>
      </c>
      <c r="G653" s="170">
        <v>0</v>
      </c>
      <c r="H653" s="170">
        <v>4</v>
      </c>
      <c r="I653" s="170">
        <v>4155.5999999999985</v>
      </c>
      <c r="J653" s="171">
        <f t="shared" si="208"/>
      </c>
      <c r="K653" s="172">
        <f t="shared" si="118"/>
      </c>
      <c r="L653" s="173">
        <f t="shared" si="58"/>
      </c>
      <c r="M653" s="174">
        <f t="shared" si="148"/>
      </c>
      <c r="N653" s="172">
        <f t="shared" si="28"/>
      </c>
      <c r="O653" s="173">
        <f t="shared" si="479"/>
      </c>
      <c r="P653" s="172">
        <f t="shared" si="449"/>
      </c>
      <c r="Q653" s="172">
        <f t="shared" si="371"/>
      </c>
      <c r="R653" s="173">
        <f t="shared" si="341"/>
      </c>
      <c r="S653" s="175">
        <f t="shared" si="238"/>
      </c>
      <c r="T653" s="173">
        <f t="shared" si="178"/>
      </c>
      <c r="U653" s="176">
        <f t="shared" si="88"/>
      </c>
      <c r="V653" s="177" t="s">
        <v>108</v>
      </c>
      <c r="W653" s="178" t="s">
        <v>133</v>
      </c>
      <c r="X653" s="170">
        <v>3</v>
      </c>
      <c r="Y653" s="170">
        <v>9952</v>
      </c>
      <c r="Z653" s="170">
        <v>1387</v>
      </c>
      <c r="AA653" s="169">
        <v>1691</v>
      </c>
      <c r="AB653" s="170">
        <v>511</v>
      </c>
      <c r="AC653" s="179">
        <v>41</v>
      </c>
      <c r="AD653" s="179">
        <v>5</v>
      </c>
      <c r="AE653" s="180">
        <v>38</v>
      </c>
      <c r="AF653" s="236"/>
      <c r="AG653" s="152"/>
    </row>
    <row r="654">
      <c r="A654" s="166"/>
      <c r="B654" s="194" t="s">
        <v>122</v>
      </c>
      <c r="C654" s="168" t="s">
        <v>137</v>
      </c>
      <c r="D654" s="169">
        <f t="shared" si="415"/>
      </c>
      <c r="E654" s="169">
        <v>3373.06</v>
      </c>
      <c r="F654" s="170">
        <v>867.78</v>
      </c>
      <c r="G654" s="170">
        <v>0</v>
      </c>
      <c r="H654" s="170">
        <v>2</v>
      </c>
      <c r="I654" s="170">
        <v>6684</v>
      </c>
      <c r="J654" s="171">
        <f t="shared" si="208"/>
      </c>
      <c r="K654" s="172">
        <f t="shared" si="118"/>
      </c>
      <c r="L654" s="173">
        <f t="shared" si="58"/>
      </c>
      <c r="M654" s="174">
        <f t="shared" si="148"/>
      </c>
      <c r="N654" s="172">
        <f t="shared" si="28"/>
      </c>
      <c r="O654" s="173">
        <f t="shared" si="479"/>
      </c>
      <c r="P654" s="172">
        <f t="shared" si="449"/>
      </c>
      <c r="Q654" s="172">
        <f t="shared" si="371"/>
      </c>
      <c r="R654" s="173">
        <f t="shared" si="341"/>
      </c>
      <c r="S654" s="175">
        <f t="shared" si="238"/>
      </c>
      <c r="T654" s="173">
        <f t="shared" si="178"/>
      </c>
      <c r="U654" s="176">
        <f t="shared" si="88"/>
      </c>
      <c r="V654" s="177" t="s">
        <v>108</v>
      </c>
      <c r="W654" s="178" t="s">
        <v>133</v>
      </c>
      <c r="X654" s="208">
        <v>1</v>
      </c>
      <c r="Y654" s="169">
        <v>8345</v>
      </c>
      <c r="Z654" s="169">
        <v>1072</v>
      </c>
      <c r="AA654" s="169">
        <v>1475</v>
      </c>
      <c r="AB654" s="169">
        <v>474</v>
      </c>
      <c r="AC654" s="169">
        <v>26</v>
      </c>
      <c r="AD654" s="179">
        <v>5</v>
      </c>
      <c r="AE654" s="180">
        <v>44</v>
      </c>
      <c r="AF654" s="152"/>
      <c r="AG654" s="152"/>
    </row>
    <row r="655">
      <c r="A655" s="166"/>
      <c r="B655" s="210" t="s">
        <v>123</v>
      </c>
      <c r="C655" s="168" t="s">
        <v>137</v>
      </c>
      <c r="D655" s="169">
        <f t="shared" si="415"/>
      </c>
      <c r="E655" s="170">
        <v>1586.17</v>
      </c>
      <c r="F655" s="170">
        <v>803.16</v>
      </c>
      <c r="G655" s="170">
        <v>0</v>
      </c>
      <c r="H655" s="170">
        <v>1</v>
      </c>
      <c r="I655" s="170">
        <v>1216.0800000000017</v>
      </c>
      <c r="J655" s="171">
        <f t="shared" si="208"/>
      </c>
      <c r="K655" s="172">
        <f t="shared" si="118"/>
      </c>
      <c r="L655" s="173">
        <f t="shared" si="58"/>
      </c>
      <c r="M655" s="174">
        <f t="shared" si="148"/>
      </c>
      <c r="N655" s="172">
        <f t="shared" si="28"/>
      </c>
      <c r="O655" s="173">
        <f t="shared" si="479"/>
      </c>
      <c r="P655" s="172">
        <f t="shared" si="449"/>
      </c>
      <c r="Q655" s="172">
        <f t="shared" si="371"/>
      </c>
      <c r="R655" s="173">
        <f t="shared" si="341"/>
      </c>
      <c r="S655" s="175">
        <f t="shared" si="238"/>
      </c>
      <c r="T655" s="173">
        <f t="shared" si="178"/>
      </c>
      <c r="U655" s="176">
        <f t="shared" si="88"/>
      </c>
      <c r="V655" s="177" t="s">
        <v>108</v>
      </c>
      <c r="W655" s="178" t="s">
        <v>133</v>
      </c>
      <c r="X655" s="208">
        <v>0</v>
      </c>
      <c r="Y655" s="169">
        <v>6511</v>
      </c>
      <c r="Z655" s="169">
        <v>750</v>
      </c>
      <c r="AA655" s="169">
        <v>1072</v>
      </c>
      <c r="AB655" s="169">
        <v>331</v>
      </c>
      <c r="AC655" s="169">
        <v>18</v>
      </c>
      <c r="AD655" s="179">
        <v>3</v>
      </c>
      <c r="AE655" s="180">
        <v>22</v>
      </c>
      <c r="AF655" s="152"/>
      <c r="AG655" s="152"/>
    </row>
    <row r="656">
      <c r="A656" s="166"/>
      <c r="B656" s="183" t="s">
        <v>124</v>
      </c>
      <c r="C656" s="168" t="s">
        <v>137</v>
      </c>
      <c r="D656" s="169">
        <f t="shared" si="415"/>
      </c>
      <c r="E656" s="170">
        <v>1341.6599999999999</v>
      </c>
      <c r="F656" s="170">
        <v>825.06</v>
      </c>
      <c r="G656" s="170">
        <v>0</v>
      </c>
      <c r="H656" s="170">
        <v>0</v>
      </c>
      <c r="I656" s="170">
        <v>0</v>
      </c>
      <c r="J656" s="171">
        <f t="shared" si="208"/>
      </c>
      <c r="K656" s="172">
        <f t="shared" si="118"/>
      </c>
      <c r="L656" s="173">
        <f t="shared" si="58"/>
      </c>
      <c r="M656" s="174">
        <f t="shared" si="148"/>
      </c>
      <c r="N656" s="172">
        <f t="shared" si="28"/>
      </c>
      <c r="O656" s="173">
        <f t="shared" si="479"/>
      </c>
      <c r="P656" s="172">
        <f t="shared" si="449"/>
      </c>
      <c r="Q656" s="172">
        <f t="shared" si="371"/>
      </c>
      <c r="R656" s="173">
        <f t="shared" si="341"/>
      </c>
      <c r="S656" s="175">
        <f t="shared" si="238"/>
      </c>
      <c r="T656" s="173">
        <f t="shared" si="178"/>
      </c>
      <c r="U656" s="176">
        <f t="shared" si="88"/>
      </c>
      <c r="V656" s="177" t="s">
        <v>108</v>
      </c>
      <c r="W656" s="178" t="s">
        <v>133</v>
      </c>
      <c r="X656" s="205">
        <v>0</v>
      </c>
      <c r="Y656" s="169">
        <v>5273</v>
      </c>
      <c r="Z656" s="169">
        <v>652</v>
      </c>
      <c r="AA656" s="169">
        <v>1002</v>
      </c>
      <c r="AB656" s="169">
        <v>269</v>
      </c>
      <c r="AC656" s="169">
        <v>22</v>
      </c>
      <c r="AD656" s="179">
        <v>2</v>
      </c>
      <c r="AE656" s="180">
        <v>23</v>
      </c>
      <c r="AF656" s="152"/>
      <c r="AG656" s="152"/>
    </row>
    <row r="657">
      <c r="A657" s="166"/>
      <c r="B657" s="184" t="s">
        <v>113</v>
      </c>
      <c r="C657" s="184"/>
      <c r="D657" s="185">
        <f>SUM(D653:D656)</f>
      </c>
      <c r="E657" s="185">
        <f>SUM(E653:E656)</f>
      </c>
      <c r="F657" s="185">
        <f>SUM(F653:F656)</f>
      </c>
      <c r="G657" s="185">
        <f>SUM(G653:G656)</f>
      </c>
      <c r="H657" s="185">
        <f>SUM(H653:H656)</f>
      </c>
      <c r="I657" s="185">
        <f>SUM(I653:I656)</f>
      </c>
      <c r="J657" s="186">
        <f t="shared" si="208"/>
      </c>
      <c r="K657" s="187">
        <f t="shared" si="118"/>
      </c>
      <c r="L657" s="188">
        <f t="shared" si="58"/>
      </c>
      <c r="M657" s="189">
        <f t="shared" si="148"/>
      </c>
      <c r="N657" s="187">
        <f t="shared" si="28"/>
      </c>
      <c r="O657" s="188">
        <f t="shared" si="479"/>
      </c>
      <c r="P657" s="187">
        <f t="shared" si="449"/>
      </c>
      <c r="Q657" s="187">
        <f t="shared" si="371"/>
      </c>
      <c r="R657" s="188">
        <f t="shared" si="341"/>
      </c>
      <c r="S657" s="190">
        <f t="shared" si="238"/>
      </c>
      <c r="T657" s="188">
        <f t="shared" si="178"/>
      </c>
      <c r="U657" s="191">
        <f t="shared" si="88"/>
      </c>
      <c r="V657" s="191"/>
      <c r="W657" s="191"/>
      <c r="X657" s="206">
        <f>SUM(X653:X656)</f>
      </c>
      <c r="Y657" s="185">
        <f>SUM(Y653:Y656)</f>
      </c>
      <c r="Z657" s="185">
        <f>SUM(Z653:Z656)</f>
      </c>
      <c r="AA657" s="185">
        <f>SUM(AA653:AA656)</f>
      </c>
      <c r="AB657" s="185">
        <f>SUM(AB653:AB656)</f>
      </c>
      <c r="AC657" s="185">
        <f>SUM(AC653:AC656)</f>
      </c>
      <c r="AD657" s="185">
        <f>SUM(AD653:AD656)</f>
      </c>
      <c r="AE657" s="185">
        <f>SUM(AE653:AE656)</f>
      </c>
      <c r="AF657" s="152"/>
      <c r="AG657" s="152"/>
    </row>
    <row r="658">
      <c r="A658" s="166"/>
      <c r="B658" s="181" t="s">
        <v>125</v>
      </c>
      <c r="C658" s="168" t="s">
        <v>126</v>
      </c>
      <c r="D658" s="169">
        <f t="shared" ref="D658:D661" si="416">E658+F658+G658</f>
      </c>
      <c r="E658" s="170">
        <v>744.33</v>
      </c>
      <c r="F658" s="170">
        <v>724.52</v>
      </c>
      <c r="G658" s="170">
        <v>0</v>
      </c>
      <c r="H658" s="170">
        <v>0</v>
      </c>
      <c r="I658" s="170">
        <v>0</v>
      </c>
      <c r="J658" s="171">
        <f t="shared" si="208"/>
      </c>
      <c r="K658" s="172">
        <f t="shared" si="118"/>
      </c>
      <c r="L658" s="173">
        <f t="shared" si="58"/>
      </c>
      <c r="M658" s="174">
        <f t="shared" si="148"/>
      </c>
      <c r="N658" s="172">
        <f t="shared" si="28"/>
      </c>
      <c r="O658" s="173">
        <f t="shared" si="479"/>
      </c>
      <c r="P658" s="172">
        <f t="shared" si="449"/>
      </c>
      <c r="Q658" s="172">
        <f t="shared" si="371"/>
      </c>
      <c r="R658" s="173">
        <f t="shared" si="341"/>
      </c>
      <c r="S658" s="175">
        <f t="shared" si="238"/>
      </c>
      <c r="T658" s="173">
        <f t="shared" si="178"/>
      </c>
      <c r="U658" s="176">
        <f t="shared" si="88"/>
      </c>
      <c r="V658" s="177" t="s">
        <v>108</v>
      </c>
      <c r="W658" s="178" t="s">
        <v>133</v>
      </c>
      <c r="X658" s="170">
        <v>0</v>
      </c>
      <c r="Y658" s="169">
        <v>3767</v>
      </c>
      <c r="Z658" s="169">
        <v>421</v>
      </c>
      <c r="AA658" s="169">
        <v>661</v>
      </c>
      <c r="AB658" s="169">
        <v>161</v>
      </c>
      <c r="AC658" s="179">
        <v>16</v>
      </c>
      <c r="AD658" s="179">
        <v>1</v>
      </c>
      <c r="AE658" s="180">
        <v>12</v>
      </c>
      <c r="AF658" s="152"/>
      <c r="AG658" s="152"/>
    </row>
    <row r="659">
      <c r="A659" s="166"/>
      <c r="B659" s="212" t="s">
        <v>127</v>
      </c>
      <c r="C659" s="168" t="s">
        <v>126</v>
      </c>
      <c r="D659" s="169">
        <f t="shared" si="416"/>
      </c>
      <c r="E659" s="170">
        <v>1301.32</v>
      </c>
      <c r="F659" s="170">
        <v>948.12</v>
      </c>
      <c r="G659" s="170">
        <v>0</v>
      </c>
      <c r="H659" s="170">
        <v>2</v>
      </c>
      <c r="I659" s="170">
        <v>3427.9199999999983</v>
      </c>
      <c r="J659" s="171">
        <f t="shared" si="208"/>
      </c>
      <c r="K659" s="172">
        <f t="shared" si="118"/>
      </c>
      <c r="L659" s="173">
        <f t="shared" si="58"/>
      </c>
      <c r="M659" s="174">
        <f t="shared" si="148"/>
      </c>
      <c r="N659" s="172">
        <f t="shared" si="28"/>
      </c>
      <c r="O659" s="173">
        <f t="shared" si="479"/>
      </c>
      <c r="P659" s="172">
        <f t="shared" si="449"/>
      </c>
      <c r="Q659" s="172">
        <f t="shared" si="371"/>
      </c>
      <c r="R659" s="173">
        <f t="shared" si="341"/>
      </c>
      <c r="S659" s="175">
        <f t="shared" si="238"/>
      </c>
      <c r="T659" s="173">
        <f t="shared" si="178"/>
      </c>
      <c r="U659" s="176">
        <f t="shared" si="88"/>
      </c>
      <c r="V659" s="177" t="s">
        <v>108</v>
      </c>
      <c r="W659" s="178" t="s">
        <v>133</v>
      </c>
      <c r="X659" s="208">
        <v>1</v>
      </c>
      <c r="Y659" s="169">
        <v>6011</v>
      </c>
      <c r="Z659" s="169">
        <v>561</v>
      </c>
      <c r="AA659" s="169">
        <v>920</v>
      </c>
      <c r="AB659" s="169">
        <v>232</v>
      </c>
      <c r="AC659" s="169">
        <v>26</v>
      </c>
      <c r="AD659" s="179">
        <v>2</v>
      </c>
      <c r="AE659" s="230">
        <v>25</v>
      </c>
      <c r="AF659" s="152"/>
      <c r="AG659" s="152"/>
    </row>
    <row r="660">
      <c r="A660" s="166"/>
      <c r="B660" s="195" t="s">
        <v>128</v>
      </c>
      <c r="C660" s="168" t="s">
        <v>126</v>
      </c>
      <c r="D660" s="169">
        <f t="shared" si="416"/>
      </c>
      <c r="E660" s="170">
        <v>2859.8100000000004</v>
      </c>
      <c r="F660" s="170">
        <v>302.03</v>
      </c>
      <c r="G660" s="170">
        <v>0</v>
      </c>
      <c r="H660" s="170">
        <v>1</v>
      </c>
      <c r="I660" s="170">
        <v>1697.0400000000009</v>
      </c>
      <c r="J660" s="171">
        <f t="shared" si="208"/>
      </c>
      <c r="K660" s="172">
        <f t="shared" si="118"/>
      </c>
      <c r="L660" s="173">
        <f t="shared" si="58"/>
      </c>
      <c r="M660" s="174">
        <f t="shared" si="148"/>
      </c>
      <c r="N660" s="172">
        <f t="shared" si="28"/>
      </c>
      <c r="O660" s="173">
        <f t="shared" si="479"/>
      </c>
      <c r="P660" s="172">
        <f t="shared" si="449"/>
      </c>
      <c r="Q660" s="172">
        <f t="shared" si="371"/>
      </c>
      <c r="R660" s="173">
        <f t="shared" si="341"/>
      </c>
      <c r="S660" s="175">
        <f t="shared" si="238"/>
      </c>
      <c r="T660" s="173">
        <f t="shared" si="178"/>
      </c>
      <c r="U660" s="176">
        <f t="shared" si="88"/>
      </c>
      <c r="V660" s="177" t="s">
        <v>108</v>
      </c>
      <c r="W660" s="178" t="s">
        <v>133</v>
      </c>
      <c r="X660" s="208">
        <v>1</v>
      </c>
      <c r="Y660" s="169">
        <v>9042</v>
      </c>
      <c r="Z660" s="169">
        <v>662</v>
      </c>
      <c r="AA660" s="169">
        <v>889</v>
      </c>
      <c r="AB660" s="169">
        <v>230</v>
      </c>
      <c r="AC660" s="170">
        <v>29</v>
      </c>
      <c r="AD660" s="179">
        <v>3</v>
      </c>
      <c r="AE660" s="180">
        <v>19</v>
      </c>
      <c r="AF660" s="152"/>
      <c r="AG660" s="152"/>
    </row>
    <row r="661">
      <c r="A661" s="166"/>
      <c r="B661" s="212" t="s">
        <v>129</v>
      </c>
      <c r="C661" s="168" t="s">
        <v>126</v>
      </c>
      <c r="D661" s="169">
        <f t="shared" si="416"/>
      </c>
      <c r="E661" s="170">
        <v>2169.53</v>
      </c>
      <c r="F661" s="170">
        <v>190.12</v>
      </c>
      <c r="G661" s="170">
        <v>0</v>
      </c>
      <c r="H661" s="170">
        <v>1</v>
      </c>
      <c r="I661" s="170">
        <v>4433.4000000000015</v>
      </c>
      <c r="J661" s="171">
        <f t="shared" si="208"/>
      </c>
      <c r="K661" s="172">
        <f t="shared" si="118"/>
      </c>
      <c r="L661" s="173">
        <f t="shared" si="58"/>
      </c>
      <c r="M661" s="174">
        <f t="shared" si="148"/>
      </c>
      <c r="N661" s="172">
        <f t="shared" si="28"/>
      </c>
      <c r="O661" s="173">
        <f t="shared" si="479"/>
      </c>
      <c r="P661" s="172">
        <f t="shared" si="449"/>
      </c>
      <c r="Q661" s="172">
        <f t="shared" si="371"/>
      </c>
      <c r="R661" s="173">
        <f t="shared" si="341"/>
      </c>
      <c r="S661" s="175">
        <f t="shared" si="238"/>
      </c>
      <c r="T661" s="173">
        <f t="shared" si="178"/>
      </c>
      <c r="U661" s="176">
        <f t="shared" si="88"/>
      </c>
      <c r="V661" s="177" t="s">
        <v>108</v>
      </c>
      <c r="W661" s="178" t="s">
        <v>133</v>
      </c>
      <c r="X661" s="208">
        <v>1</v>
      </c>
      <c r="Y661" s="169">
        <v>7018</v>
      </c>
      <c r="Z661" s="169">
        <v>675</v>
      </c>
      <c r="AA661" s="169">
        <v>917</v>
      </c>
      <c r="AB661" s="169">
        <v>206</v>
      </c>
      <c r="AC661" s="170">
        <v>11</v>
      </c>
      <c r="AD661" s="179">
        <v>1</v>
      </c>
      <c r="AE661" s="230">
        <v>22</v>
      </c>
      <c r="AF661" s="152"/>
      <c r="AG661" s="152"/>
    </row>
    <row r="662">
      <c r="A662" s="166"/>
      <c r="B662" s="184" t="s">
        <v>113</v>
      </c>
      <c r="C662" s="184"/>
      <c r="D662" s="185">
        <f>SUM(D658:D661)</f>
      </c>
      <c r="E662" s="185">
        <f>SUM(E658:E661)</f>
      </c>
      <c r="F662" s="185">
        <f>SUM(F658:F661)</f>
      </c>
      <c r="G662" s="185">
        <f>SUM(G658:G661)</f>
      </c>
      <c r="H662" s="185">
        <f>SUM(H658:H661)</f>
      </c>
      <c r="I662" s="185">
        <f>SUM(I658:I661)</f>
      </c>
      <c r="J662" s="186">
        <f t="shared" si="208"/>
      </c>
      <c r="K662" s="187">
        <f t="shared" si="118"/>
      </c>
      <c r="L662" s="188">
        <f t="shared" si="58"/>
      </c>
      <c r="M662" s="189">
        <f t="shared" si="148"/>
      </c>
      <c r="N662" s="187">
        <f t="shared" si="28"/>
      </c>
      <c r="O662" s="188">
        <f t="shared" si="479"/>
      </c>
      <c r="P662" s="187">
        <f t="shared" si="449"/>
      </c>
      <c r="Q662" s="187">
        <f t="shared" si="371"/>
      </c>
      <c r="R662" s="188">
        <f t="shared" si="341"/>
      </c>
      <c r="S662" s="190">
        <f t="shared" si="238"/>
      </c>
      <c r="T662" s="188">
        <f t="shared" si="178"/>
      </c>
      <c r="U662" s="191">
        <f t="shared" si="88"/>
      </c>
      <c r="V662" s="191"/>
      <c r="W662" s="191"/>
      <c r="X662" s="206">
        <f>SUM(X658:X661)</f>
      </c>
      <c r="Y662" s="209">
        <f>SUM(Y658:Y661)</f>
      </c>
      <c r="Z662" s="209">
        <f>SUM(Z658:Z661)</f>
      </c>
      <c r="AA662" s="209">
        <f>SUM(AA658:AA661)</f>
      </c>
      <c r="AB662" s="209">
        <f>SUM(AB658:AB661)</f>
      </c>
      <c r="AC662" s="209">
        <f>SUM(AC658:AC661)</f>
      </c>
      <c r="AD662" s="209">
        <f>SUM(AD658:AD661)</f>
      </c>
      <c r="AE662" s="209">
        <f>SUM(AE658:AE661)</f>
      </c>
      <c r="AF662" s="152"/>
      <c r="AG662" s="152"/>
    </row>
    <row r="663">
      <c r="A663" s="166"/>
      <c r="B663" s="215" t="s">
        <v>130</v>
      </c>
      <c r="C663" s="215"/>
      <c r="D663" s="216">
        <f>D647+D652+D657+D662</f>
      </c>
      <c r="E663" s="217">
        <f>E647+E652+E657+E662</f>
      </c>
      <c r="F663" s="218">
        <f>F647+F652+F657+F662</f>
      </c>
      <c r="G663" s="218">
        <f>G647+G652+G657+G662</f>
      </c>
      <c r="H663" s="216">
        <f>H647+H652+H657+H662</f>
      </c>
      <c r="I663" s="216">
        <f>I647+I652+I657+I662</f>
      </c>
      <c r="J663" s="219">
        <f t="shared" si="208"/>
      </c>
      <c r="K663" s="220">
        <f t="shared" si="118"/>
      </c>
      <c r="L663" s="221">
        <f t="shared" si="58"/>
      </c>
      <c r="M663" s="222">
        <f t="shared" si="148"/>
      </c>
      <c r="N663" s="222">
        <f t="shared" si="28"/>
      </c>
      <c r="O663" s="221">
        <f t="shared" si="479"/>
      </c>
      <c r="P663" s="222">
        <f t="shared" si="449"/>
      </c>
      <c r="Q663" s="222">
        <f t="shared" si="371"/>
      </c>
      <c r="R663" s="221">
        <f t="shared" si="341"/>
      </c>
      <c r="S663" s="223">
        <f t="shared" si="238"/>
      </c>
      <c r="T663" s="221">
        <f t="shared" si="178"/>
      </c>
      <c r="U663" s="224">
        <f t="shared" si="88"/>
      </c>
      <c r="V663" s="224"/>
      <c r="W663" s="224"/>
      <c r="X663" s="219">
        <f>X647+X652+X657+X662</f>
      </c>
      <c r="Y663" s="219">
        <f>Y647+Y652+Y657+Y662</f>
      </c>
      <c r="Z663" s="219">
        <f>Z647+Z652+Z657+Z662</f>
      </c>
      <c r="AA663" s="219">
        <f>AA647+AA652+AA657+AA662</f>
      </c>
      <c r="AB663" s="219">
        <f>AB647+AB652+AB657+AB662</f>
      </c>
      <c r="AC663" s="219">
        <f>AC647+AC652+AC657+AC662</f>
      </c>
      <c r="AD663" s="233">
        <f>AD647+AD652+AD657+AD662</f>
      </c>
      <c r="AE663" s="218">
        <f>AE647+AE652+AE657+AE662</f>
      </c>
      <c r="AF663" s="152"/>
      <c r="AG663" s="152"/>
    </row>
    <row r="664">
      <c r="A664" s="240" t="s">
        <v>73</v>
      </c>
      <c r="B664" s="240"/>
      <c r="C664" s="240"/>
      <c r="D664" s="147" t="s">
        <v>74</v>
      </c>
      <c r="E664" s="147"/>
      <c r="F664" s="147"/>
      <c r="G664" s="147"/>
      <c r="H664" s="147"/>
      <c r="I664" s="147"/>
      <c r="J664" s="147"/>
      <c r="K664" s="148" t="s">
        <v>75</v>
      </c>
      <c r="L664" s="148"/>
      <c r="M664" s="148"/>
      <c r="N664" s="148"/>
      <c r="O664" s="148"/>
      <c r="P664" s="148"/>
      <c r="Q664" s="148"/>
      <c r="R664" s="148"/>
      <c r="S664" s="148"/>
      <c r="T664" s="148"/>
      <c r="U664" s="149"/>
      <c r="V664" s="149"/>
      <c r="W664" s="149"/>
      <c r="X664" s="150"/>
      <c r="Y664" s="150"/>
      <c r="Z664" s="150"/>
      <c r="AA664" s="150"/>
      <c r="AB664" s="150"/>
      <c r="AC664" s="150"/>
      <c r="AD664" s="150"/>
      <c r="AE664" s="151" t="s">
        <v>76</v>
      </c>
      <c r="AF664" s="152"/>
      <c r="AG664" s="152"/>
    </row>
    <row r="665">
      <c r="A665" s="245" t="s">
        <v>77</v>
      </c>
      <c r="B665" s="245" t="s">
        <v>78</v>
      </c>
      <c r="C665" s="245" t="s">
        <v>79</v>
      </c>
      <c r="D665" s="241" t="s">
        <v>80</v>
      </c>
      <c r="E665" s="225" t="s">
        <v>81</v>
      </c>
      <c r="F665" s="226" t="s">
        <v>82</v>
      </c>
      <c r="G665" s="227" t="s">
        <v>139</v>
      </c>
      <c r="H665" s="228" t="s">
        <v>83</v>
      </c>
      <c r="I665" s="157" t="s">
        <v>84</v>
      </c>
      <c r="J665" s="155" t="s">
        <v>85</v>
      </c>
      <c r="K665" s="158" t="s">
        <v>86</v>
      </c>
      <c r="L665" s="158" t="s">
        <v>87</v>
      </c>
      <c r="M665" s="159" t="s">
        <v>88</v>
      </c>
      <c r="N665" s="160" t="s">
        <v>89</v>
      </c>
      <c r="O665" s="148" t="s">
        <v>90</v>
      </c>
      <c r="P665" s="160" t="s">
        <v>91</v>
      </c>
      <c r="Q665" s="160" t="s">
        <v>92</v>
      </c>
      <c r="R665" s="161" t="s">
        <v>93</v>
      </c>
      <c r="S665" s="160" t="s">
        <v>94</v>
      </c>
      <c r="T665" s="161" t="s">
        <v>95</v>
      </c>
      <c r="U665" s="162" t="s">
        <v>96</v>
      </c>
      <c r="V665" s="162" t="s">
        <v>97</v>
      </c>
      <c r="W665" s="162" t="s">
        <v>98</v>
      </c>
      <c r="X665" s="163" t="s">
        <v>99</v>
      </c>
      <c r="Y665" s="164" t="s">
        <v>100</v>
      </c>
      <c r="Z665" s="164" t="s">
        <v>101</v>
      </c>
      <c r="AA665" s="164" t="s">
        <v>102</v>
      </c>
      <c r="AB665" s="164" t="s">
        <v>103</v>
      </c>
      <c r="AC665" s="164" t="s">
        <v>104</v>
      </c>
      <c r="AD665" s="165" t="s">
        <v>105</v>
      </c>
      <c r="AE665" s="151"/>
      <c r="AF665" s="152"/>
      <c r="AG665" s="152"/>
    </row>
    <row r="666">
      <c r="A666" s="166">
        <v>46295</v>
      </c>
      <c r="B666" s="192" t="s">
        <v>138</v>
      </c>
      <c r="C666" s="168" t="s">
        <v>120</v>
      </c>
      <c r="D666" s="195">
        <f t="shared" ref="D666:D669" si="417">E666+F666+G666</f>
      </c>
      <c r="E666" s="170">
        <v>0</v>
      </c>
      <c r="F666" s="229">
        <v>1000</v>
      </c>
      <c r="G666" s="229">
        <v>0</v>
      </c>
      <c r="H666" s="170">
        <v>0</v>
      </c>
      <c r="I666" s="170">
        <v>0</v>
      </c>
      <c r="J666" s="171">
        <f t="shared" ref="J666:J686" si="209">I666/D666</f>
      </c>
      <c r="K666" s="172">
        <f t="shared" ref="K666:K686" si="119">Z666/Y666</f>
      </c>
      <c r="L666" s="173">
        <f t="shared" ref="L666:L686" si="59">D666/AA666</f>
      </c>
      <c r="M666" s="174">
        <f t="shared" ref="M666:M686" si="149">AB666/AA666</f>
      </c>
      <c r="N666" s="172">
        <f t="shared" ref="N666:N686" si="29">AC666/AA666</f>
      </c>
      <c r="O666" s="173">
        <f t="shared" ref="O666:O686" si="480">D666/AC666</f>
      </c>
      <c r="P666" s="172">
        <f t="shared" ref="P666:P686" si="450">AD666/AC666</f>
      </c>
      <c r="Q666" s="172">
        <f t="shared" ref="Q666:Q686" si="372">H666/AD666</f>
      </c>
      <c r="R666" s="173">
        <f t="shared" ref="R666:R686" si="342">D666/H666</f>
      </c>
      <c r="S666" s="175">
        <f t="shared" ref="S666:S686" si="239">I666/H666</f>
      </c>
      <c r="T666" s="173">
        <f t="shared" ref="T666:T686" si="179">D666/X666</f>
      </c>
      <c r="U666" s="176">
        <f t="shared" ref="U666:U686" si="89">AE666*1000/D666</f>
      </c>
      <c r="V666" s="177" t="s">
        <v>108</v>
      </c>
      <c r="W666" s="178" t="s">
        <v>134</v>
      </c>
      <c r="X666" s="170">
        <v>0</v>
      </c>
      <c r="Y666" s="169">
        <v>2251</v>
      </c>
      <c r="Z666" s="169">
        <v>426</v>
      </c>
      <c r="AA666" s="169">
        <v>766</v>
      </c>
      <c r="AB666" s="169">
        <v>206</v>
      </c>
      <c r="AC666" s="179">
        <v>12</v>
      </c>
      <c r="AD666" s="179">
        <v>2</v>
      </c>
      <c r="AE666" s="180">
        <v>19</v>
      </c>
      <c r="AF666" s="236"/>
      <c r="AG666" s="152"/>
    </row>
    <row r="667">
      <c r="A667" s="166"/>
      <c r="B667" s="247" t="s">
        <v>110</v>
      </c>
      <c r="C667" s="168" t="s">
        <v>120</v>
      </c>
      <c r="D667" s="169">
        <f t="shared" si="417"/>
      </c>
      <c r="E667" s="170">
        <v>2941.55</v>
      </c>
      <c r="F667" s="170">
        <v>436.73</v>
      </c>
      <c r="G667" s="170">
        <v>0</v>
      </c>
      <c r="H667" s="170">
        <v>3</v>
      </c>
      <c r="I667" s="170">
        <v>5341.68</v>
      </c>
      <c r="J667" s="171">
        <f t="shared" si="209"/>
      </c>
      <c r="K667" s="172">
        <f t="shared" si="119"/>
      </c>
      <c r="L667" s="173">
        <f t="shared" si="59"/>
      </c>
      <c r="M667" s="174">
        <f t="shared" si="149"/>
      </c>
      <c r="N667" s="172">
        <f t="shared" si="29"/>
      </c>
      <c r="O667" s="173">
        <f t="shared" si="480"/>
      </c>
      <c r="P667" s="172">
        <f t="shared" si="450"/>
      </c>
      <c r="Q667" s="172">
        <f t="shared" si="372"/>
      </c>
      <c r="R667" s="173">
        <f t="shared" si="342"/>
      </c>
      <c r="S667" s="175">
        <f t="shared" si="239"/>
      </c>
      <c r="T667" s="173">
        <f t="shared" si="179"/>
      </c>
      <c r="U667" s="176">
        <f t="shared" si="89"/>
      </c>
      <c r="V667" s="177" t="s">
        <v>108</v>
      </c>
      <c r="W667" s="178" t="s">
        <v>134</v>
      </c>
      <c r="X667" s="208">
        <v>3</v>
      </c>
      <c r="Y667" s="169">
        <v>8045</v>
      </c>
      <c r="Z667" s="169">
        <v>564</v>
      </c>
      <c r="AA667" s="169">
        <v>646</v>
      </c>
      <c r="AB667" s="169">
        <v>220</v>
      </c>
      <c r="AC667" s="169">
        <v>47</v>
      </c>
      <c r="AD667" s="179">
        <v>5</v>
      </c>
      <c r="AE667" s="180">
        <v>29</v>
      </c>
      <c r="AF667" s="236"/>
      <c r="AG667" s="152"/>
    </row>
    <row r="668">
      <c r="A668" s="166"/>
      <c r="B668" s="181" t="s">
        <v>111</v>
      </c>
      <c r="C668" s="168" t="s">
        <v>120</v>
      </c>
      <c r="D668" s="169">
        <f t="shared" si="417"/>
      </c>
      <c r="E668" s="169">
        <v>2025.3000000000002</v>
      </c>
      <c r="F668" s="169">
        <v>1646.53</v>
      </c>
      <c r="G668" s="170">
        <v>0</v>
      </c>
      <c r="H668" s="170">
        <v>3</v>
      </c>
      <c r="I668" s="170">
        <v>9798.15</v>
      </c>
      <c r="J668" s="171">
        <f t="shared" si="209"/>
      </c>
      <c r="K668" s="172">
        <f t="shared" si="119"/>
      </c>
      <c r="L668" s="173">
        <f t="shared" si="59"/>
      </c>
      <c r="M668" s="174">
        <f t="shared" si="149"/>
      </c>
      <c r="N668" s="172">
        <f t="shared" si="29"/>
      </c>
      <c r="O668" s="173">
        <f t="shared" si="480"/>
      </c>
      <c r="P668" s="172">
        <f t="shared" si="450"/>
      </c>
      <c r="Q668" s="172">
        <f t="shared" si="372"/>
      </c>
      <c r="R668" s="173">
        <f t="shared" si="342"/>
      </c>
      <c r="S668" s="175">
        <f t="shared" si="239"/>
      </c>
      <c r="T668" s="173">
        <f t="shared" si="179"/>
      </c>
      <c r="U668" s="176">
        <f t="shared" si="89"/>
      </c>
      <c r="V668" s="177" t="s">
        <v>108</v>
      </c>
      <c r="W668" s="178" t="s">
        <v>134</v>
      </c>
      <c r="X668" s="205">
        <v>3</v>
      </c>
      <c r="Y668" s="169">
        <v>9143</v>
      </c>
      <c r="Z668" s="169">
        <v>836</v>
      </c>
      <c r="AA668" s="169">
        <v>1248</v>
      </c>
      <c r="AB668" s="169">
        <v>388</v>
      </c>
      <c r="AC668" s="169">
        <v>58</v>
      </c>
      <c r="AD668" s="179">
        <v>5</v>
      </c>
      <c r="AE668" s="180">
        <v>32</v>
      </c>
      <c r="AF668" s="236"/>
      <c r="AG668" s="152"/>
    </row>
    <row r="669">
      <c r="A669" s="166"/>
      <c r="B669" s="183" t="s">
        <v>112</v>
      </c>
      <c r="C669" s="168" t="s">
        <v>120</v>
      </c>
      <c r="D669" s="169">
        <f t="shared" si="417"/>
      </c>
      <c r="E669" s="169">
        <v>2655.22</v>
      </c>
      <c r="F669" s="170">
        <v>871.82</v>
      </c>
      <c r="G669" s="170">
        <v>0</v>
      </c>
      <c r="H669" s="170">
        <v>3</v>
      </c>
      <c r="I669" s="170">
        <v>3989.5199999999986</v>
      </c>
      <c r="J669" s="171">
        <f t="shared" si="209"/>
      </c>
      <c r="K669" s="172">
        <f t="shared" si="119"/>
      </c>
      <c r="L669" s="173">
        <f t="shared" si="59"/>
      </c>
      <c r="M669" s="174">
        <f t="shared" si="149"/>
      </c>
      <c r="N669" s="172">
        <f t="shared" si="29"/>
      </c>
      <c r="O669" s="173">
        <f t="shared" si="480"/>
      </c>
      <c r="P669" s="172">
        <f t="shared" si="450"/>
      </c>
      <c r="Q669" s="172">
        <f t="shared" si="372"/>
      </c>
      <c r="R669" s="173">
        <f t="shared" si="342"/>
      </c>
      <c r="S669" s="175">
        <f t="shared" si="239"/>
      </c>
      <c r="T669" s="173">
        <f t="shared" si="179"/>
      </c>
      <c r="U669" s="176">
        <f t="shared" si="89"/>
      </c>
      <c r="V669" s="177" t="s">
        <v>108</v>
      </c>
      <c r="W669" s="178" t="s">
        <v>134</v>
      </c>
      <c r="X669" s="208">
        <v>3</v>
      </c>
      <c r="Y669" s="169">
        <v>11658</v>
      </c>
      <c r="Z669" s="169">
        <v>563</v>
      </c>
      <c r="AA669" s="169">
        <v>910</v>
      </c>
      <c r="AB669" s="169">
        <v>262</v>
      </c>
      <c r="AC669" s="169">
        <v>53</v>
      </c>
      <c r="AD669" s="179">
        <v>4</v>
      </c>
      <c r="AE669" s="180">
        <v>26</v>
      </c>
      <c r="AF669" s="236"/>
      <c r="AG669" s="152"/>
    </row>
    <row r="670">
      <c r="A670" s="166"/>
      <c r="B670" s="184" t="s">
        <v>113</v>
      </c>
      <c r="C670" s="184"/>
      <c r="D670" s="185">
        <f>D666+D667+D668+D669</f>
      </c>
      <c r="E670" s="185">
        <f>SUM(E666:E669)</f>
      </c>
      <c r="F670" s="185">
        <f>SUM(F666:F669)</f>
      </c>
      <c r="G670" s="185">
        <f>SUM(G666:G669)</f>
      </c>
      <c r="H670" s="185">
        <f>SUM(H666:H669)</f>
      </c>
      <c r="I670" s="185">
        <f>SUM(I666:I669)</f>
      </c>
      <c r="J670" s="186">
        <f t="shared" si="209"/>
      </c>
      <c r="K670" s="187">
        <f t="shared" si="119"/>
      </c>
      <c r="L670" s="188">
        <f t="shared" si="59"/>
      </c>
      <c r="M670" s="189">
        <f t="shared" si="149"/>
      </c>
      <c r="N670" s="187">
        <f t="shared" si="29"/>
      </c>
      <c r="O670" s="188">
        <f t="shared" si="480"/>
      </c>
      <c r="P670" s="187">
        <f t="shared" si="450"/>
      </c>
      <c r="Q670" s="187">
        <f t="shared" si="372"/>
      </c>
      <c r="R670" s="188">
        <f t="shared" si="342"/>
      </c>
      <c r="S670" s="190">
        <f t="shared" si="239"/>
      </c>
      <c r="T670" s="188">
        <f t="shared" si="179"/>
      </c>
      <c r="U670" s="191">
        <f t="shared" si="89"/>
      </c>
      <c r="V670" s="191"/>
      <c r="W670" s="191"/>
      <c r="X670" s="206">
        <f>SUM(X666:X669)</f>
      </c>
      <c r="Y670" s="185">
        <f>SUM(Y666:Y669)</f>
      </c>
      <c r="Z670" s="185">
        <f>SUM(Z666:Z669)</f>
      </c>
      <c r="AA670" s="185">
        <f>SUM(AA666:AA669)</f>
      </c>
      <c r="AB670" s="185">
        <f>SUM(AB666:AB669)</f>
      </c>
      <c r="AC670" s="185">
        <f>SUM(AC666:AC669)</f>
      </c>
      <c r="AD670" s="185">
        <f>SUM(AD666:AD669)</f>
      </c>
      <c r="AE670" s="185">
        <f>SUM(AE666:AE669)</f>
      </c>
      <c r="AF670" s="152"/>
      <c r="AG670" s="152"/>
    </row>
    <row r="671">
      <c r="A671" s="166"/>
      <c r="B671" s="181" t="s">
        <v>114</v>
      </c>
      <c r="C671" s="168" t="s">
        <v>137</v>
      </c>
      <c r="D671" s="169">
        <f t="shared" ref="D671:D674" si="418">E671+F671+G671</f>
      </c>
      <c r="E671" s="169">
        <v>2370.9300000000003</v>
      </c>
      <c r="F671" s="169">
        <v>1300.34</v>
      </c>
      <c r="G671" s="170">
        <v>0</v>
      </c>
      <c r="H671" s="170">
        <v>2</v>
      </c>
      <c r="I671" s="170">
        <v>3472.920000000002</v>
      </c>
      <c r="J671" s="171">
        <f t="shared" si="209"/>
      </c>
      <c r="K671" s="172">
        <f t="shared" si="119"/>
      </c>
      <c r="L671" s="173">
        <f t="shared" si="59"/>
      </c>
      <c r="M671" s="174">
        <f t="shared" si="149"/>
      </c>
      <c r="N671" s="172">
        <f t="shared" si="29"/>
      </c>
      <c r="O671" s="173">
        <f t="shared" si="480"/>
      </c>
      <c r="P671" s="172">
        <f t="shared" si="450"/>
      </c>
      <c r="Q671" s="172">
        <f t="shared" si="372"/>
      </c>
      <c r="R671" s="173">
        <f t="shared" si="342"/>
      </c>
      <c r="S671" s="175">
        <f t="shared" si="239"/>
      </c>
      <c r="T671" s="173">
        <f t="shared" si="179"/>
      </c>
      <c r="U671" s="176">
        <f t="shared" si="89"/>
      </c>
      <c r="V671" s="177" t="s">
        <v>108</v>
      </c>
      <c r="W671" s="178" t="s">
        <v>134</v>
      </c>
      <c r="X671" s="208">
        <v>2</v>
      </c>
      <c r="Y671" s="170">
        <v>11554</v>
      </c>
      <c r="Z671" s="170">
        <v>631</v>
      </c>
      <c r="AA671" s="169">
        <v>1065</v>
      </c>
      <c r="AB671" s="170">
        <v>233</v>
      </c>
      <c r="AC671" s="170">
        <v>46</v>
      </c>
      <c r="AD671" s="179">
        <v>4</v>
      </c>
      <c r="AE671" s="180">
        <v>21</v>
      </c>
      <c r="AF671" s="236"/>
      <c r="AG671" s="152"/>
    </row>
    <row r="672">
      <c r="A672" s="166"/>
      <c r="B672" s="181" t="s">
        <v>116</v>
      </c>
      <c r="C672" s="168" t="s">
        <v>137</v>
      </c>
      <c r="D672" s="169">
        <f t="shared" si="418"/>
      </c>
      <c r="E672" s="170">
        <v>2152.0299999999997</v>
      </c>
      <c r="F672" s="169">
        <v>783.69</v>
      </c>
      <c r="G672" s="170">
        <v>0</v>
      </c>
      <c r="H672" s="170">
        <v>3</v>
      </c>
      <c r="I672" s="169">
        <v>6492.639999999999</v>
      </c>
      <c r="J672" s="171">
        <f t="shared" si="209"/>
      </c>
      <c r="K672" s="172">
        <f t="shared" si="119"/>
      </c>
      <c r="L672" s="173">
        <f t="shared" si="59"/>
      </c>
      <c r="M672" s="174">
        <f t="shared" si="149"/>
      </c>
      <c r="N672" s="172">
        <f t="shared" si="29"/>
      </c>
      <c r="O672" s="173">
        <f t="shared" si="480"/>
      </c>
      <c r="P672" s="172">
        <f t="shared" si="450"/>
      </c>
      <c r="Q672" s="172">
        <f t="shared" si="372"/>
      </c>
      <c r="R672" s="173">
        <f t="shared" si="342"/>
      </c>
      <c r="S672" s="175">
        <f t="shared" si="239"/>
      </c>
      <c r="T672" s="173">
        <f t="shared" si="179"/>
      </c>
      <c r="U672" s="176">
        <f t="shared" si="89"/>
      </c>
      <c r="V672" s="177" t="s">
        <v>108</v>
      </c>
      <c r="W672" s="178" t="s">
        <v>134</v>
      </c>
      <c r="X672" s="208">
        <v>2</v>
      </c>
      <c r="Y672" s="170">
        <v>11548</v>
      </c>
      <c r="Z672" s="170">
        <v>554</v>
      </c>
      <c r="AA672" s="170">
        <v>843</v>
      </c>
      <c r="AB672" s="170">
        <v>200</v>
      </c>
      <c r="AC672" s="170">
        <v>47</v>
      </c>
      <c r="AD672" s="179">
        <v>4</v>
      </c>
      <c r="AE672" s="180">
        <v>18</v>
      </c>
      <c r="AF672" s="236"/>
      <c r="AG672" s="152"/>
    </row>
    <row r="673">
      <c r="A673" s="166"/>
      <c r="B673" s="181" t="s">
        <v>117</v>
      </c>
      <c r="C673" s="168" t="s">
        <v>137</v>
      </c>
      <c r="D673" s="169">
        <f t="shared" si="418"/>
      </c>
      <c r="E673" s="169">
        <v>2774.09</v>
      </c>
      <c r="F673" s="170">
        <v>1144.49</v>
      </c>
      <c r="G673" s="170">
        <v>0</v>
      </c>
      <c r="H673" s="170">
        <v>2</v>
      </c>
      <c r="I673" s="170">
        <v>4133.880000000001</v>
      </c>
      <c r="J673" s="171">
        <f t="shared" si="209"/>
      </c>
      <c r="K673" s="172">
        <f t="shared" si="119"/>
      </c>
      <c r="L673" s="173">
        <f t="shared" si="59"/>
      </c>
      <c r="M673" s="174">
        <f t="shared" si="149"/>
      </c>
      <c r="N673" s="172">
        <f t="shared" si="29"/>
      </c>
      <c r="O673" s="173">
        <f t="shared" si="480"/>
      </c>
      <c r="P673" s="172">
        <f t="shared" si="450"/>
      </c>
      <c r="Q673" s="172">
        <f t="shared" si="372"/>
      </c>
      <c r="R673" s="173">
        <f t="shared" si="342"/>
      </c>
      <c r="S673" s="175">
        <f t="shared" si="239"/>
      </c>
      <c r="T673" s="173">
        <f t="shared" si="179"/>
      </c>
      <c r="U673" s="176">
        <f t="shared" si="89"/>
      </c>
      <c r="V673" s="177" t="s">
        <v>108</v>
      </c>
      <c r="W673" s="178" t="s">
        <v>134</v>
      </c>
      <c r="X673" s="208">
        <v>1</v>
      </c>
      <c r="Y673" s="170">
        <v>13279</v>
      </c>
      <c r="Z673" s="170">
        <v>678</v>
      </c>
      <c r="AA673" s="170">
        <v>995</v>
      </c>
      <c r="AB673" s="170">
        <v>276</v>
      </c>
      <c r="AC673" s="170">
        <v>64</v>
      </c>
      <c r="AD673" s="179">
        <v>2</v>
      </c>
      <c r="AE673" s="180">
        <v>31</v>
      </c>
      <c r="AF673" s="236"/>
      <c r="AG673" s="152"/>
    </row>
    <row r="674">
      <c r="A674" s="166"/>
      <c r="B674" s="181" t="s">
        <v>118</v>
      </c>
      <c r="C674" s="168" t="s">
        <v>137</v>
      </c>
      <c r="D674" s="169">
        <f t="shared" si="418"/>
      </c>
      <c r="E674" s="169">
        <v>1611.38</v>
      </c>
      <c r="F674" s="170">
        <v>864.15</v>
      </c>
      <c r="G674" s="170">
        <v>0</v>
      </c>
      <c r="H674" s="170">
        <v>3</v>
      </c>
      <c r="I674" s="170">
        <v>2063.519999999997</v>
      </c>
      <c r="J674" s="171">
        <f t="shared" si="209"/>
      </c>
      <c r="K674" s="172">
        <f t="shared" si="119"/>
      </c>
      <c r="L674" s="173">
        <f t="shared" si="59"/>
      </c>
      <c r="M674" s="174">
        <f t="shared" si="149"/>
      </c>
      <c r="N674" s="172">
        <f t="shared" si="29"/>
      </c>
      <c r="O674" s="173">
        <f t="shared" si="480"/>
      </c>
      <c r="P674" s="172">
        <f t="shared" si="450"/>
      </c>
      <c r="Q674" s="172">
        <f t="shared" si="372"/>
      </c>
      <c r="R674" s="173">
        <f t="shared" si="342"/>
      </c>
      <c r="S674" s="175">
        <f t="shared" si="239"/>
      </c>
      <c r="T674" s="173">
        <f t="shared" si="179"/>
      </c>
      <c r="U674" s="176">
        <f t="shared" si="89"/>
      </c>
      <c r="V674" s="177" t="s">
        <v>108</v>
      </c>
      <c r="W674" s="178" t="s">
        <v>133</v>
      </c>
      <c r="X674" s="208">
        <v>2</v>
      </c>
      <c r="Y674" s="170">
        <v>8169</v>
      </c>
      <c r="Z674" s="170">
        <v>473</v>
      </c>
      <c r="AA674" s="170">
        <v>755</v>
      </c>
      <c r="AB674" s="170">
        <v>187</v>
      </c>
      <c r="AC674" s="170">
        <v>39</v>
      </c>
      <c r="AD674" s="179">
        <v>5</v>
      </c>
      <c r="AE674" s="180">
        <v>26</v>
      </c>
      <c r="AF674" s="236"/>
      <c r="AG674" s="152"/>
    </row>
    <row r="675">
      <c r="A675" s="166"/>
      <c r="B675" s="184" t="s">
        <v>113</v>
      </c>
      <c r="C675" s="184"/>
      <c r="D675" s="185">
        <f>SUM(D671:D674)</f>
      </c>
      <c r="E675" s="185">
        <f>SUM(E671:E674)</f>
      </c>
      <c r="F675" s="185">
        <f>SUM(F671:F674)</f>
      </c>
      <c r="G675" s="185">
        <f>SUM(G671:G674)</f>
      </c>
      <c r="H675" s="185">
        <f>SUM(H671:H674)</f>
      </c>
      <c r="I675" s="185">
        <f>SUM(I671:I674)</f>
      </c>
      <c r="J675" s="186">
        <f t="shared" si="209"/>
      </c>
      <c r="K675" s="187">
        <f t="shared" si="119"/>
      </c>
      <c r="L675" s="188">
        <f t="shared" si="59"/>
      </c>
      <c r="M675" s="189">
        <f t="shared" si="149"/>
      </c>
      <c r="N675" s="187">
        <f t="shared" si="29"/>
      </c>
      <c r="O675" s="188">
        <f t="shared" si="480"/>
      </c>
      <c r="P675" s="187">
        <f t="shared" si="450"/>
      </c>
      <c r="Q675" s="187">
        <f t="shared" si="372"/>
      </c>
      <c r="R675" s="188">
        <f t="shared" si="342"/>
      </c>
      <c r="S675" s="190">
        <f t="shared" si="239"/>
      </c>
      <c r="T675" s="188">
        <f t="shared" si="179"/>
      </c>
      <c r="U675" s="191">
        <f t="shared" si="89"/>
      </c>
      <c r="V675" s="191"/>
      <c r="W675" s="191"/>
      <c r="X675" s="206">
        <f>SUM(X671:X674)</f>
      </c>
      <c r="Y675" s="209">
        <f>SUM(Y671:Y674)</f>
      </c>
      <c r="Z675" s="209">
        <f>SUM(Z671:Z674)</f>
      </c>
      <c r="AA675" s="209">
        <f>SUM(AA671:AA674)</f>
      </c>
      <c r="AB675" s="209">
        <f>SUM(AB671:AB674)</f>
      </c>
      <c r="AC675" s="209">
        <f>SUM(AC671:AC674)</f>
      </c>
      <c r="AD675" s="209">
        <f>SUM(AD671:AD674)</f>
      </c>
      <c r="AE675" s="209">
        <f>SUM(AE671:AE674)</f>
      </c>
      <c r="AF675" s="152"/>
      <c r="AG675" s="152"/>
    </row>
    <row r="676">
      <c r="A676" s="166"/>
      <c r="B676" s="192" t="s">
        <v>119</v>
      </c>
      <c r="C676" s="168" t="s">
        <v>142</v>
      </c>
      <c r="D676" s="169">
        <f t="shared" ref="D676:D679" si="419">E676+F676+G676</f>
      </c>
      <c r="E676" s="170">
        <v>590.62</v>
      </c>
      <c r="F676" s="170">
        <v>878.68</v>
      </c>
      <c r="G676" s="170">
        <v>0</v>
      </c>
      <c r="H676" s="170">
        <v>2</v>
      </c>
      <c r="I676" s="170">
        <v>3415.3600000000006</v>
      </c>
      <c r="J676" s="171">
        <f t="shared" si="209"/>
      </c>
      <c r="K676" s="172">
        <f t="shared" si="119"/>
      </c>
      <c r="L676" s="173">
        <f t="shared" si="59"/>
      </c>
      <c r="M676" s="174">
        <f t="shared" si="149"/>
      </c>
      <c r="N676" s="172">
        <f t="shared" si="29"/>
      </c>
      <c r="O676" s="173">
        <f t="shared" si="480"/>
      </c>
      <c r="P676" s="172">
        <f t="shared" si="450"/>
      </c>
      <c r="Q676" s="172">
        <f t="shared" si="372"/>
      </c>
      <c r="R676" s="173">
        <f t="shared" si="342"/>
      </c>
      <c r="S676" s="175">
        <f t="shared" si="239"/>
      </c>
      <c r="T676" s="173">
        <f t="shared" si="179"/>
      </c>
      <c r="U676" s="176">
        <f t="shared" si="89"/>
      </c>
      <c r="V676" s="177" t="s">
        <v>108</v>
      </c>
      <c r="W676" s="178" t="s">
        <v>133</v>
      </c>
      <c r="X676" s="170">
        <v>1</v>
      </c>
      <c r="Y676" s="170">
        <v>5333</v>
      </c>
      <c r="Z676" s="170">
        <v>379</v>
      </c>
      <c r="AA676" s="169">
        <v>636</v>
      </c>
      <c r="AB676" s="170">
        <v>161</v>
      </c>
      <c r="AC676" s="179">
        <v>22</v>
      </c>
      <c r="AD676" s="179">
        <v>2</v>
      </c>
      <c r="AE676" s="180">
        <v>12</v>
      </c>
      <c r="AF676" s="236"/>
      <c r="AG676" s="152"/>
    </row>
    <row r="677">
      <c r="A677" s="166"/>
      <c r="B677" s="194" t="s">
        <v>122</v>
      </c>
      <c r="C677" s="168" t="s">
        <v>142</v>
      </c>
      <c r="D677" s="169">
        <f t="shared" si="419"/>
      </c>
      <c r="E677" s="169">
        <v>2313.16</v>
      </c>
      <c r="F677" s="170">
        <v>792.87</v>
      </c>
      <c r="G677" s="170">
        <v>0</v>
      </c>
      <c r="H677" s="170">
        <v>4</v>
      </c>
      <c r="I677" s="170">
        <v>7190.8399999999965</v>
      </c>
      <c r="J677" s="171">
        <f t="shared" si="209"/>
      </c>
      <c r="K677" s="172">
        <f t="shared" si="119"/>
      </c>
      <c r="L677" s="173">
        <f t="shared" si="59"/>
      </c>
      <c r="M677" s="174">
        <f t="shared" si="149"/>
      </c>
      <c r="N677" s="172">
        <f t="shared" si="29"/>
      </c>
      <c r="O677" s="173">
        <f t="shared" si="480"/>
      </c>
      <c r="P677" s="172">
        <f t="shared" si="450"/>
      </c>
      <c r="Q677" s="172">
        <f t="shared" si="372"/>
      </c>
      <c r="R677" s="173">
        <f t="shared" si="342"/>
      </c>
      <c r="S677" s="175">
        <f t="shared" si="239"/>
      </c>
      <c r="T677" s="173">
        <f t="shared" si="179"/>
      </c>
      <c r="U677" s="176">
        <f t="shared" si="89"/>
      </c>
      <c r="V677" s="177" t="s">
        <v>108</v>
      </c>
      <c r="W677" s="178" t="s">
        <v>133</v>
      </c>
      <c r="X677" s="208">
        <v>4</v>
      </c>
      <c r="Y677" s="169">
        <v>11329</v>
      </c>
      <c r="Z677" s="169">
        <v>437</v>
      </c>
      <c r="AA677" s="169">
        <v>619</v>
      </c>
      <c r="AB677" s="169">
        <v>152</v>
      </c>
      <c r="AC677" s="169">
        <v>68</v>
      </c>
      <c r="AD677" s="179">
        <v>7</v>
      </c>
      <c r="AE677" s="180">
        <v>30</v>
      </c>
      <c r="AF677" s="152"/>
      <c r="AG677" s="152"/>
    </row>
    <row r="678">
      <c r="A678" s="166"/>
      <c r="B678" s="210" t="s">
        <v>123</v>
      </c>
      <c r="C678" s="168" t="s">
        <v>142</v>
      </c>
      <c r="D678" s="169">
        <f t="shared" si="419"/>
      </c>
      <c r="E678" s="170">
        <v>2850.3</v>
      </c>
      <c r="F678" s="170">
        <v>652.96</v>
      </c>
      <c r="G678" s="170">
        <v>0</v>
      </c>
      <c r="H678" s="170">
        <v>2</v>
      </c>
      <c r="I678" s="170">
        <v>1409.4000000000015</v>
      </c>
      <c r="J678" s="171">
        <f t="shared" si="209"/>
      </c>
      <c r="K678" s="172">
        <f t="shared" si="119"/>
      </c>
      <c r="L678" s="173">
        <f t="shared" si="59"/>
      </c>
      <c r="M678" s="174">
        <f t="shared" si="149"/>
      </c>
      <c r="N678" s="172">
        <f t="shared" si="29"/>
      </c>
      <c r="O678" s="173">
        <f t="shared" si="480"/>
      </c>
      <c r="P678" s="172">
        <f t="shared" si="450"/>
      </c>
      <c r="Q678" s="172">
        <f t="shared" si="372"/>
      </c>
      <c r="R678" s="173">
        <f t="shared" si="342"/>
      </c>
      <c r="S678" s="175">
        <f t="shared" si="239"/>
      </c>
      <c r="T678" s="173">
        <f t="shared" si="179"/>
      </c>
      <c r="U678" s="176">
        <f t="shared" si="89"/>
      </c>
      <c r="V678" s="177" t="s">
        <v>108</v>
      </c>
      <c r="W678" s="178" t="s">
        <v>133</v>
      </c>
      <c r="X678" s="208">
        <v>2</v>
      </c>
      <c r="Y678" s="169">
        <v>10970</v>
      </c>
      <c r="Z678" s="169">
        <v>724</v>
      </c>
      <c r="AA678" s="169">
        <v>991</v>
      </c>
      <c r="AB678" s="169">
        <v>234</v>
      </c>
      <c r="AC678" s="169">
        <v>42</v>
      </c>
      <c r="AD678" s="179">
        <v>5</v>
      </c>
      <c r="AE678" s="180">
        <v>27</v>
      </c>
      <c r="AF678" s="152"/>
      <c r="AG678" s="152"/>
    </row>
    <row r="679">
      <c r="A679" s="166"/>
      <c r="B679" s="183" t="s">
        <v>124</v>
      </c>
      <c r="C679" s="168" t="s">
        <v>142</v>
      </c>
      <c r="D679" s="169">
        <f t="shared" si="419"/>
      </c>
      <c r="E679" s="170">
        <v>804.04</v>
      </c>
      <c r="F679" s="170">
        <v>1310.82</v>
      </c>
      <c r="G679" s="170">
        <v>0</v>
      </c>
      <c r="H679" s="170">
        <v>5</v>
      </c>
      <c r="I679" s="170">
        <v>15652.440000000002</v>
      </c>
      <c r="J679" s="171">
        <f t="shared" si="209"/>
      </c>
      <c r="K679" s="172">
        <f t="shared" si="119"/>
      </c>
      <c r="L679" s="173">
        <f t="shared" si="59"/>
      </c>
      <c r="M679" s="174">
        <f t="shared" si="149"/>
      </c>
      <c r="N679" s="172">
        <f t="shared" si="29"/>
      </c>
      <c r="O679" s="173">
        <f t="shared" si="480"/>
      </c>
      <c r="P679" s="172">
        <f t="shared" si="450"/>
      </c>
      <c r="Q679" s="172">
        <f t="shared" si="372"/>
      </c>
      <c r="R679" s="173">
        <f t="shared" si="342"/>
      </c>
      <c r="S679" s="175">
        <f t="shared" si="239"/>
      </c>
      <c r="T679" s="173">
        <f t="shared" si="179"/>
      </c>
      <c r="U679" s="176">
        <f t="shared" si="89"/>
      </c>
      <c r="V679" s="177" t="s">
        <v>108</v>
      </c>
      <c r="W679" s="178" t="s">
        <v>133</v>
      </c>
      <c r="X679" s="205">
        <v>3</v>
      </c>
      <c r="Y679" s="169">
        <v>8272</v>
      </c>
      <c r="Z679" s="169">
        <v>578</v>
      </c>
      <c r="AA679" s="169">
        <v>869</v>
      </c>
      <c r="AB679" s="169">
        <v>210</v>
      </c>
      <c r="AC679" s="169">
        <v>30</v>
      </c>
      <c r="AD679" s="179">
        <v>7</v>
      </c>
      <c r="AE679" s="180">
        <v>15</v>
      </c>
      <c r="AF679" s="152"/>
      <c r="AG679" s="152"/>
    </row>
    <row r="680">
      <c r="A680" s="166"/>
      <c r="B680" s="184" t="s">
        <v>113</v>
      </c>
      <c r="C680" s="184"/>
      <c r="D680" s="185">
        <f>SUM(D676:D679)</f>
      </c>
      <c r="E680" s="185">
        <f>SUM(E676:E679)</f>
      </c>
      <c r="F680" s="185">
        <f>SUM(F676:F679)</f>
      </c>
      <c r="G680" s="185">
        <f>SUM(G676:G679)</f>
      </c>
      <c r="H680" s="185">
        <f>SUM(H676:H679)</f>
      </c>
      <c r="I680" s="185">
        <f>SUM(I676:I679)</f>
      </c>
      <c r="J680" s="186">
        <f t="shared" si="209"/>
      </c>
      <c r="K680" s="187">
        <f t="shared" si="119"/>
      </c>
      <c r="L680" s="188">
        <f t="shared" si="59"/>
      </c>
      <c r="M680" s="189">
        <f t="shared" si="149"/>
      </c>
      <c r="N680" s="187">
        <f t="shared" si="29"/>
      </c>
      <c r="O680" s="188">
        <f t="shared" si="480"/>
      </c>
      <c r="P680" s="187">
        <f t="shared" si="450"/>
      </c>
      <c r="Q680" s="187">
        <f t="shared" si="372"/>
      </c>
      <c r="R680" s="188">
        <f t="shared" si="342"/>
      </c>
      <c r="S680" s="190">
        <f t="shared" si="239"/>
      </c>
      <c r="T680" s="188">
        <f t="shared" si="179"/>
      </c>
      <c r="U680" s="191">
        <f t="shared" si="89"/>
      </c>
      <c r="V680" s="191"/>
      <c r="W680" s="191"/>
      <c r="X680" s="206">
        <f>SUM(X676:X679)</f>
      </c>
      <c r="Y680" s="185">
        <f>SUM(Y676:Y679)</f>
      </c>
      <c r="Z680" s="185">
        <f>SUM(Z676:Z679)</f>
      </c>
      <c r="AA680" s="185">
        <f>SUM(AA676:AA679)</f>
      </c>
      <c r="AB680" s="185">
        <f>SUM(AB676:AB679)</f>
      </c>
      <c r="AC680" s="185">
        <f>SUM(AC676:AC679)</f>
      </c>
      <c r="AD680" s="185">
        <f>SUM(AD676:AD679)</f>
      </c>
      <c r="AE680" s="185">
        <f>SUM(AE676:AE679)</f>
      </c>
      <c r="AF680" s="152"/>
      <c r="AG680" s="152"/>
    </row>
    <row r="681">
      <c r="A681" s="166"/>
      <c r="B681" s="181" t="s">
        <v>125</v>
      </c>
      <c r="C681" s="168" t="s">
        <v>126</v>
      </c>
      <c r="D681" s="169">
        <f t="shared" ref="D681:D684" si="420">E681+F681+G681</f>
      </c>
      <c r="E681" s="170">
        <v>111.38</v>
      </c>
      <c r="F681" s="170">
        <v>2139.39</v>
      </c>
      <c r="G681" s="170">
        <v>0</v>
      </c>
      <c r="H681" s="170">
        <v>0</v>
      </c>
      <c r="I681" s="170">
        <v>0</v>
      </c>
      <c r="J681" s="171">
        <f t="shared" si="209"/>
      </c>
      <c r="K681" s="172">
        <f t="shared" si="119"/>
      </c>
      <c r="L681" s="173">
        <f t="shared" si="59"/>
      </c>
      <c r="M681" s="174">
        <f t="shared" si="149"/>
      </c>
      <c r="N681" s="172">
        <f t="shared" si="29"/>
      </c>
      <c r="O681" s="173">
        <f t="shared" si="480"/>
      </c>
      <c r="P681" s="172">
        <f t="shared" si="450"/>
      </c>
      <c r="Q681" s="172">
        <f t="shared" si="372"/>
      </c>
      <c r="R681" s="173">
        <f t="shared" si="342"/>
      </c>
      <c r="S681" s="175">
        <f t="shared" si="239"/>
      </c>
      <c r="T681" s="173">
        <f t="shared" si="179"/>
      </c>
      <c r="U681" s="176">
        <f t="shared" si="89"/>
      </c>
      <c r="V681" s="177" t="s">
        <v>108</v>
      </c>
      <c r="W681" s="178" t="s">
        <v>133</v>
      </c>
      <c r="X681" s="170">
        <v>2</v>
      </c>
      <c r="Y681" s="169">
        <v>5376</v>
      </c>
      <c r="Z681" s="169">
        <v>710</v>
      </c>
      <c r="AA681" s="169">
        <v>1212</v>
      </c>
      <c r="AB681" s="169">
        <v>285</v>
      </c>
      <c r="AC681" s="179">
        <v>27</v>
      </c>
      <c r="AD681" s="179">
        <v>0</v>
      </c>
      <c r="AE681" s="180">
        <v>24</v>
      </c>
      <c r="AF681" s="152"/>
      <c r="AG681" s="152"/>
    </row>
    <row r="682">
      <c r="A682" s="166"/>
      <c r="B682" s="212" t="s">
        <v>127</v>
      </c>
      <c r="C682" s="168" t="s">
        <v>126</v>
      </c>
      <c r="D682" s="169">
        <f t="shared" si="420"/>
      </c>
      <c r="E682" s="170">
        <v>2458.34</v>
      </c>
      <c r="F682" s="170">
        <v>1611.31</v>
      </c>
      <c r="G682" s="170">
        <v>0</v>
      </c>
      <c r="H682" s="170">
        <v>3</v>
      </c>
      <c r="I682" s="170">
        <v>6882.479999999989</v>
      </c>
      <c r="J682" s="171">
        <f t="shared" si="209"/>
      </c>
      <c r="K682" s="172">
        <f t="shared" si="119"/>
      </c>
      <c r="L682" s="173">
        <f t="shared" si="59"/>
      </c>
      <c r="M682" s="174">
        <f t="shared" si="149"/>
      </c>
      <c r="N682" s="172">
        <f t="shared" si="29"/>
      </c>
      <c r="O682" s="173">
        <f t="shared" si="480"/>
      </c>
      <c r="P682" s="172">
        <f t="shared" si="450"/>
      </c>
      <c r="Q682" s="172">
        <f t="shared" si="372"/>
      </c>
      <c r="R682" s="173">
        <f t="shared" si="342"/>
      </c>
      <c r="S682" s="175">
        <f t="shared" si="239"/>
      </c>
      <c r="T682" s="173">
        <f t="shared" si="179"/>
      </c>
      <c r="U682" s="176">
        <f t="shared" si="89"/>
      </c>
      <c r="V682" s="177" t="s">
        <v>108</v>
      </c>
      <c r="W682" s="178" t="s">
        <v>133</v>
      </c>
      <c r="X682" s="208">
        <v>2</v>
      </c>
      <c r="Y682" s="169">
        <v>12719</v>
      </c>
      <c r="Z682" s="169">
        <v>638</v>
      </c>
      <c r="AA682" s="169">
        <v>1018</v>
      </c>
      <c r="AB682" s="169">
        <v>216</v>
      </c>
      <c r="AC682" s="169">
        <v>67</v>
      </c>
      <c r="AD682" s="179">
        <v>3</v>
      </c>
      <c r="AE682" s="230">
        <v>21</v>
      </c>
      <c r="AF682" s="152"/>
      <c r="AG682" s="152"/>
    </row>
    <row r="683">
      <c r="A683" s="166"/>
      <c r="B683" s="195" t="s">
        <v>128</v>
      </c>
      <c r="C683" s="168" t="s">
        <v>126</v>
      </c>
      <c r="D683" s="169">
        <f t="shared" si="420"/>
      </c>
      <c r="E683" s="170">
        <v>2866.29</v>
      </c>
      <c r="F683" s="170">
        <v>1171.11</v>
      </c>
      <c r="G683" s="170">
        <v>0</v>
      </c>
      <c r="H683" s="170">
        <v>2</v>
      </c>
      <c r="I683" s="170">
        <v>2229.2000000000116</v>
      </c>
      <c r="J683" s="171">
        <f t="shared" si="209"/>
      </c>
      <c r="K683" s="172">
        <f t="shared" si="119"/>
      </c>
      <c r="L683" s="173">
        <f t="shared" si="59"/>
      </c>
      <c r="M683" s="174">
        <f t="shared" si="149"/>
      </c>
      <c r="N683" s="172">
        <f t="shared" si="29"/>
      </c>
      <c r="O683" s="173">
        <f t="shared" si="480"/>
      </c>
      <c r="P683" s="172">
        <f t="shared" si="450"/>
      </c>
      <c r="Q683" s="172">
        <f t="shared" si="372"/>
      </c>
      <c r="R683" s="173">
        <f t="shared" si="342"/>
      </c>
      <c r="S683" s="175">
        <f t="shared" si="239"/>
      </c>
      <c r="T683" s="173">
        <f t="shared" si="179"/>
      </c>
      <c r="U683" s="176">
        <f t="shared" si="89"/>
      </c>
      <c r="V683" s="177" t="s">
        <v>108</v>
      </c>
      <c r="W683" s="178" t="s">
        <v>133</v>
      </c>
      <c r="X683" s="208">
        <v>1</v>
      </c>
      <c r="Y683" s="169">
        <v>13658</v>
      </c>
      <c r="Z683" s="169">
        <v>507</v>
      </c>
      <c r="AA683" s="169">
        <v>812</v>
      </c>
      <c r="AB683" s="169">
        <v>162</v>
      </c>
      <c r="AC683" s="170">
        <v>80</v>
      </c>
      <c r="AD683" s="179">
        <v>3</v>
      </c>
      <c r="AE683" s="180">
        <v>21</v>
      </c>
      <c r="AF683" s="152"/>
      <c r="AG683" s="152"/>
    </row>
    <row r="684">
      <c r="A684" s="166"/>
      <c r="B684" s="212" t="s">
        <v>129</v>
      </c>
      <c r="C684" s="168" t="s">
        <v>126</v>
      </c>
      <c r="D684" s="169">
        <f t="shared" si="420"/>
      </c>
      <c r="E684" s="170">
        <v>75.37</v>
      </c>
      <c r="F684" s="170">
        <v>1038.99</v>
      </c>
      <c r="G684" s="170">
        <v>0</v>
      </c>
      <c r="H684" s="170">
        <v>0</v>
      </c>
      <c r="I684" s="170">
        <v>0</v>
      </c>
      <c r="J684" s="171">
        <f t="shared" si="209"/>
      </c>
      <c r="K684" s="172">
        <f t="shared" si="119"/>
      </c>
      <c r="L684" s="173">
        <f t="shared" si="59"/>
      </c>
      <c r="M684" s="174">
        <f t="shared" si="149"/>
      </c>
      <c r="N684" s="172">
        <f t="shared" si="29"/>
      </c>
      <c r="O684" s="173">
        <f t="shared" si="480"/>
      </c>
      <c r="P684" s="172">
        <f t="shared" si="450"/>
      </c>
      <c r="Q684" s="172">
        <f t="shared" si="372"/>
      </c>
      <c r="R684" s="173">
        <f t="shared" si="342"/>
      </c>
      <c r="S684" s="175">
        <f t="shared" si="239"/>
      </c>
      <c r="T684" s="173">
        <f t="shared" si="179"/>
      </c>
      <c r="U684" s="176">
        <f t="shared" si="89"/>
      </c>
      <c r="V684" s="177" t="s">
        <v>108</v>
      </c>
      <c r="W684" s="178" t="s">
        <v>133</v>
      </c>
      <c r="X684" s="208">
        <v>0</v>
      </c>
      <c r="Y684" s="169">
        <v>2563</v>
      </c>
      <c r="Z684" s="169">
        <v>309</v>
      </c>
      <c r="AA684" s="169">
        <v>551</v>
      </c>
      <c r="AB684" s="169">
        <v>117</v>
      </c>
      <c r="AC684" s="170">
        <v>22</v>
      </c>
      <c r="AD684" s="179">
        <v>0</v>
      </c>
      <c r="AE684" s="230">
        <v>11</v>
      </c>
      <c r="AF684" s="152"/>
      <c r="AG684" s="152"/>
    </row>
    <row r="685">
      <c r="A685" s="166"/>
      <c r="B685" s="184" t="s">
        <v>113</v>
      </c>
      <c r="C685" s="184"/>
      <c r="D685" s="185">
        <f>SUM(D681:D684)</f>
      </c>
      <c r="E685" s="185">
        <f>SUM(E681:E684)</f>
      </c>
      <c r="F685" s="185">
        <f>SUM(F681:F684)</f>
      </c>
      <c r="G685" s="185">
        <f>SUM(G681:G684)</f>
      </c>
      <c r="H685" s="185">
        <f>SUM(H681:H684)</f>
      </c>
      <c r="I685" s="185">
        <f>SUM(I681:I684)</f>
      </c>
      <c r="J685" s="186">
        <f t="shared" si="209"/>
      </c>
      <c r="K685" s="187">
        <f t="shared" si="119"/>
      </c>
      <c r="L685" s="188">
        <f t="shared" si="59"/>
      </c>
      <c r="M685" s="189">
        <f t="shared" si="149"/>
      </c>
      <c r="N685" s="187">
        <f t="shared" si="29"/>
      </c>
      <c r="O685" s="188">
        <f t="shared" si="480"/>
      </c>
      <c r="P685" s="187">
        <f t="shared" si="450"/>
      </c>
      <c r="Q685" s="187">
        <f t="shared" si="372"/>
      </c>
      <c r="R685" s="188">
        <f t="shared" si="342"/>
      </c>
      <c r="S685" s="190">
        <f t="shared" si="239"/>
      </c>
      <c r="T685" s="188">
        <f t="shared" si="179"/>
      </c>
      <c r="U685" s="191">
        <f t="shared" si="89"/>
      </c>
      <c r="V685" s="191"/>
      <c r="W685" s="191"/>
      <c r="X685" s="206">
        <f>SUM(X681:X684)</f>
      </c>
      <c r="Y685" s="209">
        <f>SUM(Y681:Y684)</f>
      </c>
      <c r="Z685" s="209">
        <f>SUM(Z681:Z684)</f>
      </c>
      <c r="AA685" s="209">
        <f>SUM(AA681:AA684)</f>
      </c>
      <c r="AB685" s="209">
        <f>SUM(AB681:AB684)</f>
      </c>
      <c r="AC685" s="209">
        <f>SUM(AC681:AC684)</f>
      </c>
      <c r="AD685" s="209">
        <f>SUM(AD681:AD684)</f>
      </c>
      <c r="AE685" s="209">
        <f>SUM(AE681:AE684)</f>
      </c>
      <c r="AF685" s="152"/>
      <c r="AG685" s="152"/>
    </row>
    <row r="686">
      <c r="A686" s="166"/>
      <c r="B686" s="215" t="s">
        <v>130</v>
      </c>
      <c r="C686" s="215"/>
      <c r="D686" s="216">
        <f>D670+D675+D680+D685</f>
      </c>
      <c r="E686" s="217">
        <f>E670+E675+E680+E685</f>
      </c>
      <c r="F686" s="218">
        <f>F670+F675+F680+F685</f>
      </c>
      <c r="G686" s="218">
        <f>G670+G675+G680+G685</f>
      </c>
      <c r="H686" s="216">
        <f>H670+H675+H680+H685</f>
      </c>
      <c r="I686" s="216">
        <f>I670+I675+I680+I685</f>
      </c>
      <c r="J686" s="219">
        <f t="shared" si="209"/>
      </c>
      <c r="K686" s="220">
        <f t="shared" si="119"/>
      </c>
      <c r="L686" s="221">
        <f t="shared" si="59"/>
      </c>
      <c r="M686" s="222">
        <f t="shared" si="149"/>
      </c>
      <c r="N686" s="222">
        <f t="shared" si="29"/>
      </c>
      <c r="O686" s="221">
        <f t="shared" si="480"/>
      </c>
      <c r="P686" s="222">
        <f t="shared" si="450"/>
      </c>
      <c r="Q686" s="222">
        <f t="shared" si="372"/>
      </c>
      <c r="R686" s="221">
        <f t="shared" si="342"/>
      </c>
      <c r="S686" s="223">
        <f t="shared" si="239"/>
      </c>
      <c r="T686" s="221">
        <f t="shared" si="179"/>
      </c>
      <c r="U686" s="224">
        <f t="shared" si="89"/>
      </c>
      <c r="V686" s="224"/>
      <c r="W686" s="224"/>
      <c r="X686" s="219">
        <f>X670+X675+X680+X685</f>
      </c>
      <c r="Y686" s="219">
        <f>Y670+Y675+Y680+Y685</f>
      </c>
      <c r="Z686" s="219">
        <f>Z670+Z675+Z680+Z685</f>
      </c>
      <c r="AA686" s="219">
        <f>AA670+AA675+AA680+AA685</f>
      </c>
      <c r="AB686" s="219">
        <f>AB670+AB675+AB680+AB685</f>
      </c>
      <c r="AC686" s="219">
        <f>AC670+AC675+AC680+AC685</f>
      </c>
      <c r="AD686" s="233">
        <f>AD670+AD675+AD680+AD685</f>
      </c>
      <c r="AE686" s="218">
        <f>AE670+AE675+AE680+AE685</f>
      </c>
      <c r="AF686" s="152"/>
      <c r="AG686" s="152"/>
    </row>
    <row r="687">
      <c r="A687" s="248"/>
      <c r="B687" s="249"/>
      <c r="C687" s="249"/>
      <c r="D687" s="249"/>
      <c r="E687" s="250">
        <f>E688+E689+E690</f>
      </c>
      <c r="F687" s="250"/>
      <c r="G687" s="251"/>
      <c r="H687" s="252">
        <f>H688-H686</f>
      </c>
      <c r="I687" s="252">
        <f>I688-I686</f>
      </c>
      <c r="J687" s="253"/>
      <c r="K687" s="254"/>
      <c r="L687" s="253"/>
      <c r="M687" s="254"/>
      <c r="N687" s="254"/>
      <c r="O687" s="253"/>
      <c r="P687" s="254"/>
      <c r="Q687" s="254"/>
      <c r="R687" s="253"/>
      <c r="S687" s="255"/>
      <c r="T687" s="249"/>
      <c r="U687" s="249"/>
      <c r="AE687" s="256">
        <f>AE688-AE686</f>
      </c>
      <c r="AF687" s="257"/>
      <c r="AG687" s="257"/>
    </row>
    <row r="688">
      <c r="A688" s="248"/>
      <c r="B688" s="251"/>
      <c r="C688" s="251"/>
      <c r="D688" s="258" t="s">
        <v>144</v>
      </c>
      <c r="E688" s="259">
        <v>14.6</v>
      </c>
      <c r="F688" s="260"/>
      <c r="G688" s="260"/>
      <c r="H688" s="258">
        <v>37</v>
      </c>
      <c r="I688" s="258">
        <v>22888.32</v>
      </c>
      <c r="J688" s="261"/>
      <c r="K688" s="262"/>
      <c r="L688" s="261"/>
      <c r="M688" s="262"/>
      <c r="N688" s="262"/>
      <c r="O688" s="261"/>
      <c r="P688" s="262"/>
      <c r="Q688" s="262"/>
      <c r="R688" s="261"/>
      <c r="S688" s="263"/>
      <c r="T688" s="251"/>
      <c r="U688" s="251"/>
      <c r="AD688" s="264"/>
      <c r="AE688" s="258">
        <v>363</v>
      </c>
      <c r="AF688" s="257"/>
      <c r="AG688" s="257"/>
    </row>
    <row r="689">
      <c r="A689" s="248"/>
      <c r="B689" s="251"/>
      <c r="C689" s="251"/>
      <c r="D689" s="258">
        <v>1</v>
      </c>
      <c r="E689" s="259">
        <v>24.44</v>
      </c>
      <c r="F689" s="265"/>
      <c r="G689" s="266"/>
      <c r="H689" s="267"/>
      <c r="I689" s="267"/>
      <c r="J689" s="261"/>
      <c r="K689" s="262"/>
      <c r="L689" s="268"/>
      <c r="M689" s="268"/>
      <c r="N689" s="262"/>
      <c r="O689" s="261"/>
      <c r="P689" s="262"/>
      <c r="Q689" s="262"/>
      <c r="R689" s="261"/>
      <c r="S689" s="263"/>
      <c r="T689" s="261"/>
      <c r="U689" s="269"/>
      <c r="AD689" s="261"/>
      <c r="AE689" s="267"/>
      <c r="AF689" s="257"/>
      <c r="AG689" s="257"/>
    </row>
    <row r="690">
      <c r="A690" s="248"/>
      <c r="B690" s="251"/>
      <c r="C690" s="251"/>
      <c r="D690" s="258" t="s">
        <v>145</v>
      </c>
      <c r="E690" s="259">
        <v>36.33</v>
      </c>
      <c r="F690" s="270"/>
      <c r="G690" s="270"/>
      <c r="H690" s="261"/>
      <c r="I690" s="261"/>
      <c r="J690" s="261"/>
      <c r="K690" s="262"/>
      <c r="L690" s="268"/>
      <c r="M690" s="268"/>
      <c r="N690" s="262"/>
      <c r="O690" s="261"/>
      <c r="P690" s="262"/>
      <c r="Q690" s="262"/>
      <c r="R690" s="271"/>
      <c r="S690" s="272"/>
      <c r="T690" s="261"/>
      <c r="U690" s="269"/>
      <c r="W690" s="273"/>
      <c r="X690" s="274"/>
      <c r="Y690" s="274"/>
      <c r="Z690" s="274"/>
      <c r="AA690" s="274"/>
      <c r="AB690" s="274"/>
      <c r="AC690" s="274"/>
      <c r="AD690" s="261"/>
      <c r="AE690" s="267"/>
      <c r="AF690" s="257"/>
      <c r="AG690" s="257"/>
    </row>
    <row r="691">
      <c r="A691" s="248"/>
      <c r="B691" s="251"/>
      <c r="C691" s="251"/>
      <c r="D691" s="261"/>
      <c r="E691" s="261"/>
      <c r="F691" s="261"/>
      <c r="G691" s="261"/>
      <c r="H691" s="261"/>
      <c r="I691" s="261"/>
      <c r="J691" s="261"/>
      <c r="K691" s="262"/>
      <c r="L691" s="261"/>
      <c r="M691" s="262"/>
      <c r="N691" s="262"/>
      <c r="O691" s="261"/>
      <c r="P691" s="262"/>
      <c r="Q691" s="262"/>
      <c r="R691" s="261"/>
      <c r="S691" s="263"/>
      <c r="T691" s="261"/>
      <c r="U691" s="269"/>
      <c r="V691" s="275" t="s">
        <v>146</v>
      </c>
      <c r="W691" s="276" t="s">
        <v>147</v>
      </c>
      <c r="X691" s="277">
        <v>2</v>
      </c>
      <c r="Y691" s="278">
        <v>10515</v>
      </c>
      <c r="Z691" s="279">
        <v>777</v>
      </c>
      <c r="AA691" s="279">
        <v>1192</v>
      </c>
      <c r="AB691" s="279">
        <v>344</v>
      </c>
      <c r="AC691" s="280">
        <v>18</v>
      </c>
      <c r="AD691" s="261"/>
      <c r="AE691" s="261"/>
      <c r="AF691" s="257"/>
      <c r="AG691" s="257"/>
    </row>
    <row r="692">
      <c r="A692" s="248"/>
      <c r="B692" s="251"/>
      <c r="C692" s="251"/>
      <c r="D692" s="261"/>
      <c r="E692" s="261"/>
      <c r="F692" s="261"/>
      <c r="G692" s="261"/>
      <c r="H692" s="261"/>
      <c r="I692" s="261"/>
      <c r="J692" s="261"/>
      <c r="K692" s="262"/>
      <c r="L692" s="261"/>
      <c r="M692" s="262"/>
      <c r="N692" s="262"/>
      <c r="O692" s="261"/>
      <c r="P692" s="262"/>
      <c r="Q692" s="262"/>
      <c r="R692" s="261"/>
      <c r="S692" s="263"/>
      <c r="T692" s="261"/>
      <c r="U692" s="269"/>
      <c r="V692" s="276"/>
      <c r="W692" s="275" t="s">
        <v>148</v>
      </c>
      <c r="X692" s="277"/>
      <c r="Y692" s="277"/>
      <c r="Z692" s="279"/>
      <c r="AA692" s="279"/>
      <c r="AB692" s="279"/>
      <c r="AC692" s="279"/>
      <c r="AD692" s="261"/>
      <c r="AE692" s="261"/>
      <c r="AF692" s="257"/>
      <c r="AG692" s="257"/>
    </row>
    <row r="693">
      <c r="A693" s="248"/>
      <c r="B693" s="251"/>
      <c r="C693" s="251"/>
      <c r="D693" s="261"/>
      <c r="E693" s="261"/>
      <c r="F693" s="261"/>
      <c r="G693" s="261"/>
      <c r="H693" s="261"/>
      <c r="I693" s="261"/>
      <c r="J693" s="261"/>
      <c r="K693" s="262"/>
      <c r="L693" s="261"/>
      <c r="M693" s="262"/>
      <c r="N693" s="262"/>
      <c r="O693" s="261"/>
      <c r="P693" s="262"/>
      <c r="Q693" s="262"/>
      <c r="R693" s="261"/>
      <c r="S693" s="263"/>
      <c r="T693" s="261"/>
      <c r="U693" s="269"/>
      <c r="V693" s="281"/>
      <c r="W693" s="282" t="s">
        <v>149</v>
      </c>
      <c r="X693" s="283">
        <f>X692+X691</f>
      </c>
      <c r="Y693" s="283">
        <f>Y692+Y691</f>
      </c>
      <c r="Z693" s="283">
        <f>Z692+Z691</f>
      </c>
      <c r="AA693" s="283">
        <f>AA692+AA691</f>
      </c>
      <c r="AB693" s="283">
        <f>AB692+AB691</f>
      </c>
      <c r="AC693" s="283">
        <f>AC692+AC691</f>
      </c>
      <c r="AD693" s="261"/>
      <c r="AE693" s="261"/>
      <c r="AF693" s="257"/>
      <c r="AG693" s="257"/>
    </row>
    <row r="694">
      <c r="A694" s="284"/>
      <c r="B694" s="251"/>
      <c r="C694" s="251"/>
      <c r="D694" s="261"/>
      <c r="E694" s="261"/>
      <c r="F694" s="261"/>
      <c r="G694" s="261"/>
      <c r="H694" s="261"/>
      <c r="I694" s="261"/>
      <c r="J694" s="261"/>
      <c r="K694" s="262"/>
      <c r="L694" s="261"/>
      <c r="M694" s="262"/>
      <c r="N694" s="262"/>
      <c r="O694" s="261"/>
      <c r="P694" s="262"/>
      <c r="Q694" s="262"/>
      <c r="R694" s="261"/>
      <c r="S694" s="263"/>
      <c r="T694" s="261"/>
      <c r="U694" s="269"/>
      <c r="V694" s="285"/>
      <c r="W694" s="286"/>
      <c r="X694" s="267"/>
      <c r="Y694" s="267"/>
      <c r="Z694" s="267"/>
      <c r="AA694" s="267"/>
      <c r="AB694" s="267"/>
      <c r="AC694" s="267"/>
      <c r="AD694" s="261"/>
      <c r="AE694" s="261"/>
      <c r="AF694" s="257"/>
      <c r="AG694" s="257"/>
    </row>
    <row r="695">
      <c r="A695" s="284"/>
      <c r="B695" s="251"/>
      <c r="C695" s="251"/>
      <c r="D695" s="261"/>
      <c r="E695" s="261"/>
      <c r="F695" s="261"/>
      <c r="G695" s="261"/>
      <c r="H695" s="261"/>
      <c r="I695" s="261"/>
      <c r="J695" s="261"/>
      <c r="K695" s="262"/>
      <c r="L695" s="261"/>
      <c r="M695" s="262"/>
      <c r="N695" s="262"/>
      <c r="O695" s="261"/>
      <c r="P695" s="262"/>
      <c r="Q695" s="262"/>
      <c r="R695" s="261"/>
      <c r="S695" s="263"/>
      <c r="T695" s="261"/>
      <c r="U695" s="269"/>
      <c r="V695" s="285"/>
      <c r="W695" s="286"/>
      <c r="X695" s="267"/>
      <c r="Y695" s="267"/>
      <c r="Z695" s="267"/>
      <c r="AA695" s="267"/>
      <c r="AB695" s="267"/>
      <c r="AC695" s="267"/>
      <c r="AD695" s="261"/>
      <c r="AE695" s="261"/>
      <c r="AF695" s="257"/>
      <c r="AG695" s="257"/>
    </row>
    <row r="696">
      <c r="A696" s="284"/>
      <c r="B696" s="251"/>
      <c r="C696" s="251"/>
      <c r="D696" s="261"/>
      <c r="E696" s="261"/>
      <c r="F696" s="261"/>
      <c r="G696" s="261"/>
      <c r="H696" s="261"/>
      <c r="I696" s="261"/>
      <c r="J696" s="261"/>
      <c r="K696" s="262"/>
      <c r="L696" s="261"/>
      <c r="M696" s="262"/>
      <c r="N696" s="262"/>
      <c r="O696" s="261"/>
      <c r="P696" s="262"/>
      <c r="Q696" s="262"/>
      <c r="R696" s="261"/>
      <c r="S696" s="263"/>
      <c r="T696" s="261"/>
      <c r="U696" s="269"/>
      <c r="V696" s="285"/>
      <c r="W696" s="286"/>
      <c r="X696" s="267"/>
      <c r="Y696" s="267"/>
      <c r="Z696" s="267"/>
      <c r="AA696" s="267"/>
      <c r="AB696" s="267"/>
      <c r="AC696" s="267"/>
      <c r="AD696" s="261"/>
      <c r="AE696" s="261"/>
      <c r="AF696" s="257"/>
      <c r="AG696" s="257"/>
    </row>
    <row r="697">
      <c r="A697" s="284"/>
      <c r="B697" s="251"/>
      <c r="C697" s="251"/>
      <c r="D697" s="261"/>
      <c r="E697" s="261"/>
      <c r="F697" s="261"/>
      <c r="G697" s="261"/>
      <c r="H697" s="261"/>
      <c r="I697" s="261"/>
      <c r="J697" s="261"/>
      <c r="K697" s="262"/>
      <c r="L697" s="261"/>
      <c r="M697" s="262"/>
      <c r="N697" s="262"/>
      <c r="O697" s="261"/>
      <c r="P697" s="262"/>
      <c r="Q697" s="262"/>
      <c r="R697" s="261"/>
      <c r="S697" s="263"/>
      <c r="T697" s="261"/>
      <c r="U697" s="269"/>
      <c r="V697" s="285"/>
      <c r="W697" s="286"/>
      <c r="X697" s="267"/>
      <c r="Y697" s="267"/>
      <c r="Z697" s="267"/>
      <c r="AA697" s="267"/>
      <c r="AB697" s="267"/>
      <c r="AC697" s="267"/>
      <c r="AD697" s="261"/>
      <c r="AE697" s="261"/>
      <c r="AF697" s="257"/>
      <c r="AG697" s="257"/>
    </row>
    <row r="698">
      <c r="A698" s="284"/>
      <c r="B698" s="251"/>
      <c r="C698" s="251"/>
      <c r="D698" s="261"/>
      <c r="E698" s="261"/>
      <c r="F698" s="261"/>
      <c r="G698" s="261"/>
      <c r="H698" s="261"/>
      <c r="I698" s="261"/>
      <c r="J698" s="261"/>
      <c r="K698" s="262"/>
      <c r="L698" s="261"/>
      <c r="M698" s="262"/>
      <c r="N698" s="262"/>
      <c r="O698" s="261"/>
      <c r="P698" s="262"/>
      <c r="Q698" s="262"/>
      <c r="R698" s="261"/>
      <c r="S698" s="263"/>
      <c r="T698" s="261"/>
      <c r="U698" s="269"/>
      <c r="V698" s="285"/>
      <c r="W698" s="286"/>
      <c r="X698" s="267"/>
      <c r="Y698" s="267"/>
      <c r="Z698" s="267"/>
      <c r="AA698" s="267"/>
      <c r="AB698" s="267"/>
      <c r="AC698" s="267"/>
      <c r="AD698" s="261"/>
      <c r="AE698" s="261"/>
      <c r="AF698" s="257"/>
      <c r="AG698" s="257"/>
    </row>
    <row r="699">
      <c r="A699" s="284"/>
      <c r="B699" s="251"/>
      <c r="C699" s="251"/>
      <c r="D699" s="261"/>
      <c r="E699" s="261"/>
      <c r="F699" s="261"/>
      <c r="G699" s="261"/>
      <c r="H699" s="261"/>
      <c r="I699" s="261"/>
      <c r="J699" s="261"/>
      <c r="K699" s="262"/>
      <c r="L699" s="261"/>
      <c r="M699" s="262"/>
      <c r="N699" s="262"/>
      <c r="O699" s="261"/>
      <c r="P699" s="262"/>
      <c r="Q699" s="262"/>
      <c r="R699" s="261"/>
      <c r="S699" s="263"/>
      <c r="T699" s="261"/>
      <c r="U699" s="269"/>
      <c r="V699" s="285"/>
      <c r="W699" s="286"/>
      <c r="X699" s="267"/>
      <c r="Y699" s="267"/>
      <c r="Z699" s="267"/>
      <c r="AA699" s="267"/>
      <c r="AB699" s="267"/>
      <c r="AC699" s="267"/>
      <c r="AD699" s="261"/>
      <c r="AE699" s="261"/>
      <c r="AF699" s="257"/>
      <c r="AG699" s="257"/>
    </row>
    <row r="700">
      <c r="A700" s="284"/>
      <c r="B700" s="251"/>
      <c r="C700" s="251"/>
      <c r="D700" s="261"/>
      <c r="E700" s="261"/>
      <c r="F700" s="261"/>
      <c r="G700" s="261"/>
      <c r="H700" s="261"/>
      <c r="I700" s="261"/>
      <c r="J700" s="261"/>
      <c r="K700" s="262"/>
      <c r="L700" s="261"/>
      <c r="M700" s="262"/>
      <c r="N700" s="262"/>
      <c r="O700" s="261"/>
      <c r="P700" s="262"/>
      <c r="Q700" s="262"/>
      <c r="R700" s="261"/>
      <c r="S700" s="263"/>
      <c r="T700" s="261"/>
      <c r="U700" s="269"/>
      <c r="V700" s="285"/>
      <c r="W700" s="286"/>
      <c r="X700" s="267"/>
      <c r="Y700" s="267"/>
      <c r="Z700" s="267"/>
      <c r="AA700" s="267"/>
      <c r="AB700" s="267"/>
      <c r="AC700" s="267"/>
      <c r="AD700" s="261"/>
      <c r="AE700" s="261"/>
      <c r="AF700" s="257"/>
      <c r="AG700" s="257"/>
    </row>
    <row r="701">
      <c r="A701" s="284"/>
      <c r="B701" s="251"/>
      <c r="C701" s="251"/>
      <c r="D701" s="261"/>
      <c r="E701" s="261"/>
      <c r="F701" s="261"/>
      <c r="G701" s="261"/>
      <c r="H701" s="261"/>
      <c r="I701" s="261"/>
      <c r="J701" s="261"/>
      <c r="K701" s="262"/>
      <c r="L701" s="261"/>
      <c r="M701" s="262"/>
      <c r="N701" s="262"/>
      <c r="O701" s="261"/>
      <c r="P701" s="262"/>
      <c r="Q701" s="262"/>
      <c r="R701" s="261"/>
      <c r="S701" s="263"/>
      <c r="T701" s="261"/>
      <c r="U701" s="269"/>
      <c r="V701" s="285"/>
      <c r="W701" s="286"/>
      <c r="X701" s="267"/>
      <c r="Y701" s="267"/>
      <c r="Z701" s="267"/>
      <c r="AA701" s="267"/>
      <c r="AB701" s="267"/>
      <c r="AC701" s="267"/>
      <c r="AD701" s="261"/>
      <c r="AE701" s="261"/>
      <c r="AF701" s="257"/>
      <c r="AG701" s="257"/>
    </row>
    <row r="702">
      <c r="A702" s="284"/>
      <c r="B702" s="251"/>
      <c r="C702" s="251"/>
      <c r="D702" s="261"/>
      <c r="E702" s="261"/>
      <c r="F702" s="261"/>
      <c r="G702" s="261"/>
      <c r="H702" s="261"/>
      <c r="I702" s="261"/>
      <c r="J702" s="261"/>
      <c r="K702" s="262"/>
      <c r="L702" s="261"/>
      <c r="M702" s="262"/>
      <c r="N702" s="262"/>
      <c r="O702" s="261"/>
      <c r="P702" s="262"/>
      <c r="Q702" s="262"/>
      <c r="R702" s="261"/>
      <c r="S702" s="263"/>
      <c r="T702" s="261"/>
      <c r="U702" s="269"/>
      <c r="V702" s="285"/>
      <c r="W702" s="286"/>
      <c r="X702" s="267"/>
      <c r="Y702" s="267"/>
      <c r="Z702" s="267"/>
      <c r="AA702" s="267"/>
      <c r="AB702" s="267"/>
      <c r="AC702" s="267"/>
      <c r="AD702" s="261"/>
      <c r="AE702" s="261"/>
      <c r="AF702" s="257"/>
      <c r="AG702" s="257"/>
    </row>
    <row r="703">
      <c r="A703" s="284"/>
      <c r="B703" s="251"/>
      <c r="C703" s="251"/>
      <c r="D703" s="261"/>
      <c r="E703" s="261"/>
      <c r="F703" s="261"/>
      <c r="G703" s="261"/>
      <c r="H703" s="261"/>
      <c r="I703" s="261"/>
      <c r="J703" s="261"/>
      <c r="K703" s="262"/>
      <c r="L703" s="261"/>
      <c r="M703" s="262"/>
      <c r="N703" s="262"/>
      <c r="O703" s="261"/>
      <c r="P703" s="262"/>
      <c r="Q703" s="262"/>
      <c r="R703" s="261"/>
      <c r="S703" s="263"/>
      <c r="T703" s="261"/>
      <c r="U703" s="269"/>
      <c r="V703" s="285"/>
      <c r="W703" s="286"/>
      <c r="X703" s="267"/>
      <c r="Y703" s="267"/>
      <c r="Z703" s="267"/>
      <c r="AA703" s="267"/>
      <c r="AB703" s="267"/>
      <c r="AC703" s="267"/>
      <c r="AD703" s="261"/>
      <c r="AE703" s="261"/>
      <c r="AF703" s="257"/>
      <c r="AG703" s="257"/>
    </row>
    <row r="704">
      <c r="A704" s="284"/>
      <c r="B704" s="251"/>
      <c r="C704" s="251"/>
      <c r="D704" s="261"/>
      <c r="E704" s="261"/>
      <c r="F704" s="261"/>
      <c r="G704" s="261"/>
      <c r="H704" s="261"/>
      <c r="I704" s="261"/>
      <c r="J704" s="261"/>
      <c r="K704" s="262"/>
      <c r="L704" s="261"/>
      <c r="M704" s="262"/>
      <c r="N704" s="262"/>
      <c r="O704" s="261"/>
      <c r="P704" s="262"/>
      <c r="Q704" s="262"/>
      <c r="R704" s="261"/>
      <c r="S704" s="263"/>
      <c r="T704" s="261"/>
      <c r="U704" s="269"/>
      <c r="V704" s="285"/>
      <c r="W704" s="286"/>
      <c r="X704" s="267"/>
      <c r="Y704" s="267"/>
      <c r="Z704" s="267"/>
      <c r="AA704" s="267"/>
      <c r="AB704" s="267"/>
      <c r="AC704" s="267"/>
      <c r="AD704" s="261"/>
      <c r="AE704" s="261"/>
      <c r="AF704" s="257"/>
      <c r="AG704" s="257"/>
    </row>
    <row r="705">
      <c r="A705" s="284"/>
      <c r="B705" s="251"/>
      <c r="C705" s="251"/>
      <c r="D705" s="261"/>
      <c r="E705" s="261"/>
      <c r="F705" s="261"/>
      <c r="G705" s="261"/>
      <c r="H705" s="261"/>
      <c r="I705" s="261"/>
      <c r="J705" s="261"/>
      <c r="K705" s="262"/>
      <c r="L705" s="261"/>
      <c r="M705" s="262"/>
      <c r="N705" s="262"/>
      <c r="O705" s="261"/>
      <c r="P705" s="262"/>
      <c r="Q705" s="262"/>
      <c r="R705" s="261"/>
      <c r="S705" s="263"/>
      <c r="T705" s="261"/>
      <c r="U705" s="269"/>
      <c r="V705" s="285"/>
      <c r="W705" s="286"/>
      <c r="X705" s="267"/>
      <c r="Y705" s="267"/>
      <c r="Z705" s="267"/>
      <c r="AA705" s="267"/>
      <c r="AB705" s="267"/>
      <c r="AC705" s="267"/>
      <c r="AD705" s="261"/>
      <c r="AE705" s="261"/>
      <c r="AF705" s="257"/>
      <c r="AG705" s="257"/>
    </row>
    <row r="706">
      <c r="A706" s="284"/>
      <c r="B706" s="251"/>
      <c r="C706" s="251"/>
      <c r="D706" s="261"/>
      <c r="E706" s="261"/>
      <c r="F706" s="261"/>
      <c r="G706" s="261"/>
      <c r="H706" s="261"/>
      <c r="I706" s="261"/>
      <c r="J706" s="261"/>
      <c r="K706" s="262"/>
      <c r="L706" s="261"/>
      <c r="M706" s="262"/>
      <c r="N706" s="262"/>
      <c r="O706" s="261"/>
      <c r="P706" s="262"/>
      <c r="Q706" s="262"/>
      <c r="R706" s="261"/>
      <c r="S706" s="263"/>
      <c r="T706" s="261"/>
      <c r="U706" s="269"/>
      <c r="V706" s="285"/>
      <c r="W706" s="286"/>
      <c r="X706" s="267"/>
      <c r="Y706" s="267"/>
      <c r="Z706" s="267"/>
      <c r="AA706" s="267"/>
      <c r="AB706" s="267"/>
      <c r="AC706" s="267"/>
      <c r="AD706" s="261"/>
      <c r="AE706" s="261"/>
      <c r="AF706" s="257"/>
      <c r="AG706" s="257"/>
    </row>
    <row r="707">
      <c r="A707" s="284"/>
      <c r="B707" s="251"/>
      <c r="C707" s="251"/>
      <c r="D707" s="261"/>
      <c r="E707" s="261"/>
      <c r="F707" s="261"/>
      <c r="G707" s="261"/>
      <c r="H707" s="261"/>
      <c r="I707" s="261"/>
      <c r="J707" s="261"/>
      <c r="K707" s="262"/>
      <c r="L707" s="261"/>
      <c r="M707" s="262"/>
      <c r="N707" s="262"/>
      <c r="O707" s="261"/>
      <c r="P707" s="262"/>
      <c r="Q707" s="262"/>
      <c r="R707" s="261"/>
      <c r="S707" s="263"/>
      <c r="T707" s="261"/>
      <c r="U707" s="269"/>
      <c r="V707" s="285"/>
      <c r="W707" s="286"/>
      <c r="X707" s="267"/>
      <c r="Y707" s="267"/>
      <c r="Z707" s="267"/>
      <c r="AA707" s="267"/>
      <c r="AB707" s="267"/>
      <c r="AC707" s="267"/>
      <c r="AD707" s="261"/>
      <c r="AE707" s="261"/>
      <c r="AF707" s="257"/>
      <c r="AG707" s="257"/>
    </row>
    <row r="708">
      <c r="A708" s="284"/>
      <c r="B708" s="251"/>
      <c r="C708" s="251"/>
      <c r="D708" s="261"/>
      <c r="E708" s="261"/>
      <c r="F708" s="261"/>
      <c r="G708" s="261"/>
      <c r="H708" s="261"/>
      <c r="I708" s="261"/>
      <c r="J708" s="261"/>
      <c r="K708" s="262"/>
      <c r="L708" s="261"/>
      <c r="M708" s="262"/>
      <c r="N708" s="262"/>
      <c r="O708" s="261"/>
      <c r="P708" s="262"/>
      <c r="Q708" s="262"/>
      <c r="R708" s="261"/>
      <c r="S708" s="263"/>
      <c r="T708" s="261"/>
      <c r="U708" s="269"/>
      <c r="V708" s="285"/>
      <c r="W708" s="286"/>
      <c r="X708" s="267"/>
      <c r="Y708" s="267"/>
      <c r="Z708" s="267"/>
      <c r="AA708" s="267"/>
      <c r="AB708" s="267"/>
      <c r="AC708" s="267"/>
      <c r="AD708" s="261"/>
      <c r="AE708" s="261"/>
      <c r="AF708" s="257"/>
      <c r="AG708" s="257"/>
    </row>
    <row r="709">
      <c r="A709" s="284"/>
      <c r="B709" s="251"/>
      <c r="C709" s="251"/>
      <c r="D709" s="261"/>
      <c r="E709" s="261"/>
      <c r="F709" s="261"/>
      <c r="G709" s="261"/>
      <c r="H709" s="261"/>
      <c r="I709" s="261"/>
      <c r="J709" s="261"/>
      <c r="K709" s="262"/>
      <c r="L709" s="261"/>
      <c r="M709" s="262"/>
      <c r="N709" s="262"/>
      <c r="O709" s="261"/>
      <c r="P709" s="262"/>
      <c r="Q709" s="262"/>
      <c r="R709" s="261"/>
      <c r="S709" s="263"/>
      <c r="T709" s="261"/>
      <c r="U709" s="269"/>
      <c r="V709" s="285"/>
      <c r="W709" s="286"/>
      <c r="X709" s="267"/>
      <c r="Y709" s="267"/>
      <c r="Z709" s="267"/>
      <c r="AA709" s="267"/>
      <c r="AB709" s="267"/>
      <c r="AC709" s="267"/>
      <c r="AD709" s="261"/>
      <c r="AE709" s="261"/>
      <c r="AF709" s="257"/>
      <c r="AG709" s="257"/>
    </row>
    <row r="710">
      <c r="A710" s="284"/>
      <c r="B710" s="251"/>
      <c r="C710" s="251"/>
      <c r="D710" s="261"/>
      <c r="E710" s="261"/>
      <c r="F710" s="261"/>
      <c r="G710" s="261"/>
      <c r="H710" s="261"/>
      <c r="I710" s="261"/>
      <c r="J710" s="261"/>
      <c r="K710" s="262"/>
      <c r="L710" s="261"/>
      <c r="M710" s="262"/>
      <c r="N710" s="262"/>
      <c r="O710" s="261"/>
      <c r="P710" s="262"/>
      <c r="Q710" s="262"/>
      <c r="R710" s="261"/>
      <c r="S710" s="263"/>
      <c r="T710" s="261"/>
      <c r="U710" s="269"/>
      <c r="V710" s="285"/>
      <c r="W710" s="286"/>
      <c r="X710" s="267"/>
      <c r="Y710" s="267"/>
      <c r="Z710" s="267"/>
      <c r="AA710" s="267"/>
      <c r="AB710" s="267"/>
      <c r="AC710" s="267"/>
      <c r="AD710" s="261"/>
      <c r="AE710" s="261"/>
      <c r="AF710" s="257"/>
      <c r="AG710" s="257"/>
    </row>
    <row r="711">
      <c r="A711" s="284"/>
      <c r="B711" s="251"/>
      <c r="C711" s="251"/>
      <c r="D711" s="261"/>
      <c r="E711" s="261"/>
      <c r="F711" s="261"/>
      <c r="G711" s="261"/>
      <c r="H711" s="261"/>
      <c r="I711" s="261"/>
      <c r="J711" s="261"/>
      <c r="K711" s="262"/>
      <c r="L711" s="261"/>
      <c r="M711" s="262"/>
      <c r="N711" s="262"/>
      <c r="O711" s="261"/>
      <c r="P711" s="262"/>
      <c r="Q711" s="262"/>
      <c r="R711" s="261"/>
      <c r="S711" s="263"/>
      <c r="T711" s="261"/>
      <c r="U711" s="269"/>
      <c r="V711" s="285"/>
      <c r="W711" s="286"/>
      <c r="X711" s="267"/>
      <c r="Y711" s="267"/>
      <c r="Z711" s="267"/>
      <c r="AA711" s="267"/>
      <c r="AB711" s="267"/>
      <c r="AC711" s="267"/>
      <c r="AD711" s="261"/>
      <c r="AE711" s="261"/>
      <c r="AF711" s="257"/>
      <c r="AG711" s="257"/>
    </row>
    <row r="712">
      <c r="A712" s="284"/>
      <c r="B712" s="251"/>
      <c r="C712" s="251"/>
      <c r="D712" s="261"/>
      <c r="E712" s="261"/>
      <c r="F712" s="261"/>
      <c r="G712" s="261"/>
      <c r="H712" s="261"/>
      <c r="I712" s="261"/>
      <c r="J712" s="261"/>
      <c r="K712" s="262"/>
      <c r="L712" s="261"/>
      <c r="M712" s="262"/>
      <c r="N712" s="262"/>
      <c r="O712" s="261"/>
      <c r="P712" s="262"/>
      <c r="Q712" s="262"/>
      <c r="R712" s="261"/>
      <c r="S712" s="263"/>
      <c r="T712" s="261"/>
      <c r="U712" s="269"/>
      <c r="V712" s="285"/>
      <c r="W712" s="286"/>
      <c r="X712" s="267"/>
      <c r="Y712" s="267"/>
      <c r="Z712" s="267"/>
      <c r="AA712" s="267"/>
      <c r="AB712" s="267"/>
      <c r="AC712" s="267"/>
      <c r="AD712" s="261"/>
      <c r="AE712" s="261"/>
      <c r="AF712" s="257"/>
      <c r="AG712" s="257"/>
    </row>
    <row r="713">
      <c r="A713" s="284"/>
      <c r="B713" s="251"/>
      <c r="C713" s="251"/>
      <c r="D713" s="261"/>
      <c r="E713" s="261"/>
      <c r="F713" s="261"/>
      <c r="G713" s="261"/>
      <c r="H713" s="261"/>
      <c r="I713" s="261"/>
      <c r="J713" s="261"/>
      <c r="K713" s="262"/>
      <c r="L713" s="261"/>
      <c r="M713" s="262"/>
      <c r="N713" s="262"/>
      <c r="O713" s="261"/>
      <c r="P713" s="262"/>
      <c r="Q713" s="262"/>
      <c r="R713" s="261"/>
      <c r="S713" s="263"/>
      <c r="T713" s="261"/>
      <c r="U713" s="269"/>
      <c r="V713" s="285"/>
      <c r="W713" s="286"/>
      <c r="X713" s="267"/>
      <c r="Y713" s="267"/>
      <c r="Z713" s="267"/>
      <c r="AA713" s="267"/>
      <c r="AB713" s="267"/>
      <c r="AC713" s="267"/>
      <c r="AD713" s="261"/>
      <c r="AE713" s="261"/>
      <c r="AF713" s="257"/>
      <c r="AG713" s="257"/>
    </row>
    <row r="714">
      <c r="A714" s="284"/>
      <c r="B714" s="251"/>
      <c r="C714" s="251"/>
      <c r="D714" s="261"/>
      <c r="E714" s="261"/>
      <c r="F714" s="261"/>
      <c r="G714" s="261"/>
      <c r="H714" s="261"/>
      <c r="I714" s="261"/>
      <c r="J714" s="261"/>
      <c r="K714" s="262"/>
      <c r="L714" s="261"/>
      <c r="M714" s="262"/>
      <c r="N714" s="262"/>
      <c r="O714" s="261"/>
      <c r="P714" s="262"/>
      <c r="Q714" s="262"/>
      <c r="R714" s="261"/>
      <c r="S714" s="263"/>
      <c r="T714" s="261"/>
      <c r="U714" s="269"/>
      <c r="V714" s="285"/>
      <c r="W714" s="286"/>
      <c r="X714" s="267"/>
      <c r="Y714" s="267"/>
      <c r="Z714" s="267"/>
      <c r="AA714" s="267"/>
      <c r="AB714" s="267"/>
      <c r="AC714" s="267"/>
      <c r="AD714" s="261"/>
      <c r="AE714" s="261"/>
      <c r="AF714" s="257"/>
      <c r="AG714" s="257"/>
    </row>
    <row r="715">
      <c r="A715" s="284"/>
      <c r="B715" s="251"/>
      <c r="C715" s="251"/>
      <c r="D715" s="261"/>
      <c r="E715" s="261"/>
      <c r="F715" s="261"/>
      <c r="G715" s="261"/>
      <c r="H715" s="261"/>
      <c r="I715" s="261"/>
      <c r="J715" s="261"/>
      <c r="K715" s="262"/>
      <c r="L715" s="261"/>
      <c r="M715" s="262"/>
      <c r="N715" s="262"/>
      <c r="O715" s="261"/>
      <c r="P715" s="262"/>
      <c r="Q715" s="262"/>
      <c r="R715" s="261"/>
      <c r="S715" s="263"/>
      <c r="T715" s="261"/>
      <c r="U715" s="269"/>
      <c r="V715" s="285"/>
      <c r="W715" s="286"/>
      <c r="X715" s="267"/>
      <c r="Y715" s="267"/>
      <c r="Z715" s="267"/>
      <c r="AA715" s="267"/>
      <c r="AB715" s="267"/>
      <c r="AC715" s="267"/>
      <c r="AD715" s="261"/>
      <c r="AE715" s="261"/>
      <c r="AF715" s="257"/>
      <c r="AG715" s="257"/>
    </row>
    <row r="716">
      <c r="A716" s="284"/>
      <c r="B716" s="251"/>
      <c r="C716" s="251"/>
      <c r="D716" s="261"/>
      <c r="E716" s="261"/>
      <c r="F716" s="261"/>
      <c r="G716" s="261"/>
      <c r="H716" s="261"/>
      <c r="I716" s="261"/>
      <c r="J716" s="261"/>
      <c r="K716" s="262"/>
      <c r="L716" s="261"/>
      <c r="M716" s="262"/>
      <c r="N716" s="262"/>
      <c r="O716" s="261"/>
      <c r="P716" s="262"/>
      <c r="Q716" s="262"/>
      <c r="R716" s="261"/>
      <c r="S716" s="263"/>
      <c r="T716" s="261"/>
      <c r="U716" s="269"/>
      <c r="V716" s="285"/>
      <c r="W716" s="286"/>
      <c r="X716" s="267"/>
      <c r="Y716" s="267"/>
      <c r="Z716" s="267"/>
      <c r="AA716" s="267"/>
      <c r="AB716" s="267"/>
      <c r="AC716" s="267"/>
      <c r="AD716" s="261"/>
      <c r="AE716" s="261"/>
      <c r="AF716" s="257"/>
      <c r="AG716" s="257"/>
    </row>
    <row r="717">
      <c r="A717" s="284"/>
      <c r="B717" s="251"/>
      <c r="C717" s="251"/>
      <c r="D717" s="261"/>
      <c r="E717" s="261"/>
      <c r="F717" s="261"/>
      <c r="G717" s="261"/>
      <c r="H717" s="261"/>
      <c r="I717" s="261"/>
      <c r="J717" s="261"/>
      <c r="K717" s="262"/>
      <c r="L717" s="261"/>
      <c r="M717" s="262"/>
      <c r="N717" s="262"/>
      <c r="O717" s="261"/>
      <c r="P717" s="262"/>
      <c r="Q717" s="262"/>
      <c r="R717" s="261"/>
      <c r="S717" s="263"/>
      <c r="T717" s="261"/>
      <c r="U717" s="269"/>
      <c r="V717" s="285"/>
      <c r="W717" s="286"/>
      <c r="X717" s="267"/>
      <c r="Y717" s="267"/>
      <c r="Z717" s="267"/>
      <c r="AA717" s="267"/>
      <c r="AB717" s="267"/>
      <c r="AC717" s="267"/>
      <c r="AD717" s="261"/>
      <c r="AE717" s="261"/>
      <c r="AF717" s="257"/>
      <c r="AG717" s="257"/>
    </row>
    <row r="718">
      <c r="A718" s="284"/>
      <c r="B718" s="251"/>
      <c r="C718" s="251"/>
      <c r="D718" s="261"/>
      <c r="E718" s="261"/>
      <c r="F718" s="261"/>
      <c r="G718" s="261"/>
      <c r="H718" s="261"/>
      <c r="I718" s="261"/>
      <c r="J718" s="261"/>
      <c r="K718" s="262"/>
      <c r="L718" s="261"/>
      <c r="M718" s="262"/>
      <c r="N718" s="262"/>
      <c r="O718" s="261"/>
      <c r="P718" s="262"/>
      <c r="Q718" s="262"/>
      <c r="R718" s="261"/>
      <c r="S718" s="263"/>
      <c r="T718" s="261"/>
      <c r="U718" s="269"/>
      <c r="V718" s="285"/>
      <c r="W718" s="286"/>
      <c r="X718" s="267"/>
      <c r="Y718" s="267"/>
      <c r="Z718" s="267"/>
      <c r="AA718" s="267"/>
      <c r="AB718" s="267"/>
      <c r="AC718" s="267"/>
      <c r="AD718" s="261"/>
      <c r="AE718" s="261"/>
      <c r="AF718" s="257"/>
      <c r="AG718" s="257"/>
    </row>
    <row r="719">
      <c r="A719" s="284"/>
      <c r="B719" s="251"/>
      <c r="C719" s="251"/>
      <c r="D719" s="261"/>
      <c r="E719" s="261"/>
      <c r="F719" s="261"/>
      <c r="G719" s="261"/>
      <c r="H719" s="261"/>
      <c r="I719" s="261"/>
      <c r="J719" s="261"/>
      <c r="K719" s="262"/>
      <c r="L719" s="261"/>
      <c r="M719" s="262"/>
      <c r="N719" s="262"/>
      <c r="O719" s="261"/>
      <c r="P719" s="262"/>
      <c r="Q719" s="262"/>
      <c r="R719" s="261"/>
      <c r="S719" s="263"/>
      <c r="T719" s="261"/>
      <c r="U719" s="269"/>
      <c r="V719" s="285"/>
      <c r="W719" s="286"/>
      <c r="X719" s="267"/>
      <c r="Y719" s="267"/>
      <c r="Z719" s="267"/>
      <c r="AA719" s="267"/>
      <c r="AB719" s="267"/>
      <c r="AC719" s="267"/>
      <c r="AD719" s="261"/>
      <c r="AE719" s="261"/>
      <c r="AF719" s="257"/>
      <c r="AG719" s="257"/>
    </row>
    <row r="720">
      <c r="A720" s="284"/>
      <c r="B720" s="251"/>
      <c r="C720" s="251"/>
      <c r="D720" s="261"/>
      <c r="E720" s="261"/>
      <c r="F720" s="261"/>
      <c r="G720" s="261"/>
      <c r="H720" s="261"/>
      <c r="I720" s="261"/>
      <c r="J720" s="261"/>
      <c r="K720" s="262"/>
      <c r="L720" s="261"/>
      <c r="M720" s="262"/>
      <c r="N720" s="262"/>
      <c r="O720" s="261"/>
      <c r="P720" s="262"/>
      <c r="Q720" s="262"/>
      <c r="R720" s="261"/>
      <c r="S720" s="263"/>
      <c r="T720" s="261"/>
      <c r="U720" s="269"/>
      <c r="V720" s="285"/>
      <c r="W720" s="286"/>
      <c r="X720" s="267"/>
      <c r="Y720" s="267"/>
      <c r="Z720" s="267"/>
      <c r="AA720" s="267"/>
      <c r="AB720" s="267"/>
      <c r="AC720" s="267"/>
      <c r="AD720" s="261"/>
      <c r="AE720" s="261"/>
      <c r="AF720" s="257"/>
      <c r="AG720" s="257"/>
    </row>
    <row r="721">
      <c r="A721" s="284"/>
      <c r="B721" s="251"/>
      <c r="C721" s="251"/>
      <c r="D721" s="261"/>
      <c r="E721" s="261"/>
      <c r="F721" s="261"/>
      <c r="G721" s="261"/>
      <c r="H721" s="261"/>
      <c r="I721" s="261"/>
      <c r="J721" s="261"/>
      <c r="K721" s="262"/>
      <c r="L721" s="261"/>
      <c r="M721" s="262"/>
      <c r="N721" s="262"/>
      <c r="O721" s="261"/>
      <c r="P721" s="262"/>
      <c r="Q721" s="262"/>
      <c r="R721" s="261"/>
      <c r="S721" s="263"/>
      <c r="T721" s="261"/>
      <c r="U721" s="269"/>
      <c r="V721" s="285"/>
      <c r="W721" s="286"/>
      <c r="X721" s="267"/>
      <c r="Y721" s="267"/>
      <c r="Z721" s="267"/>
      <c r="AA721" s="267"/>
      <c r="AB721" s="267"/>
      <c r="AC721" s="267"/>
      <c r="AD721" s="261"/>
      <c r="AE721" s="261"/>
      <c r="AF721" s="257"/>
      <c r="AG721" s="257"/>
    </row>
    <row r="722">
      <c r="A722" s="284"/>
      <c r="B722" s="251"/>
      <c r="C722" s="251"/>
      <c r="D722" s="261"/>
      <c r="E722" s="261"/>
      <c r="F722" s="261"/>
      <c r="G722" s="261"/>
      <c r="H722" s="261"/>
      <c r="I722" s="261"/>
      <c r="J722" s="261"/>
      <c r="K722" s="262"/>
      <c r="L722" s="261"/>
      <c r="M722" s="262"/>
      <c r="N722" s="262"/>
      <c r="O722" s="261"/>
      <c r="P722" s="262"/>
      <c r="Q722" s="262"/>
      <c r="R722" s="261"/>
      <c r="S722" s="263"/>
      <c r="T722" s="261"/>
      <c r="U722" s="269"/>
      <c r="V722" s="285"/>
      <c r="W722" s="286"/>
      <c r="X722" s="267"/>
      <c r="Y722" s="267"/>
      <c r="Z722" s="267"/>
      <c r="AA722" s="267"/>
      <c r="AB722" s="267"/>
      <c r="AC722" s="267"/>
      <c r="AD722" s="261"/>
      <c r="AE722" s="261"/>
      <c r="AF722" s="257"/>
      <c r="AG722" s="257"/>
    </row>
    <row r="723">
      <c r="A723" s="284"/>
      <c r="B723" s="251"/>
      <c r="C723" s="251"/>
      <c r="D723" s="261"/>
      <c r="E723" s="261"/>
      <c r="F723" s="261"/>
      <c r="G723" s="261"/>
      <c r="H723" s="261"/>
      <c r="I723" s="261"/>
      <c r="J723" s="261"/>
      <c r="K723" s="262"/>
      <c r="L723" s="261"/>
      <c r="M723" s="262"/>
      <c r="N723" s="262"/>
      <c r="O723" s="261"/>
      <c r="P723" s="262"/>
      <c r="Q723" s="262"/>
      <c r="R723" s="261"/>
      <c r="S723" s="263"/>
      <c r="T723" s="261"/>
      <c r="U723" s="269"/>
      <c r="V723" s="285"/>
      <c r="W723" s="286"/>
      <c r="X723" s="267"/>
      <c r="Y723" s="267"/>
      <c r="Z723" s="267"/>
      <c r="AA723" s="267"/>
      <c r="AB723" s="267"/>
      <c r="AC723" s="267"/>
      <c r="AD723" s="261"/>
      <c r="AE723" s="261"/>
      <c r="AF723" s="257"/>
      <c r="AG723" s="257"/>
    </row>
    <row r="724">
      <c r="A724" s="284"/>
      <c r="B724" s="251"/>
      <c r="C724" s="251"/>
      <c r="D724" s="261"/>
      <c r="E724" s="261"/>
      <c r="F724" s="261"/>
      <c r="G724" s="261"/>
      <c r="H724" s="261"/>
      <c r="I724" s="261"/>
      <c r="J724" s="261"/>
      <c r="K724" s="262"/>
      <c r="L724" s="261"/>
      <c r="M724" s="262"/>
      <c r="N724" s="262"/>
      <c r="O724" s="261"/>
      <c r="P724" s="262"/>
      <c r="Q724" s="262"/>
      <c r="R724" s="261"/>
      <c r="S724" s="263"/>
      <c r="T724" s="261"/>
      <c r="U724" s="269"/>
      <c r="V724" s="285"/>
      <c r="W724" s="286"/>
      <c r="X724" s="267"/>
      <c r="Y724" s="267"/>
      <c r="Z724" s="267"/>
      <c r="AA724" s="267"/>
      <c r="AB724" s="267"/>
      <c r="AC724" s="267"/>
      <c r="AD724" s="261"/>
      <c r="AE724" s="261"/>
      <c r="AF724" s="257"/>
      <c r="AG724" s="257"/>
    </row>
    <row r="725">
      <c r="A725" s="284"/>
      <c r="B725" s="251"/>
      <c r="C725" s="251"/>
      <c r="D725" s="261"/>
      <c r="E725" s="261"/>
      <c r="F725" s="261"/>
      <c r="G725" s="261"/>
      <c r="H725" s="261"/>
      <c r="I725" s="261"/>
      <c r="J725" s="261"/>
      <c r="K725" s="262"/>
      <c r="L725" s="261"/>
      <c r="M725" s="262"/>
      <c r="N725" s="262"/>
      <c r="O725" s="261"/>
      <c r="P725" s="262"/>
      <c r="Q725" s="262"/>
      <c r="R725" s="261"/>
      <c r="S725" s="263"/>
      <c r="T725" s="261"/>
      <c r="U725" s="269"/>
      <c r="V725" s="285"/>
      <c r="W725" s="286"/>
      <c r="X725" s="267"/>
      <c r="Y725" s="267"/>
      <c r="Z725" s="267"/>
      <c r="AA725" s="267"/>
      <c r="AB725" s="267"/>
      <c r="AC725" s="267"/>
      <c r="AD725" s="261"/>
      <c r="AE725" s="261"/>
      <c r="AF725" s="257"/>
      <c r="AG725" s="257"/>
    </row>
    <row r="726">
      <c r="A726" s="284"/>
      <c r="B726" s="251"/>
      <c r="C726" s="251"/>
      <c r="D726" s="261"/>
      <c r="E726" s="261"/>
      <c r="F726" s="261"/>
      <c r="G726" s="261"/>
      <c r="H726" s="261"/>
      <c r="I726" s="261"/>
      <c r="J726" s="261"/>
      <c r="K726" s="262"/>
      <c r="L726" s="261"/>
      <c r="M726" s="262"/>
      <c r="N726" s="262"/>
      <c r="O726" s="261"/>
      <c r="P726" s="262"/>
      <c r="Q726" s="262"/>
      <c r="R726" s="261"/>
      <c r="S726" s="263"/>
      <c r="T726" s="261"/>
      <c r="U726" s="269"/>
      <c r="V726" s="285"/>
      <c r="W726" s="286"/>
      <c r="X726" s="267"/>
      <c r="Y726" s="267"/>
      <c r="Z726" s="267"/>
      <c r="AA726" s="267"/>
      <c r="AB726" s="267"/>
      <c r="AC726" s="267"/>
      <c r="AD726" s="261"/>
      <c r="AE726" s="261"/>
      <c r="AF726" s="257"/>
      <c r="AG726" s="257"/>
    </row>
    <row r="727">
      <c r="A727" s="284"/>
      <c r="B727" s="251"/>
      <c r="C727" s="251"/>
      <c r="D727" s="261"/>
      <c r="E727" s="261"/>
      <c r="F727" s="261"/>
      <c r="G727" s="261"/>
      <c r="H727" s="261"/>
      <c r="I727" s="261"/>
      <c r="J727" s="261"/>
      <c r="K727" s="262"/>
      <c r="L727" s="261"/>
      <c r="M727" s="262"/>
      <c r="N727" s="262"/>
      <c r="O727" s="261"/>
      <c r="P727" s="262"/>
      <c r="Q727" s="262"/>
      <c r="R727" s="261"/>
      <c r="S727" s="263"/>
      <c r="T727" s="261"/>
      <c r="U727" s="269"/>
      <c r="V727" s="285"/>
      <c r="W727" s="286"/>
      <c r="X727" s="267"/>
      <c r="Y727" s="267"/>
      <c r="Z727" s="267"/>
      <c r="AA727" s="267"/>
      <c r="AB727" s="267"/>
      <c r="AC727" s="267"/>
      <c r="AD727" s="261"/>
      <c r="AE727" s="261"/>
      <c r="AF727" s="257"/>
      <c r="AG727" s="257"/>
    </row>
    <row r="728">
      <c r="A728" s="284"/>
      <c r="B728" s="251"/>
      <c r="C728" s="251"/>
      <c r="D728" s="261"/>
      <c r="E728" s="261"/>
      <c r="F728" s="261"/>
      <c r="G728" s="261"/>
      <c r="H728" s="261"/>
      <c r="I728" s="261"/>
      <c r="J728" s="261"/>
      <c r="K728" s="262"/>
      <c r="L728" s="261"/>
      <c r="M728" s="262"/>
      <c r="N728" s="262"/>
      <c r="O728" s="261"/>
      <c r="P728" s="262"/>
      <c r="Q728" s="262"/>
      <c r="R728" s="261"/>
      <c r="S728" s="263"/>
      <c r="T728" s="261"/>
      <c r="U728" s="269"/>
      <c r="V728" s="285"/>
      <c r="W728" s="286"/>
      <c r="X728" s="267"/>
      <c r="Y728" s="267"/>
      <c r="Z728" s="267"/>
      <c r="AA728" s="267"/>
      <c r="AB728" s="267"/>
      <c r="AC728" s="267"/>
      <c r="AD728" s="261"/>
      <c r="AE728" s="261"/>
      <c r="AF728" s="257"/>
      <c r="AG728" s="257"/>
    </row>
    <row r="729">
      <c r="A729" s="284"/>
      <c r="B729" s="251"/>
      <c r="C729" s="251"/>
      <c r="D729" s="261"/>
      <c r="E729" s="261"/>
      <c r="F729" s="261"/>
      <c r="G729" s="261"/>
      <c r="H729" s="261"/>
      <c r="I729" s="261"/>
      <c r="J729" s="261"/>
      <c r="K729" s="262"/>
      <c r="L729" s="261"/>
      <c r="M729" s="262"/>
      <c r="N729" s="262"/>
      <c r="O729" s="261"/>
      <c r="P729" s="262"/>
      <c r="Q729" s="262"/>
      <c r="R729" s="261"/>
      <c r="S729" s="263"/>
      <c r="T729" s="261"/>
      <c r="U729" s="269"/>
      <c r="V729" s="285"/>
      <c r="W729" s="286"/>
      <c r="X729" s="267"/>
      <c r="Y729" s="267"/>
      <c r="Z729" s="267"/>
      <c r="AA729" s="267"/>
      <c r="AB729" s="267"/>
      <c r="AC729" s="267"/>
      <c r="AD729" s="261"/>
      <c r="AE729" s="261"/>
      <c r="AF729" s="257"/>
      <c r="AG729" s="257"/>
    </row>
    <row r="730">
      <c r="A730" s="284"/>
      <c r="B730" s="251"/>
      <c r="C730" s="251"/>
      <c r="D730" s="261"/>
      <c r="E730" s="261"/>
      <c r="F730" s="261"/>
      <c r="G730" s="261"/>
      <c r="H730" s="261"/>
      <c r="I730" s="261"/>
      <c r="J730" s="261"/>
      <c r="K730" s="262"/>
      <c r="L730" s="261"/>
      <c r="M730" s="262"/>
      <c r="N730" s="262"/>
      <c r="O730" s="261"/>
      <c r="P730" s="262"/>
      <c r="Q730" s="262"/>
      <c r="R730" s="261"/>
      <c r="S730" s="263"/>
      <c r="T730" s="261"/>
      <c r="U730" s="269"/>
      <c r="V730" s="285"/>
      <c r="W730" s="286"/>
      <c r="X730" s="267"/>
      <c r="Y730" s="267"/>
      <c r="Z730" s="267"/>
      <c r="AA730" s="267"/>
      <c r="AB730" s="267"/>
      <c r="AC730" s="267"/>
      <c r="AD730" s="261"/>
      <c r="AE730" s="261"/>
      <c r="AF730" s="257"/>
      <c r="AG730" s="257"/>
    </row>
    <row r="731">
      <c r="A731" s="284"/>
      <c r="B731" s="251"/>
      <c r="C731" s="251"/>
      <c r="D731" s="261"/>
      <c r="E731" s="261"/>
      <c r="F731" s="261"/>
      <c r="G731" s="261"/>
      <c r="H731" s="261"/>
      <c r="I731" s="261"/>
      <c r="J731" s="261"/>
      <c r="K731" s="262"/>
      <c r="L731" s="261"/>
      <c r="M731" s="262"/>
      <c r="N731" s="262"/>
      <c r="O731" s="261"/>
      <c r="P731" s="262"/>
      <c r="Q731" s="262"/>
      <c r="R731" s="261"/>
      <c r="S731" s="263"/>
      <c r="T731" s="261"/>
      <c r="U731" s="269"/>
      <c r="V731" s="285"/>
      <c r="W731" s="286"/>
      <c r="X731" s="267"/>
      <c r="Y731" s="267"/>
      <c r="Z731" s="267"/>
      <c r="AA731" s="267"/>
      <c r="AB731" s="267"/>
      <c r="AC731" s="267"/>
      <c r="AD731" s="261"/>
      <c r="AE731" s="261"/>
      <c r="AF731" s="257"/>
      <c r="AG731" s="257"/>
    </row>
    <row r="732">
      <c r="A732" s="284"/>
      <c r="B732" s="251"/>
      <c r="C732" s="251"/>
      <c r="D732" s="261"/>
      <c r="E732" s="261"/>
      <c r="F732" s="261"/>
      <c r="G732" s="261"/>
      <c r="H732" s="261"/>
      <c r="I732" s="261"/>
      <c r="J732" s="261"/>
      <c r="K732" s="262"/>
      <c r="L732" s="261"/>
      <c r="M732" s="262"/>
      <c r="N732" s="262"/>
      <c r="O732" s="261"/>
      <c r="P732" s="262"/>
      <c r="Q732" s="262"/>
      <c r="R732" s="261"/>
      <c r="S732" s="263"/>
      <c r="T732" s="261"/>
      <c r="U732" s="269"/>
      <c r="V732" s="285"/>
      <c r="W732" s="286"/>
      <c r="X732" s="267"/>
      <c r="Y732" s="267"/>
      <c r="Z732" s="267"/>
      <c r="AA732" s="267"/>
      <c r="AB732" s="267"/>
      <c r="AC732" s="267"/>
      <c r="AD732" s="261"/>
      <c r="AE732" s="261"/>
      <c r="AF732" s="257"/>
      <c r="AG732" s="257"/>
    </row>
    <row r="733">
      <c r="A733" s="284"/>
      <c r="B733" s="251"/>
      <c r="C733" s="251"/>
      <c r="D733" s="261"/>
      <c r="E733" s="261"/>
      <c r="F733" s="261"/>
      <c r="G733" s="261"/>
      <c r="H733" s="261"/>
      <c r="I733" s="261"/>
      <c r="J733" s="261"/>
      <c r="K733" s="262"/>
      <c r="L733" s="261"/>
      <c r="M733" s="262"/>
      <c r="N733" s="262"/>
      <c r="O733" s="261"/>
      <c r="P733" s="262"/>
      <c r="Q733" s="262"/>
      <c r="R733" s="261"/>
      <c r="S733" s="263"/>
      <c r="T733" s="261"/>
      <c r="U733" s="269"/>
      <c r="V733" s="285"/>
      <c r="W733" s="286"/>
      <c r="X733" s="267"/>
      <c r="Y733" s="267"/>
      <c r="Z733" s="267"/>
      <c r="AA733" s="267"/>
      <c r="AB733" s="267"/>
      <c r="AC733" s="267"/>
      <c r="AD733" s="261"/>
      <c r="AE733" s="261"/>
      <c r="AF733" s="257"/>
      <c r="AG733" s="257"/>
    </row>
    <row r="734">
      <c r="A734" s="284"/>
      <c r="B734" s="251"/>
      <c r="C734" s="251"/>
      <c r="D734" s="261"/>
      <c r="E734" s="261"/>
      <c r="F734" s="261"/>
      <c r="G734" s="261"/>
      <c r="H734" s="261"/>
      <c r="I734" s="261"/>
      <c r="J734" s="261"/>
      <c r="K734" s="262"/>
      <c r="L734" s="261"/>
      <c r="M734" s="262"/>
      <c r="N734" s="262"/>
      <c r="O734" s="261"/>
      <c r="P734" s="262"/>
      <c r="Q734" s="262"/>
      <c r="R734" s="261"/>
      <c r="S734" s="263"/>
      <c r="T734" s="261"/>
      <c r="U734" s="269"/>
      <c r="V734" s="285"/>
      <c r="W734" s="286"/>
      <c r="X734" s="267"/>
      <c r="Y734" s="267"/>
      <c r="Z734" s="267"/>
      <c r="AA734" s="267"/>
      <c r="AB734" s="267"/>
      <c r="AC734" s="267"/>
      <c r="AD734" s="261"/>
      <c r="AE734" s="261"/>
      <c r="AF734" s="257"/>
      <c r="AG734" s="257"/>
    </row>
    <row r="735">
      <c r="A735" s="284"/>
      <c r="B735" s="251"/>
      <c r="C735" s="251"/>
      <c r="D735" s="261"/>
      <c r="E735" s="261"/>
      <c r="F735" s="261"/>
      <c r="G735" s="261"/>
      <c r="H735" s="261"/>
      <c r="I735" s="261"/>
      <c r="J735" s="261"/>
      <c r="K735" s="262"/>
      <c r="L735" s="261"/>
      <c r="M735" s="262"/>
      <c r="N735" s="262"/>
      <c r="O735" s="261"/>
      <c r="P735" s="262"/>
      <c r="Q735" s="262"/>
      <c r="R735" s="261"/>
      <c r="S735" s="263"/>
      <c r="T735" s="261"/>
      <c r="U735" s="269"/>
      <c r="V735" s="285"/>
      <c r="W735" s="286"/>
      <c r="X735" s="267"/>
      <c r="Y735" s="267"/>
      <c r="Z735" s="267"/>
      <c r="AA735" s="267"/>
      <c r="AB735" s="267"/>
      <c r="AC735" s="267"/>
      <c r="AD735" s="261"/>
      <c r="AE735" s="261"/>
      <c r="AF735" s="257"/>
      <c r="AG735" s="257"/>
    </row>
    <row r="736">
      <c r="A736" s="284"/>
      <c r="B736" s="251"/>
      <c r="C736" s="251"/>
      <c r="D736" s="261"/>
      <c r="E736" s="261"/>
      <c r="F736" s="261"/>
      <c r="G736" s="261"/>
      <c r="H736" s="261"/>
      <c r="I736" s="261"/>
      <c r="J736" s="261"/>
      <c r="K736" s="262"/>
      <c r="L736" s="261"/>
      <c r="M736" s="262"/>
      <c r="N736" s="262"/>
      <c r="O736" s="261"/>
      <c r="P736" s="262"/>
      <c r="Q736" s="262"/>
      <c r="R736" s="261"/>
      <c r="S736" s="263"/>
      <c r="T736" s="261"/>
      <c r="U736" s="269"/>
      <c r="V736" s="285"/>
      <c r="W736" s="286"/>
      <c r="X736" s="267"/>
      <c r="Y736" s="267"/>
      <c r="Z736" s="267"/>
      <c r="AA736" s="267"/>
      <c r="AB736" s="267"/>
      <c r="AC736" s="267"/>
      <c r="AD736" s="261"/>
      <c r="AE736" s="261"/>
      <c r="AF736" s="257"/>
      <c r="AG736" s="257"/>
    </row>
    <row r="737">
      <c r="A737" s="284"/>
      <c r="B737" s="251"/>
      <c r="C737" s="251"/>
      <c r="D737" s="261"/>
      <c r="E737" s="261"/>
      <c r="F737" s="261"/>
      <c r="G737" s="261"/>
      <c r="H737" s="261"/>
      <c r="I737" s="261"/>
      <c r="J737" s="261"/>
      <c r="K737" s="262"/>
      <c r="L737" s="261"/>
      <c r="M737" s="262"/>
      <c r="N737" s="262"/>
      <c r="O737" s="261"/>
      <c r="P737" s="262"/>
      <c r="Q737" s="262"/>
      <c r="R737" s="261"/>
      <c r="S737" s="263"/>
      <c r="T737" s="261"/>
      <c r="U737" s="269"/>
      <c r="V737" s="285"/>
      <c r="W737" s="286"/>
      <c r="X737" s="267"/>
      <c r="Y737" s="267"/>
      <c r="Z737" s="267"/>
      <c r="AA737" s="267"/>
      <c r="AB737" s="267"/>
      <c r="AC737" s="267"/>
      <c r="AD737" s="261"/>
      <c r="AE737" s="261"/>
      <c r="AF737" s="257"/>
      <c r="AG737" s="257"/>
    </row>
    <row r="738">
      <c r="A738" s="284"/>
      <c r="B738" s="251"/>
      <c r="C738" s="251"/>
      <c r="D738" s="261"/>
      <c r="E738" s="261"/>
      <c r="F738" s="261"/>
      <c r="G738" s="261"/>
      <c r="H738" s="261"/>
      <c r="I738" s="261"/>
      <c r="J738" s="261"/>
      <c r="K738" s="262"/>
      <c r="L738" s="261"/>
      <c r="M738" s="262"/>
      <c r="N738" s="262"/>
      <c r="O738" s="261"/>
      <c r="P738" s="262"/>
      <c r="Q738" s="262"/>
      <c r="R738" s="261"/>
      <c r="S738" s="263"/>
      <c r="T738" s="261"/>
      <c r="U738" s="269"/>
      <c r="V738" s="285"/>
      <c r="W738" s="286"/>
      <c r="X738" s="267"/>
      <c r="Y738" s="267"/>
      <c r="Z738" s="267"/>
      <c r="AA738" s="267"/>
      <c r="AB738" s="267"/>
      <c r="AC738" s="267"/>
      <c r="AD738" s="261"/>
      <c r="AE738" s="261"/>
      <c r="AF738" s="257"/>
      <c r="AG738" s="257"/>
    </row>
    <row r="739">
      <c r="A739" s="284"/>
      <c r="B739" s="251"/>
      <c r="C739" s="251"/>
      <c r="D739" s="261"/>
      <c r="E739" s="261"/>
      <c r="F739" s="261"/>
      <c r="G739" s="261"/>
      <c r="H739" s="261"/>
      <c r="I739" s="261"/>
      <c r="J739" s="261"/>
      <c r="K739" s="262"/>
      <c r="L739" s="261"/>
      <c r="M739" s="262"/>
      <c r="N739" s="262"/>
      <c r="O739" s="261"/>
      <c r="P739" s="262"/>
      <c r="Q739" s="262"/>
      <c r="R739" s="261"/>
      <c r="S739" s="263"/>
      <c r="T739" s="261"/>
      <c r="U739" s="269"/>
      <c r="V739" s="285"/>
      <c r="W739" s="286"/>
      <c r="X739" s="267"/>
      <c r="Y739" s="267"/>
      <c r="Z739" s="267"/>
      <c r="AA739" s="267"/>
      <c r="AB739" s="267"/>
      <c r="AC739" s="267"/>
      <c r="AD739" s="261"/>
      <c r="AE739" s="261"/>
      <c r="AF739" s="257"/>
      <c r="AG739" s="257"/>
    </row>
    <row r="740">
      <c r="A740" s="284"/>
      <c r="B740" s="251"/>
      <c r="C740" s="251"/>
      <c r="D740" s="261"/>
      <c r="E740" s="261"/>
      <c r="F740" s="261"/>
      <c r="G740" s="261"/>
      <c r="H740" s="261"/>
      <c r="I740" s="261"/>
      <c r="J740" s="261"/>
      <c r="K740" s="262"/>
      <c r="L740" s="261"/>
      <c r="M740" s="262"/>
      <c r="N740" s="262"/>
      <c r="O740" s="261"/>
      <c r="P740" s="262"/>
      <c r="Q740" s="262"/>
      <c r="R740" s="261"/>
      <c r="S740" s="263"/>
      <c r="T740" s="261"/>
      <c r="U740" s="269"/>
      <c r="V740" s="285"/>
      <c r="W740" s="286"/>
      <c r="X740" s="267"/>
      <c r="Y740" s="267"/>
      <c r="Z740" s="267"/>
      <c r="AA740" s="267"/>
      <c r="AB740" s="267"/>
      <c r="AC740" s="267"/>
      <c r="AD740" s="261"/>
      <c r="AE740" s="261"/>
      <c r="AF740" s="257"/>
      <c r="AG740" s="257"/>
    </row>
    <row r="741">
      <c r="A741" s="284"/>
      <c r="B741" s="251"/>
      <c r="C741" s="251"/>
      <c r="D741" s="261"/>
      <c r="E741" s="261"/>
      <c r="F741" s="261"/>
      <c r="G741" s="261"/>
      <c r="H741" s="261"/>
      <c r="I741" s="261"/>
      <c r="J741" s="261"/>
      <c r="K741" s="262"/>
      <c r="L741" s="261"/>
      <c r="M741" s="262"/>
      <c r="N741" s="262"/>
      <c r="O741" s="261"/>
      <c r="P741" s="262"/>
      <c r="Q741" s="262"/>
      <c r="R741" s="261"/>
      <c r="S741" s="263"/>
      <c r="T741" s="261"/>
      <c r="U741" s="269"/>
      <c r="V741" s="285"/>
      <c r="W741" s="286"/>
      <c r="X741" s="267"/>
      <c r="Y741" s="267"/>
      <c r="Z741" s="267"/>
      <c r="AA741" s="267"/>
      <c r="AB741" s="267"/>
      <c r="AC741" s="267"/>
      <c r="AD741" s="261"/>
      <c r="AE741" s="261"/>
      <c r="AF741" s="257"/>
      <c r="AG741" s="257"/>
    </row>
    <row r="742">
      <c r="A742" s="284"/>
      <c r="B742" s="251"/>
      <c r="C742" s="251"/>
      <c r="D742" s="261"/>
      <c r="E742" s="261"/>
      <c r="F742" s="261"/>
      <c r="G742" s="261"/>
      <c r="H742" s="261"/>
      <c r="I742" s="261"/>
      <c r="J742" s="261"/>
      <c r="K742" s="262"/>
      <c r="L742" s="261"/>
      <c r="M742" s="262"/>
      <c r="N742" s="262"/>
      <c r="O742" s="261"/>
      <c r="P742" s="262"/>
      <c r="Q742" s="262"/>
      <c r="R742" s="261"/>
      <c r="S742" s="263"/>
      <c r="T742" s="261"/>
      <c r="U742" s="269"/>
      <c r="V742" s="285"/>
      <c r="W742" s="286"/>
      <c r="X742" s="267"/>
      <c r="Y742" s="267"/>
      <c r="Z742" s="267"/>
      <c r="AA742" s="267"/>
      <c r="AB742" s="267"/>
      <c r="AC742" s="267"/>
      <c r="AD742" s="261"/>
      <c r="AE742" s="261"/>
      <c r="AF742" s="257"/>
      <c r="AG742" s="257"/>
    </row>
    <row r="743">
      <c r="A743" s="284"/>
      <c r="B743" s="251"/>
      <c r="C743" s="251"/>
      <c r="D743" s="261"/>
      <c r="E743" s="261"/>
      <c r="F743" s="261"/>
      <c r="G743" s="261"/>
      <c r="H743" s="261"/>
      <c r="I743" s="261"/>
      <c r="J743" s="261"/>
      <c r="K743" s="262"/>
      <c r="L743" s="261"/>
      <c r="M743" s="262"/>
      <c r="N743" s="262"/>
      <c r="O743" s="261"/>
      <c r="P743" s="262"/>
      <c r="Q743" s="262"/>
      <c r="R743" s="261"/>
      <c r="S743" s="263"/>
      <c r="T743" s="261"/>
      <c r="U743" s="269"/>
      <c r="V743" s="285"/>
      <c r="W743" s="286"/>
      <c r="X743" s="267"/>
      <c r="Y743" s="267"/>
      <c r="Z743" s="267"/>
      <c r="AA743" s="267"/>
      <c r="AB743" s="267"/>
      <c r="AC743" s="267"/>
      <c r="AD743" s="261"/>
      <c r="AE743" s="261"/>
      <c r="AF743" s="257"/>
      <c r="AG743" s="257"/>
    </row>
    <row r="744">
      <c r="A744" s="284"/>
      <c r="B744" s="251"/>
      <c r="C744" s="251"/>
      <c r="D744" s="261"/>
      <c r="E744" s="261"/>
      <c r="F744" s="261"/>
      <c r="G744" s="261"/>
      <c r="H744" s="261"/>
      <c r="I744" s="261"/>
      <c r="J744" s="261"/>
      <c r="K744" s="262"/>
      <c r="L744" s="261"/>
      <c r="M744" s="262"/>
      <c r="N744" s="262"/>
      <c r="O744" s="261"/>
      <c r="P744" s="262"/>
      <c r="Q744" s="262"/>
      <c r="R744" s="261"/>
      <c r="S744" s="263"/>
      <c r="T744" s="261"/>
      <c r="U744" s="269"/>
      <c r="V744" s="285"/>
      <c r="W744" s="286"/>
      <c r="X744" s="267"/>
      <c r="Y744" s="267"/>
      <c r="Z744" s="267"/>
      <c r="AA744" s="267"/>
      <c r="AB744" s="267"/>
      <c r="AC744" s="267"/>
      <c r="AD744" s="261"/>
      <c r="AE744" s="261"/>
      <c r="AF744" s="257"/>
      <c r="AG744" s="257"/>
    </row>
    <row r="745">
      <c r="A745" s="284"/>
      <c r="B745" s="251"/>
      <c r="C745" s="251"/>
      <c r="D745" s="261"/>
      <c r="E745" s="261"/>
      <c r="F745" s="261"/>
      <c r="G745" s="261"/>
      <c r="H745" s="261"/>
      <c r="I745" s="261"/>
      <c r="J745" s="261"/>
      <c r="K745" s="262"/>
      <c r="L745" s="261"/>
      <c r="M745" s="262"/>
      <c r="N745" s="262"/>
      <c r="O745" s="261"/>
      <c r="P745" s="262"/>
      <c r="Q745" s="262"/>
      <c r="R745" s="261"/>
      <c r="S745" s="263"/>
      <c r="T745" s="261"/>
      <c r="U745" s="269"/>
      <c r="V745" s="285"/>
      <c r="W745" s="286"/>
      <c r="X745" s="267"/>
      <c r="Y745" s="267"/>
      <c r="Z745" s="267"/>
      <c r="AA745" s="267"/>
      <c r="AB745" s="267"/>
      <c r="AC745" s="267"/>
      <c r="AD745" s="261"/>
      <c r="AE745" s="261"/>
      <c r="AF745" s="257"/>
      <c r="AG745" s="257"/>
    </row>
    <row r="746">
      <c r="A746" s="284"/>
      <c r="B746" s="251"/>
      <c r="C746" s="251"/>
      <c r="D746" s="261"/>
      <c r="E746" s="261"/>
      <c r="F746" s="261"/>
      <c r="G746" s="261"/>
      <c r="H746" s="261"/>
      <c r="I746" s="261"/>
      <c r="J746" s="261"/>
      <c r="K746" s="262"/>
      <c r="L746" s="261"/>
      <c r="M746" s="262"/>
      <c r="N746" s="262"/>
      <c r="O746" s="261"/>
      <c r="P746" s="262"/>
      <c r="Q746" s="262"/>
      <c r="R746" s="261"/>
      <c r="S746" s="263"/>
      <c r="T746" s="261"/>
      <c r="U746" s="269"/>
      <c r="V746" s="285"/>
      <c r="W746" s="286"/>
      <c r="X746" s="267"/>
      <c r="Y746" s="267"/>
      <c r="Z746" s="267"/>
      <c r="AA746" s="267"/>
      <c r="AB746" s="267"/>
      <c r="AC746" s="267"/>
      <c r="AD746" s="261"/>
      <c r="AE746" s="261"/>
      <c r="AF746" s="257"/>
      <c r="AG746" s="257"/>
    </row>
    <row r="747">
      <c r="A747" s="284"/>
      <c r="B747" s="251"/>
      <c r="C747" s="251"/>
      <c r="D747" s="261"/>
      <c r="E747" s="261"/>
      <c r="F747" s="261"/>
      <c r="G747" s="261"/>
      <c r="H747" s="261"/>
      <c r="I747" s="261"/>
      <c r="J747" s="261"/>
      <c r="K747" s="262"/>
      <c r="L747" s="261"/>
      <c r="M747" s="262"/>
      <c r="N747" s="262"/>
      <c r="O747" s="261"/>
      <c r="P747" s="262"/>
      <c r="Q747" s="262"/>
      <c r="R747" s="261"/>
      <c r="S747" s="263"/>
      <c r="T747" s="261"/>
      <c r="U747" s="269"/>
      <c r="V747" s="285"/>
      <c r="W747" s="286"/>
      <c r="X747" s="267"/>
      <c r="Y747" s="267"/>
      <c r="Z747" s="267"/>
      <c r="AA747" s="267"/>
      <c r="AB747" s="267"/>
      <c r="AC747" s="267"/>
      <c r="AD747" s="261"/>
      <c r="AE747" s="261"/>
      <c r="AF747" s="257"/>
      <c r="AG747" s="257"/>
    </row>
    <row r="748">
      <c r="A748" s="284"/>
      <c r="B748" s="251"/>
      <c r="C748" s="251"/>
      <c r="D748" s="261"/>
      <c r="E748" s="261"/>
      <c r="F748" s="261"/>
      <c r="G748" s="261"/>
      <c r="H748" s="261"/>
      <c r="I748" s="261"/>
      <c r="J748" s="261"/>
      <c r="K748" s="262"/>
      <c r="L748" s="261"/>
      <c r="M748" s="262"/>
      <c r="N748" s="262"/>
      <c r="O748" s="261"/>
      <c r="P748" s="262"/>
      <c r="Q748" s="262"/>
      <c r="R748" s="261"/>
      <c r="S748" s="263"/>
      <c r="T748" s="261"/>
      <c r="U748" s="269"/>
      <c r="V748" s="285"/>
      <c r="W748" s="286"/>
      <c r="X748" s="267"/>
      <c r="Y748" s="267"/>
      <c r="Z748" s="267"/>
      <c r="AA748" s="267"/>
      <c r="AB748" s="267"/>
      <c r="AC748" s="267"/>
      <c r="AD748" s="261"/>
      <c r="AE748" s="261"/>
      <c r="AF748" s="257"/>
      <c r="AG748" s="257"/>
    </row>
    <row r="749">
      <c r="A749" s="284"/>
      <c r="B749" s="251"/>
      <c r="C749" s="251"/>
      <c r="D749" s="261"/>
      <c r="E749" s="261"/>
      <c r="F749" s="261"/>
      <c r="G749" s="261"/>
      <c r="H749" s="261"/>
      <c r="I749" s="261"/>
      <c r="J749" s="261"/>
      <c r="K749" s="262"/>
      <c r="L749" s="261"/>
      <c r="M749" s="262"/>
      <c r="N749" s="262"/>
      <c r="O749" s="261"/>
      <c r="P749" s="262"/>
      <c r="Q749" s="262"/>
      <c r="R749" s="261"/>
      <c r="S749" s="263"/>
      <c r="T749" s="261"/>
      <c r="U749" s="269"/>
      <c r="V749" s="285"/>
      <c r="W749" s="286"/>
      <c r="X749" s="267"/>
      <c r="Y749" s="267"/>
      <c r="Z749" s="267"/>
      <c r="AA749" s="267"/>
      <c r="AB749" s="267"/>
      <c r="AC749" s="267"/>
      <c r="AD749" s="261"/>
      <c r="AE749" s="261"/>
      <c r="AF749" s="257"/>
      <c r="AG749" s="257"/>
    </row>
    <row r="750">
      <c r="A750" s="284"/>
      <c r="B750" s="251"/>
      <c r="C750" s="251"/>
      <c r="D750" s="261"/>
      <c r="E750" s="261"/>
      <c r="F750" s="261"/>
      <c r="G750" s="261"/>
      <c r="H750" s="261"/>
      <c r="I750" s="261"/>
      <c r="J750" s="261"/>
      <c r="K750" s="262"/>
      <c r="L750" s="261"/>
      <c r="M750" s="262"/>
      <c r="N750" s="262"/>
      <c r="O750" s="261"/>
      <c r="P750" s="262"/>
      <c r="Q750" s="262"/>
      <c r="R750" s="261"/>
      <c r="S750" s="263"/>
      <c r="T750" s="261"/>
      <c r="U750" s="269"/>
      <c r="V750" s="285"/>
      <c r="W750" s="286"/>
      <c r="X750" s="267"/>
      <c r="Y750" s="267"/>
      <c r="Z750" s="267"/>
      <c r="AA750" s="267"/>
      <c r="AB750" s="267"/>
      <c r="AC750" s="267"/>
      <c r="AD750" s="261"/>
      <c r="AE750" s="261"/>
      <c r="AF750" s="257"/>
      <c r="AG750" s="257"/>
    </row>
    <row r="751">
      <c r="A751" s="284"/>
      <c r="B751" s="251"/>
      <c r="C751" s="251"/>
      <c r="D751" s="261"/>
      <c r="E751" s="261"/>
      <c r="F751" s="261"/>
      <c r="G751" s="261"/>
      <c r="H751" s="261"/>
      <c r="I751" s="261"/>
      <c r="J751" s="261"/>
      <c r="K751" s="262"/>
      <c r="L751" s="261"/>
      <c r="M751" s="262"/>
      <c r="N751" s="262"/>
      <c r="O751" s="261"/>
      <c r="P751" s="262"/>
      <c r="Q751" s="262"/>
      <c r="R751" s="261"/>
      <c r="S751" s="263"/>
      <c r="T751" s="261"/>
      <c r="U751" s="269"/>
      <c r="V751" s="285"/>
      <c r="W751" s="286"/>
      <c r="X751" s="267"/>
      <c r="Y751" s="267"/>
      <c r="Z751" s="267"/>
      <c r="AA751" s="267"/>
      <c r="AB751" s="267"/>
      <c r="AC751" s="267"/>
      <c r="AD751" s="261"/>
      <c r="AE751" s="261"/>
      <c r="AF751" s="257"/>
      <c r="AG751" s="257"/>
    </row>
    <row r="752">
      <c r="A752" s="284"/>
      <c r="B752" s="251"/>
      <c r="C752" s="251"/>
      <c r="D752" s="261"/>
      <c r="E752" s="261"/>
      <c r="F752" s="261"/>
      <c r="G752" s="261"/>
      <c r="H752" s="261"/>
      <c r="I752" s="261"/>
      <c r="J752" s="261"/>
      <c r="K752" s="262"/>
      <c r="L752" s="261"/>
      <c r="M752" s="262"/>
      <c r="N752" s="262"/>
      <c r="O752" s="261"/>
      <c r="P752" s="262"/>
      <c r="Q752" s="262"/>
      <c r="R752" s="261"/>
      <c r="S752" s="263"/>
      <c r="T752" s="261"/>
      <c r="U752" s="269"/>
      <c r="V752" s="285"/>
      <c r="W752" s="286"/>
      <c r="X752" s="267"/>
      <c r="Y752" s="267"/>
      <c r="Z752" s="267"/>
      <c r="AA752" s="267"/>
      <c r="AB752" s="267"/>
      <c r="AC752" s="267"/>
      <c r="AD752" s="261"/>
      <c r="AE752" s="261"/>
      <c r="AF752" s="257"/>
      <c r="AG752" s="257"/>
    </row>
    <row r="753">
      <c r="A753" s="284"/>
      <c r="B753" s="251"/>
      <c r="C753" s="251"/>
      <c r="D753" s="261"/>
      <c r="E753" s="261"/>
      <c r="F753" s="261"/>
      <c r="G753" s="261"/>
      <c r="H753" s="261"/>
      <c r="I753" s="261"/>
      <c r="J753" s="261"/>
      <c r="K753" s="262"/>
      <c r="L753" s="261"/>
      <c r="M753" s="262"/>
      <c r="N753" s="262"/>
      <c r="O753" s="261"/>
      <c r="P753" s="262"/>
      <c r="Q753" s="262"/>
      <c r="R753" s="261"/>
      <c r="S753" s="263"/>
      <c r="T753" s="261"/>
      <c r="U753" s="269"/>
      <c r="V753" s="285"/>
      <c r="W753" s="286"/>
      <c r="X753" s="267"/>
      <c r="Y753" s="267"/>
      <c r="Z753" s="267"/>
      <c r="AA753" s="267"/>
      <c r="AB753" s="267"/>
      <c r="AC753" s="267"/>
      <c r="AD753" s="261"/>
      <c r="AE753" s="261"/>
      <c r="AF753" s="257"/>
      <c r="AG753" s="257"/>
    </row>
    <row r="754">
      <c r="A754" s="284"/>
      <c r="B754" s="251"/>
      <c r="C754" s="251"/>
      <c r="D754" s="261"/>
      <c r="E754" s="261"/>
      <c r="F754" s="261"/>
      <c r="G754" s="261"/>
      <c r="H754" s="261"/>
      <c r="I754" s="261"/>
      <c r="J754" s="261"/>
      <c r="K754" s="262"/>
      <c r="L754" s="261"/>
      <c r="M754" s="262"/>
      <c r="N754" s="262"/>
      <c r="O754" s="261"/>
      <c r="P754" s="262"/>
      <c r="Q754" s="262"/>
      <c r="R754" s="261"/>
      <c r="S754" s="263"/>
      <c r="T754" s="261"/>
      <c r="U754" s="269"/>
      <c r="V754" s="285"/>
      <c r="W754" s="286"/>
      <c r="X754" s="267"/>
      <c r="Y754" s="267"/>
      <c r="Z754" s="267"/>
      <c r="AA754" s="267"/>
      <c r="AB754" s="267"/>
      <c r="AC754" s="267"/>
      <c r="AD754" s="261"/>
      <c r="AE754" s="261"/>
      <c r="AF754" s="257"/>
      <c r="AG754" s="257"/>
    </row>
    <row r="755">
      <c r="A755" s="284"/>
      <c r="B755" s="251"/>
      <c r="C755" s="251"/>
      <c r="D755" s="261"/>
      <c r="E755" s="261"/>
      <c r="F755" s="261"/>
      <c r="G755" s="261"/>
      <c r="H755" s="261"/>
      <c r="I755" s="261"/>
      <c r="J755" s="261"/>
      <c r="K755" s="262"/>
      <c r="L755" s="261"/>
      <c r="M755" s="262"/>
      <c r="N755" s="262"/>
      <c r="O755" s="261"/>
      <c r="P755" s="262"/>
      <c r="Q755" s="262"/>
      <c r="R755" s="261"/>
      <c r="S755" s="263"/>
      <c r="T755" s="261"/>
      <c r="U755" s="269"/>
      <c r="V755" s="285"/>
      <c r="W755" s="286"/>
      <c r="X755" s="267"/>
      <c r="Y755" s="267"/>
      <c r="Z755" s="267"/>
      <c r="AA755" s="267"/>
      <c r="AB755" s="267"/>
      <c r="AC755" s="267"/>
      <c r="AD755" s="261"/>
      <c r="AE755" s="261"/>
      <c r="AF755" s="257"/>
      <c r="AG755" s="257"/>
    </row>
    <row r="756">
      <c r="A756" s="284"/>
      <c r="B756" s="251"/>
      <c r="C756" s="251"/>
      <c r="D756" s="261"/>
      <c r="E756" s="261"/>
      <c r="F756" s="261"/>
      <c r="G756" s="261"/>
      <c r="H756" s="261"/>
      <c r="I756" s="261"/>
      <c r="J756" s="261"/>
      <c r="K756" s="262"/>
      <c r="L756" s="261"/>
      <c r="M756" s="262"/>
      <c r="N756" s="262"/>
      <c r="O756" s="261"/>
      <c r="P756" s="262"/>
      <c r="Q756" s="262"/>
      <c r="R756" s="261"/>
      <c r="S756" s="263"/>
      <c r="T756" s="261"/>
      <c r="U756" s="269"/>
      <c r="V756" s="285"/>
      <c r="W756" s="286"/>
      <c r="X756" s="267"/>
      <c r="Y756" s="267"/>
      <c r="Z756" s="267"/>
      <c r="AA756" s="267"/>
      <c r="AB756" s="267"/>
      <c r="AC756" s="267"/>
      <c r="AD756" s="261"/>
      <c r="AE756" s="261"/>
      <c r="AF756" s="257"/>
      <c r="AG756" s="257"/>
    </row>
    <row r="757">
      <c r="A757" s="284"/>
      <c r="B757" s="251"/>
      <c r="C757" s="251"/>
      <c r="D757" s="261"/>
      <c r="E757" s="261"/>
      <c r="F757" s="261"/>
      <c r="G757" s="261"/>
      <c r="H757" s="261"/>
      <c r="I757" s="261"/>
      <c r="J757" s="261"/>
      <c r="K757" s="262"/>
      <c r="L757" s="261"/>
      <c r="M757" s="262"/>
      <c r="N757" s="262"/>
      <c r="O757" s="261"/>
      <c r="P757" s="262"/>
      <c r="Q757" s="262"/>
      <c r="R757" s="261"/>
      <c r="S757" s="263"/>
      <c r="T757" s="261"/>
      <c r="U757" s="269"/>
      <c r="V757" s="285"/>
      <c r="W757" s="286"/>
      <c r="X757" s="267"/>
      <c r="Y757" s="267"/>
      <c r="Z757" s="267"/>
      <c r="AA757" s="267"/>
      <c r="AB757" s="267"/>
      <c r="AC757" s="267"/>
      <c r="AD757" s="261"/>
      <c r="AE757" s="261"/>
      <c r="AF757" s="257"/>
      <c r="AG757" s="257"/>
    </row>
    <row r="758">
      <c r="A758" s="284"/>
      <c r="B758" s="251"/>
      <c r="C758" s="251"/>
      <c r="D758" s="261"/>
      <c r="E758" s="261"/>
      <c r="F758" s="261"/>
      <c r="G758" s="261"/>
      <c r="H758" s="261"/>
      <c r="I758" s="261"/>
      <c r="J758" s="261"/>
      <c r="K758" s="262"/>
      <c r="L758" s="261"/>
      <c r="M758" s="262"/>
      <c r="N758" s="262"/>
      <c r="O758" s="261"/>
      <c r="P758" s="262"/>
      <c r="Q758" s="262"/>
      <c r="R758" s="261"/>
      <c r="S758" s="263"/>
      <c r="T758" s="261"/>
      <c r="U758" s="269"/>
      <c r="V758" s="285"/>
      <c r="W758" s="286"/>
      <c r="X758" s="267"/>
      <c r="Y758" s="267"/>
      <c r="Z758" s="267"/>
      <c r="AA758" s="267"/>
      <c r="AB758" s="267"/>
      <c r="AC758" s="267"/>
      <c r="AD758" s="261"/>
      <c r="AE758" s="261"/>
      <c r="AF758" s="257"/>
      <c r="AG758" s="257"/>
    </row>
    <row r="759">
      <c r="A759" s="284"/>
      <c r="B759" s="251"/>
      <c r="C759" s="251"/>
      <c r="D759" s="261"/>
      <c r="E759" s="261"/>
      <c r="F759" s="261"/>
      <c r="G759" s="261"/>
      <c r="H759" s="261"/>
      <c r="I759" s="261"/>
      <c r="J759" s="261"/>
      <c r="K759" s="262"/>
      <c r="L759" s="261"/>
      <c r="M759" s="262"/>
      <c r="N759" s="262"/>
      <c r="O759" s="261"/>
      <c r="P759" s="262"/>
      <c r="Q759" s="262"/>
      <c r="R759" s="261"/>
      <c r="S759" s="263"/>
      <c r="T759" s="261"/>
      <c r="U759" s="269"/>
      <c r="V759" s="285"/>
      <c r="W759" s="286"/>
      <c r="X759" s="267"/>
      <c r="Y759" s="267"/>
      <c r="Z759" s="267"/>
      <c r="AA759" s="267"/>
      <c r="AB759" s="267"/>
      <c r="AC759" s="267"/>
      <c r="AD759" s="261"/>
      <c r="AE759" s="261"/>
      <c r="AF759" s="257"/>
      <c r="AG759" s="257"/>
    </row>
    <row r="760">
      <c r="A760" s="284"/>
      <c r="B760" s="251"/>
      <c r="C760" s="251"/>
      <c r="D760" s="261"/>
      <c r="E760" s="261"/>
      <c r="F760" s="261"/>
      <c r="G760" s="261"/>
      <c r="H760" s="261"/>
      <c r="I760" s="261"/>
      <c r="J760" s="261"/>
      <c r="K760" s="262"/>
      <c r="L760" s="261"/>
      <c r="M760" s="262"/>
      <c r="N760" s="262"/>
      <c r="O760" s="261"/>
      <c r="P760" s="262"/>
      <c r="Q760" s="262"/>
      <c r="R760" s="261"/>
      <c r="S760" s="263"/>
      <c r="T760" s="261"/>
      <c r="U760" s="269"/>
      <c r="V760" s="285"/>
      <c r="W760" s="286"/>
      <c r="X760" s="267"/>
      <c r="Y760" s="267"/>
      <c r="Z760" s="267"/>
      <c r="AA760" s="267"/>
      <c r="AB760" s="267"/>
      <c r="AC760" s="267"/>
      <c r="AD760" s="261"/>
      <c r="AE760" s="261"/>
      <c r="AF760" s="257"/>
      <c r="AG760" s="257"/>
    </row>
    <row r="761">
      <c r="A761" s="284"/>
      <c r="B761" s="251"/>
      <c r="C761" s="251"/>
      <c r="D761" s="261"/>
      <c r="E761" s="261"/>
      <c r="F761" s="261"/>
      <c r="G761" s="261"/>
      <c r="H761" s="261"/>
      <c r="I761" s="261"/>
      <c r="J761" s="261"/>
      <c r="K761" s="262"/>
      <c r="L761" s="261"/>
      <c r="M761" s="262"/>
      <c r="N761" s="262"/>
      <c r="O761" s="261"/>
      <c r="P761" s="262"/>
      <c r="Q761" s="262"/>
      <c r="R761" s="261"/>
      <c r="S761" s="263"/>
      <c r="T761" s="261"/>
      <c r="U761" s="269"/>
      <c r="V761" s="285"/>
      <c r="W761" s="286"/>
      <c r="X761" s="267"/>
      <c r="Y761" s="267"/>
      <c r="Z761" s="267"/>
      <c r="AA761" s="267"/>
      <c r="AB761" s="267"/>
      <c r="AC761" s="267"/>
      <c r="AD761" s="261"/>
      <c r="AE761" s="261"/>
      <c r="AF761" s="257"/>
      <c r="AG761" s="257"/>
    </row>
    <row r="762">
      <c r="A762" s="284"/>
      <c r="B762" s="251"/>
      <c r="C762" s="251"/>
      <c r="D762" s="261"/>
      <c r="E762" s="261"/>
      <c r="F762" s="261"/>
      <c r="G762" s="261"/>
      <c r="H762" s="261"/>
      <c r="I762" s="261"/>
      <c r="J762" s="261"/>
      <c r="K762" s="262"/>
      <c r="L762" s="261"/>
      <c r="M762" s="262"/>
      <c r="N762" s="262"/>
      <c r="O762" s="261"/>
      <c r="P762" s="262"/>
      <c r="Q762" s="262"/>
      <c r="R762" s="261"/>
      <c r="S762" s="263"/>
      <c r="T762" s="261"/>
      <c r="U762" s="269"/>
      <c r="V762" s="285"/>
      <c r="W762" s="286"/>
      <c r="X762" s="267"/>
      <c r="Y762" s="267"/>
      <c r="Z762" s="267"/>
      <c r="AA762" s="267"/>
      <c r="AB762" s="267"/>
      <c r="AC762" s="267"/>
      <c r="AD762" s="261"/>
      <c r="AE762" s="261"/>
      <c r="AF762" s="257"/>
      <c r="AG762" s="257"/>
    </row>
    <row r="763">
      <c r="A763" s="284"/>
      <c r="B763" s="251"/>
      <c r="C763" s="251"/>
      <c r="D763" s="261"/>
      <c r="E763" s="261"/>
      <c r="F763" s="261"/>
      <c r="G763" s="261"/>
      <c r="H763" s="261"/>
      <c r="I763" s="261"/>
      <c r="J763" s="261"/>
      <c r="K763" s="262"/>
      <c r="L763" s="261"/>
      <c r="M763" s="262"/>
      <c r="N763" s="262"/>
      <c r="O763" s="261"/>
      <c r="P763" s="262"/>
      <c r="Q763" s="262"/>
      <c r="R763" s="261"/>
      <c r="S763" s="263"/>
      <c r="T763" s="261"/>
      <c r="U763" s="269"/>
      <c r="V763" s="285"/>
      <c r="W763" s="286"/>
      <c r="X763" s="267"/>
      <c r="Y763" s="267"/>
      <c r="Z763" s="267"/>
      <c r="AA763" s="267"/>
      <c r="AB763" s="267"/>
      <c r="AC763" s="267"/>
      <c r="AD763" s="261"/>
      <c r="AE763" s="261"/>
      <c r="AF763" s="257"/>
      <c r="AG763" s="257"/>
    </row>
    <row r="764">
      <c r="A764" s="284"/>
      <c r="B764" s="251"/>
      <c r="C764" s="251"/>
      <c r="D764" s="261"/>
      <c r="E764" s="261"/>
      <c r="F764" s="261"/>
      <c r="G764" s="261"/>
      <c r="H764" s="261"/>
      <c r="I764" s="261"/>
      <c r="J764" s="261"/>
      <c r="K764" s="262"/>
      <c r="L764" s="261"/>
      <c r="M764" s="262"/>
      <c r="N764" s="262"/>
      <c r="O764" s="261"/>
      <c r="P764" s="262"/>
      <c r="Q764" s="262"/>
      <c r="R764" s="261"/>
      <c r="S764" s="263"/>
      <c r="T764" s="261"/>
      <c r="U764" s="269"/>
      <c r="V764" s="285"/>
      <c r="W764" s="286"/>
      <c r="X764" s="267"/>
      <c r="Y764" s="267"/>
      <c r="Z764" s="267"/>
      <c r="AA764" s="267"/>
      <c r="AB764" s="267"/>
      <c r="AC764" s="267"/>
      <c r="AD764" s="261"/>
      <c r="AE764" s="261"/>
      <c r="AF764" s="257"/>
      <c r="AG764" s="257"/>
    </row>
    <row r="765">
      <c r="A765" s="284"/>
      <c r="B765" s="251"/>
      <c r="C765" s="251"/>
      <c r="D765" s="261"/>
      <c r="E765" s="261"/>
      <c r="F765" s="261"/>
      <c r="G765" s="261"/>
      <c r="H765" s="261"/>
      <c r="I765" s="261"/>
      <c r="J765" s="261"/>
      <c r="K765" s="262"/>
      <c r="L765" s="261"/>
      <c r="M765" s="262"/>
      <c r="N765" s="262"/>
      <c r="O765" s="261"/>
      <c r="P765" s="262"/>
      <c r="Q765" s="262"/>
      <c r="R765" s="261"/>
      <c r="S765" s="263"/>
      <c r="T765" s="261"/>
      <c r="U765" s="269"/>
      <c r="V765" s="285"/>
      <c r="W765" s="286"/>
      <c r="X765" s="267"/>
      <c r="Y765" s="267"/>
      <c r="Z765" s="267"/>
      <c r="AA765" s="267"/>
      <c r="AB765" s="267"/>
      <c r="AC765" s="267"/>
      <c r="AD765" s="261"/>
      <c r="AE765" s="261"/>
      <c r="AF765" s="257"/>
      <c r="AG765" s="257"/>
    </row>
    <row r="766">
      <c r="A766" s="284"/>
      <c r="B766" s="251"/>
      <c r="C766" s="251"/>
      <c r="D766" s="261"/>
      <c r="E766" s="261"/>
      <c r="F766" s="261"/>
      <c r="G766" s="261"/>
      <c r="H766" s="261"/>
      <c r="I766" s="261"/>
      <c r="J766" s="261"/>
      <c r="K766" s="262"/>
      <c r="L766" s="261"/>
      <c r="M766" s="262"/>
      <c r="N766" s="262"/>
      <c r="O766" s="261"/>
      <c r="P766" s="262"/>
      <c r="Q766" s="262"/>
      <c r="R766" s="261"/>
      <c r="S766" s="263"/>
      <c r="T766" s="261"/>
      <c r="U766" s="269"/>
      <c r="V766" s="285"/>
      <c r="W766" s="286"/>
      <c r="X766" s="267"/>
      <c r="Y766" s="267"/>
      <c r="Z766" s="267"/>
      <c r="AA766" s="267"/>
      <c r="AB766" s="267"/>
      <c r="AC766" s="267"/>
      <c r="AD766" s="261"/>
      <c r="AE766" s="261"/>
      <c r="AF766" s="257"/>
      <c r="AG766" s="257"/>
    </row>
    <row r="767">
      <c r="A767" s="284"/>
      <c r="B767" s="251"/>
      <c r="C767" s="251"/>
      <c r="D767" s="261"/>
      <c r="E767" s="261"/>
      <c r="F767" s="261"/>
      <c r="G767" s="261"/>
      <c r="H767" s="261"/>
      <c r="I767" s="261"/>
      <c r="J767" s="261"/>
      <c r="K767" s="262"/>
      <c r="L767" s="261"/>
      <c r="M767" s="262"/>
      <c r="N767" s="262"/>
      <c r="O767" s="261"/>
      <c r="P767" s="262"/>
      <c r="Q767" s="262"/>
      <c r="R767" s="261"/>
      <c r="S767" s="263"/>
      <c r="T767" s="261"/>
      <c r="U767" s="269"/>
      <c r="V767" s="285"/>
      <c r="W767" s="286"/>
      <c r="X767" s="267"/>
      <c r="Y767" s="267"/>
      <c r="Z767" s="267"/>
      <c r="AA767" s="267"/>
      <c r="AB767" s="267"/>
      <c r="AC767" s="267"/>
      <c r="AD767" s="261"/>
      <c r="AE767" s="261"/>
      <c r="AF767" s="257"/>
      <c r="AG767" s="257"/>
    </row>
    <row r="768">
      <c r="A768" s="284"/>
      <c r="B768" s="251"/>
      <c r="C768" s="251"/>
      <c r="D768" s="261"/>
      <c r="E768" s="261"/>
      <c r="F768" s="261"/>
      <c r="G768" s="261"/>
      <c r="H768" s="261"/>
      <c r="I768" s="261"/>
      <c r="J768" s="261"/>
      <c r="K768" s="262"/>
      <c r="L768" s="261"/>
      <c r="M768" s="262"/>
      <c r="N768" s="262"/>
      <c r="O768" s="261"/>
      <c r="P768" s="262"/>
      <c r="Q768" s="262"/>
      <c r="R768" s="261"/>
      <c r="S768" s="263"/>
      <c r="T768" s="261"/>
      <c r="U768" s="269"/>
      <c r="V768" s="285"/>
      <c r="W768" s="286"/>
      <c r="X768" s="267"/>
      <c r="Y768" s="267"/>
      <c r="Z768" s="267"/>
      <c r="AA768" s="267"/>
      <c r="AB768" s="267"/>
      <c r="AC768" s="267"/>
      <c r="AD768" s="261"/>
      <c r="AE768" s="261"/>
      <c r="AF768" s="257"/>
      <c r="AG768" s="257"/>
    </row>
    <row r="769">
      <c r="A769" s="284"/>
      <c r="B769" s="251"/>
      <c r="C769" s="251"/>
      <c r="D769" s="261"/>
      <c r="E769" s="261"/>
      <c r="F769" s="261"/>
      <c r="G769" s="261"/>
      <c r="H769" s="261"/>
      <c r="I769" s="261"/>
      <c r="J769" s="261"/>
      <c r="K769" s="262"/>
      <c r="L769" s="261"/>
      <c r="M769" s="262"/>
      <c r="N769" s="262"/>
      <c r="O769" s="261"/>
      <c r="P769" s="262"/>
      <c r="Q769" s="262"/>
      <c r="R769" s="261"/>
      <c r="S769" s="263"/>
      <c r="T769" s="261"/>
      <c r="U769" s="269"/>
      <c r="V769" s="285"/>
      <c r="W769" s="286"/>
      <c r="X769" s="267"/>
      <c r="Y769" s="267"/>
      <c r="Z769" s="267"/>
      <c r="AA769" s="267"/>
      <c r="AB769" s="267"/>
      <c r="AC769" s="267"/>
      <c r="AD769" s="261"/>
      <c r="AE769" s="261"/>
      <c r="AF769" s="257"/>
      <c r="AG769" s="257"/>
    </row>
    <row r="770">
      <c r="A770" s="284"/>
      <c r="B770" s="251"/>
      <c r="C770" s="251"/>
      <c r="D770" s="261"/>
      <c r="E770" s="261"/>
      <c r="F770" s="261"/>
      <c r="G770" s="261"/>
      <c r="H770" s="261"/>
      <c r="I770" s="261"/>
      <c r="J770" s="261"/>
      <c r="K770" s="262"/>
      <c r="L770" s="261"/>
      <c r="M770" s="262"/>
      <c r="N770" s="262"/>
      <c r="O770" s="261"/>
      <c r="P770" s="262"/>
      <c r="Q770" s="262"/>
      <c r="R770" s="261"/>
      <c r="S770" s="263"/>
      <c r="T770" s="261"/>
      <c r="U770" s="269"/>
      <c r="V770" s="285"/>
      <c r="W770" s="286"/>
      <c r="X770" s="267"/>
      <c r="Y770" s="267"/>
      <c r="Z770" s="267"/>
      <c r="AA770" s="267"/>
      <c r="AB770" s="267"/>
      <c r="AC770" s="267"/>
      <c r="AD770" s="261"/>
      <c r="AE770" s="261"/>
      <c r="AF770" s="257"/>
      <c r="AG770" s="257"/>
    </row>
    <row r="771">
      <c r="A771" s="284"/>
      <c r="B771" s="251"/>
      <c r="C771" s="251"/>
      <c r="D771" s="261"/>
      <c r="E771" s="261"/>
      <c r="F771" s="261"/>
      <c r="G771" s="261"/>
      <c r="H771" s="261"/>
      <c r="I771" s="261"/>
      <c r="J771" s="261"/>
      <c r="K771" s="262"/>
      <c r="L771" s="261"/>
      <c r="M771" s="262"/>
      <c r="N771" s="262"/>
      <c r="O771" s="261"/>
      <c r="P771" s="262"/>
      <c r="Q771" s="262"/>
      <c r="R771" s="261"/>
      <c r="S771" s="263"/>
      <c r="T771" s="261"/>
      <c r="U771" s="269"/>
      <c r="V771" s="285"/>
      <c r="W771" s="286"/>
      <c r="X771" s="267"/>
      <c r="Y771" s="267"/>
      <c r="Z771" s="267"/>
      <c r="AA771" s="267"/>
      <c r="AB771" s="267"/>
      <c r="AC771" s="267"/>
      <c r="AD771" s="261"/>
      <c r="AE771" s="261"/>
      <c r="AF771" s="257"/>
      <c r="AG771" s="257"/>
    </row>
    <row r="772">
      <c r="A772" s="284"/>
      <c r="B772" s="251"/>
      <c r="C772" s="251"/>
      <c r="D772" s="261"/>
      <c r="E772" s="261"/>
      <c r="F772" s="261"/>
      <c r="G772" s="261"/>
      <c r="H772" s="261"/>
      <c r="I772" s="261"/>
      <c r="J772" s="261"/>
      <c r="K772" s="262"/>
      <c r="L772" s="261"/>
      <c r="M772" s="262"/>
      <c r="N772" s="262"/>
      <c r="O772" s="261"/>
      <c r="P772" s="262"/>
      <c r="Q772" s="262"/>
      <c r="R772" s="261"/>
      <c r="S772" s="263"/>
      <c r="T772" s="261"/>
      <c r="U772" s="269"/>
      <c r="V772" s="285"/>
      <c r="W772" s="286"/>
      <c r="X772" s="267"/>
      <c r="Y772" s="267"/>
      <c r="Z772" s="267"/>
      <c r="AA772" s="267"/>
      <c r="AB772" s="267"/>
      <c r="AC772" s="267"/>
      <c r="AD772" s="261"/>
      <c r="AE772" s="261"/>
      <c r="AF772" s="257"/>
      <c r="AG772" s="257"/>
    </row>
    <row r="773">
      <c r="A773" s="284"/>
      <c r="B773" s="251"/>
      <c r="C773" s="251"/>
      <c r="D773" s="261"/>
      <c r="E773" s="261"/>
      <c r="F773" s="261"/>
      <c r="G773" s="261"/>
      <c r="H773" s="261"/>
      <c r="I773" s="261"/>
      <c r="J773" s="261"/>
      <c r="K773" s="262"/>
      <c r="L773" s="261"/>
      <c r="M773" s="262"/>
      <c r="N773" s="262"/>
      <c r="O773" s="261"/>
      <c r="P773" s="262"/>
      <c r="Q773" s="262"/>
      <c r="R773" s="261"/>
      <c r="S773" s="263"/>
      <c r="T773" s="261"/>
      <c r="U773" s="269"/>
      <c r="V773" s="285"/>
      <c r="W773" s="286"/>
      <c r="X773" s="267"/>
      <c r="Y773" s="267"/>
      <c r="Z773" s="267"/>
      <c r="AA773" s="267"/>
      <c r="AB773" s="267"/>
      <c r="AC773" s="267"/>
      <c r="AD773" s="261"/>
      <c r="AE773" s="261"/>
      <c r="AF773" s="257"/>
      <c r="AG773" s="257"/>
    </row>
    <row r="774">
      <c r="A774" s="284"/>
      <c r="B774" s="251"/>
      <c r="C774" s="251"/>
      <c r="D774" s="261"/>
      <c r="E774" s="261"/>
      <c r="F774" s="261"/>
      <c r="G774" s="261"/>
      <c r="H774" s="261"/>
      <c r="I774" s="261"/>
      <c r="J774" s="261"/>
      <c r="K774" s="262"/>
      <c r="L774" s="261"/>
      <c r="M774" s="262"/>
      <c r="N774" s="262"/>
      <c r="O774" s="261"/>
      <c r="P774" s="262"/>
      <c r="Q774" s="262"/>
      <c r="R774" s="261"/>
      <c r="S774" s="263"/>
      <c r="T774" s="261"/>
      <c r="U774" s="269"/>
      <c r="V774" s="285"/>
      <c r="W774" s="286"/>
      <c r="X774" s="267"/>
      <c r="Y774" s="267"/>
      <c r="Z774" s="267"/>
      <c r="AA774" s="267"/>
      <c r="AB774" s="267"/>
      <c r="AC774" s="267"/>
      <c r="AD774" s="261"/>
      <c r="AE774" s="261"/>
      <c r="AF774" s="257"/>
      <c r="AG774" s="257"/>
    </row>
    <row r="775">
      <c r="A775" s="284"/>
      <c r="B775" s="251"/>
      <c r="C775" s="251"/>
      <c r="D775" s="261"/>
      <c r="E775" s="261"/>
      <c r="F775" s="261"/>
      <c r="G775" s="261"/>
      <c r="H775" s="261"/>
      <c r="I775" s="261"/>
      <c r="J775" s="261"/>
      <c r="K775" s="262"/>
      <c r="L775" s="261"/>
      <c r="M775" s="262"/>
      <c r="N775" s="262"/>
      <c r="O775" s="261"/>
      <c r="P775" s="262"/>
      <c r="Q775" s="262"/>
      <c r="R775" s="261"/>
      <c r="S775" s="263"/>
      <c r="T775" s="261"/>
      <c r="U775" s="269"/>
      <c r="V775" s="285"/>
      <c r="W775" s="286"/>
      <c r="X775" s="267"/>
      <c r="Y775" s="267"/>
      <c r="Z775" s="267"/>
      <c r="AA775" s="267"/>
      <c r="AB775" s="267"/>
      <c r="AC775" s="267"/>
      <c r="AD775" s="261"/>
      <c r="AE775" s="261"/>
      <c r="AF775" s="257"/>
      <c r="AG775" s="257"/>
    </row>
    <row r="776">
      <c r="A776" s="284"/>
      <c r="B776" s="251"/>
      <c r="C776" s="251"/>
      <c r="D776" s="261"/>
      <c r="E776" s="261"/>
      <c r="F776" s="261"/>
      <c r="G776" s="261"/>
      <c r="H776" s="261"/>
      <c r="I776" s="261"/>
      <c r="J776" s="261"/>
      <c r="K776" s="262"/>
      <c r="L776" s="261"/>
      <c r="M776" s="262"/>
      <c r="N776" s="262"/>
      <c r="O776" s="261"/>
      <c r="P776" s="262"/>
      <c r="Q776" s="262"/>
      <c r="R776" s="261"/>
      <c r="S776" s="263"/>
      <c r="T776" s="261"/>
      <c r="U776" s="269"/>
      <c r="V776" s="285"/>
      <c r="W776" s="286"/>
      <c r="X776" s="267"/>
      <c r="Y776" s="267"/>
      <c r="Z776" s="267"/>
      <c r="AA776" s="267"/>
      <c r="AB776" s="267"/>
      <c r="AC776" s="267"/>
      <c r="AD776" s="261"/>
      <c r="AE776" s="261"/>
      <c r="AF776" s="257"/>
      <c r="AG776" s="257"/>
    </row>
    <row r="777">
      <c r="A777" s="284"/>
      <c r="B777" s="251"/>
      <c r="C777" s="251"/>
      <c r="D777" s="261"/>
      <c r="E777" s="261"/>
      <c r="F777" s="261"/>
      <c r="G777" s="261"/>
      <c r="H777" s="261"/>
      <c r="I777" s="261"/>
      <c r="J777" s="261"/>
      <c r="K777" s="262"/>
      <c r="L777" s="261"/>
      <c r="M777" s="262"/>
      <c r="N777" s="262"/>
      <c r="O777" s="261"/>
      <c r="P777" s="262"/>
      <c r="Q777" s="262"/>
      <c r="R777" s="261"/>
      <c r="S777" s="263"/>
      <c r="T777" s="261"/>
      <c r="U777" s="269"/>
      <c r="V777" s="285"/>
      <c r="W777" s="286"/>
      <c r="X777" s="267"/>
      <c r="Y777" s="267"/>
      <c r="Z777" s="267"/>
      <c r="AA777" s="267"/>
      <c r="AB777" s="267"/>
      <c r="AC777" s="267"/>
      <c r="AD777" s="261"/>
      <c r="AE777" s="261"/>
      <c r="AF777" s="257"/>
      <c r="AG777" s="257"/>
    </row>
    <row r="778">
      <c r="A778" s="284"/>
      <c r="B778" s="251"/>
      <c r="C778" s="251"/>
      <c r="D778" s="261"/>
      <c r="E778" s="261"/>
      <c r="F778" s="261"/>
      <c r="G778" s="261"/>
      <c r="H778" s="261"/>
      <c r="I778" s="261"/>
      <c r="J778" s="261"/>
      <c r="K778" s="262"/>
      <c r="L778" s="261"/>
      <c r="M778" s="262"/>
      <c r="N778" s="262"/>
      <c r="O778" s="261"/>
      <c r="P778" s="262"/>
      <c r="Q778" s="262"/>
      <c r="R778" s="261"/>
      <c r="S778" s="263"/>
      <c r="T778" s="261"/>
      <c r="U778" s="269"/>
      <c r="V778" s="285"/>
      <c r="W778" s="286"/>
      <c r="X778" s="267"/>
      <c r="Y778" s="267"/>
      <c r="Z778" s="267"/>
      <c r="AA778" s="267"/>
      <c r="AB778" s="267"/>
      <c r="AC778" s="267"/>
      <c r="AD778" s="261"/>
      <c r="AE778" s="261"/>
      <c r="AF778" s="257"/>
      <c r="AG778" s="257"/>
    </row>
    <row r="779">
      <c r="A779" s="284"/>
      <c r="B779" s="251"/>
      <c r="C779" s="251"/>
      <c r="D779" s="261"/>
      <c r="E779" s="261"/>
      <c r="F779" s="261"/>
      <c r="G779" s="261"/>
      <c r="H779" s="261"/>
      <c r="I779" s="261"/>
      <c r="J779" s="261"/>
      <c r="K779" s="262"/>
      <c r="L779" s="261"/>
      <c r="M779" s="262"/>
      <c r="N779" s="262"/>
      <c r="O779" s="261"/>
      <c r="P779" s="262"/>
      <c r="Q779" s="262"/>
      <c r="R779" s="261"/>
      <c r="S779" s="263"/>
      <c r="T779" s="261"/>
      <c r="U779" s="269"/>
      <c r="V779" s="285"/>
      <c r="W779" s="286"/>
      <c r="X779" s="267"/>
      <c r="Y779" s="267"/>
      <c r="Z779" s="267"/>
      <c r="AA779" s="267"/>
      <c r="AB779" s="267"/>
      <c r="AC779" s="267"/>
      <c r="AD779" s="261"/>
      <c r="AE779" s="261"/>
      <c r="AF779" s="257"/>
      <c r="AG779" s="257"/>
    </row>
    <row r="780">
      <c r="A780" s="284"/>
      <c r="B780" s="251"/>
      <c r="C780" s="251"/>
      <c r="D780" s="261"/>
      <c r="E780" s="261"/>
      <c r="F780" s="261"/>
      <c r="G780" s="261"/>
      <c r="H780" s="261"/>
      <c r="I780" s="261"/>
      <c r="J780" s="261"/>
      <c r="K780" s="262"/>
      <c r="L780" s="261"/>
      <c r="M780" s="262"/>
      <c r="N780" s="262"/>
      <c r="O780" s="261"/>
      <c r="P780" s="262"/>
      <c r="Q780" s="262"/>
      <c r="R780" s="261"/>
      <c r="S780" s="263"/>
      <c r="T780" s="261"/>
      <c r="U780" s="269"/>
      <c r="V780" s="285"/>
      <c r="W780" s="286"/>
      <c r="X780" s="267"/>
      <c r="Y780" s="267"/>
      <c r="Z780" s="267"/>
      <c r="AA780" s="267"/>
      <c r="AB780" s="267"/>
      <c r="AC780" s="267"/>
      <c r="AD780" s="261"/>
      <c r="AE780" s="261"/>
      <c r="AF780" s="257"/>
      <c r="AG780" s="257"/>
    </row>
    <row r="781">
      <c r="A781" s="284"/>
      <c r="B781" s="251"/>
      <c r="C781" s="251"/>
      <c r="D781" s="261"/>
      <c r="E781" s="261"/>
      <c r="F781" s="261"/>
      <c r="G781" s="261"/>
      <c r="H781" s="261"/>
      <c r="I781" s="261"/>
      <c r="J781" s="261"/>
      <c r="K781" s="262"/>
      <c r="L781" s="261"/>
      <c r="M781" s="262"/>
      <c r="N781" s="262"/>
      <c r="O781" s="261"/>
      <c r="P781" s="262"/>
      <c r="Q781" s="262"/>
      <c r="R781" s="261"/>
      <c r="S781" s="263"/>
      <c r="T781" s="261"/>
      <c r="U781" s="269"/>
      <c r="V781" s="285"/>
      <c r="W781" s="286"/>
      <c r="X781" s="267"/>
      <c r="Y781" s="267"/>
      <c r="Z781" s="267"/>
      <c r="AA781" s="267"/>
      <c r="AB781" s="267"/>
      <c r="AC781" s="267"/>
      <c r="AD781" s="261"/>
      <c r="AE781" s="261"/>
      <c r="AF781" s="257"/>
      <c r="AG781" s="257"/>
    </row>
    <row r="782">
      <c r="A782" s="284"/>
      <c r="B782" s="251"/>
      <c r="C782" s="251"/>
      <c r="D782" s="261"/>
      <c r="E782" s="261"/>
      <c r="F782" s="261"/>
      <c r="G782" s="261"/>
      <c r="H782" s="261"/>
      <c r="I782" s="261"/>
      <c r="J782" s="261"/>
      <c r="K782" s="262"/>
      <c r="L782" s="261"/>
      <c r="M782" s="262"/>
      <c r="N782" s="262"/>
      <c r="O782" s="261"/>
      <c r="P782" s="262"/>
      <c r="Q782" s="262"/>
      <c r="R782" s="261"/>
      <c r="S782" s="263"/>
      <c r="T782" s="261"/>
      <c r="U782" s="269"/>
      <c r="V782" s="285"/>
      <c r="W782" s="286"/>
      <c r="X782" s="267"/>
      <c r="Y782" s="267"/>
      <c r="Z782" s="267"/>
      <c r="AA782" s="267"/>
      <c r="AB782" s="267"/>
      <c r="AC782" s="267"/>
      <c r="AD782" s="261"/>
      <c r="AE782" s="261"/>
      <c r="AF782" s="257"/>
      <c r="AG782" s="257"/>
    </row>
    <row r="783">
      <c r="A783" s="284"/>
      <c r="B783" s="251"/>
      <c r="C783" s="251"/>
      <c r="D783" s="261"/>
      <c r="E783" s="261"/>
      <c r="F783" s="261"/>
      <c r="G783" s="261"/>
      <c r="H783" s="261"/>
      <c r="I783" s="261"/>
      <c r="J783" s="261"/>
      <c r="K783" s="262"/>
      <c r="L783" s="261"/>
      <c r="M783" s="262"/>
      <c r="N783" s="262"/>
      <c r="O783" s="261"/>
      <c r="P783" s="262"/>
      <c r="Q783" s="262"/>
      <c r="R783" s="261"/>
      <c r="S783" s="263"/>
      <c r="T783" s="261"/>
      <c r="U783" s="269"/>
      <c r="V783" s="285"/>
      <c r="W783" s="286"/>
      <c r="X783" s="267"/>
      <c r="Y783" s="267"/>
      <c r="Z783" s="267"/>
      <c r="AA783" s="267"/>
      <c r="AB783" s="267"/>
      <c r="AC783" s="267"/>
      <c r="AD783" s="261"/>
      <c r="AE783" s="261"/>
      <c r="AF783" s="257"/>
      <c r="AG783" s="257"/>
    </row>
    <row r="784">
      <c r="A784" s="284"/>
      <c r="B784" s="251"/>
      <c r="C784" s="251"/>
      <c r="D784" s="261"/>
      <c r="E784" s="261"/>
      <c r="F784" s="261"/>
      <c r="G784" s="261"/>
      <c r="H784" s="261"/>
      <c r="I784" s="261"/>
      <c r="J784" s="261"/>
      <c r="K784" s="262"/>
      <c r="L784" s="261"/>
      <c r="M784" s="262"/>
      <c r="N784" s="262"/>
      <c r="O784" s="261"/>
      <c r="P784" s="262"/>
      <c r="Q784" s="262"/>
      <c r="R784" s="261"/>
      <c r="S784" s="263"/>
      <c r="T784" s="261"/>
      <c r="U784" s="269"/>
      <c r="V784" s="285"/>
      <c r="W784" s="286"/>
      <c r="X784" s="267"/>
      <c r="Y784" s="267"/>
      <c r="Z784" s="267"/>
      <c r="AA784" s="267"/>
      <c r="AB784" s="267"/>
      <c r="AC784" s="267"/>
      <c r="AD784" s="261"/>
      <c r="AE784" s="261"/>
      <c r="AF784" s="257"/>
      <c r="AG784" s="257"/>
    </row>
    <row r="785">
      <c r="A785" s="284"/>
      <c r="B785" s="251"/>
      <c r="C785" s="251"/>
      <c r="D785" s="261"/>
      <c r="E785" s="261"/>
      <c r="F785" s="261"/>
      <c r="G785" s="261"/>
      <c r="H785" s="261"/>
      <c r="I785" s="261"/>
      <c r="J785" s="261"/>
      <c r="K785" s="262"/>
      <c r="L785" s="261"/>
      <c r="M785" s="262"/>
      <c r="N785" s="262"/>
      <c r="O785" s="261"/>
      <c r="P785" s="262"/>
      <c r="Q785" s="262"/>
      <c r="R785" s="261"/>
      <c r="S785" s="263"/>
      <c r="T785" s="261"/>
      <c r="U785" s="269"/>
      <c r="V785" s="285"/>
      <c r="W785" s="286"/>
      <c r="X785" s="267"/>
      <c r="Y785" s="267"/>
      <c r="Z785" s="267"/>
      <c r="AA785" s="267"/>
      <c r="AB785" s="267"/>
      <c r="AC785" s="267"/>
      <c r="AD785" s="261"/>
      <c r="AE785" s="261"/>
      <c r="AF785" s="257"/>
      <c r="AG785" s="257"/>
    </row>
    <row r="786">
      <c r="A786" s="284"/>
      <c r="B786" s="251"/>
      <c r="C786" s="251"/>
      <c r="D786" s="261"/>
      <c r="E786" s="261"/>
      <c r="F786" s="261"/>
      <c r="G786" s="261"/>
      <c r="H786" s="261"/>
      <c r="I786" s="261"/>
      <c r="J786" s="261"/>
      <c r="K786" s="262"/>
      <c r="L786" s="261"/>
      <c r="M786" s="262"/>
      <c r="N786" s="262"/>
      <c r="O786" s="261"/>
      <c r="P786" s="262"/>
      <c r="Q786" s="262"/>
      <c r="R786" s="261"/>
      <c r="S786" s="263"/>
      <c r="T786" s="261"/>
      <c r="U786" s="269"/>
      <c r="V786" s="285"/>
      <c r="W786" s="286"/>
      <c r="X786" s="267"/>
      <c r="Y786" s="267"/>
      <c r="Z786" s="267"/>
      <c r="AA786" s="267"/>
      <c r="AB786" s="267"/>
      <c r="AC786" s="267"/>
      <c r="AD786" s="261"/>
      <c r="AE786" s="261"/>
      <c r="AF786" s="257"/>
      <c r="AG786" s="257"/>
    </row>
    <row r="787">
      <c r="A787" s="284"/>
      <c r="B787" s="251"/>
      <c r="C787" s="251"/>
      <c r="D787" s="261"/>
      <c r="E787" s="261"/>
      <c r="F787" s="261"/>
      <c r="G787" s="261"/>
      <c r="H787" s="261"/>
      <c r="I787" s="261"/>
      <c r="J787" s="261"/>
      <c r="K787" s="262"/>
      <c r="L787" s="261"/>
      <c r="M787" s="262"/>
      <c r="N787" s="262"/>
      <c r="O787" s="261"/>
      <c r="P787" s="262"/>
      <c r="Q787" s="262"/>
      <c r="R787" s="261"/>
      <c r="S787" s="263"/>
      <c r="T787" s="261"/>
      <c r="U787" s="269"/>
      <c r="V787" s="285"/>
      <c r="W787" s="286"/>
      <c r="X787" s="267"/>
      <c r="Y787" s="267"/>
      <c r="Z787" s="267"/>
      <c r="AA787" s="267"/>
      <c r="AB787" s="267"/>
      <c r="AC787" s="267"/>
      <c r="AD787" s="261"/>
      <c r="AE787" s="261"/>
      <c r="AF787" s="257"/>
      <c r="AG787" s="257"/>
    </row>
    <row r="788">
      <c r="A788" s="284"/>
      <c r="B788" s="251"/>
      <c r="C788" s="251"/>
      <c r="D788" s="261"/>
      <c r="E788" s="261"/>
      <c r="F788" s="261"/>
      <c r="G788" s="261"/>
      <c r="H788" s="261"/>
      <c r="I788" s="261"/>
      <c r="J788" s="261"/>
      <c r="K788" s="262"/>
      <c r="L788" s="261"/>
      <c r="M788" s="262"/>
      <c r="N788" s="262"/>
      <c r="O788" s="261"/>
      <c r="P788" s="262"/>
      <c r="Q788" s="262"/>
      <c r="R788" s="261"/>
      <c r="S788" s="263"/>
      <c r="T788" s="261"/>
      <c r="U788" s="269"/>
      <c r="V788" s="285"/>
      <c r="W788" s="286"/>
      <c r="X788" s="267"/>
      <c r="Y788" s="267"/>
      <c r="Z788" s="267"/>
      <c r="AA788" s="267"/>
      <c r="AB788" s="267"/>
      <c r="AC788" s="267"/>
      <c r="AD788" s="261"/>
      <c r="AE788" s="261"/>
      <c r="AF788" s="257"/>
      <c r="AG788" s="257"/>
    </row>
    <row r="789">
      <c r="A789" s="284"/>
      <c r="B789" s="251"/>
      <c r="C789" s="251"/>
      <c r="D789" s="261"/>
      <c r="E789" s="261"/>
      <c r="F789" s="261"/>
      <c r="G789" s="261"/>
      <c r="H789" s="261"/>
      <c r="I789" s="261"/>
      <c r="J789" s="261"/>
      <c r="K789" s="262"/>
      <c r="L789" s="261"/>
      <c r="M789" s="262"/>
      <c r="N789" s="262"/>
      <c r="O789" s="261"/>
      <c r="P789" s="262"/>
      <c r="Q789" s="262"/>
      <c r="R789" s="261"/>
      <c r="S789" s="263"/>
      <c r="T789" s="261"/>
      <c r="U789" s="269"/>
      <c r="V789" s="285"/>
      <c r="W789" s="286"/>
      <c r="X789" s="267"/>
      <c r="Y789" s="267"/>
      <c r="Z789" s="267"/>
      <c r="AA789" s="267"/>
      <c r="AB789" s="267"/>
      <c r="AC789" s="267"/>
      <c r="AD789" s="261"/>
      <c r="AE789" s="261"/>
      <c r="AF789" s="257"/>
      <c r="AG789" s="257"/>
    </row>
    <row r="790">
      <c r="A790" s="284"/>
      <c r="B790" s="251"/>
      <c r="C790" s="251"/>
      <c r="D790" s="261"/>
      <c r="E790" s="261"/>
      <c r="F790" s="261"/>
      <c r="G790" s="261"/>
      <c r="H790" s="261"/>
      <c r="I790" s="261"/>
      <c r="J790" s="261"/>
      <c r="K790" s="262"/>
      <c r="L790" s="261"/>
      <c r="M790" s="262"/>
      <c r="N790" s="262"/>
      <c r="O790" s="261"/>
      <c r="P790" s="262"/>
      <c r="Q790" s="262"/>
      <c r="R790" s="261"/>
      <c r="S790" s="263"/>
      <c r="T790" s="261"/>
      <c r="U790" s="269"/>
      <c r="V790" s="285"/>
      <c r="W790" s="286"/>
      <c r="X790" s="267"/>
      <c r="Y790" s="267"/>
      <c r="Z790" s="267"/>
      <c r="AA790" s="267"/>
      <c r="AB790" s="267"/>
      <c r="AC790" s="267"/>
      <c r="AD790" s="261"/>
      <c r="AE790" s="261"/>
      <c r="AF790" s="257"/>
      <c r="AG790" s="257"/>
    </row>
    <row r="791">
      <c r="A791" s="284"/>
      <c r="B791" s="251"/>
      <c r="C791" s="251"/>
      <c r="D791" s="261"/>
      <c r="E791" s="261"/>
      <c r="F791" s="261"/>
      <c r="G791" s="261"/>
      <c r="H791" s="261"/>
      <c r="I791" s="261"/>
      <c r="J791" s="261"/>
      <c r="K791" s="262"/>
      <c r="L791" s="261"/>
      <c r="M791" s="262"/>
      <c r="N791" s="262"/>
      <c r="O791" s="261"/>
      <c r="P791" s="262"/>
      <c r="Q791" s="262"/>
      <c r="R791" s="261"/>
      <c r="S791" s="263"/>
      <c r="T791" s="261"/>
      <c r="U791" s="269"/>
      <c r="V791" s="285"/>
      <c r="W791" s="286"/>
      <c r="X791" s="267"/>
      <c r="Y791" s="267"/>
      <c r="Z791" s="267"/>
      <c r="AA791" s="267"/>
      <c r="AB791" s="267"/>
      <c r="AC791" s="267"/>
      <c r="AD791" s="261"/>
      <c r="AE791" s="261"/>
      <c r="AF791" s="257"/>
      <c r="AG791" s="257"/>
    </row>
    <row r="792">
      <c r="A792" s="284"/>
      <c r="B792" s="251"/>
      <c r="C792" s="251"/>
      <c r="D792" s="261"/>
      <c r="E792" s="261"/>
      <c r="F792" s="261"/>
      <c r="G792" s="261"/>
      <c r="H792" s="261"/>
      <c r="I792" s="261"/>
      <c r="J792" s="261"/>
      <c r="K792" s="262"/>
      <c r="L792" s="261"/>
      <c r="M792" s="262"/>
      <c r="N792" s="262"/>
      <c r="O792" s="261"/>
      <c r="P792" s="262"/>
      <c r="Q792" s="262"/>
      <c r="R792" s="261"/>
      <c r="S792" s="263"/>
      <c r="T792" s="261"/>
      <c r="U792" s="269"/>
      <c r="V792" s="285"/>
      <c r="W792" s="286"/>
      <c r="X792" s="267"/>
      <c r="Y792" s="267"/>
      <c r="Z792" s="267"/>
      <c r="AA792" s="267"/>
      <c r="AB792" s="267"/>
      <c r="AC792" s="267"/>
      <c r="AD792" s="261"/>
      <c r="AE792" s="261"/>
      <c r="AF792" s="257"/>
      <c r="AG792" s="257"/>
    </row>
    <row r="793">
      <c r="A793" s="284"/>
      <c r="B793" s="251"/>
      <c r="C793" s="251"/>
      <c r="D793" s="261"/>
      <c r="E793" s="261"/>
      <c r="F793" s="261"/>
      <c r="G793" s="261"/>
      <c r="H793" s="261"/>
      <c r="I793" s="261"/>
      <c r="J793" s="261"/>
      <c r="K793" s="262"/>
      <c r="L793" s="261"/>
      <c r="M793" s="262"/>
      <c r="N793" s="262"/>
      <c r="O793" s="261"/>
      <c r="P793" s="262"/>
      <c r="Q793" s="262"/>
      <c r="R793" s="261"/>
      <c r="S793" s="263"/>
      <c r="T793" s="261"/>
      <c r="U793" s="269"/>
      <c r="V793" s="285"/>
      <c r="W793" s="286"/>
      <c r="X793" s="267"/>
      <c r="Y793" s="267"/>
      <c r="Z793" s="267"/>
      <c r="AA793" s="267"/>
      <c r="AB793" s="267"/>
      <c r="AC793" s="267"/>
      <c r="AD793" s="261"/>
      <c r="AE793" s="261"/>
      <c r="AF793" s="257"/>
      <c r="AG793" s="257"/>
    </row>
    <row r="794">
      <c r="A794" s="284"/>
      <c r="B794" s="251"/>
      <c r="C794" s="251"/>
      <c r="D794" s="261"/>
      <c r="E794" s="261"/>
      <c r="F794" s="261"/>
      <c r="G794" s="261"/>
      <c r="H794" s="261"/>
      <c r="I794" s="261"/>
      <c r="J794" s="261"/>
      <c r="K794" s="262"/>
      <c r="L794" s="261"/>
      <c r="M794" s="262"/>
      <c r="N794" s="262"/>
      <c r="O794" s="261"/>
      <c r="P794" s="262"/>
      <c r="Q794" s="262"/>
      <c r="R794" s="261"/>
      <c r="S794" s="263"/>
      <c r="T794" s="261"/>
      <c r="U794" s="269"/>
      <c r="V794" s="285"/>
      <c r="W794" s="286"/>
      <c r="X794" s="267"/>
      <c r="Y794" s="267"/>
      <c r="Z794" s="267"/>
      <c r="AA794" s="267"/>
      <c r="AB794" s="267"/>
      <c r="AC794" s="267"/>
      <c r="AD794" s="261"/>
      <c r="AE794" s="261"/>
      <c r="AF794" s="257"/>
      <c r="AG794" s="257"/>
    </row>
    <row r="795">
      <c r="A795" s="284"/>
      <c r="B795" s="251"/>
      <c r="C795" s="251"/>
      <c r="D795" s="261"/>
      <c r="E795" s="261"/>
      <c r="F795" s="261"/>
      <c r="G795" s="261"/>
      <c r="H795" s="261"/>
      <c r="I795" s="261"/>
      <c r="J795" s="261"/>
      <c r="K795" s="262"/>
      <c r="L795" s="261"/>
      <c r="M795" s="262"/>
      <c r="N795" s="262"/>
      <c r="O795" s="261"/>
      <c r="P795" s="262"/>
      <c r="Q795" s="262"/>
      <c r="R795" s="261"/>
      <c r="S795" s="263"/>
      <c r="T795" s="261"/>
      <c r="U795" s="269"/>
      <c r="V795" s="285"/>
      <c r="W795" s="286"/>
      <c r="X795" s="267"/>
      <c r="Y795" s="267"/>
      <c r="Z795" s="267"/>
      <c r="AA795" s="267"/>
      <c r="AB795" s="267"/>
      <c r="AC795" s="267"/>
      <c r="AD795" s="261"/>
      <c r="AE795" s="261"/>
      <c r="AF795" s="257"/>
      <c r="AG795" s="257"/>
    </row>
    <row r="796">
      <c r="A796" s="284"/>
      <c r="B796" s="251"/>
      <c r="C796" s="251"/>
      <c r="D796" s="261"/>
      <c r="E796" s="261"/>
      <c r="F796" s="261"/>
      <c r="G796" s="261"/>
      <c r="H796" s="261"/>
      <c r="I796" s="261"/>
      <c r="J796" s="261"/>
      <c r="K796" s="262"/>
      <c r="L796" s="261"/>
      <c r="M796" s="262"/>
      <c r="N796" s="262"/>
      <c r="O796" s="261"/>
      <c r="P796" s="262"/>
      <c r="Q796" s="262"/>
      <c r="R796" s="261"/>
      <c r="S796" s="263"/>
      <c r="T796" s="261"/>
      <c r="U796" s="269"/>
      <c r="V796" s="285"/>
      <c r="W796" s="286"/>
      <c r="X796" s="267"/>
      <c r="Y796" s="267"/>
      <c r="Z796" s="267"/>
      <c r="AA796" s="267"/>
      <c r="AB796" s="267"/>
      <c r="AC796" s="267"/>
      <c r="AD796" s="261"/>
      <c r="AE796" s="261"/>
      <c r="AF796" s="257"/>
      <c r="AG796" s="257"/>
    </row>
    <row r="797">
      <c r="A797" s="284"/>
      <c r="B797" s="251"/>
      <c r="C797" s="251"/>
      <c r="D797" s="261"/>
      <c r="E797" s="261"/>
      <c r="F797" s="261"/>
      <c r="G797" s="261"/>
      <c r="H797" s="261"/>
      <c r="I797" s="261"/>
      <c r="J797" s="261"/>
      <c r="K797" s="262"/>
      <c r="L797" s="261"/>
      <c r="M797" s="262"/>
      <c r="N797" s="262"/>
      <c r="O797" s="261"/>
      <c r="P797" s="262"/>
      <c r="Q797" s="262"/>
      <c r="R797" s="261"/>
      <c r="S797" s="263"/>
      <c r="T797" s="261"/>
      <c r="U797" s="269"/>
      <c r="V797" s="285"/>
      <c r="W797" s="286"/>
      <c r="X797" s="267"/>
      <c r="Y797" s="267"/>
      <c r="Z797" s="267"/>
      <c r="AA797" s="267"/>
      <c r="AB797" s="267"/>
      <c r="AC797" s="267"/>
      <c r="AD797" s="261"/>
      <c r="AE797" s="261"/>
      <c r="AF797" s="257"/>
      <c r="AG797" s="257"/>
    </row>
    <row r="798">
      <c r="A798" s="284"/>
      <c r="B798" s="251"/>
      <c r="C798" s="251"/>
      <c r="D798" s="261"/>
      <c r="E798" s="261"/>
      <c r="F798" s="261"/>
      <c r="G798" s="261"/>
      <c r="H798" s="261"/>
      <c r="I798" s="261"/>
      <c r="J798" s="261"/>
      <c r="K798" s="262"/>
      <c r="L798" s="261"/>
      <c r="M798" s="262"/>
      <c r="N798" s="262"/>
      <c r="O798" s="261"/>
      <c r="P798" s="262"/>
      <c r="Q798" s="262"/>
      <c r="R798" s="261"/>
      <c r="S798" s="263"/>
      <c r="T798" s="261"/>
      <c r="U798" s="269"/>
      <c r="V798" s="285"/>
      <c r="W798" s="286"/>
      <c r="X798" s="267"/>
      <c r="Y798" s="267"/>
      <c r="Z798" s="267"/>
      <c r="AA798" s="267"/>
      <c r="AB798" s="267"/>
      <c r="AC798" s="267"/>
      <c r="AD798" s="261"/>
      <c r="AE798" s="261"/>
      <c r="AF798" s="257"/>
      <c r="AG798" s="257"/>
    </row>
    <row r="799">
      <c r="A799" s="284"/>
      <c r="B799" s="251"/>
      <c r="C799" s="251"/>
      <c r="D799" s="261"/>
      <c r="E799" s="261"/>
      <c r="F799" s="261"/>
      <c r="G799" s="261"/>
      <c r="H799" s="261"/>
      <c r="I799" s="261"/>
      <c r="J799" s="261"/>
      <c r="K799" s="262"/>
      <c r="L799" s="261"/>
      <c r="M799" s="262"/>
      <c r="N799" s="262"/>
      <c r="O799" s="261"/>
      <c r="P799" s="262"/>
      <c r="Q799" s="262"/>
      <c r="R799" s="261"/>
      <c r="S799" s="263"/>
      <c r="T799" s="261"/>
      <c r="U799" s="269"/>
      <c r="V799" s="285"/>
      <c r="W799" s="286"/>
      <c r="X799" s="267"/>
      <c r="Y799" s="267"/>
      <c r="Z799" s="267"/>
      <c r="AA799" s="267"/>
      <c r="AB799" s="267"/>
      <c r="AC799" s="267"/>
      <c r="AD799" s="261"/>
      <c r="AE799" s="261"/>
      <c r="AF799" s="257"/>
      <c r="AG799" s="257"/>
    </row>
    <row r="800">
      <c r="A800" s="284"/>
      <c r="B800" s="251"/>
      <c r="C800" s="251"/>
      <c r="D800" s="261"/>
      <c r="E800" s="261"/>
      <c r="F800" s="261"/>
      <c r="G800" s="261"/>
      <c r="H800" s="261"/>
      <c r="I800" s="261"/>
      <c r="J800" s="261"/>
      <c r="K800" s="262"/>
      <c r="L800" s="261"/>
      <c r="M800" s="262"/>
      <c r="N800" s="262"/>
      <c r="O800" s="261"/>
      <c r="P800" s="262"/>
      <c r="Q800" s="262"/>
      <c r="R800" s="261"/>
      <c r="S800" s="263"/>
      <c r="T800" s="261"/>
      <c r="U800" s="269"/>
      <c r="V800" s="285"/>
      <c r="W800" s="286"/>
      <c r="X800" s="267"/>
      <c r="Y800" s="267"/>
      <c r="Z800" s="267"/>
      <c r="AA800" s="267"/>
      <c r="AB800" s="267"/>
      <c r="AC800" s="267"/>
      <c r="AD800" s="261"/>
      <c r="AE800" s="261"/>
      <c r="AF800" s="257"/>
      <c r="AG800" s="257"/>
    </row>
    <row r="801">
      <c r="A801" s="284"/>
      <c r="B801" s="251"/>
      <c r="C801" s="251"/>
      <c r="D801" s="261"/>
      <c r="E801" s="261"/>
      <c r="F801" s="261"/>
      <c r="G801" s="261"/>
      <c r="H801" s="261"/>
      <c r="I801" s="261"/>
      <c r="J801" s="261"/>
      <c r="K801" s="262"/>
      <c r="L801" s="261"/>
      <c r="M801" s="262"/>
      <c r="N801" s="262"/>
      <c r="O801" s="261"/>
      <c r="P801" s="262"/>
      <c r="Q801" s="262"/>
      <c r="R801" s="261"/>
      <c r="S801" s="263"/>
      <c r="T801" s="261"/>
      <c r="U801" s="269"/>
      <c r="V801" s="285"/>
      <c r="W801" s="286"/>
      <c r="X801" s="267"/>
      <c r="Y801" s="267"/>
      <c r="Z801" s="267"/>
      <c r="AA801" s="267"/>
      <c r="AB801" s="267"/>
      <c r="AC801" s="267"/>
      <c r="AD801" s="261"/>
      <c r="AE801" s="261"/>
      <c r="AF801" s="257"/>
      <c r="AG801" s="257"/>
    </row>
    <row r="802">
      <c r="A802" s="284"/>
      <c r="B802" s="251"/>
      <c r="C802" s="251"/>
      <c r="D802" s="261"/>
      <c r="E802" s="261"/>
      <c r="F802" s="261"/>
      <c r="G802" s="261"/>
      <c r="H802" s="261"/>
      <c r="I802" s="261"/>
      <c r="J802" s="261"/>
      <c r="K802" s="262"/>
      <c r="L802" s="261"/>
      <c r="M802" s="262"/>
      <c r="N802" s="262"/>
      <c r="O802" s="261"/>
      <c r="P802" s="262"/>
      <c r="Q802" s="262"/>
      <c r="R802" s="261"/>
      <c r="S802" s="263"/>
      <c r="T802" s="261"/>
      <c r="U802" s="269"/>
      <c r="V802" s="285"/>
      <c r="W802" s="286"/>
      <c r="X802" s="267"/>
      <c r="Y802" s="267"/>
      <c r="Z802" s="267"/>
      <c r="AA802" s="267"/>
      <c r="AB802" s="267"/>
      <c r="AC802" s="267"/>
      <c r="AD802" s="261"/>
      <c r="AE802" s="261"/>
      <c r="AF802" s="257"/>
      <c r="AG802" s="257"/>
    </row>
    <row r="803">
      <c r="A803" s="284"/>
      <c r="B803" s="251"/>
      <c r="C803" s="251"/>
      <c r="D803" s="261"/>
      <c r="E803" s="261"/>
      <c r="F803" s="261"/>
      <c r="G803" s="261"/>
      <c r="H803" s="261"/>
      <c r="I803" s="261"/>
      <c r="J803" s="261"/>
      <c r="K803" s="262"/>
      <c r="L803" s="261"/>
      <c r="M803" s="262"/>
      <c r="N803" s="262"/>
      <c r="O803" s="261"/>
      <c r="P803" s="262"/>
      <c r="Q803" s="262"/>
      <c r="R803" s="261"/>
      <c r="S803" s="263"/>
      <c r="T803" s="261"/>
      <c r="U803" s="269"/>
      <c r="V803" s="285"/>
      <c r="W803" s="286"/>
      <c r="X803" s="267"/>
      <c r="Y803" s="267"/>
      <c r="Z803" s="267"/>
      <c r="AA803" s="267"/>
      <c r="AB803" s="267"/>
      <c r="AC803" s="267"/>
      <c r="AD803" s="261"/>
      <c r="AE803" s="261"/>
      <c r="AF803" s="257"/>
      <c r="AG803" s="257"/>
    </row>
    <row r="804">
      <c r="A804" s="284"/>
      <c r="B804" s="251"/>
      <c r="C804" s="251"/>
      <c r="D804" s="261"/>
      <c r="E804" s="261"/>
      <c r="F804" s="261"/>
      <c r="G804" s="261"/>
      <c r="H804" s="261"/>
      <c r="I804" s="261"/>
      <c r="J804" s="261"/>
      <c r="K804" s="262"/>
      <c r="L804" s="261"/>
      <c r="M804" s="262"/>
      <c r="N804" s="262"/>
      <c r="O804" s="261"/>
      <c r="P804" s="262"/>
      <c r="Q804" s="262"/>
      <c r="R804" s="261"/>
      <c r="S804" s="263"/>
      <c r="T804" s="261"/>
      <c r="U804" s="269"/>
      <c r="V804" s="285"/>
      <c r="W804" s="286"/>
      <c r="X804" s="267"/>
      <c r="Y804" s="267"/>
      <c r="Z804" s="267"/>
      <c r="AA804" s="267"/>
      <c r="AB804" s="267"/>
      <c r="AC804" s="267"/>
      <c r="AD804" s="261"/>
      <c r="AE804" s="261"/>
      <c r="AF804" s="257"/>
      <c r="AG804" s="257"/>
    </row>
    <row r="805">
      <c r="A805" s="284"/>
      <c r="B805" s="251"/>
      <c r="C805" s="251"/>
      <c r="D805" s="261"/>
      <c r="E805" s="261"/>
      <c r="F805" s="261"/>
      <c r="G805" s="261"/>
      <c r="H805" s="261"/>
      <c r="I805" s="261"/>
      <c r="J805" s="261"/>
      <c r="K805" s="262"/>
      <c r="L805" s="261"/>
      <c r="M805" s="262"/>
      <c r="N805" s="262"/>
      <c r="O805" s="261"/>
      <c r="P805" s="262"/>
      <c r="Q805" s="262"/>
      <c r="R805" s="261"/>
      <c r="S805" s="263"/>
      <c r="T805" s="261"/>
      <c r="U805" s="269"/>
      <c r="V805" s="285"/>
      <c r="W805" s="286"/>
      <c r="X805" s="267"/>
      <c r="Y805" s="267"/>
      <c r="Z805" s="267"/>
      <c r="AA805" s="267"/>
      <c r="AB805" s="267"/>
      <c r="AC805" s="267"/>
      <c r="AD805" s="261"/>
      <c r="AE805" s="261"/>
      <c r="AF805" s="257"/>
      <c r="AG805" s="257"/>
    </row>
    <row r="806">
      <c r="A806" s="284"/>
      <c r="B806" s="251"/>
      <c r="C806" s="251"/>
      <c r="D806" s="261"/>
      <c r="E806" s="261"/>
      <c r="F806" s="261"/>
      <c r="G806" s="261"/>
      <c r="H806" s="261"/>
      <c r="I806" s="261"/>
      <c r="J806" s="261"/>
      <c r="K806" s="262"/>
      <c r="L806" s="261"/>
      <c r="M806" s="262"/>
      <c r="N806" s="262"/>
      <c r="O806" s="261"/>
      <c r="P806" s="262"/>
      <c r="Q806" s="262"/>
      <c r="R806" s="261"/>
      <c r="S806" s="263"/>
      <c r="T806" s="261"/>
      <c r="U806" s="269"/>
      <c r="V806" s="285"/>
      <c r="W806" s="286"/>
      <c r="X806" s="267"/>
      <c r="Y806" s="267"/>
      <c r="Z806" s="267"/>
      <c r="AA806" s="267"/>
      <c r="AB806" s="267"/>
      <c r="AC806" s="267"/>
      <c r="AD806" s="261"/>
      <c r="AE806" s="261"/>
      <c r="AF806" s="257"/>
      <c r="AG806" s="257"/>
    </row>
    <row r="807">
      <c r="A807" s="284"/>
      <c r="B807" s="251"/>
      <c r="C807" s="251"/>
      <c r="D807" s="261"/>
      <c r="E807" s="261"/>
      <c r="F807" s="261"/>
      <c r="G807" s="261"/>
      <c r="H807" s="261"/>
      <c r="I807" s="261"/>
      <c r="J807" s="261"/>
      <c r="K807" s="262"/>
      <c r="L807" s="261"/>
      <c r="M807" s="262"/>
      <c r="N807" s="262"/>
      <c r="O807" s="261"/>
      <c r="P807" s="262"/>
      <c r="Q807" s="262"/>
      <c r="R807" s="261"/>
      <c r="S807" s="263"/>
      <c r="T807" s="261"/>
      <c r="U807" s="269"/>
      <c r="V807" s="285"/>
      <c r="W807" s="286"/>
      <c r="X807" s="267"/>
      <c r="Y807" s="267"/>
      <c r="Z807" s="267"/>
      <c r="AA807" s="267"/>
      <c r="AB807" s="267"/>
      <c r="AC807" s="267"/>
      <c r="AD807" s="261"/>
      <c r="AE807" s="261"/>
      <c r="AF807" s="257"/>
      <c r="AG807" s="257"/>
    </row>
    <row r="808">
      <c r="A808" s="284"/>
      <c r="B808" s="251"/>
      <c r="C808" s="251"/>
      <c r="D808" s="261"/>
      <c r="E808" s="261"/>
      <c r="F808" s="261"/>
      <c r="G808" s="261"/>
      <c r="H808" s="261"/>
      <c r="I808" s="261"/>
      <c r="J808" s="261"/>
      <c r="K808" s="262"/>
      <c r="L808" s="261"/>
      <c r="M808" s="262"/>
      <c r="N808" s="262"/>
      <c r="O808" s="261"/>
      <c r="P808" s="262"/>
      <c r="Q808" s="262"/>
      <c r="R808" s="261"/>
      <c r="S808" s="263"/>
      <c r="T808" s="261"/>
      <c r="U808" s="269"/>
      <c r="V808" s="285"/>
      <c r="W808" s="286"/>
      <c r="X808" s="267"/>
      <c r="Y808" s="267"/>
      <c r="Z808" s="267"/>
      <c r="AA808" s="267"/>
      <c r="AB808" s="267"/>
      <c r="AC808" s="267"/>
      <c r="AD808" s="261"/>
      <c r="AE808" s="261"/>
      <c r="AF808" s="257"/>
      <c r="AG808" s="257"/>
    </row>
    <row r="809">
      <c r="A809" s="284"/>
      <c r="B809" s="251"/>
      <c r="C809" s="251"/>
      <c r="D809" s="261"/>
      <c r="E809" s="261"/>
      <c r="F809" s="261"/>
      <c r="G809" s="261"/>
      <c r="H809" s="261"/>
      <c r="I809" s="261"/>
      <c r="J809" s="261"/>
      <c r="K809" s="262"/>
      <c r="L809" s="261"/>
      <c r="M809" s="262"/>
      <c r="N809" s="262"/>
      <c r="O809" s="261"/>
      <c r="P809" s="262"/>
      <c r="Q809" s="262"/>
      <c r="R809" s="261"/>
      <c r="S809" s="263"/>
      <c r="T809" s="261"/>
      <c r="U809" s="269"/>
      <c r="V809" s="285"/>
      <c r="W809" s="286"/>
      <c r="X809" s="267"/>
      <c r="Y809" s="267"/>
      <c r="Z809" s="267"/>
      <c r="AA809" s="267"/>
      <c r="AB809" s="267"/>
      <c r="AC809" s="267"/>
      <c r="AD809" s="261"/>
      <c r="AE809" s="261"/>
      <c r="AF809" s="257"/>
      <c r="AG809" s="257"/>
    </row>
    <row r="810">
      <c r="A810" s="284"/>
      <c r="B810" s="251"/>
      <c r="C810" s="251"/>
      <c r="D810" s="261"/>
      <c r="E810" s="261"/>
      <c r="F810" s="261"/>
      <c r="G810" s="261"/>
      <c r="H810" s="261"/>
      <c r="I810" s="261"/>
      <c r="J810" s="261"/>
      <c r="K810" s="262"/>
      <c r="L810" s="261"/>
      <c r="M810" s="262"/>
      <c r="N810" s="262"/>
      <c r="O810" s="261"/>
      <c r="P810" s="262"/>
      <c r="Q810" s="262"/>
      <c r="R810" s="261"/>
      <c r="S810" s="263"/>
      <c r="T810" s="261"/>
      <c r="U810" s="269"/>
      <c r="V810" s="285"/>
      <c r="W810" s="286"/>
      <c r="X810" s="267"/>
      <c r="Y810" s="267"/>
      <c r="Z810" s="267"/>
      <c r="AA810" s="267"/>
      <c r="AB810" s="267"/>
      <c r="AC810" s="267"/>
      <c r="AD810" s="261"/>
      <c r="AE810" s="261"/>
      <c r="AF810" s="257"/>
      <c r="AG810" s="257"/>
    </row>
    <row r="811">
      <c r="A811" s="284"/>
      <c r="B811" s="251"/>
      <c r="C811" s="251"/>
      <c r="D811" s="261"/>
      <c r="E811" s="261"/>
      <c r="F811" s="261"/>
      <c r="G811" s="261"/>
      <c r="H811" s="261"/>
      <c r="I811" s="261"/>
      <c r="J811" s="261"/>
      <c r="K811" s="262"/>
      <c r="L811" s="261"/>
      <c r="M811" s="262"/>
      <c r="N811" s="262"/>
      <c r="O811" s="261"/>
      <c r="P811" s="262"/>
      <c r="Q811" s="262"/>
      <c r="R811" s="261"/>
      <c r="S811" s="263"/>
      <c r="T811" s="261"/>
      <c r="U811" s="269"/>
      <c r="V811" s="285"/>
      <c r="W811" s="286"/>
      <c r="X811" s="267"/>
      <c r="Y811" s="267"/>
      <c r="Z811" s="267"/>
      <c r="AA811" s="267"/>
      <c r="AB811" s="267"/>
      <c r="AC811" s="267"/>
      <c r="AD811" s="261"/>
      <c r="AE811" s="261"/>
      <c r="AF811" s="257"/>
      <c r="AG811" s="257"/>
    </row>
    <row r="812">
      <c r="A812" s="284"/>
      <c r="B812" s="251"/>
      <c r="C812" s="251"/>
      <c r="D812" s="261"/>
      <c r="E812" s="261"/>
      <c r="F812" s="261"/>
      <c r="G812" s="261"/>
      <c r="H812" s="261"/>
      <c r="I812" s="261"/>
      <c r="J812" s="261"/>
      <c r="K812" s="262"/>
      <c r="L812" s="261"/>
      <c r="M812" s="262"/>
      <c r="N812" s="262"/>
      <c r="O812" s="261"/>
      <c r="P812" s="262"/>
      <c r="Q812" s="262"/>
      <c r="R812" s="261"/>
      <c r="S812" s="263"/>
      <c r="T812" s="261"/>
      <c r="U812" s="269"/>
      <c r="V812" s="285"/>
      <c r="W812" s="286"/>
      <c r="X812" s="267"/>
      <c r="Y812" s="267"/>
      <c r="Z812" s="267"/>
      <c r="AA812" s="267"/>
      <c r="AB812" s="267"/>
      <c r="AC812" s="267"/>
      <c r="AD812" s="261"/>
      <c r="AE812" s="261"/>
      <c r="AF812" s="257"/>
      <c r="AG812" s="257"/>
    </row>
    <row r="813">
      <c r="A813" s="284"/>
      <c r="B813" s="251"/>
      <c r="C813" s="251"/>
      <c r="D813" s="261"/>
      <c r="E813" s="261"/>
      <c r="F813" s="261"/>
      <c r="G813" s="261"/>
      <c r="H813" s="261"/>
      <c r="I813" s="261"/>
      <c r="J813" s="261"/>
      <c r="K813" s="262"/>
      <c r="L813" s="261"/>
      <c r="M813" s="262"/>
      <c r="N813" s="262"/>
      <c r="O813" s="261"/>
      <c r="P813" s="262"/>
      <c r="Q813" s="262"/>
      <c r="R813" s="261"/>
      <c r="S813" s="263"/>
      <c r="T813" s="261"/>
      <c r="U813" s="269"/>
      <c r="V813" s="285"/>
      <c r="W813" s="286"/>
      <c r="X813" s="267"/>
      <c r="Y813" s="267"/>
      <c r="Z813" s="267"/>
      <c r="AA813" s="267"/>
      <c r="AB813" s="267"/>
      <c r="AC813" s="267"/>
      <c r="AD813" s="261"/>
      <c r="AE813" s="261"/>
      <c r="AF813" s="257"/>
      <c r="AG813" s="257"/>
    </row>
    <row r="814">
      <c r="A814" s="284"/>
      <c r="B814" s="251"/>
      <c r="C814" s="251"/>
      <c r="D814" s="261"/>
      <c r="E814" s="261"/>
      <c r="F814" s="261"/>
      <c r="G814" s="261"/>
      <c r="H814" s="261"/>
      <c r="I814" s="261"/>
      <c r="J814" s="261"/>
      <c r="K814" s="262"/>
      <c r="L814" s="261"/>
      <c r="M814" s="262"/>
      <c r="N814" s="262"/>
      <c r="O814" s="261"/>
      <c r="P814" s="262"/>
      <c r="Q814" s="262"/>
      <c r="R814" s="261"/>
      <c r="S814" s="263"/>
      <c r="T814" s="261"/>
      <c r="U814" s="269"/>
      <c r="V814" s="285"/>
      <c r="W814" s="286"/>
      <c r="X814" s="267"/>
      <c r="Y814" s="267"/>
      <c r="Z814" s="267"/>
      <c r="AA814" s="267"/>
      <c r="AB814" s="267"/>
      <c r="AC814" s="267"/>
      <c r="AD814" s="261"/>
      <c r="AE814" s="261"/>
      <c r="AF814" s="257"/>
      <c r="AG814" s="257"/>
    </row>
    <row r="815">
      <c r="A815" s="284"/>
      <c r="B815" s="251"/>
      <c r="C815" s="251"/>
      <c r="D815" s="261"/>
      <c r="E815" s="261"/>
      <c r="F815" s="261"/>
      <c r="G815" s="261"/>
      <c r="H815" s="261"/>
      <c r="I815" s="261"/>
      <c r="J815" s="261"/>
      <c r="K815" s="262"/>
      <c r="L815" s="261"/>
      <c r="M815" s="262"/>
      <c r="N815" s="262"/>
      <c r="O815" s="261"/>
      <c r="P815" s="262"/>
      <c r="Q815" s="262"/>
      <c r="R815" s="261"/>
      <c r="S815" s="263"/>
      <c r="T815" s="261"/>
      <c r="U815" s="269"/>
      <c r="V815" s="285"/>
      <c r="W815" s="286"/>
      <c r="X815" s="267"/>
      <c r="Y815" s="267"/>
      <c r="Z815" s="267"/>
      <c r="AA815" s="267"/>
      <c r="AB815" s="267"/>
      <c r="AC815" s="267"/>
      <c r="AD815" s="261"/>
      <c r="AE815" s="261"/>
      <c r="AF815" s="257"/>
      <c r="AG815" s="257"/>
    </row>
    <row r="816">
      <c r="A816" s="284"/>
      <c r="B816" s="251"/>
      <c r="C816" s="251"/>
      <c r="D816" s="261"/>
      <c r="E816" s="261"/>
      <c r="F816" s="261"/>
      <c r="G816" s="261"/>
      <c r="H816" s="261"/>
      <c r="I816" s="261"/>
      <c r="J816" s="261"/>
      <c r="K816" s="262"/>
      <c r="L816" s="261"/>
      <c r="M816" s="262"/>
      <c r="N816" s="262"/>
      <c r="O816" s="261"/>
      <c r="P816" s="262"/>
      <c r="Q816" s="262"/>
      <c r="R816" s="261"/>
      <c r="S816" s="263"/>
      <c r="T816" s="261"/>
      <c r="U816" s="269"/>
      <c r="V816" s="285"/>
      <c r="W816" s="286"/>
      <c r="X816" s="267"/>
      <c r="Y816" s="267"/>
      <c r="Z816" s="267"/>
      <c r="AA816" s="267"/>
      <c r="AB816" s="267"/>
      <c r="AC816" s="267"/>
      <c r="AD816" s="261"/>
      <c r="AE816" s="261"/>
      <c r="AF816" s="257"/>
      <c r="AG816" s="257"/>
    </row>
    <row r="817">
      <c r="A817" s="284"/>
      <c r="B817" s="251"/>
      <c r="C817" s="251"/>
      <c r="D817" s="261"/>
      <c r="E817" s="261"/>
      <c r="F817" s="261"/>
      <c r="G817" s="261"/>
      <c r="H817" s="261"/>
      <c r="I817" s="261"/>
      <c r="J817" s="261"/>
      <c r="K817" s="262"/>
      <c r="L817" s="261"/>
      <c r="M817" s="262"/>
      <c r="N817" s="262"/>
      <c r="O817" s="261"/>
      <c r="P817" s="262"/>
      <c r="Q817" s="262"/>
      <c r="R817" s="261"/>
      <c r="S817" s="263"/>
      <c r="T817" s="261"/>
      <c r="U817" s="269"/>
      <c r="V817" s="285"/>
      <c r="W817" s="286"/>
      <c r="X817" s="267"/>
      <c r="Y817" s="267"/>
      <c r="Z817" s="267"/>
      <c r="AA817" s="267"/>
      <c r="AB817" s="267"/>
      <c r="AC817" s="267"/>
      <c r="AD817" s="261"/>
      <c r="AE817" s="261"/>
      <c r="AF817" s="257"/>
      <c r="AG817" s="257"/>
    </row>
    <row r="818">
      <c r="A818" s="284"/>
      <c r="B818" s="251"/>
      <c r="C818" s="251"/>
      <c r="D818" s="261"/>
      <c r="E818" s="261"/>
      <c r="F818" s="261"/>
      <c r="G818" s="261"/>
      <c r="H818" s="261"/>
      <c r="I818" s="261"/>
      <c r="J818" s="261"/>
      <c r="K818" s="262"/>
      <c r="L818" s="261"/>
      <c r="M818" s="262"/>
      <c r="N818" s="262"/>
      <c r="O818" s="261"/>
      <c r="P818" s="262"/>
      <c r="Q818" s="262"/>
      <c r="R818" s="261"/>
      <c r="S818" s="263"/>
      <c r="T818" s="261"/>
      <c r="U818" s="269"/>
      <c r="V818" s="285"/>
      <c r="W818" s="286"/>
      <c r="X818" s="267"/>
      <c r="Y818" s="267"/>
      <c r="Z818" s="267"/>
      <c r="AA818" s="267"/>
      <c r="AB818" s="267"/>
      <c r="AC818" s="267"/>
      <c r="AD818" s="261"/>
      <c r="AE818" s="261"/>
      <c r="AF818" s="257"/>
      <c r="AG818" s="257"/>
    </row>
    <row r="819">
      <c r="A819" s="284"/>
      <c r="B819" s="251"/>
      <c r="C819" s="251"/>
      <c r="D819" s="261"/>
      <c r="E819" s="261"/>
      <c r="F819" s="261"/>
      <c r="G819" s="261"/>
      <c r="H819" s="261"/>
      <c r="I819" s="261"/>
      <c r="J819" s="261"/>
      <c r="K819" s="262"/>
      <c r="L819" s="261"/>
      <c r="M819" s="262"/>
      <c r="N819" s="262"/>
      <c r="O819" s="261"/>
      <c r="P819" s="262"/>
      <c r="Q819" s="262"/>
      <c r="R819" s="261"/>
      <c r="S819" s="263"/>
      <c r="T819" s="261"/>
      <c r="U819" s="269"/>
      <c r="V819" s="285"/>
      <c r="W819" s="286"/>
      <c r="X819" s="267"/>
      <c r="Y819" s="267"/>
      <c r="Z819" s="267"/>
      <c r="AA819" s="267"/>
      <c r="AB819" s="267"/>
      <c r="AC819" s="267"/>
      <c r="AD819" s="261"/>
      <c r="AE819" s="261"/>
      <c r="AF819" s="257"/>
      <c r="AG819" s="257"/>
    </row>
    <row r="820">
      <c r="A820" s="284"/>
      <c r="B820" s="251"/>
      <c r="C820" s="251"/>
      <c r="D820" s="261"/>
      <c r="E820" s="261"/>
      <c r="F820" s="261"/>
      <c r="G820" s="261"/>
      <c r="H820" s="261"/>
      <c r="I820" s="261"/>
      <c r="J820" s="261"/>
      <c r="K820" s="262"/>
      <c r="L820" s="261"/>
      <c r="M820" s="262"/>
      <c r="N820" s="262"/>
      <c r="O820" s="261"/>
      <c r="P820" s="262"/>
      <c r="Q820" s="262"/>
      <c r="R820" s="261"/>
      <c r="S820" s="263"/>
      <c r="T820" s="261"/>
      <c r="U820" s="269"/>
      <c r="V820" s="285"/>
      <c r="W820" s="286"/>
      <c r="X820" s="267"/>
      <c r="Y820" s="267"/>
      <c r="Z820" s="267"/>
      <c r="AA820" s="267"/>
      <c r="AB820" s="267"/>
      <c r="AC820" s="267"/>
      <c r="AD820" s="261"/>
      <c r="AE820" s="261"/>
      <c r="AF820" s="257"/>
      <c r="AG820" s="257"/>
    </row>
    <row r="821">
      <c r="A821" s="284"/>
      <c r="B821" s="251"/>
      <c r="C821" s="251"/>
      <c r="D821" s="261"/>
      <c r="E821" s="261"/>
      <c r="F821" s="261"/>
      <c r="G821" s="261"/>
      <c r="H821" s="261"/>
      <c r="I821" s="261"/>
      <c r="J821" s="261"/>
      <c r="K821" s="262"/>
      <c r="L821" s="261"/>
      <c r="M821" s="262"/>
      <c r="N821" s="262"/>
      <c r="O821" s="261"/>
      <c r="P821" s="262"/>
      <c r="Q821" s="262"/>
      <c r="R821" s="261"/>
      <c r="S821" s="263"/>
      <c r="T821" s="261"/>
      <c r="U821" s="269"/>
      <c r="V821" s="285"/>
      <c r="W821" s="286"/>
      <c r="X821" s="267"/>
      <c r="Y821" s="267"/>
      <c r="Z821" s="267"/>
      <c r="AA821" s="267"/>
      <c r="AB821" s="267"/>
      <c r="AC821" s="267"/>
      <c r="AD821" s="261"/>
      <c r="AE821" s="261"/>
      <c r="AF821" s="257"/>
      <c r="AG821" s="257"/>
    </row>
    <row r="822">
      <c r="A822" s="284"/>
      <c r="B822" s="251"/>
      <c r="C822" s="251"/>
      <c r="D822" s="261"/>
      <c r="E822" s="261"/>
      <c r="F822" s="261"/>
      <c r="G822" s="261"/>
      <c r="H822" s="261"/>
      <c r="I822" s="261"/>
      <c r="J822" s="261"/>
      <c r="K822" s="262"/>
      <c r="L822" s="261"/>
      <c r="M822" s="262"/>
      <c r="N822" s="262"/>
      <c r="O822" s="261"/>
      <c r="P822" s="262"/>
      <c r="Q822" s="262"/>
      <c r="R822" s="261"/>
      <c r="S822" s="263"/>
      <c r="T822" s="261"/>
      <c r="U822" s="269"/>
      <c r="V822" s="285"/>
      <c r="W822" s="286"/>
      <c r="X822" s="267"/>
      <c r="Y822" s="267"/>
      <c r="Z822" s="267"/>
      <c r="AA822" s="267"/>
      <c r="AB822" s="267"/>
      <c r="AC822" s="267"/>
      <c r="AD822" s="261"/>
      <c r="AE822" s="261"/>
      <c r="AF822" s="257"/>
      <c r="AG822" s="257"/>
    </row>
    <row r="823">
      <c r="A823" s="284"/>
      <c r="B823" s="251"/>
      <c r="C823" s="251"/>
      <c r="D823" s="261"/>
      <c r="E823" s="261"/>
      <c r="F823" s="261"/>
      <c r="G823" s="261"/>
      <c r="H823" s="261"/>
      <c r="I823" s="261"/>
      <c r="J823" s="261"/>
      <c r="K823" s="262"/>
      <c r="L823" s="261"/>
      <c r="M823" s="262"/>
      <c r="N823" s="262"/>
      <c r="O823" s="261"/>
      <c r="P823" s="262"/>
      <c r="Q823" s="262"/>
      <c r="R823" s="261"/>
      <c r="S823" s="263"/>
      <c r="T823" s="261"/>
      <c r="U823" s="269"/>
      <c r="V823" s="285"/>
      <c r="W823" s="286"/>
      <c r="X823" s="267"/>
      <c r="Y823" s="267"/>
      <c r="Z823" s="267"/>
      <c r="AA823" s="267"/>
      <c r="AB823" s="267"/>
      <c r="AC823" s="267"/>
      <c r="AD823" s="261"/>
      <c r="AE823" s="261"/>
      <c r="AF823" s="257"/>
      <c r="AG823" s="257"/>
    </row>
    <row r="824">
      <c r="A824" s="284"/>
      <c r="B824" s="251"/>
      <c r="C824" s="251"/>
      <c r="D824" s="261"/>
      <c r="E824" s="261"/>
      <c r="F824" s="261"/>
      <c r="G824" s="261"/>
      <c r="H824" s="261"/>
      <c r="I824" s="261"/>
      <c r="J824" s="261"/>
      <c r="K824" s="262"/>
      <c r="L824" s="261"/>
      <c r="M824" s="262"/>
      <c r="N824" s="262"/>
      <c r="O824" s="261"/>
      <c r="P824" s="262"/>
      <c r="Q824" s="262"/>
      <c r="R824" s="261"/>
      <c r="S824" s="263"/>
      <c r="T824" s="261"/>
      <c r="U824" s="269"/>
      <c r="V824" s="285"/>
      <c r="W824" s="286"/>
      <c r="X824" s="267"/>
      <c r="Y824" s="267"/>
      <c r="Z824" s="267"/>
      <c r="AA824" s="267"/>
      <c r="AB824" s="267"/>
      <c r="AC824" s="267"/>
      <c r="AD824" s="261"/>
      <c r="AE824" s="261"/>
      <c r="AF824" s="257"/>
      <c r="AG824" s="257"/>
    </row>
    <row r="825">
      <c r="A825" s="284"/>
      <c r="B825" s="251"/>
      <c r="C825" s="251"/>
      <c r="D825" s="261"/>
      <c r="E825" s="261"/>
      <c r="F825" s="261"/>
      <c r="G825" s="261"/>
      <c r="H825" s="261"/>
      <c r="I825" s="261"/>
      <c r="J825" s="261"/>
      <c r="K825" s="262"/>
      <c r="L825" s="261"/>
      <c r="M825" s="262"/>
      <c r="N825" s="262"/>
      <c r="O825" s="261"/>
      <c r="P825" s="262"/>
      <c r="Q825" s="262"/>
      <c r="R825" s="261"/>
      <c r="S825" s="263"/>
      <c r="T825" s="261"/>
      <c r="U825" s="269"/>
      <c r="V825" s="285"/>
      <c r="W825" s="286"/>
      <c r="X825" s="267"/>
      <c r="Y825" s="267"/>
      <c r="Z825" s="267"/>
      <c r="AA825" s="267"/>
      <c r="AB825" s="267"/>
      <c r="AC825" s="267"/>
      <c r="AD825" s="261"/>
      <c r="AE825" s="261"/>
      <c r="AF825" s="257"/>
      <c r="AG825" s="257"/>
    </row>
    <row r="826">
      <c r="A826" s="284"/>
      <c r="B826" s="251"/>
      <c r="C826" s="251"/>
      <c r="D826" s="261"/>
      <c r="E826" s="261"/>
      <c r="F826" s="261"/>
      <c r="G826" s="261"/>
      <c r="H826" s="261"/>
      <c r="I826" s="261"/>
      <c r="J826" s="261"/>
      <c r="K826" s="262"/>
      <c r="L826" s="261"/>
      <c r="M826" s="262"/>
      <c r="N826" s="262"/>
      <c r="O826" s="261"/>
      <c r="P826" s="262"/>
      <c r="Q826" s="262"/>
      <c r="R826" s="261"/>
      <c r="S826" s="263"/>
      <c r="T826" s="261"/>
      <c r="U826" s="269"/>
      <c r="V826" s="285"/>
      <c r="W826" s="286"/>
      <c r="X826" s="267"/>
      <c r="Y826" s="267"/>
      <c r="Z826" s="267"/>
      <c r="AA826" s="267"/>
      <c r="AB826" s="267"/>
      <c r="AC826" s="267"/>
      <c r="AD826" s="261"/>
      <c r="AE826" s="261"/>
      <c r="AF826" s="257"/>
      <c r="AG826" s="257"/>
    </row>
    <row r="827">
      <c r="A827" s="284"/>
      <c r="B827" s="251"/>
      <c r="C827" s="251"/>
      <c r="D827" s="261"/>
      <c r="E827" s="261"/>
      <c r="F827" s="261"/>
      <c r="G827" s="261"/>
      <c r="H827" s="261"/>
      <c r="I827" s="261"/>
      <c r="J827" s="261"/>
      <c r="K827" s="262"/>
      <c r="L827" s="261"/>
      <c r="M827" s="262"/>
      <c r="N827" s="262"/>
      <c r="O827" s="261"/>
      <c r="P827" s="262"/>
      <c r="Q827" s="262"/>
      <c r="R827" s="261"/>
      <c r="S827" s="263"/>
      <c r="T827" s="261"/>
      <c r="U827" s="269"/>
      <c r="V827" s="285"/>
      <c r="W827" s="286"/>
      <c r="X827" s="267"/>
      <c r="Y827" s="267"/>
      <c r="Z827" s="267"/>
      <c r="AA827" s="267"/>
      <c r="AB827" s="267"/>
      <c r="AC827" s="267"/>
      <c r="AD827" s="261"/>
      <c r="AE827" s="261"/>
      <c r="AF827" s="257"/>
      <c r="AG827" s="257"/>
    </row>
    <row r="828">
      <c r="A828" s="284"/>
      <c r="B828" s="251"/>
      <c r="C828" s="251"/>
      <c r="D828" s="261"/>
      <c r="E828" s="261"/>
      <c r="F828" s="261"/>
      <c r="G828" s="261"/>
      <c r="H828" s="261"/>
      <c r="I828" s="261"/>
      <c r="J828" s="261"/>
      <c r="K828" s="262"/>
      <c r="L828" s="261"/>
      <c r="M828" s="262"/>
      <c r="N828" s="262"/>
      <c r="O828" s="261"/>
      <c r="P828" s="262"/>
      <c r="Q828" s="262"/>
      <c r="R828" s="261"/>
      <c r="S828" s="263"/>
      <c r="T828" s="261"/>
      <c r="U828" s="269"/>
      <c r="V828" s="285"/>
      <c r="W828" s="286"/>
      <c r="X828" s="267"/>
      <c r="Y828" s="267"/>
      <c r="Z828" s="267"/>
      <c r="AA828" s="267"/>
      <c r="AB828" s="267"/>
      <c r="AC828" s="267"/>
      <c r="AD828" s="261"/>
      <c r="AE828" s="261"/>
      <c r="AF828" s="257"/>
      <c r="AG828" s="257"/>
    </row>
    <row r="829">
      <c r="A829" s="284"/>
      <c r="B829" s="251"/>
      <c r="C829" s="251"/>
      <c r="D829" s="261"/>
      <c r="E829" s="261"/>
      <c r="F829" s="261"/>
      <c r="G829" s="261"/>
      <c r="H829" s="261"/>
      <c r="I829" s="261"/>
      <c r="J829" s="261"/>
      <c r="K829" s="262"/>
      <c r="L829" s="261"/>
      <c r="M829" s="262"/>
      <c r="N829" s="262"/>
      <c r="O829" s="261"/>
      <c r="P829" s="262"/>
      <c r="Q829" s="262"/>
      <c r="R829" s="261"/>
      <c r="S829" s="263"/>
      <c r="T829" s="261"/>
      <c r="U829" s="269"/>
      <c r="V829" s="285"/>
      <c r="W829" s="286"/>
      <c r="X829" s="267"/>
      <c r="Y829" s="267"/>
      <c r="Z829" s="267"/>
      <c r="AA829" s="267"/>
      <c r="AB829" s="267"/>
      <c r="AC829" s="267"/>
      <c r="AD829" s="261"/>
      <c r="AE829" s="261"/>
      <c r="AF829" s="257"/>
      <c r="AG829" s="257"/>
    </row>
    <row r="830">
      <c r="A830" s="284"/>
      <c r="B830" s="251"/>
      <c r="C830" s="251"/>
      <c r="D830" s="261"/>
      <c r="E830" s="261"/>
      <c r="F830" s="261"/>
      <c r="G830" s="261"/>
      <c r="H830" s="261"/>
      <c r="I830" s="261"/>
      <c r="J830" s="261"/>
      <c r="K830" s="262"/>
      <c r="L830" s="261"/>
      <c r="M830" s="262"/>
      <c r="N830" s="262"/>
      <c r="O830" s="261"/>
      <c r="P830" s="262"/>
      <c r="Q830" s="262"/>
      <c r="R830" s="261"/>
      <c r="S830" s="263"/>
      <c r="T830" s="261"/>
      <c r="U830" s="269"/>
      <c r="V830" s="285"/>
      <c r="W830" s="286"/>
      <c r="X830" s="267"/>
      <c r="Y830" s="267"/>
      <c r="Z830" s="267"/>
      <c r="AA830" s="267"/>
      <c r="AB830" s="267"/>
      <c r="AC830" s="267"/>
      <c r="AD830" s="261"/>
      <c r="AE830" s="261"/>
      <c r="AF830" s="257"/>
      <c r="AG830" s="257"/>
    </row>
    <row r="831">
      <c r="A831" s="284"/>
      <c r="B831" s="251"/>
      <c r="C831" s="251"/>
      <c r="D831" s="261"/>
      <c r="E831" s="261"/>
      <c r="F831" s="261"/>
      <c r="G831" s="261"/>
      <c r="H831" s="261"/>
      <c r="I831" s="261"/>
      <c r="J831" s="261"/>
      <c r="K831" s="262"/>
      <c r="L831" s="261"/>
      <c r="M831" s="262"/>
      <c r="N831" s="262"/>
      <c r="O831" s="261"/>
      <c r="P831" s="262"/>
      <c r="Q831" s="262"/>
      <c r="R831" s="261"/>
      <c r="S831" s="263"/>
      <c r="T831" s="261"/>
      <c r="U831" s="269"/>
      <c r="V831" s="285"/>
      <c r="W831" s="286"/>
      <c r="X831" s="267"/>
      <c r="Y831" s="267"/>
      <c r="Z831" s="267"/>
      <c r="AA831" s="267"/>
      <c r="AB831" s="267"/>
      <c r="AC831" s="267"/>
      <c r="AD831" s="261"/>
      <c r="AE831" s="261"/>
      <c r="AF831" s="257"/>
      <c r="AG831" s="257"/>
    </row>
    <row r="832">
      <c r="A832" s="284"/>
      <c r="B832" s="251"/>
      <c r="C832" s="251"/>
      <c r="D832" s="261"/>
      <c r="E832" s="261"/>
      <c r="F832" s="261"/>
      <c r="G832" s="261"/>
      <c r="H832" s="261"/>
      <c r="I832" s="261"/>
      <c r="J832" s="261"/>
      <c r="K832" s="262"/>
      <c r="L832" s="261"/>
      <c r="M832" s="262"/>
      <c r="N832" s="262"/>
      <c r="O832" s="261"/>
      <c r="P832" s="262"/>
      <c r="Q832" s="262"/>
      <c r="R832" s="261"/>
      <c r="S832" s="263"/>
      <c r="T832" s="261"/>
      <c r="U832" s="269"/>
      <c r="V832" s="285"/>
      <c r="W832" s="286"/>
      <c r="X832" s="267"/>
      <c r="Y832" s="267"/>
      <c r="Z832" s="267"/>
      <c r="AA832" s="267"/>
      <c r="AB832" s="267"/>
      <c r="AC832" s="267"/>
      <c r="AD832" s="261"/>
      <c r="AE832" s="261"/>
      <c r="AF832" s="257"/>
      <c r="AG832" s="257"/>
    </row>
    <row r="833">
      <c r="A833" s="284"/>
      <c r="B833" s="251"/>
      <c r="C833" s="251"/>
      <c r="D833" s="261"/>
      <c r="E833" s="261"/>
      <c r="F833" s="261"/>
      <c r="G833" s="261"/>
      <c r="H833" s="261"/>
      <c r="I833" s="261"/>
      <c r="J833" s="261"/>
      <c r="K833" s="262"/>
      <c r="L833" s="261"/>
      <c r="M833" s="262"/>
      <c r="N833" s="262"/>
      <c r="O833" s="261"/>
      <c r="P833" s="262"/>
      <c r="Q833" s="262"/>
      <c r="R833" s="261"/>
      <c r="S833" s="263"/>
      <c r="T833" s="261"/>
      <c r="U833" s="269"/>
      <c r="V833" s="285"/>
      <c r="W833" s="286"/>
      <c r="X833" s="267"/>
      <c r="Y833" s="267"/>
      <c r="Z833" s="267"/>
      <c r="AA833" s="267"/>
      <c r="AB833" s="267"/>
      <c r="AC833" s="267"/>
      <c r="AD833" s="261"/>
      <c r="AE833" s="261"/>
      <c r="AF833" s="257"/>
      <c r="AG833" s="257"/>
    </row>
    <row r="834">
      <c r="A834" s="284"/>
      <c r="B834" s="251"/>
      <c r="C834" s="251"/>
      <c r="D834" s="261"/>
      <c r="E834" s="261"/>
      <c r="F834" s="261"/>
      <c r="G834" s="261"/>
      <c r="H834" s="261"/>
      <c r="I834" s="261"/>
      <c r="J834" s="261"/>
      <c r="K834" s="262"/>
      <c r="L834" s="261"/>
      <c r="M834" s="262"/>
      <c r="N834" s="262"/>
      <c r="O834" s="261"/>
      <c r="P834" s="262"/>
      <c r="Q834" s="262"/>
      <c r="R834" s="261"/>
      <c r="S834" s="263"/>
      <c r="T834" s="261"/>
      <c r="U834" s="269"/>
      <c r="V834" s="285"/>
      <c r="W834" s="286"/>
      <c r="X834" s="267"/>
      <c r="Y834" s="267"/>
      <c r="Z834" s="267"/>
      <c r="AA834" s="267"/>
      <c r="AB834" s="267"/>
      <c r="AC834" s="267"/>
      <c r="AD834" s="261"/>
      <c r="AE834" s="261"/>
      <c r="AF834" s="257"/>
      <c r="AG834" s="257"/>
    </row>
    <row r="835">
      <c r="A835" s="284"/>
      <c r="B835" s="251"/>
      <c r="C835" s="251"/>
      <c r="D835" s="261"/>
      <c r="E835" s="261"/>
      <c r="F835" s="261"/>
      <c r="G835" s="261"/>
      <c r="H835" s="261"/>
      <c r="I835" s="261"/>
      <c r="J835" s="261"/>
      <c r="K835" s="262"/>
      <c r="L835" s="261"/>
      <c r="M835" s="262"/>
      <c r="N835" s="262"/>
      <c r="O835" s="261"/>
      <c r="P835" s="262"/>
      <c r="Q835" s="262"/>
      <c r="R835" s="261"/>
      <c r="S835" s="263"/>
      <c r="T835" s="261"/>
      <c r="U835" s="269"/>
      <c r="V835" s="285"/>
      <c r="W835" s="286"/>
      <c r="X835" s="267"/>
      <c r="Y835" s="267"/>
      <c r="Z835" s="267"/>
      <c r="AA835" s="267"/>
      <c r="AB835" s="267"/>
      <c r="AC835" s="267"/>
      <c r="AD835" s="261"/>
      <c r="AE835" s="261"/>
      <c r="AF835" s="257"/>
      <c r="AG835" s="257"/>
    </row>
    <row r="836">
      <c r="A836" s="284"/>
      <c r="B836" s="251"/>
      <c r="C836" s="251"/>
      <c r="D836" s="261"/>
      <c r="E836" s="261"/>
      <c r="F836" s="261"/>
      <c r="G836" s="261"/>
      <c r="H836" s="261"/>
      <c r="I836" s="261"/>
      <c r="J836" s="261"/>
      <c r="K836" s="262"/>
      <c r="L836" s="261"/>
      <c r="M836" s="262"/>
      <c r="N836" s="262"/>
      <c r="O836" s="261"/>
      <c r="P836" s="262"/>
      <c r="Q836" s="262"/>
      <c r="R836" s="261"/>
      <c r="S836" s="263"/>
      <c r="T836" s="261"/>
      <c r="U836" s="269"/>
      <c r="V836" s="285"/>
      <c r="W836" s="286"/>
      <c r="X836" s="267"/>
      <c r="Y836" s="267"/>
      <c r="Z836" s="267"/>
      <c r="AA836" s="267"/>
      <c r="AB836" s="267"/>
      <c r="AC836" s="267"/>
      <c r="AD836" s="261"/>
      <c r="AE836" s="261"/>
      <c r="AF836" s="257"/>
      <c r="AG836" s="257"/>
    </row>
    <row r="837">
      <c r="A837" s="284"/>
      <c r="B837" s="251"/>
      <c r="C837" s="251"/>
      <c r="D837" s="261"/>
      <c r="E837" s="261"/>
      <c r="F837" s="261"/>
      <c r="G837" s="261"/>
      <c r="H837" s="261"/>
      <c r="I837" s="261"/>
      <c r="J837" s="261"/>
      <c r="K837" s="262"/>
      <c r="L837" s="261"/>
      <c r="M837" s="262"/>
      <c r="N837" s="262"/>
      <c r="O837" s="261"/>
      <c r="P837" s="262"/>
      <c r="Q837" s="262"/>
      <c r="R837" s="261"/>
      <c r="S837" s="263"/>
      <c r="T837" s="261"/>
      <c r="U837" s="269"/>
      <c r="V837" s="285"/>
      <c r="W837" s="286"/>
      <c r="X837" s="267"/>
      <c r="Y837" s="267"/>
      <c r="Z837" s="267"/>
      <c r="AA837" s="267"/>
      <c r="AB837" s="267"/>
      <c r="AC837" s="267"/>
      <c r="AD837" s="261"/>
      <c r="AE837" s="261"/>
      <c r="AF837" s="257"/>
      <c r="AG837" s="257"/>
    </row>
    <row r="838">
      <c r="A838" s="284"/>
      <c r="B838" s="251"/>
      <c r="C838" s="251"/>
      <c r="D838" s="261"/>
      <c r="E838" s="261"/>
      <c r="F838" s="261"/>
      <c r="G838" s="261"/>
      <c r="H838" s="261"/>
      <c r="I838" s="261"/>
      <c r="J838" s="261"/>
      <c r="K838" s="262"/>
      <c r="L838" s="261"/>
      <c r="M838" s="262"/>
      <c r="N838" s="262"/>
      <c r="O838" s="261"/>
      <c r="P838" s="262"/>
      <c r="Q838" s="262"/>
      <c r="R838" s="261"/>
      <c r="S838" s="263"/>
      <c r="T838" s="261"/>
      <c r="U838" s="269"/>
      <c r="V838" s="285"/>
      <c r="W838" s="286"/>
      <c r="X838" s="267"/>
      <c r="Y838" s="267"/>
      <c r="Z838" s="267"/>
      <c r="AA838" s="267"/>
      <c r="AB838" s="267"/>
      <c r="AC838" s="267"/>
      <c r="AD838" s="261"/>
      <c r="AE838" s="261"/>
      <c r="AF838" s="257"/>
      <c r="AG838" s="257"/>
    </row>
    <row r="839">
      <c r="A839" s="284"/>
      <c r="B839" s="251"/>
      <c r="C839" s="251"/>
      <c r="D839" s="261"/>
      <c r="E839" s="261"/>
      <c r="F839" s="261"/>
      <c r="G839" s="261"/>
      <c r="H839" s="261"/>
      <c r="I839" s="261"/>
      <c r="J839" s="261"/>
      <c r="K839" s="262"/>
      <c r="L839" s="261"/>
      <c r="M839" s="262"/>
      <c r="N839" s="262"/>
      <c r="O839" s="261"/>
      <c r="P839" s="262"/>
      <c r="Q839" s="262"/>
      <c r="R839" s="261"/>
      <c r="S839" s="263"/>
      <c r="T839" s="261"/>
      <c r="U839" s="269"/>
      <c r="V839" s="285"/>
      <c r="W839" s="286"/>
      <c r="X839" s="267"/>
      <c r="Y839" s="267"/>
      <c r="Z839" s="267"/>
      <c r="AA839" s="267"/>
      <c r="AB839" s="267"/>
      <c r="AC839" s="267"/>
      <c r="AD839" s="261"/>
      <c r="AE839" s="261"/>
      <c r="AF839" s="257"/>
      <c r="AG839" s="257"/>
    </row>
    <row r="840">
      <c r="A840" s="284"/>
      <c r="B840" s="251"/>
      <c r="C840" s="251"/>
      <c r="D840" s="261"/>
      <c r="E840" s="261"/>
      <c r="F840" s="261"/>
      <c r="G840" s="261"/>
      <c r="H840" s="261"/>
      <c r="I840" s="261"/>
      <c r="J840" s="261"/>
      <c r="K840" s="262"/>
      <c r="L840" s="261"/>
      <c r="M840" s="262"/>
      <c r="N840" s="262"/>
      <c r="O840" s="261"/>
      <c r="P840" s="262"/>
      <c r="Q840" s="262"/>
      <c r="R840" s="261"/>
      <c r="S840" s="263"/>
      <c r="T840" s="261"/>
      <c r="U840" s="269"/>
      <c r="V840" s="285"/>
      <c r="W840" s="286"/>
      <c r="X840" s="267"/>
      <c r="Y840" s="267"/>
      <c r="Z840" s="267"/>
      <c r="AA840" s="267"/>
      <c r="AB840" s="267"/>
      <c r="AC840" s="267"/>
      <c r="AD840" s="261"/>
      <c r="AE840" s="261"/>
      <c r="AF840" s="257"/>
      <c r="AG840" s="257"/>
    </row>
    <row r="841">
      <c r="A841" s="284"/>
      <c r="B841" s="251"/>
      <c r="C841" s="251"/>
      <c r="D841" s="261"/>
      <c r="E841" s="261"/>
      <c r="F841" s="261"/>
      <c r="G841" s="261"/>
      <c r="H841" s="261"/>
      <c r="I841" s="261"/>
      <c r="J841" s="261"/>
      <c r="K841" s="262"/>
      <c r="L841" s="261"/>
      <c r="M841" s="262"/>
      <c r="N841" s="262"/>
      <c r="O841" s="261"/>
      <c r="P841" s="262"/>
      <c r="Q841" s="262"/>
      <c r="R841" s="261"/>
      <c r="S841" s="263"/>
      <c r="T841" s="261"/>
      <c r="U841" s="269"/>
      <c r="V841" s="285"/>
      <c r="W841" s="286"/>
      <c r="X841" s="267"/>
      <c r="Y841" s="267"/>
      <c r="Z841" s="267"/>
      <c r="AA841" s="267"/>
      <c r="AB841" s="267"/>
      <c r="AC841" s="267"/>
      <c r="AD841" s="261"/>
      <c r="AE841" s="261"/>
      <c r="AF841" s="257"/>
      <c r="AG841" s="257"/>
    </row>
    <row r="842">
      <c r="A842" s="284"/>
      <c r="B842" s="251"/>
      <c r="C842" s="251"/>
      <c r="D842" s="261"/>
      <c r="E842" s="261"/>
      <c r="F842" s="261"/>
      <c r="G842" s="261"/>
      <c r="H842" s="261"/>
      <c r="I842" s="261"/>
      <c r="J842" s="261"/>
      <c r="K842" s="262"/>
      <c r="L842" s="261"/>
      <c r="M842" s="262"/>
      <c r="N842" s="262"/>
      <c r="O842" s="261"/>
      <c r="P842" s="262"/>
      <c r="Q842" s="262"/>
      <c r="R842" s="261"/>
      <c r="S842" s="263"/>
      <c r="T842" s="261"/>
      <c r="U842" s="269"/>
      <c r="V842" s="285"/>
      <c r="W842" s="286"/>
      <c r="X842" s="267"/>
      <c r="Y842" s="267"/>
      <c r="Z842" s="267"/>
      <c r="AA842" s="267"/>
      <c r="AB842" s="267"/>
      <c r="AC842" s="267"/>
      <c r="AD842" s="261"/>
      <c r="AE842" s="261"/>
      <c r="AF842" s="257"/>
      <c r="AG842" s="257"/>
    </row>
    <row r="843">
      <c r="A843" s="284"/>
      <c r="B843" s="251"/>
      <c r="C843" s="251"/>
      <c r="D843" s="261"/>
      <c r="E843" s="261"/>
      <c r="F843" s="261"/>
      <c r="G843" s="261"/>
      <c r="H843" s="261"/>
      <c r="I843" s="261"/>
      <c r="J843" s="261"/>
      <c r="K843" s="262"/>
      <c r="L843" s="261"/>
      <c r="M843" s="262"/>
      <c r="N843" s="262"/>
      <c r="O843" s="261"/>
      <c r="P843" s="262"/>
      <c r="Q843" s="262"/>
      <c r="R843" s="261"/>
      <c r="S843" s="263"/>
      <c r="T843" s="261"/>
      <c r="U843" s="269"/>
      <c r="V843" s="285"/>
      <c r="W843" s="286"/>
      <c r="X843" s="267"/>
      <c r="Y843" s="267"/>
      <c r="Z843" s="267"/>
      <c r="AA843" s="267"/>
      <c r="AB843" s="267"/>
      <c r="AC843" s="267"/>
      <c r="AD843" s="261"/>
      <c r="AE843" s="261"/>
      <c r="AF843" s="257"/>
      <c r="AG843" s="257"/>
    </row>
    <row r="844">
      <c r="A844" s="284"/>
      <c r="B844" s="251"/>
      <c r="C844" s="251"/>
      <c r="D844" s="261"/>
      <c r="E844" s="261"/>
      <c r="F844" s="261"/>
      <c r="G844" s="261"/>
      <c r="H844" s="261"/>
      <c r="I844" s="261"/>
      <c r="J844" s="261"/>
      <c r="K844" s="262"/>
      <c r="L844" s="261"/>
      <c r="M844" s="262"/>
      <c r="N844" s="262"/>
      <c r="O844" s="261"/>
      <c r="P844" s="262"/>
      <c r="Q844" s="262"/>
      <c r="R844" s="261"/>
      <c r="S844" s="263"/>
      <c r="T844" s="261"/>
      <c r="U844" s="269"/>
      <c r="V844" s="285"/>
      <c r="W844" s="286"/>
      <c r="X844" s="267"/>
      <c r="Y844" s="267"/>
      <c r="Z844" s="267"/>
      <c r="AA844" s="267"/>
      <c r="AB844" s="267"/>
      <c r="AC844" s="267"/>
      <c r="AD844" s="261"/>
      <c r="AE844" s="261"/>
      <c r="AF844" s="257"/>
      <c r="AG844" s="257"/>
    </row>
    <row r="845">
      <c r="A845" s="284"/>
      <c r="B845" s="251"/>
      <c r="C845" s="251"/>
      <c r="D845" s="261"/>
      <c r="E845" s="261"/>
      <c r="F845" s="261"/>
      <c r="G845" s="261"/>
      <c r="H845" s="261"/>
      <c r="I845" s="261"/>
      <c r="J845" s="261"/>
      <c r="K845" s="262"/>
      <c r="L845" s="261"/>
      <c r="M845" s="262"/>
      <c r="N845" s="262"/>
      <c r="O845" s="261"/>
      <c r="P845" s="262"/>
      <c r="Q845" s="262"/>
      <c r="R845" s="261"/>
      <c r="S845" s="263"/>
      <c r="T845" s="261"/>
      <c r="U845" s="269"/>
      <c r="V845" s="285"/>
      <c r="W845" s="286"/>
      <c r="X845" s="267"/>
      <c r="Y845" s="267"/>
      <c r="Z845" s="267"/>
      <c r="AA845" s="267"/>
      <c r="AB845" s="267"/>
      <c r="AC845" s="267"/>
      <c r="AD845" s="261"/>
      <c r="AE845" s="261"/>
      <c r="AF845" s="257"/>
      <c r="AG845" s="257"/>
    </row>
    <row r="846">
      <c r="A846" s="284"/>
      <c r="B846" s="251"/>
      <c r="C846" s="251"/>
      <c r="D846" s="261"/>
      <c r="E846" s="261"/>
      <c r="F846" s="261"/>
      <c r="G846" s="261"/>
      <c r="H846" s="261"/>
      <c r="I846" s="261"/>
      <c r="J846" s="261"/>
      <c r="K846" s="262"/>
      <c r="L846" s="261"/>
      <c r="M846" s="262"/>
      <c r="N846" s="262"/>
      <c r="O846" s="261"/>
      <c r="P846" s="262"/>
      <c r="Q846" s="262"/>
      <c r="R846" s="261"/>
      <c r="S846" s="263"/>
      <c r="T846" s="261"/>
      <c r="U846" s="269"/>
      <c r="V846" s="285"/>
      <c r="W846" s="286"/>
      <c r="X846" s="267"/>
      <c r="Y846" s="267"/>
      <c r="Z846" s="267"/>
      <c r="AA846" s="267"/>
      <c r="AB846" s="267"/>
      <c r="AC846" s="267"/>
      <c r="AD846" s="261"/>
      <c r="AE846" s="261"/>
      <c r="AF846" s="257"/>
      <c r="AG846" s="257"/>
    </row>
    <row r="847">
      <c r="A847" s="284"/>
      <c r="B847" s="251"/>
      <c r="C847" s="251"/>
      <c r="D847" s="261"/>
      <c r="E847" s="261"/>
      <c r="F847" s="261"/>
      <c r="G847" s="261"/>
      <c r="H847" s="261"/>
      <c r="I847" s="261"/>
      <c r="J847" s="261"/>
      <c r="K847" s="262"/>
      <c r="L847" s="261"/>
      <c r="M847" s="262"/>
      <c r="N847" s="262"/>
      <c r="O847" s="261"/>
      <c r="P847" s="262"/>
      <c r="Q847" s="262"/>
      <c r="R847" s="261"/>
      <c r="S847" s="263"/>
      <c r="T847" s="261"/>
      <c r="U847" s="269"/>
      <c r="V847" s="285"/>
      <c r="W847" s="286"/>
      <c r="X847" s="267"/>
      <c r="Y847" s="267"/>
      <c r="Z847" s="267"/>
      <c r="AA847" s="267"/>
      <c r="AB847" s="267"/>
      <c r="AC847" s="267"/>
      <c r="AD847" s="261"/>
      <c r="AE847" s="261"/>
      <c r="AF847" s="257"/>
      <c r="AG847" s="257"/>
    </row>
    <row r="848">
      <c r="A848" s="284"/>
      <c r="B848" s="251"/>
      <c r="C848" s="251"/>
      <c r="D848" s="261"/>
      <c r="E848" s="261"/>
      <c r="F848" s="261"/>
      <c r="G848" s="261"/>
      <c r="H848" s="261"/>
      <c r="I848" s="261"/>
      <c r="J848" s="261"/>
      <c r="K848" s="262"/>
      <c r="L848" s="261"/>
      <c r="M848" s="262"/>
      <c r="N848" s="262"/>
      <c r="O848" s="261"/>
      <c r="P848" s="262"/>
      <c r="Q848" s="262"/>
      <c r="R848" s="261"/>
      <c r="S848" s="263"/>
      <c r="T848" s="261"/>
      <c r="U848" s="269"/>
      <c r="V848" s="285"/>
      <c r="W848" s="286"/>
      <c r="X848" s="267"/>
      <c r="Y848" s="267"/>
      <c r="Z848" s="267"/>
      <c r="AA848" s="267"/>
      <c r="AB848" s="267"/>
      <c r="AC848" s="267"/>
      <c r="AD848" s="261"/>
      <c r="AE848" s="261"/>
      <c r="AF848" s="257"/>
      <c r="AG848" s="257"/>
    </row>
    <row r="849">
      <c r="A849" s="284"/>
      <c r="B849" s="251"/>
      <c r="C849" s="251"/>
      <c r="D849" s="261"/>
      <c r="E849" s="261"/>
      <c r="F849" s="261"/>
      <c r="G849" s="261"/>
      <c r="H849" s="261"/>
      <c r="I849" s="261"/>
      <c r="J849" s="261"/>
      <c r="K849" s="262"/>
      <c r="L849" s="261"/>
      <c r="M849" s="262"/>
      <c r="N849" s="262"/>
      <c r="O849" s="261"/>
      <c r="P849" s="262"/>
      <c r="Q849" s="262"/>
      <c r="R849" s="261"/>
      <c r="S849" s="263"/>
      <c r="T849" s="261"/>
      <c r="U849" s="269"/>
      <c r="V849" s="285"/>
      <c r="W849" s="286"/>
      <c r="X849" s="267"/>
      <c r="Y849" s="267"/>
      <c r="Z849" s="267"/>
      <c r="AA849" s="267"/>
      <c r="AB849" s="267"/>
      <c r="AC849" s="267"/>
      <c r="AD849" s="261"/>
      <c r="AE849" s="261"/>
      <c r="AF849" s="257"/>
      <c r="AG849" s="257"/>
    </row>
    <row r="850">
      <c r="A850" s="284"/>
      <c r="B850" s="251"/>
      <c r="C850" s="251"/>
      <c r="D850" s="261"/>
      <c r="E850" s="261"/>
      <c r="F850" s="261"/>
      <c r="G850" s="261"/>
      <c r="H850" s="261"/>
      <c r="I850" s="261"/>
      <c r="J850" s="261"/>
      <c r="K850" s="262"/>
      <c r="L850" s="261"/>
      <c r="M850" s="262"/>
      <c r="N850" s="262"/>
      <c r="O850" s="261"/>
      <c r="P850" s="262"/>
      <c r="Q850" s="262"/>
      <c r="R850" s="261"/>
      <c r="S850" s="263"/>
      <c r="T850" s="261"/>
      <c r="U850" s="269"/>
      <c r="V850" s="285"/>
      <c r="W850" s="286"/>
      <c r="X850" s="267"/>
      <c r="Y850" s="267"/>
      <c r="Z850" s="267"/>
      <c r="AA850" s="267"/>
      <c r="AB850" s="267"/>
      <c r="AC850" s="267"/>
      <c r="AD850" s="261"/>
      <c r="AE850" s="261"/>
      <c r="AF850" s="257"/>
      <c r="AG850" s="257"/>
    </row>
    <row r="851">
      <c r="A851" s="284"/>
      <c r="B851" s="251"/>
      <c r="C851" s="251"/>
      <c r="D851" s="261"/>
      <c r="E851" s="261"/>
      <c r="F851" s="261"/>
      <c r="G851" s="261"/>
      <c r="H851" s="261"/>
      <c r="I851" s="261"/>
      <c r="J851" s="261"/>
      <c r="K851" s="262"/>
      <c r="L851" s="261"/>
      <c r="M851" s="262"/>
      <c r="N851" s="262"/>
      <c r="O851" s="261"/>
      <c r="P851" s="262"/>
      <c r="Q851" s="262"/>
      <c r="R851" s="261"/>
      <c r="S851" s="263"/>
      <c r="T851" s="261"/>
      <c r="U851" s="269"/>
      <c r="V851" s="285"/>
      <c r="W851" s="286"/>
      <c r="X851" s="267"/>
      <c r="Y851" s="267"/>
      <c r="Z851" s="267"/>
      <c r="AA851" s="267"/>
      <c r="AB851" s="267"/>
      <c r="AC851" s="267"/>
      <c r="AD851" s="261"/>
      <c r="AE851" s="261"/>
      <c r="AF851" s="257"/>
      <c r="AG851" s="257"/>
    </row>
    <row r="852">
      <c r="A852" s="284"/>
      <c r="B852" s="251"/>
      <c r="C852" s="251"/>
      <c r="D852" s="261"/>
      <c r="E852" s="261"/>
      <c r="F852" s="261"/>
      <c r="G852" s="261"/>
      <c r="H852" s="261"/>
      <c r="I852" s="261"/>
      <c r="J852" s="261"/>
      <c r="K852" s="262"/>
      <c r="L852" s="261"/>
      <c r="M852" s="262"/>
      <c r="N852" s="262"/>
      <c r="O852" s="261"/>
      <c r="P852" s="262"/>
      <c r="Q852" s="262"/>
      <c r="R852" s="261"/>
      <c r="S852" s="263"/>
      <c r="T852" s="261"/>
      <c r="U852" s="269"/>
      <c r="V852" s="285"/>
      <c r="W852" s="286"/>
      <c r="X852" s="267"/>
      <c r="Y852" s="267"/>
      <c r="Z852" s="267"/>
      <c r="AA852" s="267"/>
      <c r="AB852" s="267"/>
      <c r="AC852" s="267"/>
      <c r="AD852" s="261"/>
      <c r="AE852" s="261"/>
      <c r="AF852" s="257"/>
      <c r="AG852" s="257"/>
    </row>
    <row r="853">
      <c r="A853" s="284"/>
      <c r="B853" s="251"/>
      <c r="C853" s="251"/>
      <c r="D853" s="261"/>
      <c r="E853" s="261"/>
      <c r="F853" s="261"/>
      <c r="G853" s="261"/>
      <c r="H853" s="261"/>
      <c r="I853" s="261"/>
      <c r="J853" s="261"/>
      <c r="K853" s="262"/>
      <c r="L853" s="261"/>
      <c r="M853" s="262"/>
      <c r="N853" s="262"/>
      <c r="O853" s="261"/>
      <c r="P853" s="262"/>
      <c r="Q853" s="262"/>
      <c r="R853" s="261"/>
      <c r="S853" s="263"/>
      <c r="T853" s="261"/>
      <c r="U853" s="269"/>
      <c r="V853" s="285"/>
      <c r="W853" s="286"/>
      <c r="X853" s="267"/>
      <c r="Y853" s="267"/>
      <c r="Z853" s="267"/>
      <c r="AA853" s="267"/>
      <c r="AB853" s="267"/>
      <c r="AC853" s="267"/>
      <c r="AD853" s="261"/>
      <c r="AE853" s="261"/>
      <c r="AF853" s="257"/>
      <c r="AG853" s="257"/>
    </row>
    <row r="854">
      <c r="A854" s="284"/>
      <c r="B854" s="251"/>
      <c r="C854" s="251"/>
      <c r="D854" s="261"/>
      <c r="E854" s="261"/>
      <c r="F854" s="261"/>
      <c r="G854" s="261"/>
      <c r="H854" s="261"/>
      <c r="I854" s="261"/>
      <c r="J854" s="261"/>
      <c r="K854" s="262"/>
      <c r="L854" s="261"/>
      <c r="M854" s="262"/>
      <c r="N854" s="262"/>
      <c r="O854" s="261"/>
      <c r="P854" s="262"/>
      <c r="Q854" s="262"/>
      <c r="R854" s="261"/>
      <c r="S854" s="263"/>
      <c r="T854" s="261"/>
      <c r="U854" s="269"/>
      <c r="V854" s="285"/>
      <c r="W854" s="286"/>
      <c r="X854" s="267"/>
      <c r="Y854" s="267"/>
      <c r="Z854" s="267"/>
      <c r="AA854" s="267"/>
      <c r="AB854" s="267"/>
      <c r="AC854" s="267"/>
      <c r="AD854" s="261"/>
      <c r="AE854" s="261"/>
      <c r="AF854" s="257"/>
      <c r="AG854" s="257"/>
    </row>
    <row r="855">
      <c r="A855" s="284"/>
      <c r="B855" s="251"/>
      <c r="C855" s="251"/>
      <c r="D855" s="261"/>
      <c r="E855" s="261"/>
      <c r="F855" s="261"/>
      <c r="G855" s="261"/>
      <c r="H855" s="261"/>
      <c r="I855" s="261"/>
      <c r="J855" s="261"/>
      <c r="K855" s="262"/>
      <c r="L855" s="261"/>
      <c r="M855" s="262"/>
      <c r="N855" s="262"/>
      <c r="O855" s="261"/>
      <c r="P855" s="262"/>
      <c r="Q855" s="262"/>
      <c r="R855" s="261"/>
      <c r="S855" s="263"/>
      <c r="T855" s="261"/>
      <c r="U855" s="269"/>
      <c r="V855" s="285"/>
      <c r="W855" s="286"/>
      <c r="X855" s="267"/>
      <c r="Y855" s="267"/>
      <c r="Z855" s="267"/>
      <c r="AA855" s="267"/>
      <c r="AB855" s="267"/>
      <c r="AC855" s="267"/>
      <c r="AD855" s="261"/>
      <c r="AE855" s="261"/>
      <c r="AF855" s="257"/>
      <c r="AG855" s="257"/>
    </row>
    <row r="856">
      <c r="A856" s="284"/>
      <c r="B856" s="251"/>
      <c r="C856" s="251"/>
      <c r="D856" s="261"/>
      <c r="E856" s="261"/>
      <c r="F856" s="261"/>
      <c r="G856" s="261"/>
      <c r="H856" s="261"/>
      <c r="I856" s="261"/>
      <c r="J856" s="261"/>
      <c r="K856" s="262"/>
      <c r="L856" s="261"/>
      <c r="M856" s="262"/>
      <c r="N856" s="262"/>
      <c r="O856" s="261"/>
      <c r="P856" s="262"/>
      <c r="Q856" s="262"/>
      <c r="R856" s="261"/>
      <c r="S856" s="263"/>
      <c r="T856" s="261"/>
      <c r="U856" s="269"/>
      <c r="V856" s="285"/>
      <c r="W856" s="286"/>
      <c r="X856" s="267"/>
      <c r="Y856" s="267"/>
      <c r="Z856" s="267"/>
      <c r="AA856" s="267"/>
      <c r="AB856" s="267"/>
      <c r="AC856" s="267"/>
      <c r="AD856" s="261"/>
      <c r="AE856" s="261"/>
      <c r="AF856" s="257"/>
      <c r="AG856" s="257"/>
    </row>
    <row r="857">
      <c r="A857" s="284"/>
      <c r="B857" s="251"/>
      <c r="C857" s="251"/>
      <c r="D857" s="261"/>
      <c r="E857" s="261"/>
      <c r="F857" s="261"/>
      <c r="G857" s="261"/>
      <c r="H857" s="261"/>
      <c r="I857" s="261"/>
      <c r="J857" s="261"/>
      <c r="K857" s="262"/>
      <c r="L857" s="261"/>
      <c r="M857" s="262"/>
      <c r="N857" s="262"/>
      <c r="O857" s="261"/>
      <c r="P857" s="262"/>
      <c r="Q857" s="262"/>
      <c r="R857" s="261"/>
      <c r="S857" s="263"/>
      <c r="T857" s="261"/>
      <c r="U857" s="269"/>
      <c r="V857" s="285"/>
      <c r="W857" s="286"/>
      <c r="X857" s="267"/>
      <c r="Y857" s="267"/>
      <c r="Z857" s="267"/>
      <c r="AA857" s="267"/>
      <c r="AB857" s="267"/>
      <c r="AC857" s="267"/>
      <c r="AD857" s="261"/>
      <c r="AE857" s="261"/>
      <c r="AF857" s="257"/>
      <c r="AG857" s="257"/>
    </row>
    <row r="858">
      <c r="A858" s="284"/>
      <c r="B858" s="251"/>
      <c r="C858" s="251"/>
      <c r="D858" s="261"/>
      <c r="E858" s="261"/>
      <c r="F858" s="261"/>
      <c r="G858" s="261"/>
      <c r="H858" s="261"/>
      <c r="I858" s="261"/>
      <c r="J858" s="261"/>
      <c r="K858" s="262"/>
      <c r="L858" s="261"/>
      <c r="M858" s="262"/>
      <c r="N858" s="262"/>
      <c r="O858" s="261"/>
      <c r="P858" s="262"/>
      <c r="Q858" s="262"/>
      <c r="R858" s="261"/>
      <c r="S858" s="263"/>
      <c r="T858" s="261"/>
      <c r="U858" s="269"/>
      <c r="V858" s="285"/>
      <c r="W858" s="286"/>
      <c r="X858" s="267"/>
      <c r="Y858" s="267"/>
      <c r="Z858" s="267"/>
      <c r="AA858" s="267"/>
      <c r="AB858" s="267"/>
      <c r="AC858" s="267"/>
      <c r="AD858" s="261"/>
      <c r="AE858" s="261"/>
      <c r="AF858" s="257"/>
      <c r="AG858" s="257"/>
    </row>
    <row r="859">
      <c r="A859" s="284"/>
      <c r="B859" s="251"/>
      <c r="C859" s="251"/>
      <c r="D859" s="261"/>
      <c r="E859" s="261"/>
      <c r="F859" s="261"/>
      <c r="G859" s="261"/>
      <c r="H859" s="261"/>
      <c r="I859" s="261"/>
      <c r="J859" s="261"/>
      <c r="K859" s="262"/>
      <c r="L859" s="261"/>
      <c r="M859" s="262"/>
      <c r="N859" s="262"/>
      <c r="O859" s="261"/>
      <c r="P859" s="262"/>
      <c r="Q859" s="262"/>
      <c r="R859" s="261"/>
      <c r="S859" s="263"/>
      <c r="T859" s="261"/>
      <c r="U859" s="269"/>
      <c r="V859" s="285"/>
      <c r="W859" s="286"/>
      <c r="X859" s="267"/>
      <c r="Y859" s="267"/>
      <c r="Z859" s="267"/>
      <c r="AA859" s="267"/>
      <c r="AB859" s="267"/>
      <c r="AC859" s="267"/>
      <c r="AD859" s="261"/>
      <c r="AE859" s="261"/>
      <c r="AF859" s="257"/>
      <c r="AG859" s="257"/>
    </row>
    <row r="860">
      <c r="A860" s="284"/>
      <c r="B860" s="251"/>
      <c r="C860" s="251"/>
      <c r="D860" s="261"/>
      <c r="E860" s="261"/>
      <c r="F860" s="261"/>
      <c r="G860" s="261"/>
      <c r="H860" s="261"/>
      <c r="I860" s="261"/>
      <c r="J860" s="261"/>
      <c r="K860" s="262"/>
      <c r="L860" s="261"/>
      <c r="M860" s="262"/>
      <c r="N860" s="262"/>
      <c r="O860" s="261"/>
      <c r="P860" s="262"/>
      <c r="Q860" s="262"/>
      <c r="R860" s="261"/>
      <c r="S860" s="263"/>
      <c r="T860" s="261"/>
      <c r="U860" s="269"/>
      <c r="V860" s="285"/>
      <c r="W860" s="286"/>
      <c r="X860" s="267"/>
      <c r="Y860" s="267"/>
      <c r="Z860" s="267"/>
      <c r="AA860" s="267"/>
      <c r="AB860" s="267"/>
      <c r="AC860" s="267"/>
      <c r="AD860" s="261"/>
      <c r="AE860" s="261"/>
      <c r="AF860" s="257"/>
      <c r="AG860" s="257"/>
    </row>
    <row r="861">
      <c r="A861" s="284"/>
      <c r="B861" s="251"/>
      <c r="C861" s="251"/>
      <c r="D861" s="261"/>
      <c r="E861" s="261"/>
      <c r="F861" s="261"/>
      <c r="G861" s="261"/>
      <c r="H861" s="261"/>
      <c r="I861" s="261"/>
      <c r="J861" s="261"/>
      <c r="K861" s="262"/>
      <c r="L861" s="261"/>
      <c r="M861" s="262"/>
      <c r="N861" s="262"/>
      <c r="O861" s="261"/>
      <c r="P861" s="262"/>
      <c r="Q861" s="262"/>
      <c r="R861" s="261"/>
      <c r="S861" s="263"/>
      <c r="T861" s="261"/>
      <c r="U861" s="269"/>
      <c r="V861" s="285"/>
      <c r="W861" s="286"/>
      <c r="X861" s="267"/>
      <c r="Y861" s="267"/>
      <c r="Z861" s="267"/>
      <c r="AA861" s="267"/>
      <c r="AB861" s="267"/>
      <c r="AC861" s="267"/>
      <c r="AD861" s="261"/>
      <c r="AE861" s="261"/>
      <c r="AF861" s="257"/>
      <c r="AG861" s="257"/>
    </row>
    <row r="862">
      <c r="A862" s="284"/>
      <c r="B862" s="251"/>
      <c r="C862" s="251"/>
      <c r="D862" s="261"/>
      <c r="E862" s="261"/>
      <c r="F862" s="261"/>
      <c r="G862" s="261"/>
      <c r="H862" s="261"/>
      <c r="I862" s="261"/>
      <c r="J862" s="261"/>
      <c r="K862" s="262"/>
      <c r="L862" s="261"/>
      <c r="M862" s="262"/>
      <c r="N862" s="262"/>
      <c r="O862" s="261"/>
      <c r="P862" s="262"/>
      <c r="Q862" s="262"/>
      <c r="R862" s="261"/>
      <c r="S862" s="263"/>
      <c r="T862" s="261"/>
      <c r="U862" s="269"/>
      <c r="V862" s="285"/>
      <c r="W862" s="286"/>
      <c r="X862" s="267"/>
      <c r="Y862" s="267"/>
      <c r="Z862" s="267"/>
      <c r="AA862" s="267"/>
      <c r="AB862" s="267"/>
      <c r="AC862" s="267"/>
      <c r="AD862" s="261"/>
      <c r="AE862" s="261"/>
      <c r="AF862" s="257"/>
      <c r="AG862" s="257"/>
    </row>
    <row r="863">
      <c r="A863" s="284"/>
      <c r="B863" s="251"/>
      <c r="C863" s="251"/>
      <c r="D863" s="261"/>
      <c r="E863" s="261"/>
      <c r="F863" s="261"/>
      <c r="G863" s="261"/>
      <c r="H863" s="261"/>
      <c r="I863" s="261"/>
      <c r="J863" s="261"/>
      <c r="K863" s="262"/>
      <c r="L863" s="261"/>
      <c r="M863" s="262"/>
      <c r="N863" s="262"/>
      <c r="O863" s="261"/>
      <c r="P863" s="262"/>
      <c r="Q863" s="262"/>
      <c r="R863" s="261"/>
      <c r="S863" s="263"/>
      <c r="T863" s="261"/>
      <c r="U863" s="269"/>
      <c r="V863" s="285"/>
      <c r="W863" s="286"/>
      <c r="X863" s="267"/>
      <c r="Y863" s="267"/>
      <c r="Z863" s="267"/>
      <c r="AA863" s="267"/>
      <c r="AB863" s="267"/>
      <c r="AC863" s="267"/>
      <c r="AD863" s="261"/>
      <c r="AE863" s="261"/>
      <c r="AF863" s="257"/>
      <c r="AG863" s="257"/>
    </row>
    <row r="864">
      <c r="A864" s="284"/>
      <c r="B864" s="251"/>
      <c r="C864" s="251"/>
      <c r="D864" s="261"/>
      <c r="E864" s="261"/>
      <c r="F864" s="261"/>
      <c r="G864" s="261"/>
      <c r="H864" s="261"/>
      <c r="I864" s="261"/>
      <c r="J864" s="261"/>
      <c r="K864" s="262"/>
      <c r="L864" s="261"/>
      <c r="M864" s="262"/>
      <c r="N864" s="262"/>
      <c r="O864" s="261"/>
      <c r="P864" s="262"/>
      <c r="Q864" s="262"/>
      <c r="R864" s="261"/>
      <c r="S864" s="263"/>
      <c r="T864" s="261"/>
      <c r="U864" s="269"/>
      <c r="V864" s="285"/>
      <c r="W864" s="286"/>
      <c r="X864" s="267"/>
      <c r="Y864" s="267"/>
      <c r="Z864" s="267"/>
      <c r="AA864" s="267"/>
      <c r="AB864" s="267"/>
      <c r="AC864" s="267"/>
      <c r="AD864" s="261"/>
      <c r="AE864" s="261"/>
      <c r="AF864" s="257"/>
      <c r="AG864" s="257"/>
    </row>
    <row r="865">
      <c r="A865" s="284"/>
      <c r="B865" s="251"/>
      <c r="C865" s="251"/>
      <c r="D865" s="261"/>
      <c r="E865" s="261"/>
      <c r="F865" s="261"/>
      <c r="G865" s="261"/>
      <c r="H865" s="261"/>
      <c r="I865" s="261"/>
      <c r="J865" s="261"/>
      <c r="K865" s="262"/>
      <c r="L865" s="261"/>
      <c r="M865" s="262"/>
      <c r="N865" s="262"/>
      <c r="O865" s="261"/>
      <c r="P865" s="262"/>
      <c r="Q865" s="262"/>
      <c r="R865" s="261"/>
      <c r="S865" s="263"/>
      <c r="T865" s="261"/>
      <c r="U865" s="269"/>
      <c r="V865" s="285"/>
      <c r="W865" s="286"/>
      <c r="X865" s="267"/>
      <c r="Y865" s="267"/>
      <c r="Z865" s="267"/>
      <c r="AA865" s="267"/>
      <c r="AB865" s="267"/>
      <c r="AC865" s="267"/>
      <c r="AD865" s="261"/>
      <c r="AE865" s="261"/>
      <c r="AF865" s="257"/>
      <c r="AG865" s="257"/>
    </row>
    <row r="866">
      <c r="A866" s="284"/>
      <c r="B866" s="251"/>
      <c r="C866" s="251"/>
      <c r="D866" s="261"/>
      <c r="E866" s="261"/>
      <c r="F866" s="261"/>
      <c r="G866" s="261"/>
      <c r="H866" s="261"/>
      <c r="I866" s="261"/>
      <c r="J866" s="261"/>
      <c r="K866" s="262"/>
      <c r="L866" s="261"/>
      <c r="M866" s="262"/>
      <c r="N866" s="262"/>
      <c r="O866" s="261"/>
      <c r="P866" s="262"/>
      <c r="Q866" s="262"/>
      <c r="R866" s="261"/>
      <c r="S866" s="263"/>
      <c r="T866" s="261"/>
      <c r="U866" s="269"/>
      <c r="V866" s="285"/>
      <c r="W866" s="286"/>
      <c r="X866" s="267"/>
      <c r="Y866" s="267"/>
      <c r="Z866" s="267"/>
      <c r="AA866" s="267"/>
      <c r="AB866" s="267"/>
      <c r="AC866" s="267"/>
      <c r="AD866" s="261"/>
      <c r="AE866" s="261"/>
      <c r="AF866" s="257"/>
      <c r="AG866" s="257"/>
    </row>
    <row r="867">
      <c r="A867" s="284"/>
      <c r="B867" s="251"/>
      <c r="C867" s="251"/>
      <c r="D867" s="261"/>
      <c r="E867" s="261"/>
      <c r="F867" s="261"/>
      <c r="G867" s="261"/>
      <c r="H867" s="261"/>
      <c r="I867" s="261"/>
      <c r="J867" s="261"/>
      <c r="K867" s="262"/>
      <c r="L867" s="261"/>
      <c r="M867" s="262"/>
      <c r="N867" s="262"/>
      <c r="O867" s="261"/>
      <c r="P867" s="262"/>
      <c r="Q867" s="262"/>
      <c r="R867" s="261"/>
      <c r="S867" s="263"/>
      <c r="T867" s="261"/>
      <c r="U867" s="269"/>
      <c r="V867" s="285"/>
      <c r="W867" s="286"/>
      <c r="X867" s="267"/>
      <c r="Y867" s="267"/>
      <c r="Z867" s="267"/>
      <c r="AA867" s="267"/>
      <c r="AB867" s="267"/>
      <c r="AC867" s="267"/>
      <c r="AD867" s="261"/>
      <c r="AE867" s="261"/>
      <c r="AF867" s="257"/>
      <c r="AG867" s="257"/>
    </row>
    <row r="868">
      <c r="A868" s="284"/>
      <c r="B868" s="251"/>
      <c r="C868" s="251"/>
      <c r="D868" s="261"/>
      <c r="E868" s="261"/>
      <c r="F868" s="261"/>
      <c r="G868" s="261"/>
      <c r="H868" s="261"/>
      <c r="I868" s="261"/>
      <c r="J868" s="261"/>
      <c r="K868" s="262"/>
      <c r="L868" s="261"/>
      <c r="M868" s="262"/>
      <c r="N868" s="262"/>
      <c r="O868" s="261"/>
      <c r="P868" s="262"/>
      <c r="Q868" s="262"/>
      <c r="R868" s="261"/>
      <c r="S868" s="263"/>
      <c r="T868" s="261"/>
      <c r="U868" s="269"/>
      <c r="V868" s="285"/>
      <c r="W868" s="286"/>
      <c r="X868" s="267"/>
      <c r="Y868" s="267"/>
      <c r="Z868" s="267"/>
      <c r="AA868" s="267"/>
      <c r="AB868" s="267"/>
      <c r="AC868" s="267"/>
      <c r="AD868" s="261"/>
      <c r="AE868" s="261"/>
      <c r="AF868" s="257"/>
      <c r="AG868" s="257"/>
    </row>
    <row r="869">
      <c r="A869" s="284"/>
      <c r="B869" s="251"/>
      <c r="C869" s="251"/>
      <c r="D869" s="261"/>
      <c r="E869" s="261"/>
      <c r="F869" s="261"/>
      <c r="G869" s="261"/>
      <c r="H869" s="261"/>
      <c r="I869" s="261"/>
      <c r="J869" s="261"/>
      <c r="K869" s="262"/>
      <c r="L869" s="261"/>
      <c r="M869" s="262"/>
      <c r="N869" s="262"/>
      <c r="O869" s="261"/>
      <c r="P869" s="262"/>
      <c r="Q869" s="262"/>
      <c r="R869" s="261"/>
      <c r="S869" s="263"/>
      <c r="T869" s="261"/>
      <c r="U869" s="269"/>
      <c r="V869" s="285"/>
      <c r="W869" s="286"/>
      <c r="X869" s="267"/>
      <c r="Y869" s="267"/>
      <c r="Z869" s="267"/>
      <c r="AA869" s="267"/>
      <c r="AB869" s="267"/>
      <c r="AC869" s="267"/>
      <c r="AD869" s="261"/>
      <c r="AE869" s="261"/>
      <c r="AF869" s="257"/>
      <c r="AG869" s="257"/>
    </row>
    <row r="870">
      <c r="A870" s="284"/>
      <c r="B870" s="251"/>
      <c r="C870" s="251"/>
      <c r="D870" s="261"/>
      <c r="E870" s="261"/>
      <c r="F870" s="261"/>
      <c r="G870" s="261"/>
      <c r="H870" s="261"/>
      <c r="I870" s="261"/>
      <c r="J870" s="261"/>
      <c r="K870" s="262"/>
      <c r="L870" s="261"/>
      <c r="M870" s="262"/>
      <c r="N870" s="262"/>
      <c r="O870" s="261"/>
      <c r="P870" s="262"/>
      <c r="Q870" s="262"/>
      <c r="R870" s="261"/>
      <c r="S870" s="263"/>
      <c r="T870" s="261"/>
      <c r="U870" s="269"/>
      <c r="V870" s="285"/>
      <c r="W870" s="286"/>
      <c r="X870" s="267"/>
      <c r="Y870" s="267"/>
      <c r="Z870" s="267"/>
      <c r="AA870" s="267"/>
      <c r="AB870" s="267"/>
      <c r="AC870" s="267"/>
      <c r="AD870" s="261"/>
      <c r="AE870" s="261"/>
      <c r="AF870" s="257"/>
      <c r="AG870" s="257"/>
    </row>
    <row r="871">
      <c r="A871" s="284"/>
      <c r="B871" s="251"/>
      <c r="C871" s="251"/>
      <c r="D871" s="261"/>
      <c r="E871" s="261"/>
      <c r="F871" s="261"/>
      <c r="G871" s="261"/>
      <c r="H871" s="261"/>
      <c r="I871" s="261"/>
      <c r="J871" s="261"/>
      <c r="K871" s="262"/>
      <c r="L871" s="261"/>
      <c r="M871" s="262"/>
      <c r="N871" s="262"/>
      <c r="O871" s="261"/>
      <c r="P871" s="262"/>
      <c r="Q871" s="262"/>
      <c r="R871" s="261"/>
      <c r="S871" s="263"/>
      <c r="T871" s="261"/>
      <c r="U871" s="269"/>
      <c r="V871" s="285"/>
      <c r="W871" s="286"/>
      <c r="X871" s="267"/>
      <c r="Y871" s="267"/>
      <c r="Z871" s="267"/>
      <c r="AA871" s="267"/>
      <c r="AB871" s="267"/>
      <c r="AC871" s="267"/>
      <c r="AD871" s="261"/>
      <c r="AE871" s="261"/>
      <c r="AF871" s="257"/>
      <c r="AG871" s="257"/>
    </row>
    <row r="872">
      <c r="A872" s="284"/>
      <c r="B872" s="251"/>
      <c r="C872" s="251"/>
      <c r="D872" s="261"/>
      <c r="E872" s="261"/>
      <c r="F872" s="261"/>
      <c r="G872" s="261"/>
      <c r="H872" s="261"/>
      <c r="I872" s="261"/>
      <c r="J872" s="261"/>
      <c r="K872" s="262"/>
      <c r="L872" s="261"/>
      <c r="M872" s="262"/>
      <c r="N872" s="262"/>
      <c r="O872" s="261"/>
      <c r="P872" s="262"/>
      <c r="Q872" s="262"/>
      <c r="R872" s="261"/>
      <c r="S872" s="263"/>
      <c r="T872" s="261"/>
      <c r="U872" s="269"/>
      <c r="V872" s="285"/>
      <c r="W872" s="286"/>
      <c r="X872" s="267"/>
      <c r="Y872" s="267"/>
      <c r="Z872" s="267"/>
      <c r="AA872" s="267"/>
      <c r="AB872" s="267"/>
      <c r="AC872" s="267"/>
      <c r="AD872" s="261"/>
      <c r="AE872" s="261"/>
      <c r="AF872" s="257"/>
      <c r="AG872" s="257"/>
    </row>
    <row r="873">
      <c r="A873" s="284"/>
      <c r="B873" s="251"/>
      <c r="C873" s="251"/>
      <c r="D873" s="261"/>
      <c r="E873" s="261"/>
      <c r="F873" s="261"/>
      <c r="G873" s="261"/>
      <c r="H873" s="261"/>
      <c r="I873" s="261"/>
      <c r="J873" s="261"/>
      <c r="K873" s="262"/>
      <c r="L873" s="261"/>
      <c r="M873" s="262"/>
      <c r="N873" s="262"/>
      <c r="O873" s="261"/>
      <c r="P873" s="262"/>
      <c r="Q873" s="262"/>
      <c r="R873" s="261"/>
      <c r="S873" s="263"/>
      <c r="T873" s="261"/>
      <c r="U873" s="269"/>
      <c r="V873" s="285"/>
      <c r="W873" s="286"/>
      <c r="X873" s="267"/>
      <c r="Y873" s="267"/>
      <c r="Z873" s="267"/>
      <c r="AA873" s="267"/>
      <c r="AB873" s="267"/>
      <c r="AC873" s="267"/>
      <c r="AD873" s="261"/>
      <c r="AE873" s="261"/>
      <c r="AF873" s="257"/>
      <c r="AG873" s="257"/>
    </row>
    <row r="874">
      <c r="A874" s="284"/>
      <c r="B874" s="251"/>
      <c r="C874" s="251"/>
      <c r="D874" s="261"/>
      <c r="E874" s="261"/>
      <c r="F874" s="261"/>
      <c r="G874" s="261"/>
      <c r="H874" s="261"/>
      <c r="I874" s="261"/>
      <c r="J874" s="261"/>
      <c r="K874" s="262"/>
      <c r="L874" s="261"/>
      <c r="M874" s="262"/>
      <c r="N874" s="262"/>
      <c r="O874" s="261"/>
      <c r="P874" s="262"/>
      <c r="Q874" s="262"/>
      <c r="R874" s="261"/>
      <c r="S874" s="263"/>
      <c r="T874" s="261"/>
      <c r="U874" s="269"/>
      <c r="V874" s="285"/>
      <c r="W874" s="286"/>
      <c r="X874" s="267"/>
      <c r="Y874" s="267"/>
      <c r="Z874" s="267"/>
      <c r="AA874" s="267"/>
      <c r="AB874" s="267"/>
      <c r="AC874" s="267"/>
      <c r="AD874" s="261"/>
      <c r="AE874" s="261"/>
      <c r="AF874" s="257"/>
      <c r="AG874" s="257"/>
    </row>
    <row r="875">
      <c r="A875" s="284"/>
      <c r="B875" s="251"/>
      <c r="C875" s="251"/>
      <c r="D875" s="261"/>
      <c r="E875" s="261"/>
      <c r="F875" s="261"/>
      <c r="G875" s="261"/>
      <c r="H875" s="261"/>
      <c r="I875" s="261"/>
      <c r="J875" s="261"/>
      <c r="K875" s="262"/>
      <c r="L875" s="261"/>
      <c r="M875" s="262"/>
      <c r="N875" s="262"/>
      <c r="O875" s="261"/>
      <c r="P875" s="262"/>
      <c r="Q875" s="262"/>
      <c r="R875" s="261"/>
      <c r="S875" s="263"/>
      <c r="T875" s="261"/>
      <c r="U875" s="269"/>
      <c r="V875" s="285"/>
      <c r="W875" s="286"/>
      <c r="X875" s="267"/>
      <c r="Y875" s="267"/>
      <c r="Z875" s="267"/>
      <c r="AA875" s="267"/>
      <c r="AB875" s="267"/>
      <c r="AC875" s="267"/>
      <c r="AD875" s="261"/>
      <c r="AE875" s="261"/>
      <c r="AF875" s="257"/>
      <c r="AG875" s="257"/>
    </row>
    <row r="876">
      <c r="A876" s="284"/>
      <c r="B876" s="251"/>
      <c r="C876" s="251"/>
      <c r="D876" s="261"/>
      <c r="E876" s="261"/>
      <c r="F876" s="261"/>
      <c r="G876" s="261"/>
      <c r="H876" s="261"/>
      <c r="I876" s="261"/>
      <c r="J876" s="261"/>
      <c r="K876" s="262"/>
      <c r="L876" s="261"/>
      <c r="M876" s="262"/>
      <c r="N876" s="262"/>
      <c r="O876" s="261"/>
      <c r="P876" s="262"/>
      <c r="Q876" s="262"/>
      <c r="R876" s="261"/>
      <c r="S876" s="263"/>
      <c r="T876" s="261"/>
      <c r="U876" s="269"/>
      <c r="V876" s="285"/>
      <c r="W876" s="286"/>
      <c r="X876" s="267"/>
      <c r="Y876" s="267"/>
      <c r="Z876" s="267"/>
      <c r="AA876" s="267"/>
      <c r="AB876" s="267"/>
      <c r="AC876" s="267"/>
      <c r="AD876" s="261"/>
      <c r="AE876" s="261"/>
      <c r="AF876" s="257"/>
      <c r="AG876" s="257"/>
    </row>
    <row r="877">
      <c r="A877" s="284"/>
      <c r="B877" s="251"/>
      <c r="C877" s="251"/>
      <c r="D877" s="261"/>
      <c r="E877" s="261"/>
      <c r="F877" s="261"/>
      <c r="G877" s="261"/>
      <c r="H877" s="261"/>
      <c r="I877" s="261"/>
      <c r="J877" s="261"/>
      <c r="K877" s="262"/>
      <c r="L877" s="261"/>
      <c r="M877" s="262"/>
      <c r="N877" s="262"/>
      <c r="O877" s="261"/>
      <c r="P877" s="262"/>
      <c r="Q877" s="262"/>
      <c r="R877" s="261"/>
      <c r="S877" s="263"/>
      <c r="T877" s="261"/>
      <c r="U877" s="269"/>
      <c r="V877" s="285"/>
      <c r="W877" s="286"/>
      <c r="X877" s="267"/>
      <c r="Y877" s="267"/>
      <c r="Z877" s="267"/>
      <c r="AA877" s="267"/>
      <c r="AB877" s="267"/>
      <c r="AC877" s="267"/>
      <c r="AD877" s="261"/>
      <c r="AE877" s="261"/>
      <c r="AF877" s="257"/>
      <c r="AG877" s="257"/>
    </row>
    <row r="878">
      <c r="A878" s="284"/>
      <c r="B878" s="251"/>
      <c r="C878" s="251"/>
      <c r="D878" s="261"/>
      <c r="E878" s="261"/>
      <c r="F878" s="261"/>
      <c r="G878" s="261"/>
      <c r="H878" s="261"/>
      <c r="I878" s="261"/>
      <c r="J878" s="261"/>
      <c r="K878" s="262"/>
      <c r="L878" s="261"/>
      <c r="M878" s="262"/>
      <c r="N878" s="262"/>
      <c r="O878" s="261"/>
      <c r="P878" s="262"/>
      <c r="Q878" s="262"/>
      <c r="R878" s="261"/>
      <c r="S878" s="263"/>
      <c r="T878" s="261"/>
      <c r="U878" s="269"/>
      <c r="V878" s="285"/>
      <c r="W878" s="286"/>
      <c r="X878" s="267"/>
      <c r="Y878" s="267"/>
      <c r="Z878" s="267"/>
      <c r="AA878" s="267"/>
      <c r="AB878" s="267"/>
      <c r="AC878" s="267"/>
      <c r="AD878" s="261"/>
      <c r="AE878" s="261"/>
      <c r="AF878" s="257"/>
      <c r="AG878" s="257"/>
    </row>
    <row r="879">
      <c r="A879" s="284"/>
      <c r="B879" s="251"/>
      <c r="C879" s="251"/>
      <c r="D879" s="261"/>
      <c r="E879" s="261"/>
      <c r="F879" s="261"/>
      <c r="G879" s="261"/>
      <c r="H879" s="261"/>
      <c r="I879" s="261"/>
      <c r="J879" s="261"/>
      <c r="K879" s="262"/>
      <c r="L879" s="261"/>
      <c r="M879" s="262"/>
      <c r="N879" s="262"/>
      <c r="O879" s="261"/>
      <c r="P879" s="262"/>
      <c r="Q879" s="262"/>
      <c r="R879" s="261"/>
      <c r="S879" s="263"/>
      <c r="T879" s="261"/>
      <c r="U879" s="269"/>
      <c r="V879" s="285"/>
      <c r="W879" s="286"/>
      <c r="X879" s="267"/>
      <c r="Y879" s="267"/>
      <c r="Z879" s="267"/>
      <c r="AA879" s="267"/>
      <c r="AB879" s="267"/>
      <c r="AC879" s="267"/>
      <c r="AD879" s="261"/>
      <c r="AE879" s="261"/>
      <c r="AF879" s="257"/>
      <c r="AG879" s="257"/>
    </row>
    <row r="880">
      <c r="A880" s="284"/>
      <c r="B880" s="251"/>
      <c r="C880" s="251"/>
      <c r="D880" s="261"/>
      <c r="E880" s="261"/>
      <c r="F880" s="261"/>
      <c r="G880" s="261"/>
      <c r="H880" s="261"/>
      <c r="I880" s="261"/>
      <c r="J880" s="261"/>
      <c r="K880" s="262"/>
      <c r="L880" s="261"/>
      <c r="M880" s="262"/>
      <c r="N880" s="262"/>
      <c r="O880" s="261"/>
      <c r="P880" s="262"/>
      <c r="Q880" s="262"/>
      <c r="R880" s="261"/>
      <c r="S880" s="263"/>
      <c r="T880" s="261"/>
      <c r="U880" s="269"/>
      <c r="V880" s="285"/>
      <c r="W880" s="286"/>
      <c r="X880" s="267"/>
      <c r="Y880" s="267"/>
      <c r="Z880" s="267"/>
      <c r="AA880" s="267"/>
      <c r="AB880" s="267"/>
      <c r="AC880" s="267"/>
      <c r="AD880" s="261"/>
      <c r="AE880" s="261"/>
      <c r="AF880" s="257"/>
      <c r="AG880" s="257"/>
    </row>
    <row r="881">
      <c r="A881" s="284"/>
      <c r="B881" s="251"/>
      <c r="C881" s="251"/>
      <c r="D881" s="261"/>
      <c r="E881" s="261"/>
      <c r="F881" s="261"/>
      <c r="G881" s="261"/>
      <c r="H881" s="261"/>
      <c r="I881" s="261"/>
      <c r="J881" s="261"/>
      <c r="K881" s="262"/>
      <c r="L881" s="261"/>
      <c r="M881" s="262"/>
      <c r="N881" s="262"/>
      <c r="O881" s="261"/>
      <c r="P881" s="262"/>
      <c r="Q881" s="262"/>
      <c r="R881" s="261"/>
      <c r="S881" s="263"/>
      <c r="T881" s="261"/>
      <c r="U881" s="269"/>
      <c r="V881" s="285"/>
      <c r="W881" s="286"/>
      <c r="X881" s="267"/>
      <c r="Y881" s="267"/>
      <c r="Z881" s="267"/>
      <c r="AA881" s="267"/>
      <c r="AB881" s="267"/>
      <c r="AC881" s="267"/>
      <c r="AD881" s="261"/>
      <c r="AE881" s="261"/>
      <c r="AF881" s="257"/>
      <c r="AG881" s="257"/>
    </row>
    <row r="882">
      <c r="A882" s="284"/>
      <c r="B882" s="251"/>
      <c r="C882" s="251"/>
      <c r="D882" s="261"/>
      <c r="E882" s="261"/>
      <c r="F882" s="261"/>
      <c r="G882" s="261"/>
      <c r="H882" s="261"/>
      <c r="I882" s="261"/>
      <c r="J882" s="261"/>
      <c r="K882" s="262"/>
      <c r="L882" s="261"/>
      <c r="M882" s="262"/>
      <c r="N882" s="262"/>
      <c r="O882" s="261"/>
      <c r="P882" s="262"/>
      <c r="Q882" s="262"/>
      <c r="R882" s="261"/>
      <c r="S882" s="263"/>
      <c r="T882" s="261"/>
      <c r="U882" s="269"/>
      <c r="V882" s="285"/>
      <c r="W882" s="286"/>
      <c r="X882" s="267"/>
      <c r="Y882" s="267"/>
      <c r="Z882" s="267"/>
      <c r="AA882" s="267"/>
      <c r="AB882" s="267"/>
      <c r="AC882" s="267"/>
      <c r="AD882" s="261"/>
      <c r="AE882" s="261"/>
      <c r="AF882" s="257"/>
      <c r="AG882" s="257"/>
    </row>
    <row r="883">
      <c r="A883" s="284"/>
      <c r="B883" s="251"/>
      <c r="C883" s="251"/>
      <c r="D883" s="261"/>
      <c r="E883" s="261"/>
      <c r="F883" s="261"/>
      <c r="G883" s="261"/>
      <c r="H883" s="261"/>
      <c r="I883" s="261"/>
      <c r="J883" s="261"/>
      <c r="K883" s="262"/>
      <c r="L883" s="261"/>
      <c r="M883" s="262"/>
      <c r="N883" s="262"/>
      <c r="O883" s="261"/>
      <c r="P883" s="262"/>
      <c r="Q883" s="262"/>
      <c r="R883" s="261"/>
      <c r="S883" s="263"/>
      <c r="T883" s="261"/>
      <c r="U883" s="269"/>
      <c r="V883" s="285"/>
      <c r="W883" s="286"/>
      <c r="X883" s="267"/>
      <c r="Y883" s="267"/>
      <c r="Z883" s="267"/>
      <c r="AA883" s="267"/>
      <c r="AB883" s="267"/>
      <c r="AC883" s="267"/>
      <c r="AD883" s="261"/>
      <c r="AE883" s="261"/>
      <c r="AF883" s="257"/>
      <c r="AG883" s="257"/>
    </row>
    <row r="884">
      <c r="A884" s="284"/>
      <c r="B884" s="251"/>
      <c r="C884" s="251"/>
      <c r="D884" s="261"/>
      <c r="E884" s="261"/>
      <c r="F884" s="261"/>
      <c r="G884" s="261"/>
      <c r="H884" s="261"/>
      <c r="I884" s="261"/>
      <c r="J884" s="261"/>
      <c r="K884" s="262"/>
      <c r="L884" s="261"/>
      <c r="M884" s="262"/>
      <c r="N884" s="262"/>
      <c r="O884" s="261"/>
      <c r="P884" s="262"/>
      <c r="Q884" s="262"/>
      <c r="R884" s="261"/>
      <c r="S884" s="263"/>
      <c r="T884" s="261"/>
      <c r="U884" s="269"/>
      <c r="V884" s="285"/>
      <c r="W884" s="286"/>
      <c r="X884" s="267"/>
      <c r="Y884" s="267"/>
      <c r="Z884" s="267"/>
      <c r="AA884" s="267"/>
      <c r="AB884" s="267"/>
      <c r="AC884" s="267"/>
      <c r="AD884" s="261"/>
      <c r="AE884" s="261"/>
      <c r="AF884" s="257"/>
      <c r="AG884" s="257"/>
    </row>
    <row r="885">
      <c r="A885" s="284"/>
      <c r="B885" s="251"/>
      <c r="C885" s="251"/>
      <c r="D885" s="261"/>
      <c r="E885" s="261"/>
      <c r="F885" s="261"/>
      <c r="G885" s="261"/>
      <c r="H885" s="261"/>
      <c r="I885" s="261"/>
      <c r="J885" s="261"/>
      <c r="K885" s="262"/>
      <c r="L885" s="261"/>
      <c r="M885" s="262"/>
      <c r="N885" s="262"/>
      <c r="O885" s="261"/>
      <c r="P885" s="262"/>
      <c r="Q885" s="262"/>
      <c r="R885" s="261"/>
      <c r="S885" s="263"/>
      <c r="T885" s="261"/>
      <c r="U885" s="269"/>
      <c r="V885" s="285"/>
      <c r="W885" s="286"/>
      <c r="X885" s="267"/>
      <c r="Y885" s="267"/>
      <c r="Z885" s="267"/>
      <c r="AA885" s="267"/>
      <c r="AB885" s="267"/>
      <c r="AC885" s="267"/>
      <c r="AD885" s="261"/>
      <c r="AE885" s="261"/>
      <c r="AF885" s="257"/>
      <c r="AG885" s="257"/>
    </row>
    <row r="886">
      <c r="A886" s="284"/>
      <c r="B886" s="251"/>
      <c r="C886" s="251"/>
      <c r="D886" s="261"/>
      <c r="E886" s="261"/>
      <c r="F886" s="261"/>
      <c r="G886" s="261"/>
      <c r="H886" s="261"/>
      <c r="I886" s="261"/>
      <c r="J886" s="261"/>
      <c r="K886" s="262"/>
      <c r="L886" s="261"/>
      <c r="M886" s="262"/>
      <c r="N886" s="262"/>
      <c r="O886" s="261"/>
      <c r="P886" s="262"/>
      <c r="Q886" s="262"/>
      <c r="R886" s="261"/>
      <c r="S886" s="263"/>
      <c r="T886" s="261"/>
      <c r="U886" s="269"/>
      <c r="V886" s="285"/>
      <c r="W886" s="286"/>
      <c r="X886" s="267"/>
      <c r="Y886" s="267"/>
      <c r="Z886" s="267"/>
      <c r="AA886" s="267"/>
      <c r="AB886" s="267"/>
      <c r="AC886" s="267"/>
      <c r="AD886" s="261"/>
      <c r="AE886" s="261"/>
      <c r="AF886" s="257"/>
      <c r="AG886" s="257"/>
    </row>
    <row r="887">
      <c r="A887" s="284"/>
      <c r="B887" s="251"/>
      <c r="C887" s="251"/>
      <c r="D887" s="261"/>
      <c r="E887" s="261"/>
      <c r="F887" s="261"/>
      <c r="G887" s="261"/>
      <c r="H887" s="261"/>
      <c r="I887" s="261"/>
      <c r="J887" s="261"/>
      <c r="K887" s="262"/>
      <c r="L887" s="261"/>
      <c r="M887" s="262"/>
      <c r="N887" s="262"/>
      <c r="O887" s="261"/>
      <c r="P887" s="262"/>
      <c r="Q887" s="262"/>
      <c r="R887" s="261"/>
      <c r="S887" s="263"/>
      <c r="T887" s="261"/>
      <c r="U887" s="269"/>
      <c r="V887" s="285"/>
      <c r="W887" s="286"/>
      <c r="X887" s="267"/>
      <c r="Y887" s="267"/>
      <c r="Z887" s="267"/>
      <c r="AA887" s="267"/>
      <c r="AB887" s="267"/>
      <c r="AC887" s="267"/>
      <c r="AD887" s="261"/>
      <c r="AE887" s="261"/>
      <c r="AF887" s="257"/>
      <c r="AG887" s="257"/>
    </row>
    <row r="888">
      <c r="A888" s="284"/>
      <c r="B888" s="251"/>
      <c r="C888" s="251"/>
      <c r="D888" s="261"/>
      <c r="E888" s="261"/>
      <c r="F888" s="261"/>
      <c r="G888" s="261"/>
      <c r="H888" s="261"/>
      <c r="I888" s="261"/>
      <c r="J888" s="261"/>
      <c r="K888" s="262"/>
      <c r="L888" s="261"/>
      <c r="M888" s="262"/>
      <c r="N888" s="262"/>
      <c r="O888" s="261"/>
      <c r="P888" s="262"/>
      <c r="Q888" s="262"/>
      <c r="R888" s="261"/>
      <c r="S888" s="263"/>
      <c r="T888" s="261"/>
      <c r="U888" s="269"/>
      <c r="V888" s="285"/>
      <c r="W888" s="286"/>
      <c r="X888" s="267"/>
      <c r="Y888" s="267"/>
      <c r="Z888" s="267"/>
      <c r="AA888" s="267"/>
      <c r="AB888" s="267"/>
      <c r="AC888" s="267"/>
      <c r="AD888" s="261"/>
      <c r="AE888" s="261"/>
      <c r="AF888" s="257"/>
      <c r="AG888" s="257"/>
    </row>
    <row r="889">
      <c r="A889" s="284"/>
      <c r="B889" s="251"/>
      <c r="C889" s="251"/>
      <c r="D889" s="261"/>
      <c r="E889" s="261"/>
      <c r="F889" s="261"/>
      <c r="G889" s="261"/>
      <c r="H889" s="261"/>
      <c r="I889" s="261"/>
      <c r="J889" s="261"/>
      <c r="K889" s="262"/>
      <c r="L889" s="261"/>
      <c r="M889" s="262"/>
      <c r="N889" s="262"/>
      <c r="O889" s="261"/>
      <c r="P889" s="262"/>
      <c r="Q889" s="262"/>
      <c r="R889" s="261"/>
      <c r="S889" s="263"/>
      <c r="T889" s="261"/>
      <c r="U889" s="269"/>
      <c r="V889" s="285"/>
      <c r="W889" s="286"/>
      <c r="X889" s="267"/>
      <c r="Y889" s="267"/>
      <c r="Z889" s="267"/>
      <c r="AA889" s="267"/>
      <c r="AB889" s="267"/>
      <c r="AC889" s="267"/>
      <c r="AD889" s="261"/>
      <c r="AE889" s="261"/>
      <c r="AF889" s="257"/>
      <c r="AG889" s="257"/>
    </row>
    <row r="890">
      <c r="A890" s="284"/>
      <c r="B890" s="251"/>
      <c r="C890" s="251"/>
      <c r="D890" s="261"/>
      <c r="E890" s="261"/>
      <c r="F890" s="261"/>
      <c r="G890" s="261"/>
      <c r="H890" s="261"/>
      <c r="I890" s="261"/>
      <c r="J890" s="261"/>
      <c r="K890" s="262"/>
      <c r="L890" s="261"/>
      <c r="M890" s="262"/>
      <c r="N890" s="262"/>
      <c r="O890" s="261"/>
      <c r="P890" s="262"/>
      <c r="Q890" s="262"/>
      <c r="R890" s="261"/>
      <c r="S890" s="263"/>
      <c r="T890" s="261"/>
      <c r="U890" s="269"/>
      <c r="V890" s="285"/>
      <c r="W890" s="286"/>
      <c r="X890" s="267"/>
      <c r="Y890" s="267"/>
      <c r="Z890" s="267"/>
      <c r="AA890" s="267"/>
      <c r="AB890" s="267"/>
      <c r="AC890" s="267"/>
      <c r="AD890" s="261"/>
      <c r="AE890" s="261"/>
      <c r="AF890" s="257"/>
      <c r="AG890" s="257"/>
    </row>
    <row r="891">
      <c r="A891" s="284"/>
      <c r="B891" s="251"/>
      <c r="C891" s="251"/>
      <c r="D891" s="261"/>
      <c r="E891" s="261"/>
      <c r="F891" s="261"/>
      <c r="G891" s="261"/>
      <c r="H891" s="261"/>
      <c r="I891" s="261"/>
      <c r="J891" s="261"/>
      <c r="K891" s="262"/>
      <c r="L891" s="261"/>
      <c r="M891" s="262"/>
      <c r="N891" s="262"/>
      <c r="O891" s="261"/>
      <c r="P891" s="262"/>
      <c r="Q891" s="262"/>
      <c r="R891" s="261"/>
      <c r="S891" s="263"/>
      <c r="T891" s="261"/>
      <c r="U891" s="269"/>
      <c r="V891" s="285"/>
      <c r="W891" s="286"/>
      <c r="X891" s="267"/>
      <c r="Y891" s="267"/>
      <c r="Z891" s="267"/>
      <c r="AA891" s="267"/>
      <c r="AB891" s="267"/>
      <c r="AC891" s="267"/>
      <c r="AD891" s="261"/>
      <c r="AE891" s="261"/>
      <c r="AF891" s="257"/>
      <c r="AG891" s="257"/>
    </row>
    <row r="892">
      <c r="A892" s="284"/>
      <c r="B892" s="251"/>
      <c r="C892" s="251"/>
      <c r="D892" s="261"/>
      <c r="E892" s="261"/>
      <c r="F892" s="261"/>
      <c r="G892" s="261"/>
      <c r="H892" s="261"/>
      <c r="I892" s="261"/>
      <c r="J892" s="261"/>
      <c r="K892" s="262"/>
      <c r="L892" s="261"/>
      <c r="M892" s="262"/>
      <c r="N892" s="262"/>
      <c r="O892" s="261"/>
      <c r="P892" s="262"/>
      <c r="Q892" s="262"/>
      <c r="R892" s="261"/>
      <c r="S892" s="263"/>
      <c r="T892" s="261"/>
      <c r="U892" s="269"/>
      <c r="V892" s="285"/>
      <c r="W892" s="286"/>
      <c r="X892" s="267"/>
      <c r="Y892" s="267"/>
      <c r="Z892" s="267"/>
      <c r="AA892" s="267"/>
      <c r="AB892" s="267"/>
      <c r="AC892" s="267"/>
      <c r="AD892" s="261"/>
      <c r="AE892" s="261"/>
      <c r="AF892" s="257"/>
      <c r="AG892" s="257"/>
    </row>
    <row r="893">
      <c r="A893" s="284"/>
      <c r="B893" s="251"/>
      <c r="C893" s="251"/>
      <c r="D893" s="261"/>
      <c r="E893" s="261"/>
      <c r="F893" s="261"/>
      <c r="G893" s="261"/>
      <c r="H893" s="261"/>
      <c r="I893" s="261"/>
      <c r="J893" s="261"/>
      <c r="K893" s="262"/>
      <c r="L893" s="261"/>
      <c r="M893" s="262"/>
      <c r="N893" s="262"/>
      <c r="O893" s="261"/>
      <c r="P893" s="262"/>
      <c r="Q893" s="262"/>
      <c r="R893" s="261"/>
      <c r="S893" s="263"/>
      <c r="T893" s="261"/>
      <c r="U893" s="269"/>
      <c r="V893" s="285"/>
      <c r="W893" s="286"/>
      <c r="X893" s="267"/>
      <c r="Y893" s="267"/>
      <c r="Z893" s="267"/>
      <c r="AA893" s="267"/>
      <c r="AB893" s="267"/>
      <c r="AC893" s="267"/>
      <c r="AD893" s="261"/>
      <c r="AE893" s="261"/>
      <c r="AF893" s="257"/>
      <c r="AG893" s="257"/>
    </row>
    <row r="894">
      <c r="A894" s="284"/>
      <c r="B894" s="251"/>
      <c r="C894" s="251"/>
      <c r="D894" s="261"/>
      <c r="E894" s="261"/>
      <c r="F894" s="261"/>
      <c r="G894" s="261"/>
      <c r="H894" s="261"/>
      <c r="I894" s="261"/>
      <c r="J894" s="261"/>
      <c r="K894" s="262"/>
      <c r="L894" s="261"/>
      <c r="M894" s="262"/>
      <c r="N894" s="262"/>
      <c r="O894" s="261"/>
      <c r="P894" s="262"/>
      <c r="Q894" s="262"/>
      <c r="R894" s="261"/>
      <c r="S894" s="263"/>
      <c r="T894" s="261"/>
      <c r="U894" s="269"/>
      <c r="V894" s="285"/>
      <c r="W894" s="286"/>
      <c r="X894" s="267"/>
      <c r="Y894" s="267"/>
      <c r="Z894" s="267"/>
      <c r="AA894" s="267"/>
      <c r="AB894" s="267"/>
      <c r="AC894" s="267"/>
      <c r="AD894" s="261"/>
      <c r="AE894" s="261"/>
      <c r="AF894" s="257"/>
      <c r="AG894" s="257"/>
    </row>
    <row r="895">
      <c r="A895" s="284"/>
      <c r="B895" s="251"/>
      <c r="C895" s="251"/>
      <c r="D895" s="261"/>
      <c r="E895" s="261"/>
      <c r="F895" s="261"/>
      <c r="G895" s="261"/>
      <c r="H895" s="261"/>
      <c r="I895" s="261"/>
      <c r="J895" s="261"/>
      <c r="K895" s="262"/>
      <c r="L895" s="261"/>
      <c r="M895" s="262"/>
      <c r="N895" s="262"/>
      <c r="O895" s="261"/>
      <c r="P895" s="262"/>
      <c r="Q895" s="262"/>
      <c r="R895" s="261"/>
      <c r="S895" s="263"/>
      <c r="T895" s="261"/>
      <c r="U895" s="269"/>
      <c r="V895" s="285"/>
      <c r="W895" s="286"/>
      <c r="X895" s="267"/>
      <c r="Y895" s="267"/>
      <c r="Z895" s="267"/>
      <c r="AA895" s="267"/>
      <c r="AB895" s="267"/>
      <c r="AC895" s="267"/>
      <c r="AD895" s="261"/>
      <c r="AE895" s="261"/>
      <c r="AF895" s="257"/>
      <c r="AG895" s="257"/>
    </row>
    <row r="896">
      <c r="A896" s="284"/>
      <c r="B896" s="251"/>
      <c r="C896" s="251"/>
      <c r="D896" s="261"/>
      <c r="E896" s="261"/>
      <c r="F896" s="261"/>
      <c r="G896" s="261"/>
      <c r="H896" s="261"/>
      <c r="I896" s="261"/>
      <c r="J896" s="261"/>
      <c r="K896" s="262"/>
      <c r="L896" s="261"/>
      <c r="M896" s="262"/>
      <c r="N896" s="262"/>
      <c r="O896" s="261"/>
      <c r="P896" s="262"/>
      <c r="Q896" s="262"/>
      <c r="R896" s="261"/>
      <c r="S896" s="263"/>
      <c r="T896" s="261"/>
      <c r="U896" s="269"/>
      <c r="V896" s="285"/>
      <c r="W896" s="286"/>
      <c r="X896" s="267"/>
      <c r="Y896" s="267"/>
      <c r="Z896" s="267"/>
      <c r="AA896" s="267"/>
      <c r="AB896" s="267"/>
      <c r="AC896" s="267"/>
      <c r="AD896" s="261"/>
      <c r="AE896" s="261"/>
      <c r="AF896" s="257"/>
      <c r="AG896" s="257"/>
    </row>
    <row r="897">
      <c r="A897" s="284"/>
      <c r="B897" s="251"/>
      <c r="C897" s="251"/>
      <c r="D897" s="261"/>
      <c r="E897" s="261"/>
      <c r="F897" s="261"/>
      <c r="G897" s="261"/>
      <c r="H897" s="261"/>
      <c r="I897" s="261"/>
      <c r="J897" s="261"/>
      <c r="K897" s="262"/>
      <c r="L897" s="261"/>
      <c r="M897" s="262"/>
      <c r="N897" s="262"/>
      <c r="O897" s="261"/>
      <c r="P897" s="262"/>
      <c r="Q897" s="262"/>
      <c r="R897" s="261"/>
      <c r="S897" s="263"/>
      <c r="T897" s="261"/>
      <c r="U897" s="269"/>
      <c r="V897" s="285"/>
      <c r="W897" s="286"/>
      <c r="X897" s="267"/>
      <c r="Y897" s="267"/>
      <c r="Z897" s="267"/>
      <c r="AA897" s="267"/>
      <c r="AB897" s="267"/>
      <c r="AC897" s="267"/>
      <c r="AD897" s="261"/>
      <c r="AE897" s="261"/>
      <c r="AF897" s="257"/>
      <c r="AG897" s="257"/>
    </row>
    <row r="898">
      <c r="A898" s="284"/>
      <c r="B898" s="251"/>
      <c r="C898" s="251"/>
      <c r="D898" s="261"/>
      <c r="E898" s="261"/>
      <c r="F898" s="261"/>
      <c r="G898" s="261"/>
      <c r="H898" s="261"/>
      <c r="I898" s="261"/>
      <c r="J898" s="261"/>
      <c r="K898" s="262"/>
      <c r="L898" s="261"/>
      <c r="M898" s="262"/>
      <c r="N898" s="262"/>
      <c r="O898" s="261"/>
      <c r="P898" s="262"/>
      <c r="Q898" s="262"/>
      <c r="R898" s="261"/>
      <c r="S898" s="263"/>
      <c r="T898" s="261"/>
      <c r="U898" s="269"/>
      <c r="V898" s="285"/>
      <c r="W898" s="286"/>
      <c r="X898" s="267"/>
      <c r="Y898" s="267"/>
      <c r="Z898" s="267"/>
      <c r="AA898" s="267"/>
      <c r="AB898" s="267"/>
      <c r="AC898" s="267"/>
      <c r="AD898" s="261"/>
      <c r="AE898" s="261"/>
      <c r="AF898" s="257"/>
      <c r="AG898" s="257"/>
    </row>
    <row r="899">
      <c r="A899" s="284"/>
      <c r="B899" s="251"/>
      <c r="C899" s="251"/>
      <c r="D899" s="261"/>
      <c r="E899" s="261"/>
      <c r="F899" s="261"/>
      <c r="G899" s="261"/>
      <c r="H899" s="261"/>
      <c r="I899" s="261"/>
      <c r="J899" s="261"/>
      <c r="K899" s="262"/>
      <c r="L899" s="261"/>
      <c r="M899" s="262"/>
      <c r="N899" s="262"/>
      <c r="O899" s="261"/>
      <c r="P899" s="262"/>
      <c r="Q899" s="262"/>
      <c r="R899" s="261"/>
      <c r="S899" s="263"/>
      <c r="T899" s="261"/>
      <c r="U899" s="269"/>
      <c r="V899" s="285"/>
      <c r="W899" s="286"/>
      <c r="X899" s="267"/>
      <c r="Y899" s="267"/>
      <c r="Z899" s="267"/>
      <c r="AA899" s="267"/>
      <c r="AB899" s="267"/>
      <c r="AC899" s="267"/>
      <c r="AD899" s="261"/>
      <c r="AE899" s="261"/>
      <c r="AF899" s="257"/>
      <c r="AG899" s="257"/>
    </row>
    <row r="900">
      <c r="A900" s="284"/>
      <c r="B900" s="251"/>
      <c r="C900" s="251"/>
      <c r="D900" s="261"/>
      <c r="E900" s="261"/>
      <c r="F900" s="261"/>
      <c r="G900" s="261"/>
      <c r="H900" s="261"/>
      <c r="I900" s="261"/>
      <c r="J900" s="261"/>
      <c r="K900" s="262"/>
      <c r="L900" s="261"/>
      <c r="M900" s="262"/>
      <c r="N900" s="262"/>
      <c r="O900" s="261"/>
      <c r="P900" s="262"/>
      <c r="Q900" s="262"/>
      <c r="R900" s="261"/>
      <c r="S900" s="263"/>
      <c r="T900" s="261"/>
      <c r="U900" s="269"/>
      <c r="V900" s="285"/>
      <c r="W900" s="286"/>
      <c r="X900" s="267"/>
      <c r="Y900" s="267"/>
      <c r="Z900" s="267"/>
      <c r="AA900" s="267"/>
      <c r="AB900" s="267"/>
      <c r="AC900" s="267"/>
      <c r="AD900" s="261"/>
      <c r="AE900" s="261"/>
      <c r="AF900" s="257"/>
      <c r="AG900" s="257"/>
    </row>
    <row r="901">
      <c r="A901" s="284"/>
      <c r="B901" s="251"/>
      <c r="C901" s="251"/>
      <c r="D901" s="261"/>
      <c r="E901" s="261"/>
      <c r="F901" s="261"/>
      <c r="G901" s="261"/>
      <c r="H901" s="261"/>
      <c r="I901" s="261"/>
      <c r="J901" s="261"/>
      <c r="K901" s="262"/>
      <c r="L901" s="261"/>
      <c r="M901" s="262"/>
      <c r="N901" s="262"/>
      <c r="O901" s="261"/>
      <c r="P901" s="262"/>
      <c r="Q901" s="262"/>
      <c r="R901" s="261"/>
      <c r="S901" s="263"/>
      <c r="T901" s="261"/>
      <c r="U901" s="269"/>
      <c r="V901" s="285"/>
      <c r="W901" s="286"/>
      <c r="X901" s="267"/>
      <c r="Y901" s="267"/>
      <c r="Z901" s="267"/>
      <c r="AA901" s="267"/>
      <c r="AB901" s="267"/>
      <c r="AC901" s="267"/>
      <c r="AD901" s="261"/>
      <c r="AE901" s="261"/>
      <c r="AF901" s="257"/>
      <c r="AG901" s="257"/>
    </row>
    <row r="902">
      <c r="A902" s="284"/>
      <c r="B902" s="251"/>
      <c r="C902" s="251"/>
      <c r="D902" s="261"/>
      <c r="E902" s="261"/>
      <c r="F902" s="261"/>
      <c r="G902" s="261"/>
      <c r="H902" s="261"/>
      <c r="I902" s="261"/>
      <c r="J902" s="261"/>
      <c r="K902" s="262"/>
      <c r="L902" s="261"/>
      <c r="M902" s="262"/>
      <c r="N902" s="262"/>
      <c r="O902" s="261"/>
      <c r="P902" s="262"/>
      <c r="Q902" s="262"/>
      <c r="R902" s="261"/>
      <c r="S902" s="263"/>
      <c r="T902" s="261"/>
      <c r="U902" s="269"/>
      <c r="V902" s="285"/>
      <c r="W902" s="286"/>
      <c r="X902" s="267"/>
      <c r="Y902" s="267"/>
      <c r="Z902" s="267"/>
      <c r="AA902" s="267"/>
      <c r="AB902" s="267"/>
      <c r="AC902" s="267"/>
      <c r="AD902" s="261"/>
      <c r="AE902" s="261"/>
      <c r="AF902" s="257"/>
      <c r="AG902" s="257"/>
    </row>
    <row r="903">
      <c r="A903" s="284"/>
      <c r="B903" s="251"/>
      <c r="C903" s="251"/>
      <c r="D903" s="261"/>
      <c r="E903" s="261"/>
      <c r="F903" s="261"/>
      <c r="G903" s="261"/>
      <c r="H903" s="261"/>
      <c r="I903" s="261"/>
      <c r="J903" s="261"/>
      <c r="K903" s="262"/>
      <c r="L903" s="261"/>
      <c r="M903" s="262"/>
      <c r="N903" s="262"/>
      <c r="O903" s="261"/>
      <c r="P903" s="262"/>
      <c r="Q903" s="262"/>
      <c r="R903" s="261"/>
      <c r="S903" s="263"/>
      <c r="T903" s="261"/>
      <c r="U903" s="269"/>
      <c r="V903" s="285"/>
      <c r="W903" s="286"/>
      <c r="X903" s="267"/>
      <c r="Y903" s="267"/>
      <c r="Z903" s="267"/>
      <c r="AA903" s="267"/>
      <c r="AB903" s="267"/>
      <c r="AC903" s="267"/>
      <c r="AD903" s="261"/>
      <c r="AE903" s="261"/>
      <c r="AF903" s="257"/>
      <c r="AG903" s="257"/>
    </row>
    <row r="904">
      <c r="A904" s="284"/>
      <c r="B904" s="251"/>
      <c r="C904" s="251"/>
      <c r="D904" s="261"/>
      <c r="E904" s="261"/>
      <c r="F904" s="261"/>
      <c r="G904" s="261"/>
      <c r="H904" s="261"/>
      <c r="I904" s="261"/>
      <c r="J904" s="261"/>
      <c r="K904" s="262"/>
      <c r="L904" s="261"/>
      <c r="M904" s="262"/>
      <c r="N904" s="262"/>
      <c r="O904" s="261"/>
      <c r="P904" s="262"/>
      <c r="Q904" s="262"/>
      <c r="R904" s="261"/>
      <c r="S904" s="263"/>
      <c r="T904" s="261"/>
      <c r="U904" s="269"/>
      <c r="V904" s="285"/>
      <c r="W904" s="286"/>
      <c r="X904" s="267"/>
      <c r="Y904" s="267"/>
      <c r="Z904" s="267"/>
      <c r="AA904" s="267"/>
      <c r="AB904" s="267"/>
      <c r="AC904" s="267"/>
      <c r="AD904" s="261"/>
      <c r="AE904" s="261"/>
      <c r="AF904" s="257"/>
      <c r="AG904" s="257"/>
    </row>
    <row r="905">
      <c r="A905" s="284"/>
      <c r="B905" s="251"/>
      <c r="C905" s="251"/>
      <c r="D905" s="261"/>
      <c r="E905" s="261"/>
      <c r="F905" s="261"/>
      <c r="G905" s="261"/>
      <c r="H905" s="261"/>
      <c r="I905" s="261"/>
      <c r="J905" s="261"/>
      <c r="K905" s="262"/>
      <c r="L905" s="261"/>
      <c r="M905" s="262"/>
      <c r="N905" s="262"/>
      <c r="O905" s="261"/>
      <c r="P905" s="262"/>
      <c r="Q905" s="262"/>
      <c r="R905" s="261"/>
      <c r="S905" s="263"/>
      <c r="T905" s="261"/>
      <c r="U905" s="269"/>
      <c r="V905" s="285"/>
      <c r="W905" s="286"/>
      <c r="X905" s="267"/>
      <c r="Y905" s="267"/>
      <c r="Z905" s="267"/>
      <c r="AA905" s="267"/>
      <c r="AB905" s="267"/>
      <c r="AC905" s="267"/>
      <c r="AD905" s="261"/>
      <c r="AE905" s="261"/>
      <c r="AF905" s="257"/>
      <c r="AG905" s="257"/>
    </row>
    <row r="906">
      <c r="A906" s="284"/>
      <c r="B906" s="251"/>
      <c r="C906" s="251"/>
      <c r="D906" s="261"/>
      <c r="E906" s="261"/>
      <c r="F906" s="261"/>
      <c r="G906" s="261"/>
      <c r="H906" s="261"/>
      <c r="I906" s="261"/>
      <c r="J906" s="261"/>
      <c r="K906" s="262"/>
      <c r="L906" s="261"/>
      <c r="M906" s="262"/>
      <c r="N906" s="262"/>
      <c r="O906" s="261"/>
      <c r="P906" s="262"/>
      <c r="Q906" s="262"/>
      <c r="R906" s="261"/>
      <c r="S906" s="263"/>
      <c r="T906" s="261"/>
      <c r="U906" s="269"/>
      <c r="V906" s="285"/>
      <c r="W906" s="286"/>
      <c r="X906" s="267"/>
      <c r="Y906" s="267"/>
      <c r="Z906" s="267"/>
      <c r="AA906" s="267"/>
      <c r="AB906" s="267"/>
      <c r="AC906" s="267"/>
      <c r="AD906" s="261"/>
      <c r="AE906" s="261"/>
      <c r="AF906" s="257"/>
      <c r="AG906" s="257"/>
    </row>
    <row r="907">
      <c r="A907" s="284"/>
      <c r="B907" s="251"/>
      <c r="C907" s="251"/>
      <c r="D907" s="261"/>
      <c r="E907" s="261"/>
      <c r="F907" s="261"/>
      <c r="G907" s="261"/>
      <c r="H907" s="261"/>
      <c r="I907" s="261"/>
      <c r="J907" s="261"/>
      <c r="K907" s="262"/>
      <c r="L907" s="261"/>
      <c r="M907" s="262"/>
      <c r="N907" s="262"/>
      <c r="O907" s="261"/>
      <c r="P907" s="262"/>
      <c r="Q907" s="262"/>
      <c r="R907" s="261"/>
      <c r="S907" s="263"/>
      <c r="T907" s="261"/>
      <c r="U907" s="269"/>
      <c r="V907" s="285"/>
      <c r="W907" s="286"/>
      <c r="X907" s="267"/>
      <c r="Y907" s="267"/>
      <c r="Z907" s="267"/>
      <c r="AA907" s="267"/>
      <c r="AB907" s="267"/>
      <c r="AC907" s="267"/>
      <c r="AD907" s="261"/>
      <c r="AE907" s="261"/>
      <c r="AF907" s="257"/>
      <c r="AG907" s="257"/>
    </row>
    <row r="908">
      <c r="A908" s="284"/>
      <c r="B908" s="251"/>
      <c r="C908" s="251"/>
      <c r="D908" s="261"/>
      <c r="E908" s="261"/>
      <c r="F908" s="261"/>
      <c r="G908" s="261"/>
      <c r="H908" s="261"/>
      <c r="I908" s="261"/>
      <c r="J908" s="261"/>
      <c r="K908" s="262"/>
      <c r="L908" s="261"/>
      <c r="M908" s="262"/>
      <c r="N908" s="262"/>
      <c r="O908" s="261"/>
      <c r="P908" s="262"/>
      <c r="Q908" s="262"/>
      <c r="R908" s="261"/>
      <c r="S908" s="263"/>
      <c r="T908" s="261"/>
      <c r="U908" s="269"/>
      <c r="V908" s="285"/>
      <c r="W908" s="286"/>
      <c r="X908" s="267"/>
      <c r="Y908" s="267"/>
      <c r="Z908" s="267"/>
      <c r="AA908" s="267"/>
      <c r="AB908" s="267"/>
      <c r="AC908" s="267"/>
      <c r="AD908" s="261"/>
      <c r="AE908" s="261"/>
      <c r="AF908" s="257"/>
      <c r="AG908" s="257"/>
    </row>
    <row r="909">
      <c r="A909" s="284"/>
      <c r="B909" s="251"/>
      <c r="C909" s="251"/>
      <c r="D909" s="261"/>
      <c r="E909" s="261"/>
      <c r="F909" s="261"/>
      <c r="G909" s="261"/>
      <c r="H909" s="261"/>
      <c r="I909" s="261"/>
      <c r="J909" s="261"/>
      <c r="K909" s="262"/>
      <c r="L909" s="261"/>
      <c r="M909" s="262"/>
      <c r="N909" s="262"/>
      <c r="O909" s="261"/>
      <c r="P909" s="262"/>
      <c r="Q909" s="262"/>
      <c r="R909" s="261"/>
      <c r="S909" s="263"/>
      <c r="T909" s="261"/>
      <c r="U909" s="269"/>
      <c r="V909" s="285"/>
      <c r="W909" s="286"/>
      <c r="X909" s="267"/>
      <c r="Y909" s="267"/>
      <c r="Z909" s="267"/>
      <c r="AA909" s="267"/>
      <c r="AB909" s="267"/>
      <c r="AC909" s="267"/>
      <c r="AD909" s="261"/>
      <c r="AE909" s="261"/>
      <c r="AF909" s="257"/>
      <c r="AG909" s="257"/>
    </row>
    <row r="910">
      <c r="A910" s="284"/>
      <c r="B910" s="251"/>
      <c r="C910" s="251"/>
      <c r="D910" s="261"/>
      <c r="E910" s="261"/>
      <c r="F910" s="261"/>
      <c r="G910" s="261"/>
      <c r="H910" s="261"/>
      <c r="I910" s="261"/>
      <c r="J910" s="261"/>
      <c r="K910" s="262"/>
      <c r="L910" s="261"/>
      <c r="M910" s="262"/>
      <c r="N910" s="262"/>
      <c r="O910" s="261"/>
      <c r="P910" s="262"/>
      <c r="Q910" s="262"/>
      <c r="R910" s="261"/>
      <c r="S910" s="263"/>
      <c r="T910" s="261"/>
      <c r="U910" s="269"/>
      <c r="V910" s="285"/>
      <c r="W910" s="286"/>
      <c r="X910" s="267"/>
      <c r="Y910" s="267"/>
      <c r="Z910" s="267"/>
      <c r="AA910" s="267"/>
      <c r="AB910" s="267"/>
      <c r="AC910" s="267"/>
      <c r="AD910" s="261"/>
      <c r="AE910" s="261"/>
      <c r="AF910" s="257"/>
      <c r="AG910" s="257"/>
    </row>
    <row r="911">
      <c r="A911" s="284"/>
      <c r="B911" s="251"/>
      <c r="C911" s="251"/>
      <c r="D911" s="261"/>
      <c r="E911" s="261"/>
      <c r="F911" s="261"/>
      <c r="G911" s="261"/>
      <c r="H911" s="261"/>
      <c r="I911" s="261"/>
      <c r="J911" s="261"/>
      <c r="K911" s="262"/>
      <c r="L911" s="261"/>
      <c r="M911" s="262"/>
      <c r="N911" s="262"/>
      <c r="O911" s="261"/>
      <c r="P911" s="262"/>
      <c r="Q911" s="262"/>
      <c r="R911" s="261"/>
      <c r="S911" s="263"/>
      <c r="T911" s="261"/>
      <c r="U911" s="269"/>
      <c r="V911" s="285"/>
      <c r="W911" s="286"/>
      <c r="X911" s="267"/>
      <c r="Y911" s="267"/>
      <c r="Z911" s="267"/>
      <c r="AA911" s="267"/>
      <c r="AB911" s="267"/>
      <c r="AC911" s="267"/>
      <c r="AD911" s="261"/>
      <c r="AE911" s="261"/>
      <c r="AF911" s="257"/>
      <c r="AG911" s="257"/>
    </row>
    <row r="912">
      <c r="A912" s="284"/>
      <c r="B912" s="251"/>
      <c r="C912" s="251"/>
      <c r="D912" s="261"/>
      <c r="E912" s="261"/>
      <c r="F912" s="261"/>
      <c r="G912" s="261"/>
      <c r="H912" s="261"/>
      <c r="I912" s="261"/>
      <c r="J912" s="261"/>
      <c r="K912" s="262"/>
      <c r="L912" s="261"/>
      <c r="M912" s="262"/>
      <c r="N912" s="262"/>
      <c r="O912" s="261"/>
      <c r="P912" s="262"/>
      <c r="Q912" s="262"/>
      <c r="R912" s="261"/>
      <c r="S912" s="263"/>
      <c r="T912" s="261"/>
      <c r="U912" s="269"/>
      <c r="V912" s="285"/>
      <c r="W912" s="286"/>
      <c r="X912" s="267"/>
      <c r="Y912" s="267"/>
      <c r="Z912" s="267"/>
      <c r="AA912" s="267"/>
      <c r="AB912" s="267"/>
      <c r="AC912" s="267"/>
      <c r="AD912" s="261"/>
      <c r="AE912" s="261"/>
      <c r="AF912" s="257"/>
      <c r="AG912" s="257"/>
    </row>
    <row r="913">
      <c r="A913" s="284"/>
      <c r="B913" s="251"/>
      <c r="C913" s="251"/>
      <c r="D913" s="261"/>
      <c r="E913" s="261"/>
      <c r="F913" s="261"/>
      <c r="G913" s="261"/>
      <c r="H913" s="261"/>
      <c r="I913" s="261"/>
      <c r="J913" s="261"/>
      <c r="K913" s="262"/>
      <c r="L913" s="261"/>
      <c r="M913" s="262"/>
      <c r="N913" s="262"/>
      <c r="O913" s="261"/>
      <c r="P913" s="262"/>
      <c r="Q913" s="262"/>
      <c r="R913" s="261"/>
      <c r="S913" s="263"/>
      <c r="T913" s="261"/>
      <c r="U913" s="269"/>
      <c r="V913" s="285"/>
      <c r="W913" s="286"/>
      <c r="X913" s="267"/>
      <c r="Y913" s="267"/>
      <c r="Z913" s="267"/>
      <c r="AA913" s="267"/>
      <c r="AB913" s="267"/>
      <c r="AC913" s="267"/>
      <c r="AD913" s="261"/>
      <c r="AE913" s="261"/>
      <c r="AF913" s="257"/>
      <c r="AG913" s="257"/>
    </row>
    <row r="914">
      <c r="A914" s="284"/>
      <c r="B914" s="251"/>
      <c r="C914" s="251"/>
      <c r="D914" s="261"/>
      <c r="E914" s="261"/>
      <c r="F914" s="261"/>
      <c r="G914" s="261"/>
      <c r="H914" s="261"/>
      <c r="I914" s="261"/>
      <c r="J914" s="261"/>
      <c r="K914" s="262"/>
      <c r="L914" s="261"/>
      <c r="M914" s="262"/>
      <c r="N914" s="262"/>
      <c r="O914" s="261"/>
      <c r="P914" s="262"/>
      <c r="Q914" s="262"/>
      <c r="R914" s="261"/>
      <c r="S914" s="263"/>
      <c r="T914" s="261"/>
      <c r="U914" s="269"/>
      <c r="V914" s="285"/>
      <c r="W914" s="286"/>
      <c r="X914" s="267"/>
      <c r="Y914" s="267"/>
      <c r="Z914" s="267"/>
      <c r="AA914" s="267"/>
      <c r="AB914" s="267"/>
      <c r="AC914" s="267"/>
      <c r="AD914" s="261"/>
      <c r="AE914" s="261"/>
      <c r="AF914" s="257"/>
      <c r="AG914" s="257"/>
    </row>
    <row r="915">
      <c r="A915" s="284"/>
      <c r="B915" s="251"/>
      <c r="C915" s="251"/>
      <c r="D915" s="261"/>
      <c r="E915" s="261"/>
      <c r="F915" s="261"/>
      <c r="G915" s="261"/>
      <c r="H915" s="261"/>
      <c r="I915" s="261"/>
      <c r="J915" s="261"/>
      <c r="K915" s="262"/>
      <c r="L915" s="261"/>
      <c r="M915" s="262"/>
      <c r="N915" s="262"/>
      <c r="O915" s="261"/>
      <c r="P915" s="262"/>
      <c r="Q915" s="262"/>
      <c r="R915" s="261"/>
      <c r="S915" s="263"/>
      <c r="T915" s="261"/>
      <c r="U915" s="269"/>
      <c r="V915" s="285"/>
      <c r="W915" s="286"/>
      <c r="X915" s="267"/>
      <c r="Y915" s="267"/>
      <c r="Z915" s="267"/>
      <c r="AA915" s="267"/>
      <c r="AB915" s="267"/>
      <c r="AC915" s="267"/>
      <c r="AD915" s="261"/>
      <c r="AE915" s="261"/>
      <c r="AF915" s="257"/>
      <c r="AG915" s="257"/>
    </row>
    <row r="916">
      <c r="A916" s="284"/>
      <c r="B916" s="251"/>
      <c r="C916" s="251"/>
      <c r="D916" s="261"/>
      <c r="E916" s="261"/>
      <c r="F916" s="261"/>
      <c r="G916" s="261"/>
      <c r="H916" s="261"/>
      <c r="I916" s="261"/>
      <c r="J916" s="261"/>
      <c r="K916" s="262"/>
      <c r="L916" s="261"/>
      <c r="M916" s="262"/>
      <c r="N916" s="262"/>
      <c r="O916" s="261"/>
      <c r="P916" s="262"/>
      <c r="Q916" s="262"/>
      <c r="R916" s="261"/>
      <c r="S916" s="263"/>
      <c r="T916" s="261"/>
      <c r="U916" s="269"/>
      <c r="V916" s="285"/>
      <c r="W916" s="286"/>
      <c r="X916" s="267"/>
      <c r="Y916" s="267"/>
      <c r="Z916" s="267"/>
      <c r="AA916" s="267"/>
      <c r="AB916" s="267"/>
      <c r="AC916" s="267"/>
      <c r="AD916" s="261"/>
      <c r="AE916" s="261"/>
      <c r="AF916" s="257"/>
      <c r="AG916" s="257"/>
    </row>
    <row r="917">
      <c r="A917" s="284"/>
      <c r="B917" s="251"/>
      <c r="C917" s="251"/>
      <c r="D917" s="261"/>
      <c r="E917" s="261"/>
      <c r="F917" s="261"/>
      <c r="G917" s="261"/>
      <c r="H917" s="261"/>
      <c r="I917" s="261"/>
      <c r="J917" s="261"/>
      <c r="K917" s="262"/>
      <c r="L917" s="261"/>
      <c r="M917" s="262"/>
      <c r="N917" s="262"/>
      <c r="O917" s="261"/>
      <c r="P917" s="262"/>
      <c r="Q917" s="262"/>
      <c r="R917" s="261"/>
      <c r="S917" s="263"/>
      <c r="T917" s="261"/>
      <c r="U917" s="269"/>
      <c r="V917" s="285"/>
      <c r="W917" s="286"/>
      <c r="X917" s="267"/>
      <c r="Y917" s="267"/>
      <c r="Z917" s="267"/>
      <c r="AA917" s="267"/>
      <c r="AB917" s="267"/>
      <c r="AC917" s="267"/>
      <c r="AD917" s="261"/>
      <c r="AE917" s="261"/>
      <c r="AF917" s="257"/>
      <c r="AG917" s="257"/>
    </row>
    <row r="918">
      <c r="A918" s="284"/>
      <c r="B918" s="251"/>
      <c r="C918" s="251"/>
      <c r="D918" s="261"/>
      <c r="E918" s="261"/>
      <c r="F918" s="261"/>
      <c r="G918" s="261"/>
      <c r="H918" s="261"/>
      <c r="I918" s="261"/>
      <c r="J918" s="261"/>
      <c r="K918" s="262"/>
      <c r="L918" s="261"/>
      <c r="M918" s="262"/>
      <c r="N918" s="262"/>
      <c r="O918" s="261"/>
      <c r="P918" s="262"/>
      <c r="Q918" s="262"/>
      <c r="R918" s="261"/>
      <c r="S918" s="263"/>
      <c r="T918" s="261"/>
      <c r="U918" s="269"/>
      <c r="V918" s="285"/>
      <c r="W918" s="286"/>
      <c r="X918" s="267"/>
      <c r="Y918" s="267"/>
      <c r="Z918" s="267"/>
      <c r="AA918" s="267"/>
      <c r="AB918" s="267"/>
      <c r="AC918" s="267"/>
      <c r="AD918" s="261"/>
      <c r="AE918" s="261"/>
      <c r="AF918" s="257"/>
      <c r="AG918" s="257"/>
    </row>
    <row r="919">
      <c r="A919" s="284"/>
      <c r="B919" s="251"/>
      <c r="C919" s="251"/>
      <c r="D919" s="261"/>
      <c r="E919" s="261"/>
      <c r="F919" s="261"/>
      <c r="G919" s="261"/>
      <c r="H919" s="261"/>
      <c r="I919" s="261"/>
      <c r="J919" s="261"/>
      <c r="K919" s="262"/>
      <c r="L919" s="261"/>
      <c r="M919" s="262"/>
      <c r="N919" s="262"/>
      <c r="O919" s="261"/>
      <c r="P919" s="262"/>
      <c r="Q919" s="262"/>
      <c r="R919" s="261"/>
      <c r="S919" s="263"/>
      <c r="T919" s="261"/>
      <c r="U919" s="269"/>
      <c r="V919" s="285"/>
      <c r="W919" s="286"/>
      <c r="X919" s="267"/>
      <c r="Y919" s="267"/>
      <c r="Z919" s="267"/>
      <c r="AA919" s="267"/>
      <c r="AB919" s="267"/>
      <c r="AC919" s="267"/>
      <c r="AD919" s="261"/>
      <c r="AE919" s="261"/>
      <c r="AF919" s="257"/>
      <c r="AG919" s="257"/>
    </row>
    <row r="920">
      <c r="A920" s="284"/>
      <c r="B920" s="251"/>
      <c r="C920" s="251"/>
      <c r="D920" s="261"/>
      <c r="E920" s="261"/>
      <c r="F920" s="261"/>
      <c r="G920" s="261"/>
      <c r="H920" s="261"/>
      <c r="I920" s="261"/>
      <c r="J920" s="261"/>
      <c r="K920" s="262"/>
      <c r="L920" s="261"/>
      <c r="M920" s="262"/>
      <c r="N920" s="262"/>
      <c r="O920" s="261"/>
      <c r="P920" s="262"/>
      <c r="Q920" s="262"/>
      <c r="R920" s="261"/>
      <c r="S920" s="263"/>
      <c r="T920" s="261"/>
      <c r="U920" s="269"/>
      <c r="V920" s="285"/>
      <c r="W920" s="286"/>
      <c r="X920" s="267"/>
      <c r="Y920" s="267"/>
      <c r="Z920" s="267"/>
      <c r="AA920" s="267"/>
      <c r="AB920" s="267"/>
      <c r="AC920" s="267"/>
      <c r="AD920" s="261"/>
      <c r="AE920" s="261"/>
      <c r="AF920" s="257"/>
      <c r="AG920" s="257"/>
    </row>
    <row r="921">
      <c r="A921" s="284"/>
      <c r="B921" s="251"/>
      <c r="C921" s="251"/>
      <c r="D921" s="261"/>
      <c r="E921" s="261"/>
      <c r="F921" s="261"/>
      <c r="G921" s="261"/>
      <c r="H921" s="261"/>
      <c r="I921" s="261"/>
      <c r="J921" s="261"/>
      <c r="K921" s="262"/>
      <c r="L921" s="261"/>
      <c r="M921" s="262"/>
      <c r="N921" s="262"/>
      <c r="O921" s="261"/>
      <c r="P921" s="262"/>
      <c r="Q921" s="262"/>
      <c r="R921" s="261"/>
      <c r="S921" s="263"/>
      <c r="T921" s="261"/>
      <c r="U921" s="269"/>
      <c r="V921" s="285"/>
      <c r="W921" s="286"/>
      <c r="X921" s="267"/>
      <c r="Y921" s="267"/>
      <c r="Z921" s="267"/>
      <c r="AA921" s="267"/>
      <c r="AB921" s="267"/>
      <c r="AC921" s="267"/>
      <c r="AD921" s="261"/>
      <c r="AE921" s="261"/>
      <c r="AF921" s="257"/>
      <c r="AG921" s="257"/>
    </row>
    <row r="922">
      <c r="A922" s="284"/>
      <c r="B922" s="251"/>
      <c r="C922" s="251"/>
      <c r="D922" s="261"/>
      <c r="E922" s="261"/>
      <c r="F922" s="261"/>
      <c r="G922" s="261"/>
      <c r="H922" s="261"/>
      <c r="I922" s="261"/>
      <c r="J922" s="261"/>
      <c r="K922" s="262"/>
      <c r="L922" s="261"/>
      <c r="M922" s="262"/>
      <c r="N922" s="262"/>
      <c r="O922" s="261"/>
      <c r="P922" s="262"/>
      <c r="Q922" s="262"/>
      <c r="R922" s="261"/>
      <c r="S922" s="263"/>
      <c r="T922" s="261"/>
      <c r="U922" s="269"/>
      <c r="V922" s="285"/>
      <c r="W922" s="286"/>
      <c r="X922" s="267"/>
      <c r="Y922" s="267"/>
      <c r="Z922" s="267"/>
      <c r="AA922" s="267"/>
      <c r="AB922" s="267"/>
      <c r="AC922" s="267"/>
      <c r="AD922" s="261"/>
      <c r="AE922" s="261"/>
      <c r="AF922" s="257"/>
      <c r="AG922" s="257"/>
    </row>
    <row r="923">
      <c r="A923" s="284"/>
      <c r="B923" s="251"/>
      <c r="C923" s="251"/>
      <c r="D923" s="261"/>
      <c r="E923" s="261"/>
      <c r="F923" s="261"/>
      <c r="G923" s="261"/>
      <c r="H923" s="261"/>
      <c r="I923" s="261"/>
      <c r="J923" s="261"/>
      <c r="K923" s="262"/>
      <c r="L923" s="261"/>
      <c r="M923" s="262"/>
      <c r="N923" s="262"/>
      <c r="O923" s="261"/>
      <c r="P923" s="262"/>
      <c r="Q923" s="262"/>
      <c r="R923" s="261"/>
      <c r="S923" s="263"/>
      <c r="T923" s="261"/>
      <c r="U923" s="269"/>
      <c r="V923" s="285"/>
      <c r="W923" s="286"/>
      <c r="X923" s="267"/>
      <c r="Y923" s="267"/>
      <c r="Z923" s="267"/>
      <c r="AA923" s="267"/>
      <c r="AB923" s="267"/>
      <c r="AC923" s="267"/>
      <c r="AD923" s="261"/>
      <c r="AE923" s="261"/>
      <c r="AF923" s="257"/>
      <c r="AG923" s="257"/>
    </row>
    <row r="924">
      <c r="A924" s="284"/>
      <c r="B924" s="251"/>
      <c r="C924" s="251"/>
      <c r="D924" s="261"/>
      <c r="E924" s="261"/>
      <c r="F924" s="261"/>
      <c r="G924" s="261"/>
      <c r="H924" s="261"/>
      <c r="I924" s="261"/>
      <c r="J924" s="261"/>
      <c r="K924" s="262"/>
      <c r="L924" s="261"/>
      <c r="M924" s="262"/>
      <c r="N924" s="262"/>
      <c r="O924" s="261"/>
      <c r="P924" s="262"/>
      <c r="Q924" s="262"/>
      <c r="R924" s="261"/>
      <c r="S924" s="263"/>
      <c r="T924" s="261"/>
      <c r="U924" s="269"/>
      <c r="V924" s="285"/>
      <c r="W924" s="286"/>
      <c r="X924" s="267"/>
      <c r="Y924" s="267"/>
      <c r="Z924" s="267"/>
      <c r="AA924" s="267"/>
      <c r="AB924" s="267"/>
      <c r="AC924" s="267"/>
      <c r="AD924" s="261"/>
      <c r="AE924" s="261"/>
      <c r="AF924" s="257"/>
      <c r="AG924" s="257"/>
    </row>
    <row r="925">
      <c r="A925" s="284"/>
      <c r="B925" s="251"/>
      <c r="C925" s="251"/>
      <c r="D925" s="261"/>
      <c r="E925" s="261"/>
      <c r="F925" s="261"/>
      <c r="G925" s="261"/>
      <c r="H925" s="261"/>
      <c r="I925" s="261"/>
      <c r="J925" s="261"/>
      <c r="K925" s="262"/>
      <c r="L925" s="261"/>
      <c r="M925" s="262"/>
      <c r="N925" s="262"/>
      <c r="O925" s="261"/>
      <c r="P925" s="262"/>
      <c r="Q925" s="262"/>
      <c r="R925" s="261"/>
      <c r="S925" s="263"/>
      <c r="T925" s="261"/>
      <c r="U925" s="269"/>
      <c r="V925" s="285"/>
      <c r="W925" s="286"/>
      <c r="X925" s="267"/>
      <c r="Y925" s="267"/>
      <c r="Z925" s="267"/>
      <c r="AA925" s="267"/>
      <c r="AB925" s="267"/>
      <c r="AC925" s="267"/>
      <c r="AD925" s="261"/>
      <c r="AE925" s="261"/>
      <c r="AF925" s="257"/>
      <c r="AG925" s="257"/>
    </row>
    <row r="926">
      <c r="A926" s="284"/>
      <c r="B926" s="251"/>
      <c r="C926" s="251"/>
      <c r="D926" s="261"/>
      <c r="E926" s="261"/>
      <c r="F926" s="261"/>
      <c r="G926" s="261"/>
      <c r="H926" s="261"/>
      <c r="I926" s="261"/>
      <c r="J926" s="261"/>
      <c r="K926" s="262"/>
      <c r="L926" s="261"/>
      <c r="M926" s="262"/>
      <c r="N926" s="262"/>
      <c r="O926" s="261"/>
      <c r="P926" s="262"/>
      <c r="Q926" s="262"/>
      <c r="R926" s="261"/>
      <c r="S926" s="263"/>
      <c r="T926" s="261"/>
      <c r="U926" s="269"/>
      <c r="V926" s="285"/>
      <c r="W926" s="286"/>
      <c r="X926" s="267"/>
      <c r="Y926" s="267"/>
      <c r="Z926" s="267"/>
      <c r="AA926" s="267"/>
      <c r="AB926" s="267"/>
      <c r="AC926" s="267"/>
      <c r="AD926" s="261"/>
      <c r="AE926" s="261"/>
      <c r="AF926" s="257"/>
      <c r="AG926" s="257"/>
    </row>
    <row r="927">
      <c r="A927" s="284"/>
      <c r="B927" s="251"/>
      <c r="C927" s="251"/>
      <c r="D927" s="261"/>
      <c r="E927" s="261"/>
      <c r="F927" s="261"/>
      <c r="G927" s="261"/>
      <c r="H927" s="261"/>
      <c r="I927" s="261"/>
      <c r="J927" s="261"/>
      <c r="K927" s="262"/>
      <c r="L927" s="261"/>
      <c r="M927" s="262"/>
      <c r="N927" s="262"/>
      <c r="O927" s="261"/>
      <c r="P927" s="262"/>
      <c r="Q927" s="262"/>
      <c r="R927" s="261"/>
      <c r="S927" s="263"/>
      <c r="T927" s="261"/>
      <c r="U927" s="269"/>
      <c r="V927" s="285"/>
      <c r="W927" s="286"/>
      <c r="X927" s="267"/>
      <c r="Y927" s="267"/>
      <c r="Z927" s="267"/>
      <c r="AA927" s="267"/>
      <c r="AB927" s="267"/>
      <c r="AC927" s="267"/>
      <c r="AD927" s="261"/>
      <c r="AE927" s="261"/>
      <c r="AF927" s="257"/>
      <c r="AG927" s="257"/>
    </row>
    <row r="928">
      <c r="A928" s="284"/>
      <c r="B928" s="251"/>
      <c r="C928" s="251"/>
      <c r="D928" s="261"/>
      <c r="E928" s="261"/>
      <c r="F928" s="261"/>
      <c r="G928" s="261"/>
      <c r="H928" s="261"/>
      <c r="I928" s="261"/>
      <c r="J928" s="261"/>
      <c r="K928" s="262"/>
      <c r="L928" s="261"/>
      <c r="M928" s="262"/>
      <c r="N928" s="262"/>
      <c r="O928" s="261"/>
      <c r="P928" s="262"/>
      <c r="Q928" s="262"/>
      <c r="R928" s="261"/>
      <c r="S928" s="263"/>
      <c r="T928" s="261"/>
      <c r="U928" s="269"/>
      <c r="V928" s="285"/>
      <c r="W928" s="286"/>
      <c r="X928" s="267"/>
      <c r="Y928" s="267"/>
      <c r="Z928" s="267"/>
      <c r="AA928" s="267"/>
      <c r="AB928" s="267"/>
      <c r="AC928" s="267"/>
      <c r="AD928" s="261"/>
      <c r="AE928" s="261"/>
      <c r="AF928" s="257"/>
      <c r="AG928" s="257"/>
    </row>
    <row r="929">
      <c r="A929" s="284"/>
      <c r="B929" s="251"/>
      <c r="C929" s="251"/>
      <c r="D929" s="261"/>
      <c r="E929" s="261"/>
      <c r="F929" s="261"/>
      <c r="G929" s="261"/>
      <c r="H929" s="261"/>
      <c r="I929" s="261"/>
      <c r="J929" s="261"/>
      <c r="K929" s="262"/>
      <c r="L929" s="261"/>
      <c r="M929" s="262"/>
      <c r="N929" s="262"/>
      <c r="O929" s="261"/>
      <c r="P929" s="262"/>
      <c r="Q929" s="262"/>
      <c r="R929" s="261"/>
      <c r="S929" s="263"/>
      <c r="T929" s="261"/>
      <c r="U929" s="269"/>
      <c r="V929" s="285"/>
      <c r="W929" s="286"/>
      <c r="X929" s="267"/>
      <c r="Y929" s="267"/>
      <c r="Z929" s="267"/>
      <c r="AA929" s="267"/>
      <c r="AB929" s="267"/>
      <c r="AC929" s="267"/>
      <c r="AD929" s="261"/>
      <c r="AE929" s="261"/>
      <c r="AF929" s="257"/>
      <c r="AG929" s="257"/>
    </row>
    <row r="930">
      <c r="A930" s="284"/>
      <c r="B930" s="251"/>
      <c r="C930" s="251"/>
      <c r="D930" s="261"/>
      <c r="E930" s="261"/>
      <c r="F930" s="261"/>
      <c r="G930" s="261"/>
      <c r="H930" s="261"/>
      <c r="I930" s="261"/>
      <c r="J930" s="261"/>
      <c r="K930" s="262"/>
      <c r="L930" s="261"/>
      <c r="M930" s="262"/>
      <c r="N930" s="262"/>
      <c r="O930" s="261"/>
      <c r="P930" s="262"/>
      <c r="Q930" s="262"/>
      <c r="R930" s="261"/>
      <c r="S930" s="263"/>
      <c r="T930" s="261"/>
      <c r="U930" s="269"/>
      <c r="V930" s="285"/>
      <c r="W930" s="286"/>
      <c r="X930" s="267"/>
      <c r="Y930" s="267"/>
      <c r="Z930" s="267"/>
      <c r="AA930" s="267"/>
      <c r="AB930" s="267"/>
      <c r="AC930" s="267"/>
      <c r="AD930" s="261"/>
      <c r="AE930" s="261"/>
      <c r="AF930" s="257"/>
      <c r="AG930" s="257"/>
    </row>
    <row r="931">
      <c r="A931" s="284"/>
      <c r="B931" s="251"/>
      <c r="C931" s="251"/>
      <c r="D931" s="261"/>
      <c r="E931" s="261"/>
      <c r="F931" s="261"/>
      <c r="G931" s="261"/>
      <c r="H931" s="261"/>
      <c r="I931" s="261"/>
      <c r="J931" s="261"/>
      <c r="K931" s="262"/>
      <c r="L931" s="261"/>
      <c r="M931" s="262"/>
      <c r="N931" s="262"/>
      <c r="O931" s="261"/>
      <c r="P931" s="262"/>
      <c r="Q931" s="262"/>
      <c r="R931" s="261"/>
      <c r="S931" s="263"/>
      <c r="T931" s="261"/>
      <c r="U931" s="269"/>
      <c r="V931" s="285"/>
      <c r="W931" s="286"/>
      <c r="X931" s="267"/>
      <c r="Y931" s="267"/>
      <c r="Z931" s="267"/>
      <c r="AA931" s="267"/>
      <c r="AB931" s="267"/>
      <c r="AC931" s="267"/>
      <c r="AD931" s="261"/>
      <c r="AE931" s="261"/>
      <c r="AF931" s="257"/>
      <c r="AG931" s="257"/>
    </row>
    <row r="932">
      <c r="A932" s="284"/>
      <c r="B932" s="251"/>
      <c r="C932" s="251"/>
      <c r="D932" s="261"/>
      <c r="E932" s="261"/>
      <c r="F932" s="261"/>
      <c r="G932" s="261"/>
      <c r="H932" s="261"/>
      <c r="I932" s="261"/>
      <c r="J932" s="261"/>
      <c r="K932" s="262"/>
      <c r="L932" s="261"/>
      <c r="M932" s="262"/>
      <c r="N932" s="262"/>
      <c r="O932" s="261"/>
      <c r="P932" s="262"/>
      <c r="Q932" s="262"/>
      <c r="R932" s="261"/>
      <c r="S932" s="263"/>
      <c r="T932" s="261"/>
      <c r="U932" s="269"/>
      <c r="V932" s="285"/>
      <c r="W932" s="286"/>
      <c r="X932" s="267"/>
      <c r="Y932" s="267"/>
      <c r="Z932" s="267"/>
      <c r="AA932" s="267"/>
      <c r="AB932" s="267"/>
      <c r="AC932" s="267"/>
      <c r="AD932" s="261"/>
      <c r="AE932" s="261"/>
      <c r="AF932" s="257"/>
      <c r="AG932" s="257"/>
    </row>
    <row r="933">
      <c r="A933" s="284"/>
      <c r="B933" s="251"/>
      <c r="C933" s="251"/>
      <c r="D933" s="261"/>
      <c r="E933" s="261"/>
      <c r="F933" s="261"/>
      <c r="G933" s="261"/>
      <c r="H933" s="261"/>
      <c r="I933" s="261"/>
      <c r="J933" s="261"/>
      <c r="K933" s="262"/>
      <c r="L933" s="261"/>
      <c r="M933" s="262"/>
      <c r="N933" s="262"/>
      <c r="O933" s="261"/>
      <c r="P933" s="262"/>
      <c r="Q933" s="262"/>
      <c r="R933" s="261"/>
      <c r="S933" s="263"/>
      <c r="T933" s="261"/>
      <c r="U933" s="269"/>
      <c r="V933" s="285"/>
      <c r="W933" s="286"/>
      <c r="X933" s="267"/>
      <c r="Y933" s="267"/>
      <c r="Z933" s="267"/>
      <c r="AA933" s="267"/>
      <c r="AB933" s="267"/>
      <c r="AC933" s="267"/>
      <c r="AD933" s="261"/>
      <c r="AE933" s="261"/>
      <c r="AF933" s="257"/>
      <c r="AG933" s="257"/>
    </row>
    <row r="934">
      <c r="A934" s="284"/>
      <c r="B934" s="251"/>
      <c r="C934" s="251"/>
      <c r="D934" s="261"/>
      <c r="E934" s="261"/>
      <c r="F934" s="261"/>
      <c r="G934" s="261"/>
      <c r="H934" s="261"/>
      <c r="I934" s="261"/>
      <c r="J934" s="261"/>
      <c r="K934" s="262"/>
      <c r="L934" s="261"/>
      <c r="M934" s="262"/>
      <c r="N934" s="262"/>
      <c r="O934" s="261"/>
      <c r="P934" s="262"/>
      <c r="Q934" s="262"/>
      <c r="R934" s="261"/>
      <c r="S934" s="263"/>
      <c r="T934" s="261"/>
      <c r="U934" s="269"/>
      <c r="V934" s="285"/>
      <c r="W934" s="286"/>
      <c r="X934" s="267"/>
      <c r="Y934" s="267"/>
      <c r="Z934" s="267"/>
      <c r="AA934" s="267"/>
      <c r="AB934" s="267"/>
      <c r="AC934" s="267"/>
      <c r="AD934" s="261"/>
      <c r="AE934" s="261"/>
      <c r="AF934" s="257"/>
      <c r="AG934" s="257"/>
    </row>
    <row r="935">
      <c r="A935" s="284"/>
      <c r="B935" s="251"/>
      <c r="C935" s="251"/>
      <c r="D935" s="261"/>
      <c r="E935" s="261"/>
      <c r="F935" s="261"/>
      <c r="G935" s="261"/>
      <c r="H935" s="261"/>
      <c r="I935" s="261"/>
      <c r="J935" s="261"/>
      <c r="K935" s="262"/>
      <c r="L935" s="261"/>
      <c r="M935" s="262"/>
      <c r="N935" s="262"/>
      <c r="O935" s="261"/>
      <c r="P935" s="262"/>
      <c r="Q935" s="262"/>
      <c r="R935" s="261"/>
      <c r="S935" s="263"/>
      <c r="T935" s="261"/>
      <c r="U935" s="269"/>
      <c r="V935" s="285"/>
      <c r="W935" s="286"/>
      <c r="X935" s="267"/>
      <c r="Y935" s="267"/>
      <c r="Z935" s="267"/>
      <c r="AA935" s="267"/>
      <c r="AB935" s="267"/>
      <c r="AC935" s="267"/>
      <c r="AD935" s="261"/>
      <c r="AE935" s="261"/>
      <c r="AF935" s="257"/>
      <c r="AG935" s="257"/>
    </row>
    <row r="936">
      <c r="A936" s="284"/>
      <c r="B936" s="251"/>
      <c r="C936" s="251"/>
      <c r="D936" s="261"/>
      <c r="E936" s="261"/>
      <c r="F936" s="261"/>
      <c r="G936" s="261"/>
      <c r="H936" s="261"/>
      <c r="I936" s="261"/>
      <c r="J936" s="261"/>
      <c r="K936" s="262"/>
      <c r="L936" s="261"/>
      <c r="M936" s="262"/>
      <c r="N936" s="262"/>
      <c r="O936" s="261"/>
      <c r="P936" s="262"/>
      <c r="Q936" s="262"/>
      <c r="R936" s="261"/>
      <c r="S936" s="263"/>
      <c r="T936" s="261"/>
      <c r="U936" s="269"/>
      <c r="V936" s="285"/>
      <c r="W936" s="286"/>
      <c r="X936" s="267"/>
      <c r="Y936" s="267"/>
      <c r="Z936" s="267"/>
      <c r="AA936" s="267"/>
      <c r="AB936" s="267"/>
      <c r="AC936" s="267"/>
      <c r="AD936" s="261"/>
      <c r="AE936" s="261"/>
      <c r="AF936" s="257"/>
      <c r="AG936" s="257"/>
    </row>
    <row r="937">
      <c r="A937" s="284"/>
      <c r="B937" s="251"/>
      <c r="C937" s="251"/>
      <c r="D937" s="261"/>
      <c r="E937" s="261"/>
      <c r="F937" s="261"/>
      <c r="G937" s="261"/>
      <c r="H937" s="261"/>
      <c r="I937" s="261"/>
      <c r="J937" s="261"/>
      <c r="K937" s="262"/>
      <c r="L937" s="261"/>
      <c r="M937" s="262"/>
      <c r="N937" s="262"/>
      <c r="O937" s="261"/>
      <c r="P937" s="262"/>
      <c r="Q937" s="262"/>
      <c r="R937" s="261"/>
      <c r="S937" s="263"/>
      <c r="T937" s="261"/>
      <c r="U937" s="269"/>
      <c r="V937" s="285"/>
      <c r="W937" s="286"/>
      <c r="X937" s="267"/>
      <c r="Y937" s="267"/>
      <c r="Z937" s="267"/>
      <c r="AA937" s="267"/>
      <c r="AB937" s="267"/>
      <c r="AC937" s="267"/>
      <c r="AD937" s="261"/>
      <c r="AE937" s="261"/>
      <c r="AF937" s="257"/>
      <c r="AG937" s="257"/>
    </row>
    <row r="938">
      <c r="A938" s="284"/>
      <c r="B938" s="251"/>
      <c r="C938" s="251"/>
      <c r="D938" s="261"/>
      <c r="E938" s="261"/>
      <c r="F938" s="261"/>
      <c r="G938" s="261"/>
      <c r="H938" s="261"/>
      <c r="I938" s="261"/>
      <c r="J938" s="261"/>
      <c r="K938" s="262"/>
      <c r="L938" s="261"/>
      <c r="M938" s="262"/>
      <c r="N938" s="262"/>
      <c r="O938" s="261"/>
      <c r="P938" s="262"/>
      <c r="Q938" s="262"/>
      <c r="R938" s="261"/>
      <c r="S938" s="263"/>
      <c r="T938" s="261"/>
      <c r="U938" s="269"/>
      <c r="V938" s="285"/>
      <c r="W938" s="286"/>
      <c r="X938" s="267"/>
      <c r="Y938" s="267"/>
      <c r="Z938" s="267"/>
      <c r="AA938" s="267"/>
      <c r="AB938" s="267"/>
      <c r="AC938" s="267"/>
      <c r="AD938" s="261"/>
      <c r="AE938" s="261"/>
      <c r="AF938" s="257"/>
      <c r="AG938" s="257"/>
    </row>
    <row r="939">
      <c r="A939" s="284"/>
      <c r="B939" s="251"/>
      <c r="C939" s="251"/>
      <c r="D939" s="261"/>
      <c r="E939" s="261"/>
      <c r="F939" s="261"/>
      <c r="G939" s="261"/>
      <c r="H939" s="261"/>
      <c r="I939" s="261"/>
      <c r="J939" s="261"/>
      <c r="K939" s="262"/>
      <c r="L939" s="261"/>
      <c r="M939" s="262"/>
      <c r="N939" s="262"/>
      <c r="O939" s="261"/>
      <c r="P939" s="262"/>
      <c r="Q939" s="262"/>
      <c r="R939" s="261"/>
      <c r="S939" s="263"/>
      <c r="T939" s="261"/>
      <c r="U939" s="269"/>
      <c r="V939" s="285"/>
      <c r="W939" s="286"/>
      <c r="X939" s="267"/>
      <c r="Y939" s="267"/>
      <c r="Z939" s="267"/>
      <c r="AA939" s="267"/>
      <c r="AB939" s="267"/>
      <c r="AC939" s="267"/>
      <c r="AD939" s="261"/>
      <c r="AE939" s="261"/>
      <c r="AF939" s="257"/>
      <c r="AG939" s="257"/>
    </row>
    <row r="940">
      <c r="A940" s="284"/>
      <c r="B940" s="251"/>
      <c r="C940" s="251"/>
      <c r="D940" s="261"/>
      <c r="E940" s="261"/>
      <c r="F940" s="261"/>
      <c r="G940" s="261"/>
      <c r="H940" s="261"/>
      <c r="I940" s="261"/>
      <c r="J940" s="261"/>
      <c r="K940" s="262"/>
      <c r="L940" s="261"/>
      <c r="M940" s="262"/>
      <c r="N940" s="262"/>
      <c r="O940" s="261"/>
      <c r="P940" s="262"/>
      <c r="Q940" s="262"/>
      <c r="R940" s="261"/>
      <c r="S940" s="263"/>
      <c r="T940" s="261"/>
      <c r="U940" s="269"/>
      <c r="V940" s="285"/>
      <c r="W940" s="286"/>
      <c r="X940" s="267"/>
      <c r="Y940" s="267"/>
      <c r="Z940" s="267"/>
      <c r="AA940" s="267"/>
      <c r="AB940" s="267"/>
      <c r="AC940" s="267"/>
      <c r="AD940" s="261"/>
      <c r="AE940" s="261"/>
      <c r="AF940" s="257"/>
      <c r="AG940" s="257"/>
    </row>
    <row r="941">
      <c r="A941" s="284"/>
      <c r="B941" s="251"/>
      <c r="C941" s="251"/>
      <c r="D941" s="261"/>
      <c r="E941" s="261"/>
      <c r="F941" s="261"/>
      <c r="G941" s="261"/>
      <c r="H941" s="261"/>
      <c r="I941" s="261"/>
      <c r="J941" s="261"/>
      <c r="K941" s="262"/>
      <c r="L941" s="261"/>
      <c r="M941" s="262"/>
      <c r="N941" s="262"/>
      <c r="O941" s="261"/>
      <c r="P941" s="262"/>
      <c r="Q941" s="262"/>
      <c r="R941" s="261"/>
      <c r="S941" s="263"/>
      <c r="T941" s="261"/>
      <c r="U941" s="269"/>
      <c r="V941" s="285"/>
      <c r="W941" s="286"/>
      <c r="X941" s="267"/>
      <c r="Y941" s="267"/>
      <c r="Z941" s="267"/>
      <c r="AA941" s="267"/>
      <c r="AB941" s="267"/>
      <c r="AC941" s="267"/>
      <c r="AD941" s="261"/>
      <c r="AE941" s="261"/>
      <c r="AF941" s="257"/>
      <c r="AG941" s="257"/>
    </row>
    <row r="942">
      <c r="A942" s="284"/>
      <c r="B942" s="251"/>
      <c r="C942" s="251"/>
      <c r="D942" s="261"/>
      <c r="E942" s="261"/>
      <c r="F942" s="261"/>
      <c r="G942" s="261"/>
      <c r="H942" s="261"/>
      <c r="I942" s="261"/>
      <c r="J942" s="261"/>
      <c r="K942" s="262"/>
      <c r="L942" s="261"/>
      <c r="M942" s="262"/>
      <c r="N942" s="262"/>
      <c r="O942" s="261"/>
      <c r="P942" s="262"/>
      <c r="Q942" s="262"/>
      <c r="R942" s="261"/>
      <c r="S942" s="263"/>
      <c r="T942" s="261"/>
      <c r="U942" s="269"/>
      <c r="V942" s="285"/>
      <c r="W942" s="286"/>
      <c r="X942" s="267"/>
      <c r="Y942" s="267"/>
      <c r="Z942" s="267"/>
      <c r="AA942" s="267"/>
      <c r="AB942" s="267"/>
      <c r="AC942" s="267"/>
      <c r="AD942" s="261"/>
      <c r="AE942" s="261"/>
      <c r="AF942" s="257"/>
      <c r="AG942" s="257"/>
    </row>
    <row r="943">
      <c r="A943" s="284"/>
      <c r="B943" s="251"/>
      <c r="C943" s="251"/>
      <c r="D943" s="261"/>
      <c r="E943" s="261"/>
      <c r="F943" s="261"/>
      <c r="G943" s="261"/>
      <c r="H943" s="261"/>
      <c r="I943" s="261"/>
      <c r="J943" s="261"/>
      <c r="K943" s="262"/>
      <c r="L943" s="261"/>
      <c r="M943" s="262"/>
      <c r="N943" s="262"/>
      <c r="O943" s="261"/>
      <c r="P943" s="262"/>
      <c r="Q943" s="262"/>
      <c r="R943" s="261"/>
      <c r="S943" s="263"/>
      <c r="T943" s="261"/>
      <c r="U943" s="269"/>
      <c r="V943" s="285"/>
      <c r="W943" s="286"/>
      <c r="X943" s="267"/>
      <c r="Y943" s="267"/>
      <c r="Z943" s="267"/>
      <c r="AA943" s="267"/>
      <c r="AB943" s="267"/>
      <c r="AC943" s="267"/>
      <c r="AD943" s="261"/>
      <c r="AE943" s="261"/>
      <c r="AF943" s="257"/>
      <c r="AG943" s="257"/>
    </row>
    <row r="944">
      <c r="A944" s="284"/>
      <c r="B944" s="251"/>
      <c r="C944" s="251"/>
      <c r="D944" s="261"/>
      <c r="E944" s="261"/>
      <c r="F944" s="261"/>
      <c r="G944" s="261"/>
      <c r="H944" s="261"/>
      <c r="I944" s="261"/>
      <c r="J944" s="261"/>
      <c r="K944" s="262"/>
      <c r="L944" s="261"/>
      <c r="M944" s="262"/>
      <c r="N944" s="262"/>
      <c r="O944" s="261"/>
      <c r="P944" s="262"/>
      <c r="Q944" s="262"/>
      <c r="R944" s="261"/>
      <c r="S944" s="263"/>
      <c r="T944" s="261"/>
      <c r="U944" s="269"/>
      <c r="V944" s="285"/>
      <c r="W944" s="286"/>
      <c r="X944" s="267"/>
      <c r="Y944" s="267"/>
      <c r="Z944" s="267"/>
      <c r="AA944" s="267"/>
      <c r="AB944" s="267"/>
      <c r="AC944" s="267"/>
      <c r="AD944" s="261"/>
      <c r="AE944" s="261"/>
      <c r="AF944" s="257"/>
      <c r="AG944" s="257"/>
    </row>
    <row r="945">
      <c r="A945" s="284"/>
      <c r="B945" s="251"/>
      <c r="C945" s="251"/>
      <c r="D945" s="261"/>
      <c r="E945" s="261"/>
      <c r="F945" s="261"/>
      <c r="G945" s="261"/>
      <c r="H945" s="261"/>
      <c r="I945" s="261"/>
      <c r="J945" s="261"/>
      <c r="K945" s="262"/>
      <c r="L945" s="261"/>
      <c r="M945" s="262"/>
      <c r="N945" s="262"/>
      <c r="O945" s="261"/>
      <c r="P945" s="262"/>
      <c r="Q945" s="262"/>
      <c r="R945" s="261"/>
      <c r="S945" s="263"/>
      <c r="T945" s="261"/>
      <c r="U945" s="269"/>
      <c r="V945" s="285"/>
      <c r="W945" s="286"/>
      <c r="X945" s="267"/>
      <c r="Y945" s="267"/>
      <c r="Z945" s="267"/>
      <c r="AA945" s="267"/>
      <c r="AB945" s="267"/>
      <c r="AC945" s="267"/>
      <c r="AD945" s="261"/>
      <c r="AE945" s="261"/>
      <c r="AF945" s="257"/>
      <c r="AG945" s="257"/>
    </row>
    <row r="946">
      <c r="A946" s="284"/>
      <c r="B946" s="251"/>
      <c r="C946" s="251"/>
      <c r="D946" s="261"/>
      <c r="E946" s="261"/>
      <c r="F946" s="261"/>
      <c r="G946" s="261"/>
      <c r="H946" s="261"/>
      <c r="I946" s="261"/>
      <c r="J946" s="261"/>
      <c r="K946" s="262"/>
      <c r="L946" s="261"/>
      <c r="M946" s="262"/>
      <c r="N946" s="262"/>
      <c r="O946" s="261"/>
      <c r="P946" s="262"/>
      <c r="Q946" s="262"/>
      <c r="R946" s="261"/>
      <c r="S946" s="263"/>
      <c r="T946" s="261"/>
      <c r="U946" s="269"/>
      <c r="V946" s="285"/>
      <c r="W946" s="286"/>
      <c r="X946" s="267"/>
      <c r="Y946" s="267"/>
      <c r="Z946" s="267"/>
      <c r="AA946" s="267"/>
      <c r="AB946" s="267"/>
      <c r="AC946" s="267"/>
      <c r="AD946" s="261"/>
      <c r="AE946" s="261"/>
      <c r="AF946" s="257"/>
      <c r="AG946" s="257"/>
    </row>
    <row r="947">
      <c r="A947" s="284"/>
      <c r="B947" s="251"/>
      <c r="C947" s="251"/>
      <c r="D947" s="261"/>
      <c r="E947" s="261"/>
      <c r="F947" s="261"/>
      <c r="G947" s="261"/>
      <c r="H947" s="261"/>
      <c r="I947" s="261"/>
      <c r="J947" s="261"/>
      <c r="K947" s="262"/>
      <c r="L947" s="261"/>
      <c r="M947" s="262"/>
      <c r="N947" s="262"/>
      <c r="O947" s="261"/>
      <c r="P947" s="262"/>
      <c r="Q947" s="262"/>
      <c r="R947" s="261"/>
      <c r="S947" s="263"/>
      <c r="T947" s="261"/>
      <c r="U947" s="269"/>
      <c r="V947" s="285"/>
      <c r="W947" s="286"/>
      <c r="X947" s="267"/>
      <c r="Y947" s="267"/>
      <c r="Z947" s="267"/>
      <c r="AA947" s="267"/>
      <c r="AB947" s="267"/>
      <c r="AC947" s="267"/>
      <c r="AD947" s="261"/>
      <c r="AE947" s="261"/>
      <c r="AF947" s="257"/>
      <c r="AG947" s="257"/>
    </row>
    <row r="948">
      <c r="A948" s="284"/>
      <c r="B948" s="251"/>
      <c r="C948" s="251"/>
      <c r="D948" s="261"/>
      <c r="E948" s="261"/>
      <c r="F948" s="261"/>
      <c r="G948" s="261"/>
      <c r="H948" s="261"/>
      <c r="I948" s="261"/>
      <c r="J948" s="261"/>
      <c r="K948" s="262"/>
      <c r="L948" s="261"/>
      <c r="M948" s="262"/>
      <c r="N948" s="262"/>
      <c r="O948" s="261"/>
      <c r="P948" s="262"/>
      <c r="Q948" s="262"/>
      <c r="R948" s="261"/>
      <c r="S948" s="263"/>
      <c r="T948" s="261"/>
      <c r="U948" s="269"/>
      <c r="V948" s="285"/>
      <c r="W948" s="286"/>
      <c r="X948" s="267"/>
      <c r="Y948" s="267"/>
      <c r="Z948" s="267"/>
      <c r="AA948" s="267"/>
      <c r="AB948" s="267"/>
      <c r="AC948" s="267"/>
      <c r="AD948" s="261"/>
      <c r="AE948" s="261"/>
      <c r="AF948" s="257"/>
      <c r="AG948" s="257"/>
    </row>
    <row r="949">
      <c r="A949" s="284"/>
      <c r="B949" s="251"/>
      <c r="C949" s="251"/>
      <c r="D949" s="261"/>
      <c r="E949" s="261"/>
      <c r="F949" s="261"/>
      <c r="G949" s="261"/>
      <c r="H949" s="261"/>
      <c r="I949" s="261"/>
      <c r="J949" s="261"/>
      <c r="K949" s="262"/>
      <c r="L949" s="261"/>
      <c r="M949" s="262"/>
      <c r="N949" s="262"/>
      <c r="O949" s="261"/>
      <c r="P949" s="262"/>
      <c r="Q949" s="262"/>
      <c r="R949" s="261"/>
      <c r="S949" s="263"/>
      <c r="T949" s="261"/>
      <c r="U949" s="269"/>
      <c r="V949" s="285"/>
      <c r="W949" s="286"/>
      <c r="X949" s="267"/>
      <c r="Y949" s="267"/>
      <c r="Z949" s="267"/>
      <c r="AA949" s="267"/>
      <c r="AB949" s="267"/>
      <c r="AC949" s="267"/>
      <c r="AD949" s="261"/>
      <c r="AE949" s="261"/>
      <c r="AF949" s="257"/>
      <c r="AG949" s="257"/>
    </row>
    <row r="950">
      <c r="A950" s="284"/>
      <c r="B950" s="251"/>
      <c r="C950" s="251"/>
      <c r="D950" s="261"/>
      <c r="E950" s="261"/>
      <c r="F950" s="261"/>
      <c r="G950" s="261"/>
      <c r="H950" s="261"/>
      <c r="I950" s="261"/>
      <c r="J950" s="261"/>
      <c r="K950" s="262"/>
      <c r="L950" s="261"/>
      <c r="M950" s="262"/>
      <c r="N950" s="262"/>
      <c r="O950" s="261"/>
      <c r="P950" s="262"/>
      <c r="Q950" s="262"/>
      <c r="R950" s="261"/>
      <c r="S950" s="263"/>
      <c r="T950" s="261"/>
      <c r="U950" s="269"/>
      <c r="V950" s="285"/>
      <c r="W950" s="286"/>
      <c r="X950" s="267"/>
      <c r="Y950" s="267"/>
      <c r="Z950" s="267"/>
      <c r="AA950" s="267"/>
      <c r="AB950" s="267"/>
      <c r="AC950" s="267"/>
      <c r="AD950" s="261"/>
      <c r="AE950" s="261"/>
      <c r="AF950" s="257"/>
      <c r="AG950" s="257"/>
    </row>
    <row r="951">
      <c r="A951" s="284"/>
      <c r="B951" s="251"/>
      <c r="C951" s="251"/>
      <c r="D951" s="261"/>
      <c r="E951" s="261"/>
      <c r="F951" s="261"/>
      <c r="G951" s="261"/>
      <c r="H951" s="261"/>
      <c r="I951" s="261"/>
      <c r="J951" s="261"/>
      <c r="K951" s="262"/>
      <c r="L951" s="261"/>
      <c r="M951" s="262"/>
      <c r="N951" s="262"/>
      <c r="O951" s="261"/>
      <c r="P951" s="262"/>
      <c r="Q951" s="262"/>
      <c r="R951" s="261"/>
      <c r="S951" s="263"/>
      <c r="T951" s="261"/>
      <c r="U951" s="269"/>
      <c r="V951" s="285"/>
      <c r="W951" s="286"/>
      <c r="X951" s="267"/>
      <c r="Y951" s="267"/>
      <c r="Z951" s="267"/>
      <c r="AA951" s="267"/>
      <c r="AB951" s="267"/>
      <c r="AC951" s="267"/>
      <c r="AD951" s="261"/>
      <c r="AE951" s="261"/>
      <c r="AF951" s="257"/>
      <c r="AG951" s="257"/>
    </row>
    <row r="952">
      <c r="A952" s="284"/>
      <c r="B952" s="251"/>
      <c r="C952" s="251"/>
      <c r="D952" s="261"/>
      <c r="E952" s="261"/>
      <c r="F952" s="261"/>
      <c r="G952" s="261"/>
      <c r="H952" s="261"/>
      <c r="I952" s="261"/>
      <c r="J952" s="261"/>
      <c r="K952" s="262"/>
      <c r="L952" s="261"/>
      <c r="M952" s="262"/>
      <c r="N952" s="262"/>
      <c r="O952" s="261"/>
      <c r="P952" s="262"/>
      <c r="Q952" s="262"/>
      <c r="R952" s="261"/>
      <c r="S952" s="263"/>
      <c r="T952" s="261"/>
      <c r="U952" s="269"/>
      <c r="V952" s="285"/>
      <c r="W952" s="286"/>
      <c r="X952" s="267"/>
      <c r="Y952" s="267"/>
      <c r="Z952" s="267"/>
      <c r="AA952" s="267"/>
      <c r="AB952" s="267"/>
      <c r="AC952" s="267"/>
      <c r="AD952" s="261"/>
      <c r="AE952" s="261"/>
      <c r="AF952" s="257"/>
      <c r="AG952" s="257"/>
    </row>
    <row r="953">
      <c r="A953" s="284"/>
      <c r="B953" s="251"/>
      <c r="C953" s="251"/>
      <c r="D953" s="261"/>
      <c r="E953" s="261"/>
      <c r="F953" s="261"/>
      <c r="G953" s="261"/>
      <c r="H953" s="261"/>
      <c r="I953" s="261"/>
      <c r="J953" s="261"/>
      <c r="K953" s="262"/>
      <c r="L953" s="261"/>
      <c r="M953" s="262"/>
      <c r="N953" s="262"/>
      <c r="O953" s="261"/>
      <c r="P953" s="262"/>
      <c r="Q953" s="262"/>
      <c r="R953" s="261"/>
      <c r="S953" s="263"/>
      <c r="T953" s="261"/>
      <c r="U953" s="269"/>
      <c r="V953" s="285"/>
      <c r="W953" s="286"/>
      <c r="X953" s="267"/>
      <c r="Y953" s="267"/>
      <c r="Z953" s="267"/>
      <c r="AA953" s="267"/>
      <c r="AB953" s="267"/>
      <c r="AC953" s="267"/>
      <c r="AD953" s="261"/>
      <c r="AE953" s="261"/>
      <c r="AF953" s="257"/>
      <c r="AG953" s="257"/>
    </row>
    <row r="954">
      <c r="A954" s="284"/>
      <c r="B954" s="251"/>
      <c r="C954" s="251"/>
      <c r="D954" s="261"/>
      <c r="E954" s="261"/>
      <c r="F954" s="261"/>
      <c r="G954" s="261"/>
      <c r="H954" s="261"/>
      <c r="I954" s="261"/>
      <c r="J954" s="261"/>
      <c r="K954" s="262"/>
      <c r="L954" s="261"/>
      <c r="M954" s="262"/>
      <c r="N954" s="262"/>
      <c r="O954" s="261"/>
      <c r="P954" s="262"/>
      <c r="Q954" s="262"/>
      <c r="R954" s="261"/>
      <c r="S954" s="263"/>
      <c r="T954" s="261"/>
      <c r="U954" s="269"/>
      <c r="V954" s="285"/>
      <c r="W954" s="286"/>
      <c r="X954" s="267"/>
      <c r="Y954" s="267"/>
      <c r="Z954" s="267"/>
      <c r="AA954" s="267"/>
      <c r="AB954" s="267"/>
      <c r="AC954" s="267"/>
      <c r="AD954" s="261"/>
      <c r="AE954" s="261"/>
      <c r="AF954" s="257"/>
      <c r="AG954" s="257"/>
    </row>
    <row r="955">
      <c r="A955" s="284"/>
      <c r="B955" s="251"/>
      <c r="C955" s="251"/>
      <c r="D955" s="261"/>
      <c r="E955" s="261"/>
      <c r="F955" s="261"/>
      <c r="G955" s="261"/>
      <c r="H955" s="261"/>
      <c r="I955" s="261"/>
      <c r="J955" s="261"/>
      <c r="K955" s="262"/>
      <c r="L955" s="261"/>
      <c r="M955" s="262"/>
      <c r="N955" s="262"/>
      <c r="O955" s="261"/>
      <c r="P955" s="262"/>
      <c r="Q955" s="262"/>
      <c r="R955" s="261"/>
      <c r="S955" s="263"/>
      <c r="T955" s="261"/>
      <c r="U955" s="269"/>
      <c r="V955" s="285"/>
      <c r="W955" s="286"/>
      <c r="X955" s="267"/>
      <c r="Y955" s="267"/>
      <c r="Z955" s="267"/>
      <c r="AA955" s="267"/>
      <c r="AB955" s="267"/>
      <c r="AC955" s="267"/>
      <c r="AD955" s="261"/>
      <c r="AE955" s="261"/>
      <c r="AF955" s="257"/>
      <c r="AG955" s="257"/>
    </row>
    <row r="956">
      <c r="A956" s="284"/>
      <c r="B956" s="251"/>
      <c r="C956" s="251"/>
      <c r="D956" s="261"/>
      <c r="E956" s="261"/>
      <c r="F956" s="261"/>
      <c r="G956" s="261"/>
      <c r="H956" s="261"/>
      <c r="I956" s="261"/>
      <c r="J956" s="261"/>
      <c r="K956" s="262"/>
      <c r="L956" s="261"/>
      <c r="M956" s="262"/>
      <c r="N956" s="262"/>
      <c r="O956" s="261"/>
      <c r="P956" s="262"/>
      <c r="Q956" s="262"/>
      <c r="R956" s="261"/>
      <c r="S956" s="263"/>
      <c r="T956" s="261"/>
      <c r="U956" s="269"/>
      <c r="V956" s="285"/>
      <c r="W956" s="286"/>
      <c r="X956" s="267"/>
      <c r="Y956" s="267"/>
      <c r="Z956" s="267"/>
      <c r="AA956" s="267"/>
      <c r="AB956" s="267"/>
      <c r="AC956" s="267"/>
      <c r="AD956" s="261"/>
      <c r="AE956" s="261"/>
      <c r="AF956" s="257"/>
      <c r="AG956" s="257"/>
    </row>
    <row r="957">
      <c r="A957" s="284"/>
      <c r="B957" s="251"/>
      <c r="C957" s="251"/>
      <c r="D957" s="261"/>
      <c r="E957" s="261"/>
      <c r="F957" s="261"/>
      <c r="G957" s="261"/>
      <c r="H957" s="261"/>
      <c r="I957" s="261"/>
      <c r="J957" s="261"/>
      <c r="K957" s="262"/>
      <c r="L957" s="261"/>
      <c r="M957" s="262"/>
      <c r="N957" s="262"/>
      <c r="O957" s="261"/>
      <c r="P957" s="262"/>
      <c r="Q957" s="262"/>
      <c r="R957" s="261"/>
      <c r="S957" s="263"/>
      <c r="T957" s="261"/>
      <c r="U957" s="269"/>
      <c r="V957" s="285"/>
      <c r="W957" s="286"/>
      <c r="X957" s="267"/>
      <c r="Y957" s="267"/>
      <c r="Z957" s="267"/>
      <c r="AA957" s="267"/>
      <c r="AB957" s="267"/>
      <c r="AC957" s="267"/>
      <c r="AD957" s="261"/>
      <c r="AE957" s="261"/>
      <c r="AF957" s="257"/>
      <c r="AG957" s="257"/>
    </row>
    <row r="958">
      <c r="A958" s="284"/>
      <c r="B958" s="251"/>
      <c r="C958" s="251"/>
      <c r="D958" s="261"/>
      <c r="E958" s="261"/>
      <c r="F958" s="261"/>
      <c r="G958" s="261"/>
      <c r="H958" s="261"/>
      <c r="I958" s="261"/>
      <c r="J958" s="261"/>
      <c r="K958" s="262"/>
      <c r="L958" s="261"/>
      <c r="M958" s="262"/>
      <c r="N958" s="262"/>
      <c r="O958" s="261"/>
      <c r="P958" s="262"/>
      <c r="Q958" s="262"/>
      <c r="R958" s="261"/>
      <c r="S958" s="263"/>
      <c r="T958" s="261"/>
      <c r="U958" s="269"/>
      <c r="V958" s="285"/>
      <c r="W958" s="286"/>
      <c r="X958" s="267"/>
      <c r="Y958" s="267"/>
      <c r="Z958" s="267"/>
      <c r="AA958" s="267"/>
      <c r="AB958" s="267"/>
      <c r="AC958" s="267"/>
      <c r="AD958" s="261"/>
      <c r="AE958" s="261"/>
      <c r="AF958" s="257"/>
      <c r="AG958" s="257"/>
    </row>
    <row r="959">
      <c r="A959" s="284"/>
      <c r="B959" s="251"/>
      <c r="C959" s="251"/>
      <c r="D959" s="261"/>
      <c r="E959" s="261"/>
      <c r="F959" s="261"/>
      <c r="G959" s="261"/>
      <c r="H959" s="261"/>
      <c r="I959" s="261"/>
      <c r="J959" s="261"/>
      <c r="K959" s="262"/>
      <c r="L959" s="261"/>
      <c r="M959" s="262"/>
      <c r="N959" s="262"/>
      <c r="O959" s="261"/>
      <c r="P959" s="262"/>
      <c r="Q959" s="262"/>
      <c r="R959" s="261"/>
      <c r="S959" s="263"/>
      <c r="T959" s="261"/>
      <c r="U959" s="269"/>
      <c r="V959" s="285"/>
      <c r="W959" s="286"/>
      <c r="X959" s="267"/>
      <c r="Y959" s="267"/>
      <c r="Z959" s="267"/>
      <c r="AA959" s="267"/>
      <c r="AB959" s="267"/>
      <c r="AC959" s="267"/>
      <c r="AD959" s="261"/>
      <c r="AE959" s="261"/>
      <c r="AF959" s="257"/>
      <c r="AG959" s="257"/>
    </row>
    <row r="960">
      <c r="A960" s="284"/>
      <c r="B960" s="251"/>
      <c r="C960" s="251"/>
      <c r="D960" s="261"/>
      <c r="E960" s="261"/>
      <c r="F960" s="261"/>
      <c r="G960" s="261"/>
      <c r="H960" s="261"/>
      <c r="I960" s="261"/>
      <c r="J960" s="261"/>
      <c r="K960" s="262"/>
      <c r="L960" s="261"/>
      <c r="M960" s="262"/>
      <c r="N960" s="262"/>
      <c r="O960" s="261"/>
      <c r="P960" s="262"/>
      <c r="Q960" s="262"/>
      <c r="R960" s="261"/>
      <c r="S960" s="263"/>
      <c r="T960" s="261"/>
      <c r="U960" s="269"/>
      <c r="V960" s="285"/>
      <c r="W960" s="286"/>
      <c r="X960" s="267"/>
      <c r="Y960" s="267"/>
      <c r="Z960" s="267"/>
      <c r="AA960" s="267"/>
      <c r="AB960" s="267"/>
      <c r="AC960" s="267"/>
      <c r="AD960" s="261"/>
      <c r="AE960" s="261"/>
      <c r="AF960" s="257"/>
      <c r="AG960" s="257"/>
    </row>
    <row r="961">
      <c r="A961" s="284"/>
      <c r="B961" s="251"/>
      <c r="C961" s="251"/>
      <c r="D961" s="261"/>
      <c r="E961" s="261"/>
      <c r="F961" s="261"/>
      <c r="G961" s="261"/>
      <c r="H961" s="261"/>
      <c r="I961" s="261"/>
      <c r="J961" s="261"/>
      <c r="K961" s="262"/>
      <c r="L961" s="261"/>
      <c r="M961" s="262"/>
      <c r="N961" s="262"/>
      <c r="O961" s="261"/>
      <c r="P961" s="262"/>
      <c r="Q961" s="262"/>
      <c r="R961" s="261"/>
      <c r="S961" s="263"/>
      <c r="T961" s="261"/>
      <c r="U961" s="269"/>
      <c r="V961" s="285"/>
      <c r="W961" s="286"/>
      <c r="X961" s="267"/>
      <c r="Y961" s="267"/>
      <c r="Z961" s="267"/>
      <c r="AA961" s="267"/>
      <c r="AB961" s="267"/>
      <c r="AC961" s="267"/>
      <c r="AD961" s="261"/>
      <c r="AE961" s="261"/>
      <c r="AF961" s="257"/>
      <c r="AG961" s="257"/>
    </row>
    <row r="962">
      <c r="A962" s="284"/>
      <c r="B962" s="251"/>
      <c r="C962" s="251"/>
      <c r="D962" s="261"/>
      <c r="E962" s="261"/>
      <c r="F962" s="261"/>
      <c r="G962" s="261"/>
      <c r="H962" s="261"/>
      <c r="I962" s="261"/>
      <c r="J962" s="261"/>
      <c r="K962" s="262"/>
      <c r="L962" s="261"/>
      <c r="M962" s="262"/>
      <c r="N962" s="262"/>
      <c r="O962" s="261"/>
      <c r="P962" s="262"/>
      <c r="Q962" s="262"/>
      <c r="R962" s="261"/>
      <c r="S962" s="263"/>
      <c r="T962" s="261"/>
      <c r="U962" s="269"/>
      <c r="V962" s="285"/>
      <c r="W962" s="286"/>
      <c r="X962" s="267"/>
      <c r="Y962" s="267"/>
      <c r="Z962" s="267"/>
      <c r="AA962" s="267"/>
      <c r="AB962" s="267"/>
      <c r="AC962" s="267"/>
      <c r="AD962" s="261"/>
      <c r="AE962" s="261"/>
      <c r="AF962" s="257"/>
      <c r="AG962" s="257"/>
    </row>
    <row r="963">
      <c r="A963" s="284"/>
      <c r="B963" s="251"/>
      <c r="C963" s="251"/>
      <c r="D963" s="261"/>
      <c r="E963" s="261"/>
      <c r="F963" s="261"/>
      <c r="G963" s="261"/>
      <c r="H963" s="261"/>
      <c r="I963" s="261"/>
      <c r="J963" s="261"/>
      <c r="K963" s="262"/>
      <c r="L963" s="261"/>
      <c r="M963" s="262"/>
      <c r="N963" s="262"/>
      <c r="O963" s="261"/>
      <c r="P963" s="262"/>
      <c r="Q963" s="262"/>
      <c r="R963" s="261"/>
      <c r="S963" s="263"/>
      <c r="T963" s="261"/>
      <c r="U963" s="269"/>
      <c r="V963" s="285"/>
      <c r="W963" s="286"/>
      <c r="X963" s="267"/>
      <c r="Y963" s="267"/>
      <c r="Z963" s="267"/>
      <c r="AA963" s="267"/>
      <c r="AB963" s="267"/>
      <c r="AC963" s="267"/>
      <c r="AD963" s="261"/>
      <c r="AE963" s="261"/>
      <c r="AF963" s="257"/>
      <c r="AG963" s="257"/>
    </row>
    <row r="964">
      <c r="A964" s="284"/>
      <c r="B964" s="251"/>
      <c r="C964" s="251"/>
      <c r="D964" s="261"/>
      <c r="E964" s="261"/>
      <c r="F964" s="261"/>
      <c r="G964" s="261"/>
      <c r="H964" s="261"/>
      <c r="I964" s="261"/>
      <c r="J964" s="261"/>
      <c r="K964" s="262"/>
      <c r="L964" s="261"/>
      <c r="M964" s="262"/>
      <c r="N964" s="262"/>
      <c r="O964" s="261"/>
      <c r="P964" s="262"/>
      <c r="Q964" s="262"/>
      <c r="R964" s="261"/>
      <c r="S964" s="263"/>
      <c r="T964" s="261"/>
      <c r="U964" s="269"/>
      <c r="V964" s="285"/>
      <c r="W964" s="286"/>
      <c r="X964" s="267"/>
      <c r="Y964" s="267"/>
      <c r="Z964" s="267"/>
      <c r="AA964" s="267"/>
      <c r="AB964" s="267"/>
      <c r="AC964" s="267"/>
      <c r="AD964" s="261"/>
      <c r="AE964" s="261"/>
      <c r="AF964" s="257"/>
      <c r="AG964" s="257"/>
    </row>
    <row r="965">
      <c r="A965" s="284"/>
      <c r="B965" s="251"/>
      <c r="C965" s="251"/>
      <c r="D965" s="261"/>
      <c r="E965" s="261"/>
      <c r="F965" s="261"/>
      <c r="G965" s="261"/>
      <c r="H965" s="261"/>
      <c r="I965" s="261"/>
      <c r="J965" s="261"/>
      <c r="K965" s="262"/>
      <c r="L965" s="261"/>
      <c r="M965" s="262"/>
      <c r="N965" s="262"/>
      <c r="O965" s="261"/>
      <c r="P965" s="262"/>
      <c r="Q965" s="262"/>
      <c r="R965" s="261"/>
      <c r="S965" s="263"/>
      <c r="T965" s="261"/>
      <c r="U965" s="269"/>
      <c r="V965" s="285"/>
      <c r="W965" s="286"/>
      <c r="X965" s="267"/>
      <c r="Y965" s="267"/>
      <c r="Z965" s="267"/>
      <c r="AA965" s="267"/>
      <c r="AB965" s="267"/>
      <c r="AC965" s="267"/>
      <c r="AD965" s="261"/>
      <c r="AE965" s="261"/>
      <c r="AF965" s="257"/>
      <c r="AG965" s="257"/>
    </row>
    <row r="966">
      <c r="A966" s="284"/>
      <c r="B966" s="251"/>
      <c r="C966" s="251"/>
      <c r="D966" s="261"/>
      <c r="E966" s="261"/>
      <c r="F966" s="261"/>
      <c r="G966" s="261"/>
      <c r="H966" s="261"/>
      <c r="I966" s="261"/>
      <c r="J966" s="261"/>
      <c r="K966" s="262"/>
      <c r="L966" s="261"/>
      <c r="M966" s="262"/>
      <c r="N966" s="262"/>
      <c r="O966" s="261"/>
      <c r="P966" s="262"/>
      <c r="Q966" s="262"/>
      <c r="R966" s="261"/>
      <c r="S966" s="263"/>
      <c r="T966" s="261"/>
      <c r="U966" s="269"/>
      <c r="V966" s="285"/>
      <c r="W966" s="286"/>
      <c r="X966" s="267"/>
      <c r="Y966" s="267"/>
      <c r="Z966" s="267"/>
      <c r="AA966" s="267"/>
      <c r="AB966" s="267"/>
      <c r="AC966" s="267"/>
      <c r="AD966" s="261"/>
      <c r="AE966" s="261"/>
      <c r="AF966" s="257"/>
      <c r="AG966" s="257"/>
    </row>
    <row r="967">
      <c r="A967" s="284"/>
      <c r="B967" s="251"/>
      <c r="C967" s="251"/>
      <c r="D967" s="261"/>
      <c r="E967" s="261"/>
      <c r="F967" s="261"/>
      <c r="G967" s="261"/>
      <c r="H967" s="261"/>
      <c r="I967" s="261"/>
      <c r="J967" s="261"/>
      <c r="K967" s="262"/>
      <c r="L967" s="261"/>
      <c r="M967" s="262"/>
      <c r="N967" s="262"/>
      <c r="O967" s="261"/>
      <c r="P967" s="262"/>
      <c r="Q967" s="262"/>
      <c r="R967" s="261"/>
      <c r="S967" s="263"/>
      <c r="T967" s="261"/>
      <c r="U967" s="269"/>
      <c r="V967" s="285"/>
      <c r="W967" s="286"/>
      <c r="X967" s="267"/>
      <c r="Y967" s="267"/>
      <c r="Z967" s="267"/>
      <c r="AA967" s="267"/>
      <c r="AB967" s="267"/>
      <c r="AC967" s="267"/>
      <c r="AD967" s="261"/>
      <c r="AE967" s="261"/>
      <c r="AF967" s="257"/>
      <c r="AG967" s="257"/>
    </row>
    <row r="968">
      <c r="A968" s="284"/>
      <c r="B968" s="251"/>
      <c r="C968" s="251"/>
      <c r="D968" s="261"/>
      <c r="E968" s="261"/>
      <c r="F968" s="261"/>
      <c r="G968" s="261"/>
      <c r="H968" s="261"/>
      <c r="I968" s="261"/>
      <c r="J968" s="261"/>
      <c r="K968" s="262"/>
      <c r="L968" s="261"/>
      <c r="M968" s="262"/>
      <c r="N968" s="262"/>
      <c r="O968" s="261"/>
      <c r="P968" s="262"/>
      <c r="Q968" s="262"/>
      <c r="R968" s="261"/>
      <c r="S968" s="263"/>
      <c r="T968" s="261"/>
      <c r="U968" s="269"/>
      <c r="V968" s="285"/>
      <c r="W968" s="286"/>
      <c r="X968" s="267"/>
      <c r="Y968" s="267"/>
      <c r="Z968" s="267"/>
      <c r="AA968" s="267"/>
      <c r="AB968" s="267"/>
      <c r="AC968" s="267"/>
      <c r="AD968" s="261"/>
      <c r="AE968" s="261"/>
      <c r="AF968" s="257"/>
      <c r="AG968" s="257"/>
    </row>
    <row r="969">
      <c r="A969" s="284"/>
      <c r="B969" s="251"/>
      <c r="C969" s="251"/>
      <c r="D969" s="261"/>
      <c r="E969" s="261"/>
      <c r="F969" s="261"/>
      <c r="G969" s="261"/>
      <c r="H969" s="261"/>
      <c r="I969" s="261"/>
      <c r="J969" s="261"/>
      <c r="K969" s="262"/>
      <c r="L969" s="261"/>
      <c r="M969" s="262"/>
      <c r="N969" s="262"/>
      <c r="O969" s="261"/>
      <c r="P969" s="262"/>
      <c r="Q969" s="262"/>
      <c r="R969" s="261"/>
      <c r="S969" s="263"/>
      <c r="T969" s="261"/>
      <c r="U969" s="269"/>
      <c r="V969" s="285"/>
      <c r="W969" s="286"/>
      <c r="X969" s="267"/>
      <c r="Y969" s="267"/>
      <c r="Z969" s="267"/>
      <c r="AA969" s="267"/>
      <c r="AB969" s="267"/>
      <c r="AC969" s="267"/>
      <c r="AD969" s="261"/>
      <c r="AE969" s="261"/>
      <c r="AF969" s="257"/>
      <c r="AG969" s="257"/>
    </row>
    <row r="970">
      <c r="A970" s="284"/>
      <c r="B970" s="251"/>
      <c r="C970" s="251"/>
      <c r="D970" s="261"/>
      <c r="E970" s="261"/>
      <c r="F970" s="261"/>
      <c r="G970" s="261"/>
      <c r="H970" s="261"/>
      <c r="I970" s="261"/>
      <c r="J970" s="261"/>
      <c r="K970" s="262"/>
      <c r="L970" s="261"/>
      <c r="M970" s="262"/>
      <c r="N970" s="262"/>
      <c r="O970" s="261"/>
      <c r="P970" s="262"/>
      <c r="Q970" s="262"/>
      <c r="R970" s="261"/>
      <c r="S970" s="263"/>
      <c r="T970" s="261"/>
      <c r="U970" s="269"/>
      <c r="V970" s="285"/>
      <c r="W970" s="286"/>
      <c r="X970" s="267"/>
      <c r="Y970" s="267"/>
      <c r="Z970" s="267"/>
      <c r="AA970" s="267"/>
      <c r="AB970" s="267"/>
      <c r="AC970" s="267"/>
      <c r="AD970" s="261"/>
      <c r="AE970" s="261"/>
      <c r="AF970" s="257"/>
      <c r="AG970" s="257"/>
    </row>
    <row r="971">
      <c r="A971" s="284"/>
      <c r="B971" s="251"/>
      <c r="C971" s="251"/>
      <c r="D971" s="261"/>
      <c r="E971" s="261"/>
      <c r="F971" s="261"/>
      <c r="G971" s="261"/>
      <c r="H971" s="261"/>
      <c r="I971" s="261"/>
      <c r="J971" s="261"/>
      <c r="K971" s="262"/>
      <c r="L971" s="261"/>
      <c r="M971" s="262"/>
      <c r="N971" s="262"/>
      <c r="O971" s="261"/>
      <c r="P971" s="262"/>
      <c r="Q971" s="262"/>
      <c r="R971" s="261"/>
      <c r="S971" s="263"/>
      <c r="T971" s="261"/>
      <c r="U971" s="269"/>
      <c r="V971" s="285"/>
      <c r="W971" s="286"/>
      <c r="X971" s="267"/>
      <c r="Y971" s="267"/>
      <c r="Z971" s="267"/>
      <c r="AA971" s="267"/>
      <c r="AB971" s="267"/>
      <c r="AC971" s="267"/>
      <c r="AD971" s="261"/>
      <c r="AE971" s="261"/>
      <c r="AF971" s="257"/>
      <c r="AG971" s="257"/>
    </row>
    <row r="972">
      <c r="A972" s="284"/>
      <c r="B972" s="251"/>
      <c r="C972" s="251"/>
      <c r="D972" s="261"/>
      <c r="E972" s="261"/>
      <c r="F972" s="261"/>
      <c r="G972" s="261"/>
      <c r="H972" s="261"/>
      <c r="I972" s="261"/>
      <c r="J972" s="261"/>
      <c r="K972" s="262"/>
      <c r="L972" s="261"/>
      <c r="M972" s="262"/>
      <c r="N972" s="262"/>
      <c r="O972" s="261"/>
      <c r="P972" s="262"/>
      <c r="Q972" s="262"/>
      <c r="R972" s="261"/>
      <c r="S972" s="263"/>
      <c r="T972" s="261"/>
      <c r="U972" s="269"/>
      <c r="V972" s="285"/>
      <c r="W972" s="286"/>
      <c r="X972" s="267"/>
      <c r="Y972" s="267"/>
      <c r="Z972" s="267"/>
      <c r="AA972" s="267"/>
      <c r="AB972" s="267"/>
      <c r="AC972" s="267"/>
      <c r="AD972" s="261"/>
      <c r="AE972" s="261"/>
      <c r="AF972" s="257"/>
      <c r="AG972" s="257"/>
    </row>
    <row r="973">
      <c r="A973" s="284"/>
      <c r="B973" s="251"/>
      <c r="C973" s="251"/>
      <c r="D973" s="261"/>
      <c r="E973" s="261"/>
      <c r="F973" s="261"/>
      <c r="G973" s="261"/>
      <c r="H973" s="261"/>
      <c r="I973" s="261"/>
      <c r="J973" s="261"/>
      <c r="K973" s="262"/>
      <c r="L973" s="261"/>
      <c r="M973" s="262"/>
      <c r="N973" s="262"/>
      <c r="O973" s="261"/>
      <c r="P973" s="262"/>
      <c r="Q973" s="262"/>
      <c r="R973" s="261"/>
      <c r="S973" s="263"/>
      <c r="T973" s="261"/>
      <c r="U973" s="269"/>
      <c r="V973" s="285"/>
      <c r="W973" s="286"/>
      <c r="X973" s="267"/>
      <c r="Y973" s="267"/>
      <c r="Z973" s="267"/>
      <c r="AA973" s="267"/>
      <c r="AB973" s="267"/>
      <c r="AC973" s="267"/>
      <c r="AD973" s="261"/>
      <c r="AE973" s="261"/>
      <c r="AF973" s="257"/>
      <c r="AG973" s="257"/>
    </row>
    <row r="974">
      <c r="A974" s="284"/>
      <c r="B974" s="251"/>
      <c r="C974" s="251"/>
      <c r="D974" s="261"/>
      <c r="E974" s="261"/>
      <c r="F974" s="261"/>
      <c r="G974" s="261"/>
      <c r="H974" s="261"/>
      <c r="I974" s="261"/>
      <c r="J974" s="261"/>
      <c r="K974" s="262"/>
      <c r="L974" s="261"/>
      <c r="M974" s="262"/>
      <c r="N974" s="262"/>
      <c r="O974" s="261"/>
      <c r="P974" s="262"/>
      <c r="Q974" s="262"/>
      <c r="R974" s="261"/>
      <c r="S974" s="263"/>
      <c r="T974" s="261"/>
      <c r="U974" s="269"/>
      <c r="V974" s="285"/>
      <c r="W974" s="286"/>
      <c r="X974" s="267"/>
      <c r="Y974" s="267"/>
      <c r="Z974" s="267"/>
      <c r="AA974" s="267"/>
      <c r="AB974" s="267"/>
      <c r="AC974" s="267"/>
      <c r="AD974" s="261"/>
      <c r="AE974" s="261"/>
      <c r="AF974" s="257"/>
      <c r="AG974" s="257"/>
    </row>
    <row r="975">
      <c r="A975" s="284"/>
      <c r="B975" s="251"/>
      <c r="C975" s="251"/>
      <c r="D975" s="261"/>
      <c r="E975" s="261"/>
      <c r="F975" s="261"/>
      <c r="G975" s="261"/>
      <c r="H975" s="261"/>
      <c r="I975" s="261"/>
      <c r="J975" s="261"/>
      <c r="K975" s="262"/>
      <c r="L975" s="261"/>
      <c r="M975" s="262"/>
      <c r="N975" s="262"/>
      <c r="O975" s="261"/>
      <c r="P975" s="262"/>
      <c r="Q975" s="262"/>
      <c r="R975" s="261"/>
      <c r="S975" s="263"/>
      <c r="T975" s="261"/>
      <c r="U975" s="269"/>
      <c r="V975" s="285"/>
      <c r="W975" s="286"/>
      <c r="X975" s="267"/>
      <c r="Y975" s="267"/>
      <c r="Z975" s="267"/>
      <c r="AA975" s="267"/>
      <c r="AB975" s="267"/>
      <c r="AC975" s="267"/>
      <c r="AD975" s="261"/>
      <c r="AE975" s="261"/>
      <c r="AF975" s="257"/>
      <c r="AG975" s="257"/>
    </row>
    <row r="976">
      <c r="A976" s="284"/>
      <c r="B976" s="251"/>
      <c r="C976" s="251"/>
      <c r="D976" s="261"/>
      <c r="E976" s="261"/>
      <c r="F976" s="261"/>
      <c r="G976" s="261"/>
      <c r="H976" s="261"/>
      <c r="I976" s="261"/>
      <c r="J976" s="261"/>
      <c r="K976" s="262"/>
      <c r="L976" s="261"/>
      <c r="M976" s="262"/>
      <c r="N976" s="262"/>
      <c r="O976" s="261"/>
      <c r="P976" s="262"/>
      <c r="Q976" s="262"/>
      <c r="R976" s="261"/>
      <c r="S976" s="263"/>
      <c r="T976" s="261"/>
      <c r="U976" s="269"/>
      <c r="V976" s="285"/>
      <c r="W976" s="286"/>
      <c r="X976" s="267"/>
      <c r="Y976" s="267"/>
      <c r="Z976" s="267"/>
      <c r="AA976" s="267"/>
      <c r="AB976" s="267"/>
      <c r="AC976" s="267"/>
      <c r="AD976" s="261"/>
      <c r="AE976" s="261"/>
      <c r="AF976" s="257"/>
      <c r="AG976" s="257"/>
    </row>
    <row r="977">
      <c r="A977" s="284"/>
      <c r="B977" s="251"/>
      <c r="C977" s="251"/>
      <c r="D977" s="261"/>
      <c r="E977" s="261"/>
      <c r="F977" s="261"/>
      <c r="G977" s="261"/>
      <c r="H977" s="261"/>
      <c r="I977" s="261"/>
      <c r="J977" s="261"/>
      <c r="K977" s="262"/>
      <c r="L977" s="261"/>
      <c r="M977" s="262"/>
      <c r="N977" s="262"/>
      <c r="O977" s="261"/>
      <c r="P977" s="262"/>
      <c r="Q977" s="262"/>
      <c r="R977" s="261"/>
      <c r="S977" s="263"/>
      <c r="T977" s="261"/>
      <c r="U977" s="269"/>
      <c r="V977" s="285"/>
      <c r="W977" s="286"/>
      <c r="X977" s="267"/>
      <c r="Y977" s="267"/>
      <c r="Z977" s="267"/>
      <c r="AA977" s="267"/>
      <c r="AB977" s="267"/>
      <c r="AC977" s="267"/>
      <c r="AD977" s="261"/>
      <c r="AE977" s="261"/>
      <c r="AF977" s="257"/>
      <c r="AG977" s="257"/>
    </row>
    <row r="978">
      <c r="A978" s="284"/>
      <c r="B978" s="251"/>
      <c r="C978" s="251"/>
      <c r="D978" s="261"/>
      <c r="E978" s="261"/>
      <c r="F978" s="261"/>
      <c r="G978" s="261"/>
      <c r="H978" s="261"/>
      <c r="I978" s="261"/>
      <c r="J978" s="261"/>
      <c r="K978" s="262"/>
      <c r="L978" s="261"/>
      <c r="M978" s="262"/>
      <c r="N978" s="262"/>
      <c r="O978" s="261"/>
      <c r="P978" s="262"/>
      <c r="Q978" s="262"/>
      <c r="R978" s="261"/>
      <c r="S978" s="263"/>
      <c r="T978" s="261"/>
      <c r="U978" s="269"/>
      <c r="V978" s="285"/>
      <c r="W978" s="286"/>
      <c r="X978" s="267"/>
      <c r="Y978" s="267"/>
      <c r="Z978" s="267"/>
      <c r="AA978" s="267"/>
      <c r="AB978" s="267"/>
      <c r="AC978" s="267"/>
      <c r="AD978" s="261"/>
      <c r="AE978" s="261"/>
      <c r="AF978" s="257"/>
      <c r="AG978" s="257"/>
    </row>
    <row r="979">
      <c r="A979" s="284"/>
      <c r="B979" s="251"/>
      <c r="C979" s="251"/>
      <c r="D979" s="261"/>
      <c r="E979" s="261"/>
      <c r="F979" s="261"/>
      <c r="G979" s="261"/>
      <c r="H979" s="261"/>
      <c r="I979" s="261"/>
      <c r="J979" s="261"/>
      <c r="K979" s="262"/>
      <c r="L979" s="261"/>
      <c r="M979" s="262"/>
      <c r="N979" s="262"/>
      <c r="O979" s="261"/>
      <c r="P979" s="262"/>
      <c r="Q979" s="262"/>
      <c r="R979" s="261"/>
      <c r="S979" s="263"/>
      <c r="T979" s="261"/>
      <c r="U979" s="269"/>
      <c r="V979" s="285"/>
      <c r="W979" s="286"/>
      <c r="X979" s="267"/>
      <c r="Y979" s="267"/>
      <c r="Z979" s="267"/>
      <c r="AA979" s="267"/>
      <c r="AB979" s="267"/>
      <c r="AC979" s="267"/>
      <c r="AD979" s="261"/>
      <c r="AE979" s="261"/>
      <c r="AF979" s="257"/>
      <c r="AG979" s="257"/>
    </row>
    <row r="980">
      <c r="A980" s="284"/>
      <c r="B980" s="251"/>
      <c r="C980" s="251"/>
      <c r="D980" s="261"/>
      <c r="E980" s="261"/>
      <c r="F980" s="261"/>
      <c r="G980" s="261"/>
      <c r="H980" s="261"/>
      <c r="I980" s="261"/>
      <c r="J980" s="261"/>
      <c r="K980" s="262"/>
      <c r="L980" s="261"/>
      <c r="M980" s="262"/>
      <c r="N980" s="262"/>
      <c r="O980" s="261"/>
      <c r="P980" s="262"/>
      <c r="Q980" s="262"/>
      <c r="R980" s="261"/>
      <c r="S980" s="263"/>
      <c r="T980" s="261"/>
      <c r="U980" s="269"/>
      <c r="V980" s="285"/>
      <c r="W980" s="286"/>
      <c r="X980" s="267"/>
      <c r="Y980" s="267"/>
      <c r="Z980" s="267"/>
      <c r="AA980" s="267"/>
      <c r="AB980" s="267"/>
      <c r="AC980" s="267"/>
      <c r="AD980" s="261"/>
      <c r="AE980" s="261"/>
      <c r="AF980" s="257"/>
      <c r="AG980" s="257"/>
    </row>
    <row r="981">
      <c r="A981" s="284"/>
      <c r="B981" s="251"/>
      <c r="C981" s="251"/>
      <c r="D981" s="261"/>
      <c r="E981" s="261"/>
      <c r="F981" s="261"/>
      <c r="G981" s="261"/>
      <c r="H981" s="261"/>
      <c r="I981" s="261"/>
      <c r="J981" s="261"/>
      <c r="K981" s="262"/>
      <c r="L981" s="261"/>
      <c r="M981" s="262"/>
      <c r="N981" s="262"/>
      <c r="O981" s="261"/>
      <c r="P981" s="262"/>
      <c r="Q981" s="262"/>
      <c r="R981" s="261"/>
      <c r="S981" s="263"/>
      <c r="T981" s="261"/>
      <c r="U981" s="269"/>
      <c r="V981" s="285"/>
      <c r="W981" s="286"/>
      <c r="X981" s="267"/>
      <c r="Y981" s="267"/>
      <c r="Z981" s="267"/>
      <c r="AA981" s="267"/>
      <c r="AB981" s="267"/>
      <c r="AC981" s="267"/>
      <c r="AD981" s="261"/>
      <c r="AE981" s="261"/>
      <c r="AF981" s="257"/>
      <c r="AG981" s="257"/>
    </row>
    <row r="982">
      <c r="A982" s="284"/>
      <c r="B982" s="251"/>
      <c r="C982" s="251"/>
      <c r="D982" s="261"/>
      <c r="E982" s="261"/>
      <c r="F982" s="261"/>
      <c r="G982" s="261"/>
      <c r="H982" s="261"/>
      <c r="I982" s="261"/>
      <c r="J982" s="261"/>
      <c r="K982" s="262"/>
      <c r="L982" s="261"/>
      <c r="M982" s="262"/>
      <c r="N982" s="262"/>
      <c r="O982" s="261"/>
      <c r="P982" s="262"/>
      <c r="Q982" s="262"/>
      <c r="R982" s="261"/>
      <c r="S982" s="263"/>
      <c r="T982" s="261"/>
      <c r="U982" s="269"/>
      <c r="V982" s="285"/>
      <c r="W982" s="286"/>
      <c r="X982" s="267"/>
      <c r="Y982" s="267"/>
      <c r="Z982" s="267"/>
      <c r="AA982" s="267"/>
      <c r="AB982" s="267"/>
      <c r="AC982" s="267"/>
      <c r="AD982" s="261"/>
      <c r="AE982" s="261"/>
      <c r="AF982" s="257"/>
      <c r="AG982" s="257"/>
    </row>
    <row r="983">
      <c r="A983" s="284"/>
      <c r="B983" s="251"/>
      <c r="C983" s="251"/>
      <c r="D983" s="261"/>
      <c r="E983" s="261"/>
      <c r="F983" s="261"/>
      <c r="G983" s="261"/>
      <c r="H983" s="261"/>
      <c r="I983" s="261"/>
      <c r="J983" s="261"/>
      <c r="K983" s="262"/>
      <c r="L983" s="261"/>
      <c r="M983" s="262"/>
      <c r="N983" s="262"/>
      <c r="O983" s="261"/>
      <c r="P983" s="262"/>
      <c r="Q983" s="262"/>
      <c r="R983" s="261"/>
      <c r="S983" s="263"/>
      <c r="T983" s="261"/>
      <c r="U983" s="269"/>
      <c r="V983" s="285"/>
      <c r="W983" s="286"/>
      <c r="X983" s="267"/>
      <c r="Y983" s="267"/>
      <c r="Z983" s="267"/>
      <c r="AA983" s="267"/>
      <c r="AB983" s="267"/>
      <c r="AC983" s="267"/>
      <c r="AD983" s="261"/>
      <c r="AE983" s="261"/>
      <c r="AF983" s="257"/>
      <c r="AG983" s="257"/>
    </row>
    <row r="984">
      <c r="A984" s="284"/>
      <c r="B984" s="251"/>
      <c r="C984" s="251"/>
      <c r="D984" s="261"/>
      <c r="E984" s="261"/>
      <c r="F984" s="261"/>
      <c r="G984" s="261"/>
      <c r="H984" s="261"/>
      <c r="I984" s="261"/>
      <c r="J984" s="261"/>
      <c r="K984" s="262"/>
      <c r="L984" s="261"/>
      <c r="M984" s="262"/>
      <c r="N984" s="262"/>
      <c r="O984" s="261"/>
      <c r="P984" s="262"/>
      <c r="Q984" s="262"/>
      <c r="R984" s="261"/>
      <c r="S984" s="263"/>
      <c r="T984" s="261"/>
      <c r="U984" s="269"/>
      <c r="V984" s="285"/>
      <c r="W984" s="286"/>
      <c r="X984" s="267"/>
      <c r="Y984" s="267"/>
      <c r="Z984" s="267"/>
      <c r="AA984" s="267"/>
      <c r="AB984" s="267"/>
      <c r="AC984" s="267"/>
      <c r="AD984" s="261"/>
      <c r="AE984" s="261"/>
      <c r="AF984" s="257"/>
      <c r="AG984" s="257"/>
    </row>
    <row r="985">
      <c r="A985" s="284"/>
      <c r="B985" s="251"/>
      <c r="C985" s="251"/>
      <c r="D985" s="261"/>
      <c r="E985" s="261"/>
      <c r="F985" s="261"/>
      <c r="G985" s="261"/>
      <c r="H985" s="261"/>
      <c r="I985" s="261"/>
      <c r="J985" s="261"/>
      <c r="K985" s="262"/>
      <c r="L985" s="261"/>
      <c r="M985" s="262"/>
      <c r="N985" s="262"/>
      <c r="O985" s="261"/>
      <c r="P985" s="262"/>
      <c r="Q985" s="262"/>
      <c r="R985" s="261"/>
      <c r="S985" s="263"/>
      <c r="T985" s="261"/>
      <c r="U985" s="269"/>
      <c r="V985" s="285"/>
      <c r="W985" s="286"/>
      <c r="X985" s="267"/>
      <c r="Y985" s="267"/>
      <c r="Z985" s="267"/>
      <c r="AA985" s="267"/>
      <c r="AB985" s="267"/>
      <c r="AC985" s="267"/>
      <c r="AD985" s="261"/>
      <c r="AE985" s="261"/>
      <c r="AF985" s="257"/>
      <c r="AG985" s="257"/>
    </row>
    <row r="986">
      <c r="A986" s="284"/>
      <c r="B986" s="251"/>
      <c r="C986" s="251"/>
      <c r="D986" s="261"/>
      <c r="E986" s="261"/>
      <c r="F986" s="261"/>
      <c r="G986" s="261"/>
      <c r="H986" s="261"/>
      <c r="I986" s="261"/>
      <c r="J986" s="261"/>
      <c r="K986" s="262"/>
      <c r="L986" s="261"/>
      <c r="M986" s="262"/>
      <c r="N986" s="262"/>
      <c r="O986" s="261"/>
      <c r="P986" s="262"/>
      <c r="Q986" s="262"/>
      <c r="R986" s="261"/>
      <c r="S986" s="263"/>
      <c r="T986" s="261"/>
      <c r="U986" s="269"/>
      <c r="V986" s="285"/>
      <c r="W986" s="286"/>
      <c r="X986" s="267"/>
      <c r="Y986" s="267"/>
      <c r="Z986" s="267"/>
      <c r="AA986" s="267"/>
      <c r="AB986" s="267"/>
      <c r="AC986" s="267"/>
      <c r="AD986" s="261"/>
      <c r="AE986" s="261"/>
      <c r="AF986" s="257"/>
      <c r="AG986" s="257"/>
    </row>
    <row r="987">
      <c r="A987" s="284"/>
      <c r="B987" s="251"/>
      <c r="C987" s="251"/>
      <c r="D987" s="261"/>
      <c r="E987" s="261"/>
      <c r="F987" s="261"/>
      <c r="G987" s="261"/>
      <c r="H987" s="261"/>
      <c r="I987" s="261"/>
      <c r="J987" s="261"/>
      <c r="K987" s="262"/>
      <c r="L987" s="261"/>
      <c r="M987" s="262"/>
      <c r="N987" s="262"/>
      <c r="O987" s="261"/>
      <c r="P987" s="262"/>
      <c r="Q987" s="262"/>
      <c r="R987" s="261"/>
      <c r="S987" s="263"/>
      <c r="T987" s="261"/>
      <c r="U987" s="269"/>
      <c r="V987" s="285"/>
      <c r="W987" s="286"/>
      <c r="X987" s="267"/>
      <c r="Y987" s="267"/>
      <c r="Z987" s="267"/>
      <c r="AA987" s="267"/>
      <c r="AB987" s="267"/>
      <c r="AC987" s="267"/>
      <c r="AD987" s="261"/>
      <c r="AE987" s="261"/>
      <c r="AF987" s="257"/>
      <c r="AG987" s="257"/>
    </row>
    <row r="988">
      <c r="A988" s="284"/>
      <c r="B988" s="251"/>
      <c r="C988" s="251"/>
      <c r="D988" s="261"/>
      <c r="E988" s="261"/>
      <c r="F988" s="261"/>
      <c r="G988" s="261"/>
      <c r="H988" s="261"/>
      <c r="I988" s="261"/>
      <c r="J988" s="261"/>
      <c r="K988" s="262"/>
      <c r="L988" s="261"/>
      <c r="M988" s="262"/>
      <c r="N988" s="262"/>
      <c r="O988" s="261"/>
      <c r="P988" s="262"/>
      <c r="Q988" s="262"/>
      <c r="R988" s="261"/>
      <c r="S988" s="263"/>
      <c r="T988" s="261"/>
      <c r="U988" s="269"/>
      <c r="V988" s="285"/>
      <c r="W988" s="286"/>
      <c r="X988" s="267"/>
      <c r="Y988" s="267"/>
      <c r="Z988" s="267"/>
      <c r="AA988" s="267"/>
      <c r="AB988" s="267"/>
      <c r="AC988" s="267"/>
      <c r="AD988" s="261"/>
      <c r="AE988" s="261"/>
      <c r="AF988" s="257"/>
      <c r="AG988" s="257"/>
    </row>
    <row r="989">
      <c r="A989" s="284"/>
      <c r="B989" s="251"/>
      <c r="C989" s="251"/>
      <c r="D989" s="261"/>
      <c r="E989" s="261"/>
      <c r="F989" s="261"/>
      <c r="G989" s="261"/>
      <c r="H989" s="261"/>
      <c r="I989" s="261"/>
      <c r="J989" s="261"/>
      <c r="K989" s="262"/>
      <c r="L989" s="261"/>
      <c r="M989" s="262"/>
      <c r="N989" s="262"/>
      <c r="O989" s="261"/>
      <c r="P989" s="262"/>
      <c r="Q989" s="262"/>
      <c r="R989" s="261"/>
      <c r="S989" s="263"/>
      <c r="T989" s="261"/>
      <c r="U989" s="269"/>
      <c r="V989" s="285"/>
      <c r="W989" s="286"/>
      <c r="X989" s="267"/>
      <c r="Y989" s="267"/>
      <c r="Z989" s="267"/>
      <c r="AA989" s="267"/>
      <c r="AB989" s="267"/>
      <c r="AC989" s="267"/>
      <c r="AD989" s="261"/>
      <c r="AE989" s="261"/>
      <c r="AF989" s="257"/>
      <c r="AG989" s="257"/>
    </row>
    <row r="990">
      <c r="A990" s="284"/>
      <c r="B990" s="251"/>
      <c r="C990" s="251"/>
      <c r="D990" s="261"/>
      <c r="E990" s="261"/>
      <c r="F990" s="261"/>
      <c r="G990" s="261"/>
      <c r="H990" s="261"/>
      <c r="I990" s="261"/>
      <c r="J990" s="261"/>
      <c r="K990" s="262"/>
      <c r="L990" s="261"/>
      <c r="M990" s="262"/>
      <c r="N990" s="262"/>
      <c r="O990" s="261"/>
      <c r="P990" s="262"/>
      <c r="Q990" s="262"/>
      <c r="R990" s="261"/>
      <c r="S990" s="263"/>
      <c r="T990" s="261"/>
      <c r="U990" s="269"/>
      <c r="V990" s="285"/>
      <c r="W990" s="286"/>
      <c r="X990" s="267"/>
      <c r="Y990" s="267"/>
      <c r="Z990" s="267"/>
      <c r="AA990" s="267"/>
      <c r="AB990" s="267"/>
      <c r="AC990" s="267"/>
      <c r="AD990" s="261"/>
      <c r="AE990" s="261"/>
      <c r="AF990" s="257"/>
      <c r="AG990" s="257"/>
    </row>
    <row r="991">
      <c r="A991" s="284"/>
      <c r="B991" s="251"/>
      <c r="C991" s="251"/>
      <c r="D991" s="261"/>
      <c r="E991" s="261"/>
      <c r="F991" s="261"/>
      <c r="G991" s="261"/>
      <c r="H991" s="261"/>
      <c r="I991" s="261"/>
      <c r="J991" s="261"/>
      <c r="K991" s="262"/>
      <c r="L991" s="261"/>
      <c r="M991" s="262"/>
      <c r="N991" s="262"/>
      <c r="O991" s="261"/>
      <c r="P991" s="262"/>
      <c r="Q991" s="262"/>
      <c r="R991" s="261"/>
      <c r="S991" s="263"/>
      <c r="T991" s="261"/>
      <c r="U991" s="269"/>
      <c r="V991" s="285"/>
      <c r="W991" s="286"/>
      <c r="X991" s="267"/>
      <c r="Y991" s="267"/>
      <c r="Z991" s="267"/>
      <c r="AA991" s="267"/>
      <c r="AB991" s="267"/>
      <c r="AC991" s="267"/>
      <c r="AD991" s="261"/>
      <c r="AE991" s="261"/>
      <c r="AF991" s="257"/>
      <c r="AG991" s="257"/>
    </row>
    <row r="992">
      <c r="A992" s="284"/>
      <c r="B992" s="251"/>
      <c r="C992" s="251"/>
      <c r="D992" s="261"/>
      <c r="E992" s="261"/>
      <c r="F992" s="261"/>
      <c r="G992" s="261"/>
      <c r="H992" s="261"/>
      <c r="I992" s="261"/>
      <c r="J992" s="261"/>
      <c r="K992" s="262"/>
      <c r="L992" s="261"/>
      <c r="M992" s="262"/>
      <c r="N992" s="262"/>
      <c r="O992" s="261"/>
      <c r="P992" s="262"/>
      <c r="Q992" s="262"/>
      <c r="R992" s="261"/>
      <c r="S992" s="263"/>
      <c r="T992" s="261"/>
      <c r="U992" s="269"/>
      <c r="V992" s="285"/>
      <c r="W992" s="286"/>
      <c r="X992" s="267"/>
      <c r="Y992" s="267"/>
      <c r="Z992" s="267"/>
      <c r="AA992" s="267"/>
      <c r="AB992" s="267"/>
      <c r="AC992" s="267"/>
      <c r="AD992" s="261"/>
      <c r="AE992" s="261"/>
      <c r="AF992" s="257"/>
      <c r="AG992" s="257"/>
    </row>
    <row r="993">
      <c r="A993" s="284"/>
      <c r="B993" s="251"/>
      <c r="C993" s="251"/>
      <c r="D993" s="261"/>
      <c r="E993" s="261"/>
      <c r="F993" s="261"/>
      <c r="G993" s="261"/>
      <c r="H993" s="261"/>
      <c r="I993" s="261"/>
      <c r="J993" s="261"/>
      <c r="K993" s="262"/>
      <c r="L993" s="261"/>
      <c r="M993" s="262"/>
      <c r="N993" s="262"/>
      <c r="O993" s="261"/>
      <c r="P993" s="262"/>
      <c r="Q993" s="262"/>
      <c r="R993" s="261"/>
      <c r="S993" s="263"/>
      <c r="T993" s="261"/>
      <c r="U993" s="269"/>
      <c r="V993" s="285"/>
      <c r="W993" s="286"/>
      <c r="X993" s="267"/>
      <c r="Y993" s="267"/>
      <c r="Z993" s="267"/>
      <c r="AA993" s="267"/>
      <c r="AB993" s="267"/>
      <c r="AC993" s="267"/>
      <c r="AD993" s="261"/>
      <c r="AE993" s="261"/>
      <c r="AF993" s="257"/>
      <c r="AG993" s="257"/>
    </row>
    <row r="994">
      <c r="A994" s="284"/>
      <c r="B994" s="251"/>
      <c r="C994" s="251"/>
      <c r="D994" s="261"/>
      <c r="E994" s="261"/>
      <c r="F994" s="261"/>
      <c r="G994" s="261"/>
      <c r="H994" s="261"/>
      <c r="I994" s="261"/>
      <c r="J994" s="261"/>
      <c r="K994" s="262"/>
      <c r="L994" s="261"/>
      <c r="M994" s="262"/>
      <c r="N994" s="262"/>
      <c r="O994" s="261"/>
      <c r="P994" s="262"/>
      <c r="Q994" s="262"/>
      <c r="R994" s="261"/>
      <c r="S994" s="263"/>
      <c r="T994" s="261"/>
      <c r="U994" s="269"/>
      <c r="V994" s="285"/>
      <c r="W994" s="286"/>
      <c r="X994" s="267"/>
      <c r="Y994" s="267"/>
      <c r="Z994" s="267"/>
      <c r="AA994" s="267"/>
      <c r="AB994" s="267"/>
      <c r="AC994" s="267"/>
      <c r="AD994" s="261"/>
      <c r="AE994" s="261"/>
      <c r="AF994" s="257"/>
      <c r="AG994" s="257"/>
    </row>
    <row r="995">
      <c r="A995" s="284"/>
      <c r="B995" s="251"/>
      <c r="C995" s="251"/>
      <c r="D995" s="261"/>
      <c r="E995" s="261"/>
      <c r="F995" s="261"/>
      <c r="G995" s="261"/>
      <c r="H995" s="261"/>
      <c r="I995" s="261"/>
      <c r="J995" s="261"/>
      <c r="K995" s="262"/>
      <c r="L995" s="261"/>
      <c r="M995" s="262"/>
      <c r="N995" s="262"/>
      <c r="O995" s="261"/>
      <c r="P995" s="262"/>
      <c r="Q995" s="262"/>
      <c r="R995" s="261"/>
      <c r="S995" s="263"/>
      <c r="T995" s="261"/>
      <c r="U995" s="269"/>
      <c r="V995" s="285"/>
      <c r="W995" s="286"/>
      <c r="X995" s="267"/>
      <c r="Y995" s="267"/>
      <c r="Z995" s="267"/>
      <c r="AA995" s="267"/>
      <c r="AB995" s="267"/>
      <c r="AC995" s="267"/>
      <c r="AD995" s="261"/>
      <c r="AE995" s="261"/>
      <c r="AF995" s="257"/>
      <c r="AG995" s="257"/>
    </row>
    <row r="996">
      <c r="A996" s="284"/>
      <c r="B996" s="251"/>
      <c r="C996" s="251"/>
      <c r="D996" s="261"/>
      <c r="E996" s="261"/>
      <c r="F996" s="261"/>
      <c r="G996" s="261"/>
      <c r="H996" s="261"/>
      <c r="I996" s="261"/>
      <c r="J996" s="261"/>
      <c r="K996" s="262"/>
      <c r="L996" s="261"/>
      <c r="M996" s="262"/>
      <c r="N996" s="262"/>
      <c r="O996" s="261"/>
      <c r="P996" s="262"/>
      <c r="Q996" s="262"/>
      <c r="R996" s="261"/>
      <c r="S996" s="263"/>
      <c r="T996" s="261"/>
      <c r="U996" s="269"/>
      <c r="V996" s="285"/>
      <c r="W996" s="286"/>
      <c r="X996" s="267"/>
      <c r="Y996" s="267"/>
      <c r="Z996" s="267"/>
      <c r="AA996" s="267"/>
      <c r="AB996" s="267"/>
      <c r="AC996" s="267"/>
      <c r="AD996" s="261"/>
      <c r="AE996" s="261"/>
      <c r="AF996" s="257"/>
      <c r="AG996" s="257"/>
    </row>
    <row r="997">
      <c r="A997" s="284"/>
      <c r="B997" s="251"/>
      <c r="C997" s="251"/>
      <c r="D997" s="261"/>
      <c r="E997" s="261"/>
      <c r="F997" s="261"/>
      <c r="G997" s="261"/>
      <c r="H997" s="261"/>
      <c r="I997" s="261"/>
      <c r="J997" s="261"/>
      <c r="K997" s="262"/>
      <c r="L997" s="261"/>
      <c r="M997" s="262"/>
      <c r="N997" s="262"/>
      <c r="O997" s="261"/>
      <c r="P997" s="262"/>
      <c r="Q997" s="262"/>
      <c r="R997" s="261"/>
      <c r="S997" s="263"/>
      <c r="T997" s="261"/>
      <c r="U997" s="269"/>
      <c r="V997" s="285"/>
      <c r="W997" s="286"/>
      <c r="X997" s="267"/>
      <c r="Y997" s="267"/>
      <c r="Z997" s="267"/>
      <c r="AA997" s="267"/>
      <c r="AB997" s="267"/>
      <c r="AC997" s="267"/>
      <c r="AD997" s="261"/>
      <c r="AE997" s="261"/>
      <c r="AF997" s="257"/>
      <c r="AG997" s="257"/>
    </row>
    <row r="998">
      <c r="A998" s="284"/>
      <c r="B998" s="251"/>
      <c r="C998" s="251"/>
      <c r="D998" s="261"/>
      <c r="E998" s="261"/>
      <c r="F998" s="261"/>
      <c r="G998" s="261"/>
      <c r="H998" s="261"/>
      <c r="I998" s="261"/>
      <c r="J998" s="261"/>
      <c r="K998" s="262"/>
      <c r="L998" s="261"/>
      <c r="M998" s="262"/>
      <c r="N998" s="262"/>
      <c r="O998" s="261"/>
      <c r="P998" s="262"/>
      <c r="Q998" s="262"/>
      <c r="R998" s="261"/>
      <c r="S998" s="263"/>
      <c r="T998" s="261"/>
      <c r="U998" s="269"/>
      <c r="V998" s="285"/>
      <c r="W998" s="286"/>
      <c r="X998" s="267"/>
      <c r="Y998" s="267"/>
      <c r="Z998" s="267"/>
      <c r="AA998" s="267"/>
      <c r="AB998" s="267"/>
      <c r="AC998" s="267"/>
      <c r="AD998" s="261"/>
      <c r="AE998" s="261"/>
      <c r="AF998" s="257"/>
      <c r="AG998" s="257"/>
    </row>
    <row r="999">
      <c r="A999" s="284"/>
      <c r="B999" s="251"/>
      <c r="C999" s="251"/>
      <c r="D999" s="261"/>
      <c r="E999" s="261"/>
      <c r="F999" s="261"/>
      <c r="G999" s="261"/>
      <c r="H999" s="261"/>
      <c r="I999" s="261"/>
      <c r="J999" s="261"/>
      <c r="K999" s="262"/>
      <c r="L999" s="261"/>
      <c r="M999" s="262"/>
      <c r="N999" s="262"/>
      <c r="O999" s="261"/>
      <c r="P999" s="262"/>
      <c r="Q999" s="262"/>
      <c r="R999" s="261"/>
      <c r="S999" s="263"/>
      <c r="T999" s="261"/>
      <c r="U999" s="269"/>
      <c r="V999" s="285"/>
      <c r="W999" s="286"/>
      <c r="X999" s="267"/>
      <c r="Y999" s="267"/>
      <c r="Z999" s="267"/>
      <c r="AA999" s="267"/>
      <c r="AB999" s="267"/>
      <c r="AC999" s="267"/>
      <c r="AD999" s="261"/>
      <c r="AE999" s="261"/>
      <c r="AF999" s="257"/>
      <c r="AG999" s="257"/>
    </row>
    <row r="1000">
      <c r="A1000" s="284"/>
      <c r="B1000" s="251"/>
      <c r="C1000" s="251"/>
      <c r="D1000" s="261"/>
      <c r="E1000" s="261"/>
      <c r="F1000" s="261"/>
      <c r="G1000" s="261"/>
      <c r="H1000" s="261"/>
      <c r="I1000" s="261"/>
      <c r="J1000" s="261"/>
      <c r="K1000" s="262"/>
      <c r="L1000" s="261"/>
      <c r="M1000" s="262"/>
      <c r="N1000" s="262"/>
      <c r="O1000" s="261"/>
      <c r="P1000" s="262"/>
      <c r="Q1000" s="262"/>
      <c r="R1000" s="261"/>
      <c r="S1000" s="263"/>
      <c r="T1000" s="261"/>
      <c r="U1000" s="269"/>
      <c r="V1000" s="285"/>
      <c r="W1000" s="286"/>
      <c r="X1000" s="267"/>
      <c r="Y1000" s="267"/>
      <c r="Z1000" s="267"/>
      <c r="AA1000" s="267"/>
      <c r="AB1000" s="267"/>
      <c r="AC1000" s="267"/>
      <c r="AD1000" s="261"/>
      <c r="AE1000" s="261"/>
      <c r="AF1000" s="257"/>
      <c r="AG1000" s="257"/>
    </row>
    <row r="1001">
      <c r="A1001" s="284"/>
      <c r="B1001" s="251"/>
      <c r="C1001" s="251"/>
      <c r="D1001" s="261"/>
      <c r="E1001" s="261"/>
      <c r="F1001" s="261"/>
      <c r="G1001" s="261"/>
      <c r="H1001" s="261"/>
      <c r="I1001" s="261"/>
      <c r="J1001" s="261"/>
      <c r="K1001" s="262"/>
      <c r="L1001" s="261"/>
      <c r="M1001" s="262"/>
      <c r="N1001" s="262"/>
      <c r="O1001" s="261"/>
      <c r="P1001" s="262"/>
      <c r="Q1001" s="262"/>
      <c r="R1001" s="261"/>
      <c r="S1001" s="263"/>
      <c r="T1001" s="261"/>
      <c r="U1001" s="269"/>
      <c r="V1001" s="285"/>
      <c r="W1001" s="286"/>
      <c r="X1001" s="267"/>
      <c r="Y1001" s="267"/>
      <c r="Z1001" s="267"/>
      <c r="AA1001" s="267"/>
      <c r="AB1001" s="267"/>
      <c r="AC1001" s="267"/>
      <c r="AD1001" s="261"/>
      <c r="AE1001" s="261"/>
      <c r="AF1001" s="257"/>
      <c r="AG1001" s="257"/>
    </row>
    <row r="1002">
      <c r="A1002" s="284"/>
      <c r="B1002" s="251"/>
      <c r="C1002" s="251"/>
      <c r="D1002" s="261"/>
      <c r="E1002" s="261"/>
      <c r="F1002" s="261"/>
      <c r="G1002" s="261"/>
      <c r="H1002" s="261"/>
      <c r="I1002" s="261"/>
      <c r="J1002" s="261"/>
      <c r="K1002" s="262"/>
      <c r="L1002" s="261"/>
      <c r="M1002" s="262"/>
      <c r="N1002" s="262"/>
      <c r="O1002" s="261"/>
      <c r="P1002" s="262"/>
      <c r="Q1002" s="262"/>
      <c r="R1002" s="261"/>
      <c r="S1002" s="263"/>
      <c r="T1002" s="261"/>
      <c r="U1002" s="269"/>
      <c r="V1002" s="285"/>
      <c r="W1002" s="286"/>
      <c r="X1002" s="267"/>
      <c r="Y1002" s="267"/>
      <c r="Z1002" s="267"/>
      <c r="AA1002" s="267"/>
      <c r="AB1002" s="267"/>
      <c r="AC1002" s="267"/>
      <c r="AD1002" s="261"/>
      <c r="AE1002" s="261"/>
      <c r="AF1002" s="257"/>
      <c r="AG1002" s="257"/>
    </row>
    <row r="1003">
      <c r="A1003" s="284"/>
      <c r="B1003" s="251"/>
      <c r="C1003" s="251"/>
      <c r="D1003" s="261"/>
      <c r="E1003" s="261"/>
      <c r="F1003" s="261"/>
      <c r="G1003" s="261"/>
      <c r="H1003" s="261"/>
      <c r="I1003" s="261"/>
      <c r="J1003" s="261"/>
      <c r="K1003" s="262"/>
      <c r="L1003" s="261"/>
      <c r="M1003" s="262"/>
      <c r="N1003" s="262"/>
      <c r="O1003" s="261"/>
      <c r="P1003" s="262"/>
      <c r="Q1003" s="262"/>
      <c r="R1003" s="261"/>
      <c r="S1003" s="263"/>
      <c r="T1003" s="261"/>
      <c r="U1003" s="269"/>
      <c r="V1003" s="285"/>
      <c r="W1003" s="286"/>
      <c r="X1003" s="267"/>
      <c r="Y1003" s="267"/>
      <c r="Z1003" s="267"/>
      <c r="AA1003" s="267"/>
      <c r="AB1003" s="267"/>
      <c r="AC1003" s="267"/>
      <c r="AD1003" s="261"/>
      <c r="AE1003" s="261"/>
      <c r="AF1003" s="257"/>
      <c r="AG1003" s="257"/>
    </row>
    <row r="1004">
      <c r="A1004" s="284"/>
      <c r="B1004" s="251"/>
      <c r="C1004" s="251"/>
      <c r="D1004" s="261"/>
      <c r="E1004" s="261"/>
      <c r="F1004" s="261"/>
      <c r="G1004" s="261"/>
      <c r="H1004" s="261"/>
      <c r="I1004" s="261"/>
      <c r="J1004" s="261"/>
      <c r="K1004" s="262"/>
      <c r="L1004" s="261"/>
      <c r="M1004" s="262"/>
      <c r="N1004" s="262"/>
      <c r="O1004" s="261"/>
      <c r="P1004" s="262"/>
      <c r="Q1004" s="262"/>
      <c r="R1004" s="261"/>
      <c r="S1004" s="263"/>
      <c r="T1004" s="261"/>
      <c r="U1004" s="269"/>
      <c r="V1004" s="285"/>
      <c r="W1004" s="286"/>
      <c r="X1004" s="267"/>
      <c r="Y1004" s="267"/>
      <c r="Z1004" s="267"/>
      <c r="AA1004" s="267"/>
      <c r="AB1004" s="267"/>
      <c r="AC1004" s="267"/>
      <c r="AD1004" s="261"/>
      <c r="AE1004" s="261"/>
      <c r="AF1004" s="257"/>
      <c r="AG1004" s="257"/>
    </row>
    <row r="1005">
      <c r="A1005" s="284"/>
      <c r="B1005" s="251"/>
      <c r="C1005" s="251"/>
      <c r="D1005" s="261"/>
      <c r="E1005" s="261"/>
      <c r="F1005" s="261"/>
      <c r="G1005" s="261"/>
      <c r="H1005" s="261"/>
      <c r="I1005" s="261"/>
      <c r="J1005" s="261"/>
      <c r="K1005" s="262"/>
      <c r="L1005" s="261"/>
      <c r="M1005" s="262"/>
      <c r="N1005" s="262"/>
      <c r="O1005" s="261"/>
      <c r="P1005" s="262"/>
      <c r="Q1005" s="262"/>
      <c r="R1005" s="261"/>
      <c r="S1005" s="263"/>
      <c r="T1005" s="261"/>
      <c r="U1005" s="269"/>
      <c r="V1005" s="285"/>
      <c r="W1005" s="286"/>
      <c r="X1005" s="267"/>
      <c r="Y1005" s="267"/>
      <c r="Z1005" s="267"/>
      <c r="AA1005" s="267"/>
      <c r="AB1005" s="267"/>
      <c r="AC1005" s="267"/>
      <c r="AD1005" s="261"/>
      <c r="AE1005" s="261"/>
      <c r="AF1005" s="257"/>
      <c r="AG1005" s="257"/>
    </row>
    <row r="1006">
      <c r="A1006" s="284"/>
      <c r="B1006" s="251"/>
      <c r="C1006" s="251"/>
      <c r="D1006" s="261"/>
      <c r="E1006" s="261"/>
      <c r="F1006" s="261"/>
      <c r="G1006" s="261"/>
      <c r="H1006" s="261"/>
      <c r="I1006" s="261"/>
      <c r="J1006" s="261"/>
      <c r="K1006" s="262"/>
      <c r="L1006" s="261"/>
      <c r="M1006" s="262"/>
      <c r="N1006" s="262"/>
      <c r="O1006" s="261"/>
      <c r="P1006" s="262"/>
      <c r="Q1006" s="262"/>
      <c r="R1006" s="261"/>
      <c r="S1006" s="263"/>
      <c r="T1006" s="261"/>
      <c r="U1006" s="269"/>
      <c r="V1006" s="285"/>
      <c r="W1006" s="286"/>
      <c r="X1006" s="267"/>
      <c r="Y1006" s="267"/>
      <c r="Z1006" s="267"/>
      <c r="AA1006" s="267"/>
      <c r="AB1006" s="267"/>
      <c r="AC1006" s="267"/>
      <c r="AD1006" s="261"/>
      <c r="AE1006" s="261"/>
      <c r="AF1006" s="257"/>
      <c r="AG1006" s="257"/>
    </row>
    <row r="1007">
      <c r="A1007" s="284"/>
      <c r="B1007" s="251"/>
      <c r="C1007" s="251"/>
      <c r="D1007" s="261"/>
      <c r="E1007" s="261"/>
      <c r="F1007" s="261"/>
      <c r="G1007" s="261"/>
      <c r="H1007" s="261"/>
      <c r="I1007" s="261"/>
      <c r="J1007" s="261"/>
      <c r="K1007" s="262"/>
      <c r="L1007" s="261"/>
      <c r="M1007" s="262"/>
      <c r="N1007" s="262"/>
      <c r="O1007" s="261"/>
      <c r="P1007" s="262"/>
      <c r="Q1007" s="262"/>
      <c r="R1007" s="261"/>
      <c r="S1007" s="263"/>
      <c r="T1007" s="261"/>
      <c r="U1007" s="269"/>
      <c r="V1007" s="285"/>
      <c r="W1007" s="286"/>
      <c r="X1007" s="267"/>
      <c r="Y1007" s="267"/>
      <c r="Z1007" s="267"/>
      <c r="AA1007" s="267"/>
      <c r="AB1007" s="267"/>
      <c r="AC1007" s="267"/>
      <c r="AD1007" s="261"/>
      <c r="AE1007" s="261"/>
      <c r="AF1007" s="257"/>
      <c r="AG1007" s="257"/>
    </row>
    <row r="1008">
      <c r="A1008" s="284"/>
      <c r="B1008" s="251"/>
      <c r="C1008" s="251"/>
      <c r="D1008" s="261"/>
      <c r="E1008" s="261"/>
      <c r="F1008" s="261"/>
      <c r="G1008" s="261"/>
      <c r="H1008" s="261"/>
      <c r="I1008" s="261"/>
      <c r="J1008" s="261"/>
      <c r="K1008" s="262"/>
      <c r="L1008" s="261"/>
      <c r="M1008" s="262"/>
      <c r="N1008" s="262"/>
      <c r="O1008" s="261"/>
      <c r="P1008" s="262"/>
      <c r="Q1008" s="262"/>
      <c r="R1008" s="261"/>
      <c r="S1008" s="263"/>
      <c r="T1008" s="261"/>
      <c r="U1008" s="269"/>
      <c r="V1008" s="285"/>
      <c r="W1008" s="286"/>
      <c r="X1008" s="267"/>
      <c r="Y1008" s="267"/>
      <c r="Z1008" s="267"/>
      <c r="AA1008" s="267"/>
      <c r="AB1008" s="267"/>
      <c r="AC1008" s="267"/>
      <c r="AD1008" s="261"/>
      <c r="AE1008" s="261"/>
      <c r="AF1008" s="257"/>
      <c r="AG1008" s="257"/>
    </row>
    <row r="1009">
      <c r="A1009" s="284"/>
      <c r="B1009" s="251"/>
      <c r="C1009" s="251"/>
      <c r="D1009" s="261"/>
      <c r="E1009" s="261"/>
      <c r="F1009" s="261"/>
      <c r="G1009" s="261"/>
      <c r="H1009" s="261"/>
      <c r="I1009" s="261"/>
      <c r="J1009" s="261"/>
      <c r="K1009" s="262"/>
      <c r="L1009" s="261"/>
      <c r="M1009" s="262"/>
      <c r="N1009" s="262"/>
      <c r="O1009" s="261"/>
      <c r="P1009" s="262"/>
      <c r="Q1009" s="262"/>
      <c r="R1009" s="261"/>
      <c r="S1009" s="263"/>
      <c r="T1009" s="261"/>
      <c r="U1009" s="269"/>
      <c r="V1009" s="285"/>
      <c r="W1009" s="286"/>
      <c r="X1009" s="267"/>
      <c r="Y1009" s="267"/>
      <c r="Z1009" s="267"/>
      <c r="AA1009" s="267"/>
      <c r="AB1009" s="267"/>
      <c r="AC1009" s="267"/>
      <c r="AD1009" s="261"/>
      <c r="AE1009" s="261"/>
      <c r="AF1009" s="257"/>
      <c r="AG1009" s="257"/>
    </row>
    <row r="1010">
      <c r="A1010" s="284"/>
      <c r="B1010" s="251"/>
      <c r="C1010" s="251"/>
      <c r="D1010" s="261"/>
      <c r="E1010" s="261"/>
      <c r="F1010" s="261"/>
      <c r="G1010" s="261"/>
      <c r="H1010" s="261"/>
      <c r="I1010" s="261"/>
      <c r="J1010" s="261"/>
      <c r="K1010" s="262"/>
      <c r="L1010" s="261"/>
      <c r="M1010" s="262"/>
      <c r="N1010" s="262"/>
      <c r="O1010" s="261"/>
      <c r="P1010" s="262"/>
      <c r="Q1010" s="262"/>
      <c r="R1010" s="261"/>
      <c r="S1010" s="263"/>
      <c r="T1010" s="261"/>
      <c r="U1010" s="269"/>
      <c r="V1010" s="285"/>
      <c r="W1010" s="286"/>
      <c r="X1010" s="267"/>
      <c r="Y1010" s="267"/>
      <c r="Z1010" s="267"/>
      <c r="AA1010" s="267"/>
      <c r="AB1010" s="267"/>
      <c r="AC1010" s="267"/>
      <c r="AD1010" s="261"/>
      <c r="AE1010" s="261"/>
      <c r="AF1010" s="257"/>
      <c r="AG1010" s="257"/>
    </row>
    <row r="1011">
      <c r="A1011" s="284"/>
      <c r="B1011" s="251"/>
      <c r="C1011" s="251"/>
      <c r="D1011" s="261"/>
      <c r="E1011" s="261"/>
      <c r="F1011" s="261"/>
      <c r="G1011" s="261"/>
      <c r="H1011" s="261"/>
      <c r="I1011" s="261"/>
      <c r="J1011" s="261"/>
      <c r="K1011" s="262"/>
      <c r="L1011" s="261"/>
      <c r="M1011" s="262"/>
      <c r="N1011" s="262"/>
      <c r="O1011" s="261"/>
      <c r="P1011" s="262"/>
      <c r="Q1011" s="262"/>
      <c r="R1011" s="261"/>
      <c r="S1011" s="263"/>
      <c r="T1011" s="261"/>
      <c r="U1011" s="269"/>
      <c r="V1011" s="285"/>
      <c r="W1011" s="286"/>
      <c r="X1011" s="267"/>
      <c r="Y1011" s="267"/>
      <c r="Z1011" s="267"/>
      <c r="AA1011" s="267"/>
      <c r="AB1011" s="267"/>
      <c r="AC1011" s="267"/>
      <c r="AD1011" s="261"/>
      <c r="AE1011" s="261"/>
      <c r="AF1011" s="257"/>
      <c r="AG1011" s="257"/>
    </row>
    <row r="1012">
      <c r="A1012" s="284"/>
      <c r="B1012" s="251"/>
      <c r="C1012" s="251"/>
      <c r="D1012" s="261"/>
      <c r="E1012" s="261"/>
      <c r="F1012" s="261"/>
      <c r="G1012" s="261"/>
      <c r="H1012" s="261"/>
      <c r="I1012" s="261"/>
      <c r="J1012" s="261"/>
      <c r="K1012" s="262"/>
      <c r="L1012" s="261"/>
      <c r="M1012" s="262"/>
      <c r="N1012" s="262"/>
      <c r="O1012" s="261"/>
      <c r="P1012" s="262"/>
      <c r="Q1012" s="262"/>
      <c r="R1012" s="261"/>
      <c r="S1012" s="263"/>
      <c r="T1012" s="261"/>
      <c r="U1012" s="269"/>
      <c r="V1012" s="285"/>
      <c r="W1012" s="286"/>
      <c r="X1012" s="267"/>
      <c r="Y1012" s="267"/>
      <c r="Z1012" s="267"/>
      <c r="AA1012" s="267"/>
      <c r="AB1012" s="267"/>
      <c r="AC1012" s="267"/>
      <c r="AD1012" s="261"/>
      <c r="AE1012" s="261"/>
      <c r="AF1012" s="257"/>
      <c r="AG1012" s="257"/>
    </row>
    <row r="1013">
      <c r="A1013" s="284"/>
      <c r="B1013" s="251"/>
      <c r="C1013" s="251"/>
      <c r="D1013" s="261"/>
      <c r="E1013" s="261"/>
      <c r="F1013" s="261"/>
      <c r="G1013" s="261"/>
      <c r="H1013" s="261"/>
      <c r="I1013" s="261"/>
      <c r="J1013" s="261"/>
      <c r="K1013" s="262"/>
      <c r="L1013" s="261"/>
      <c r="M1013" s="262"/>
      <c r="N1013" s="262"/>
      <c r="O1013" s="261"/>
      <c r="P1013" s="262"/>
      <c r="Q1013" s="262"/>
      <c r="R1013" s="261"/>
      <c r="S1013" s="263"/>
      <c r="T1013" s="261"/>
      <c r="U1013" s="269"/>
      <c r="V1013" s="285"/>
      <c r="W1013" s="286"/>
      <c r="X1013" s="267"/>
      <c r="Y1013" s="267"/>
      <c r="Z1013" s="267"/>
      <c r="AA1013" s="267"/>
      <c r="AB1013" s="267"/>
      <c r="AC1013" s="267"/>
      <c r="AD1013" s="261"/>
      <c r="AE1013" s="261"/>
      <c r="AF1013" s="257"/>
      <c r="AG1013" s="257"/>
    </row>
    <row r="1014">
      <c r="A1014" s="284"/>
      <c r="B1014" s="251"/>
      <c r="C1014" s="251"/>
      <c r="D1014" s="261"/>
      <c r="E1014" s="261"/>
      <c r="F1014" s="261"/>
      <c r="G1014" s="261"/>
      <c r="H1014" s="261"/>
      <c r="I1014" s="261"/>
      <c r="J1014" s="261"/>
      <c r="K1014" s="262"/>
      <c r="L1014" s="261"/>
      <c r="M1014" s="262"/>
      <c r="N1014" s="262"/>
      <c r="O1014" s="261"/>
      <c r="P1014" s="262"/>
      <c r="Q1014" s="262"/>
      <c r="R1014" s="261"/>
      <c r="S1014" s="263"/>
      <c r="T1014" s="261"/>
      <c r="U1014" s="269"/>
      <c r="V1014" s="285"/>
      <c r="W1014" s="286"/>
      <c r="X1014" s="267"/>
      <c r="Y1014" s="267"/>
      <c r="Z1014" s="267"/>
      <c r="AA1014" s="267"/>
      <c r="AB1014" s="267"/>
      <c r="AC1014" s="267"/>
      <c r="AD1014" s="261"/>
      <c r="AE1014" s="261"/>
      <c r="AF1014" s="257"/>
      <c r="AG1014" s="257"/>
    </row>
    <row r="1015">
      <c r="A1015" s="284"/>
      <c r="B1015" s="251"/>
      <c r="C1015" s="251"/>
      <c r="D1015" s="261"/>
      <c r="E1015" s="261"/>
      <c r="F1015" s="261"/>
      <c r="G1015" s="261"/>
      <c r="H1015" s="261"/>
      <c r="I1015" s="261"/>
      <c r="J1015" s="261"/>
      <c r="K1015" s="262"/>
      <c r="L1015" s="261"/>
      <c r="M1015" s="262"/>
      <c r="N1015" s="262"/>
      <c r="O1015" s="261"/>
      <c r="P1015" s="262"/>
      <c r="Q1015" s="262"/>
      <c r="R1015" s="261"/>
      <c r="S1015" s="263"/>
      <c r="T1015" s="261"/>
      <c r="U1015" s="269"/>
      <c r="V1015" s="285"/>
      <c r="W1015" s="286"/>
      <c r="X1015" s="267"/>
      <c r="Y1015" s="267"/>
      <c r="Z1015" s="267"/>
      <c r="AA1015" s="267"/>
      <c r="AB1015" s="267"/>
      <c r="AC1015" s="267"/>
      <c r="AD1015" s="261"/>
      <c r="AE1015" s="261"/>
      <c r="AF1015" s="257"/>
      <c r="AG1015" s="257"/>
    </row>
    <row r="1016">
      <c r="A1016" s="284"/>
      <c r="B1016" s="251"/>
      <c r="C1016" s="251"/>
      <c r="D1016" s="261"/>
      <c r="E1016" s="261"/>
      <c r="F1016" s="261"/>
      <c r="G1016" s="261"/>
      <c r="H1016" s="261"/>
      <c r="I1016" s="261"/>
      <c r="J1016" s="261"/>
      <c r="K1016" s="262"/>
      <c r="L1016" s="261"/>
      <c r="M1016" s="262"/>
      <c r="N1016" s="262"/>
      <c r="O1016" s="261"/>
      <c r="P1016" s="262"/>
      <c r="Q1016" s="262"/>
      <c r="R1016" s="261"/>
      <c r="S1016" s="263"/>
      <c r="T1016" s="261"/>
      <c r="U1016" s="269"/>
      <c r="V1016" s="285"/>
      <c r="W1016" s="286"/>
      <c r="X1016" s="267"/>
      <c r="Y1016" s="267"/>
      <c r="Z1016" s="267"/>
      <c r="AA1016" s="267"/>
      <c r="AB1016" s="267"/>
      <c r="AC1016" s="267"/>
      <c r="AD1016" s="261"/>
      <c r="AE1016" s="261"/>
      <c r="AF1016" s="257"/>
      <c r="AG1016" s="257"/>
    </row>
    <row r="1017">
      <c r="A1017" s="284"/>
      <c r="B1017" s="251"/>
      <c r="C1017" s="251"/>
      <c r="D1017" s="261"/>
      <c r="E1017" s="261"/>
      <c r="F1017" s="261"/>
      <c r="G1017" s="261"/>
      <c r="H1017" s="261"/>
      <c r="I1017" s="261"/>
      <c r="J1017" s="261"/>
      <c r="K1017" s="262"/>
      <c r="L1017" s="261"/>
      <c r="M1017" s="262"/>
      <c r="N1017" s="262"/>
      <c r="O1017" s="261"/>
      <c r="P1017" s="262"/>
      <c r="Q1017" s="262"/>
      <c r="R1017" s="261"/>
      <c r="S1017" s="263"/>
      <c r="T1017" s="261"/>
      <c r="U1017" s="269"/>
      <c r="V1017" s="285"/>
      <c r="W1017" s="286"/>
      <c r="X1017" s="267"/>
      <c r="Y1017" s="267"/>
      <c r="Z1017" s="267"/>
      <c r="AA1017" s="267"/>
      <c r="AB1017" s="267"/>
      <c r="AC1017" s="267"/>
      <c r="AD1017" s="261"/>
      <c r="AE1017" s="261"/>
      <c r="AF1017" s="257"/>
      <c r="AG1017" s="257"/>
    </row>
    <row r="1018">
      <c r="A1018" s="284"/>
      <c r="B1018" s="251"/>
      <c r="C1018" s="251"/>
      <c r="D1018" s="261"/>
      <c r="E1018" s="261"/>
      <c r="F1018" s="261"/>
      <c r="G1018" s="261"/>
      <c r="H1018" s="261"/>
      <c r="I1018" s="261"/>
      <c r="J1018" s="261"/>
      <c r="K1018" s="262"/>
      <c r="L1018" s="261"/>
      <c r="M1018" s="262"/>
      <c r="N1018" s="262"/>
      <c r="O1018" s="261"/>
      <c r="P1018" s="262"/>
      <c r="Q1018" s="262"/>
      <c r="R1018" s="261"/>
      <c r="S1018" s="263"/>
      <c r="T1018" s="261"/>
      <c r="U1018" s="269"/>
      <c r="V1018" s="285"/>
      <c r="W1018" s="286"/>
      <c r="X1018" s="267"/>
      <c r="Y1018" s="267"/>
      <c r="Z1018" s="267"/>
      <c r="AA1018" s="267"/>
      <c r="AB1018" s="267"/>
      <c r="AC1018" s="267"/>
      <c r="AD1018" s="261"/>
      <c r="AE1018" s="261"/>
      <c r="AF1018" s="257"/>
      <c r="AG1018" s="257"/>
    </row>
    <row r="1019">
      <c r="A1019" s="284"/>
      <c r="B1019" s="251"/>
      <c r="C1019" s="251"/>
      <c r="D1019" s="261"/>
      <c r="E1019" s="261"/>
      <c r="F1019" s="261"/>
      <c r="G1019" s="261"/>
      <c r="H1019" s="261"/>
      <c r="I1019" s="261"/>
      <c r="J1019" s="261"/>
      <c r="K1019" s="262"/>
      <c r="L1019" s="261"/>
      <c r="M1019" s="262"/>
      <c r="N1019" s="262"/>
      <c r="O1019" s="261"/>
      <c r="P1019" s="262"/>
      <c r="Q1019" s="262"/>
      <c r="R1019" s="261"/>
      <c r="S1019" s="263"/>
      <c r="T1019" s="261"/>
      <c r="U1019" s="269"/>
      <c r="V1019" s="285"/>
      <c r="W1019" s="286"/>
      <c r="X1019" s="267"/>
      <c r="Y1019" s="267"/>
      <c r="Z1019" s="267"/>
      <c r="AA1019" s="267"/>
      <c r="AB1019" s="267"/>
      <c r="AC1019" s="267"/>
      <c r="AD1019" s="261"/>
      <c r="AE1019" s="261"/>
      <c r="AF1019" s="257"/>
      <c r="AG1019" s="257"/>
    </row>
    <row r="1020">
      <c r="A1020" s="284"/>
      <c r="B1020" s="251"/>
      <c r="C1020" s="251"/>
      <c r="D1020" s="261"/>
      <c r="E1020" s="261"/>
      <c r="F1020" s="261"/>
      <c r="G1020" s="261"/>
      <c r="H1020" s="261"/>
      <c r="I1020" s="261"/>
      <c r="J1020" s="261"/>
      <c r="K1020" s="262"/>
      <c r="L1020" s="261"/>
      <c r="M1020" s="262"/>
      <c r="N1020" s="262"/>
      <c r="O1020" s="261"/>
      <c r="P1020" s="262"/>
      <c r="Q1020" s="262"/>
      <c r="R1020" s="261"/>
      <c r="S1020" s="263"/>
      <c r="T1020" s="261"/>
      <c r="U1020" s="269"/>
      <c r="V1020" s="285"/>
      <c r="W1020" s="286"/>
      <c r="X1020" s="267"/>
      <c r="Y1020" s="267"/>
      <c r="Z1020" s="267"/>
      <c r="AA1020" s="267"/>
      <c r="AB1020" s="267"/>
      <c r="AC1020" s="267"/>
      <c r="AD1020" s="261"/>
      <c r="AE1020" s="261"/>
      <c r="AF1020" s="257"/>
      <c r="AG1020" s="257"/>
    </row>
    <row r="1021">
      <c r="A1021" s="284"/>
      <c r="B1021" s="251"/>
      <c r="C1021" s="251"/>
      <c r="D1021" s="261"/>
      <c r="E1021" s="261"/>
      <c r="F1021" s="261"/>
      <c r="G1021" s="261"/>
      <c r="H1021" s="261"/>
      <c r="I1021" s="261"/>
      <c r="J1021" s="261"/>
      <c r="K1021" s="262"/>
      <c r="L1021" s="261"/>
      <c r="M1021" s="262"/>
      <c r="N1021" s="262"/>
      <c r="O1021" s="261"/>
      <c r="P1021" s="262"/>
      <c r="Q1021" s="262"/>
      <c r="R1021" s="261"/>
      <c r="S1021" s="263"/>
      <c r="T1021" s="261"/>
      <c r="U1021" s="269"/>
      <c r="V1021" s="285"/>
      <c r="W1021" s="286"/>
      <c r="X1021" s="267"/>
      <c r="Y1021" s="267"/>
      <c r="Z1021" s="267"/>
      <c r="AA1021" s="267"/>
      <c r="AB1021" s="267"/>
      <c r="AC1021" s="267"/>
      <c r="AD1021" s="261"/>
      <c r="AE1021" s="261"/>
      <c r="AF1021" s="257"/>
      <c r="AG1021" s="257"/>
    </row>
    <row r="1022">
      <c r="A1022" s="284"/>
      <c r="B1022" s="251"/>
      <c r="C1022" s="251"/>
      <c r="D1022" s="261"/>
      <c r="E1022" s="261"/>
      <c r="F1022" s="261"/>
      <c r="G1022" s="261"/>
      <c r="H1022" s="261"/>
      <c r="I1022" s="261"/>
      <c r="J1022" s="261"/>
      <c r="K1022" s="262"/>
      <c r="L1022" s="261"/>
      <c r="M1022" s="262"/>
      <c r="N1022" s="262"/>
      <c r="O1022" s="261"/>
      <c r="P1022" s="262"/>
      <c r="Q1022" s="262"/>
      <c r="R1022" s="261"/>
      <c r="S1022" s="263"/>
      <c r="T1022" s="261"/>
      <c r="U1022" s="269"/>
      <c r="V1022" s="285"/>
      <c r="W1022" s="286"/>
      <c r="X1022" s="267"/>
      <c r="Y1022" s="267"/>
      <c r="Z1022" s="267"/>
      <c r="AA1022" s="267"/>
      <c r="AB1022" s="267"/>
      <c r="AC1022" s="267"/>
      <c r="AD1022" s="261"/>
      <c r="AE1022" s="261"/>
      <c r="AF1022" s="257"/>
      <c r="AG1022" s="257"/>
    </row>
    <row r="1023">
      <c r="A1023" s="284"/>
      <c r="B1023" s="251"/>
      <c r="C1023" s="251"/>
      <c r="D1023" s="261"/>
      <c r="E1023" s="261"/>
      <c r="F1023" s="261"/>
      <c r="G1023" s="261"/>
      <c r="H1023" s="261"/>
      <c r="I1023" s="261"/>
      <c r="J1023" s="261"/>
      <c r="K1023" s="262"/>
      <c r="L1023" s="261"/>
      <c r="M1023" s="262"/>
      <c r="N1023" s="262"/>
      <c r="O1023" s="261"/>
      <c r="P1023" s="262"/>
      <c r="Q1023" s="262"/>
      <c r="R1023" s="261"/>
      <c r="S1023" s="263"/>
      <c r="T1023" s="261"/>
      <c r="U1023" s="269"/>
      <c r="V1023" s="285"/>
      <c r="W1023" s="286"/>
      <c r="X1023" s="267"/>
      <c r="Y1023" s="267"/>
      <c r="Z1023" s="267"/>
      <c r="AA1023" s="267"/>
      <c r="AB1023" s="267"/>
      <c r="AC1023" s="267"/>
      <c r="AD1023" s="261"/>
      <c r="AE1023" s="261"/>
      <c r="AF1023" s="257"/>
      <c r="AG1023" s="257"/>
    </row>
    <row r="1024">
      <c r="A1024" s="284"/>
      <c r="B1024" s="251"/>
      <c r="C1024" s="251"/>
      <c r="D1024" s="261"/>
      <c r="E1024" s="261"/>
      <c r="F1024" s="261"/>
      <c r="G1024" s="261"/>
      <c r="H1024" s="261"/>
      <c r="I1024" s="261"/>
      <c r="J1024" s="261"/>
      <c r="K1024" s="262"/>
      <c r="L1024" s="261"/>
      <c r="M1024" s="262"/>
      <c r="N1024" s="262"/>
      <c r="O1024" s="261"/>
      <c r="P1024" s="262"/>
      <c r="Q1024" s="262"/>
      <c r="R1024" s="261"/>
      <c r="S1024" s="263"/>
      <c r="T1024" s="261"/>
      <c r="U1024" s="269"/>
      <c r="V1024" s="285"/>
      <c r="W1024" s="286"/>
      <c r="X1024" s="267"/>
      <c r="Y1024" s="267"/>
      <c r="Z1024" s="267"/>
      <c r="AA1024" s="267"/>
      <c r="AB1024" s="267"/>
      <c r="AC1024" s="267"/>
      <c r="AD1024" s="261"/>
      <c r="AE1024" s="261"/>
      <c r="AF1024" s="257"/>
      <c r="AG1024" s="257"/>
    </row>
    <row r="1025">
      <c r="A1025" s="284"/>
      <c r="B1025" s="251"/>
      <c r="C1025" s="251"/>
      <c r="D1025" s="261"/>
      <c r="E1025" s="261"/>
      <c r="F1025" s="261"/>
      <c r="G1025" s="261"/>
      <c r="H1025" s="261"/>
      <c r="I1025" s="261"/>
      <c r="J1025" s="261"/>
      <c r="K1025" s="262"/>
      <c r="L1025" s="261"/>
      <c r="M1025" s="262"/>
      <c r="N1025" s="262"/>
      <c r="O1025" s="261"/>
      <c r="P1025" s="262"/>
      <c r="Q1025" s="262"/>
      <c r="R1025" s="261"/>
      <c r="S1025" s="263"/>
      <c r="T1025" s="261"/>
      <c r="U1025" s="269"/>
      <c r="V1025" s="285"/>
      <c r="W1025" s="286"/>
      <c r="X1025" s="267"/>
      <c r="Y1025" s="267"/>
      <c r="Z1025" s="267"/>
      <c r="AA1025" s="267"/>
      <c r="AB1025" s="267"/>
      <c r="AC1025" s="267"/>
      <c r="AD1025" s="261"/>
      <c r="AE1025" s="261"/>
      <c r="AF1025" s="257"/>
      <c r="AG1025" s="257"/>
    </row>
    <row r="1026">
      <c r="A1026" s="284"/>
      <c r="B1026" s="251"/>
      <c r="C1026" s="251"/>
      <c r="D1026" s="261"/>
      <c r="E1026" s="261"/>
      <c r="F1026" s="261"/>
      <c r="G1026" s="261"/>
      <c r="H1026" s="261"/>
      <c r="I1026" s="261"/>
      <c r="J1026" s="261"/>
      <c r="K1026" s="262"/>
      <c r="L1026" s="261"/>
      <c r="M1026" s="262"/>
      <c r="N1026" s="262"/>
      <c r="O1026" s="261"/>
      <c r="P1026" s="262"/>
      <c r="Q1026" s="262"/>
      <c r="R1026" s="261"/>
      <c r="S1026" s="263"/>
      <c r="T1026" s="261"/>
      <c r="U1026" s="269"/>
      <c r="V1026" s="285"/>
      <c r="W1026" s="286"/>
      <c r="X1026" s="267"/>
      <c r="Y1026" s="267"/>
      <c r="Z1026" s="267"/>
      <c r="AA1026" s="267"/>
      <c r="AB1026" s="267"/>
      <c r="AC1026" s="267"/>
      <c r="AD1026" s="261"/>
      <c r="AE1026" s="261"/>
      <c r="AF1026" s="257"/>
      <c r="AG1026" s="257"/>
    </row>
    <row r="1027">
      <c r="A1027" s="284"/>
      <c r="B1027" s="251"/>
      <c r="C1027" s="251"/>
      <c r="D1027" s="261"/>
      <c r="E1027" s="261"/>
      <c r="F1027" s="261"/>
      <c r="G1027" s="261"/>
      <c r="H1027" s="261"/>
      <c r="I1027" s="261"/>
      <c r="J1027" s="261"/>
      <c r="K1027" s="262"/>
      <c r="L1027" s="261"/>
      <c r="M1027" s="262"/>
      <c r="N1027" s="262"/>
      <c r="O1027" s="261"/>
      <c r="P1027" s="262"/>
      <c r="Q1027" s="262"/>
      <c r="R1027" s="261"/>
      <c r="S1027" s="263"/>
      <c r="T1027" s="261"/>
      <c r="U1027" s="269"/>
      <c r="V1027" s="285"/>
      <c r="W1027" s="286"/>
      <c r="X1027" s="267"/>
      <c r="Y1027" s="267"/>
      <c r="Z1027" s="267"/>
      <c r="AA1027" s="267"/>
      <c r="AB1027" s="267"/>
      <c r="AC1027" s="267"/>
      <c r="AD1027" s="261"/>
      <c r="AE1027" s="261"/>
      <c r="AF1027" s="257"/>
      <c r="AG1027" s="257"/>
    </row>
    <row r="1028">
      <c r="A1028" s="284"/>
      <c r="B1028" s="251"/>
      <c r="C1028" s="251"/>
      <c r="D1028" s="261"/>
      <c r="E1028" s="261"/>
      <c r="F1028" s="261"/>
      <c r="G1028" s="261"/>
      <c r="H1028" s="261"/>
      <c r="I1028" s="261"/>
      <c r="J1028" s="261"/>
      <c r="K1028" s="262"/>
      <c r="L1028" s="261"/>
      <c r="M1028" s="262"/>
      <c r="N1028" s="262"/>
      <c r="O1028" s="261"/>
      <c r="P1028" s="262"/>
      <c r="Q1028" s="262"/>
      <c r="R1028" s="261"/>
      <c r="S1028" s="263"/>
      <c r="T1028" s="261"/>
      <c r="U1028" s="269"/>
      <c r="V1028" s="285"/>
      <c r="W1028" s="286"/>
      <c r="X1028" s="267"/>
      <c r="Y1028" s="267"/>
      <c r="Z1028" s="267"/>
      <c r="AA1028" s="267"/>
      <c r="AB1028" s="267"/>
      <c r="AC1028" s="267"/>
      <c r="AD1028" s="261"/>
      <c r="AE1028" s="261"/>
      <c r="AF1028" s="257"/>
      <c r="AG1028" s="257"/>
    </row>
    <row r="1029">
      <c r="A1029" s="284"/>
      <c r="B1029" s="251"/>
      <c r="C1029" s="251"/>
      <c r="D1029" s="261"/>
      <c r="E1029" s="261"/>
      <c r="F1029" s="261"/>
      <c r="G1029" s="261"/>
      <c r="H1029" s="261"/>
      <c r="I1029" s="261"/>
      <c r="J1029" s="261"/>
      <c r="K1029" s="262"/>
      <c r="L1029" s="261"/>
      <c r="M1029" s="262"/>
      <c r="N1029" s="262"/>
      <c r="O1029" s="261"/>
      <c r="P1029" s="262"/>
      <c r="Q1029" s="262"/>
      <c r="R1029" s="261"/>
      <c r="S1029" s="263"/>
      <c r="T1029" s="261"/>
      <c r="U1029" s="269"/>
      <c r="V1029" s="285"/>
      <c r="W1029" s="286"/>
      <c r="X1029" s="267"/>
      <c r="Y1029" s="267"/>
      <c r="Z1029" s="267"/>
      <c r="AA1029" s="267"/>
      <c r="AB1029" s="267"/>
      <c r="AC1029" s="267"/>
      <c r="AD1029" s="261"/>
      <c r="AE1029" s="261"/>
      <c r="AF1029" s="257"/>
      <c r="AG1029" s="257"/>
    </row>
    <row r="1030">
      <c r="A1030" s="284"/>
      <c r="B1030" s="251"/>
      <c r="C1030" s="251"/>
      <c r="D1030" s="261"/>
      <c r="E1030" s="261"/>
      <c r="F1030" s="261"/>
      <c r="G1030" s="261"/>
      <c r="H1030" s="261"/>
      <c r="I1030" s="261"/>
      <c r="J1030" s="261"/>
      <c r="K1030" s="262"/>
      <c r="L1030" s="261"/>
      <c r="M1030" s="262"/>
      <c r="N1030" s="262"/>
      <c r="O1030" s="261"/>
      <c r="P1030" s="262"/>
      <c r="Q1030" s="262"/>
      <c r="R1030" s="261"/>
      <c r="S1030" s="263"/>
      <c r="T1030" s="261"/>
      <c r="U1030" s="269"/>
      <c r="V1030" s="285"/>
      <c r="W1030" s="286"/>
      <c r="X1030" s="267"/>
      <c r="Y1030" s="267"/>
      <c r="Z1030" s="267"/>
      <c r="AA1030" s="267"/>
      <c r="AB1030" s="267"/>
      <c r="AC1030" s="267"/>
      <c r="AD1030" s="261"/>
      <c r="AE1030" s="261"/>
      <c r="AF1030" s="257"/>
      <c r="AG1030" s="257"/>
    </row>
    <row r="1031">
      <c r="A1031" s="284"/>
      <c r="B1031" s="251"/>
      <c r="C1031" s="251"/>
      <c r="D1031" s="261"/>
      <c r="E1031" s="261"/>
      <c r="F1031" s="261"/>
      <c r="G1031" s="261"/>
      <c r="H1031" s="261"/>
      <c r="I1031" s="261"/>
      <c r="J1031" s="261"/>
      <c r="K1031" s="262"/>
      <c r="L1031" s="261"/>
      <c r="M1031" s="262"/>
      <c r="N1031" s="262"/>
      <c r="O1031" s="261"/>
      <c r="P1031" s="262"/>
      <c r="Q1031" s="262"/>
      <c r="R1031" s="261"/>
      <c r="S1031" s="263"/>
      <c r="T1031" s="261"/>
      <c r="U1031" s="269"/>
      <c r="V1031" s="285"/>
      <c r="W1031" s="286"/>
      <c r="X1031" s="267"/>
      <c r="Y1031" s="267"/>
      <c r="Z1031" s="267"/>
      <c r="AA1031" s="267"/>
      <c r="AB1031" s="267"/>
      <c r="AC1031" s="267"/>
      <c r="AD1031" s="261"/>
      <c r="AE1031" s="261"/>
      <c r="AF1031" s="257"/>
      <c r="AG1031" s="257"/>
    </row>
    <row r="1032">
      <c r="A1032" s="284"/>
      <c r="B1032" s="251"/>
      <c r="C1032" s="251"/>
      <c r="D1032" s="261"/>
      <c r="E1032" s="261"/>
      <c r="F1032" s="261"/>
      <c r="G1032" s="261"/>
      <c r="H1032" s="261"/>
      <c r="I1032" s="261"/>
      <c r="J1032" s="261"/>
      <c r="K1032" s="262"/>
      <c r="L1032" s="261"/>
      <c r="M1032" s="262"/>
      <c r="N1032" s="262"/>
      <c r="O1032" s="261"/>
      <c r="P1032" s="262"/>
      <c r="Q1032" s="262"/>
      <c r="R1032" s="261"/>
      <c r="S1032" s="263"/>
      <c r="T1032" s="261"/>
      <c r="U1032" s="269"/>
      <c r="V1032" s="285"/>
      <c r="W1032" s="286"/>
      <c r="X1032" s="267"/>
      <c r="Y1032" s="267"/>
      <c r="Z1032" s="267"/>
      <c r="AA1032" s="267"/>
      <c r="AB1032" s="267"/>
      <c r="AC1032" s="267"/>
      <c r="AD1032" s="261"/>
      <c r="AE1032" s="261"/>
      <c r="AF1032" s="257"/>
      <c r="AG1032" s="257"/>
    </row>
    <row r="1033">
      <c r="A1033" s="284"/>
      <c r="B1033" s="251"/>
      <c r="C1033" s="251"/>
      <c r="D1033" s="261"/>
      <c r="E1033" s="261"/>
      <c r="F1033" s="261"/>
      <c r="G1033" s="261"/>
      <c r="H1033" s="261"/>
      <c r="I1033" s="261"/>
      <c r="J1033" s="261"/>
      <c r="K1033" s="262"/>
      <c r="L1033" s="261"/>
      <c r="M1033" s="262"/>
      <c r="N1033" s="262"/>
      <c r="O1033" s="261"/>
      <c r="P1033" s="262"/>
      <c r="Q1033" s="262"/>
      <c r="R1033" s="261"/>
      <c r="S1033" s="263"/>
      <c r="T1033" s="261"/>
      <c r="U1033" s="269"/>
      <c r="V1033" s="285"/>
      <c r="W1033" s="286"/>
      <c r="X1033" s="267"/>
      <c r="Y1033" s="267"/>
      <c r="Z1033" s="267"/>
      <c r="AA1033" s="267"/>
      <c r="AB1033" s="267"/>
      <c r="AC1033" s="267"/>
      <c r="AD1033" s="261"/>
      <c r="AE1033" s="261"/>
      <c r="AF1033" s="257"/>
      <c r="AG1033" s="257"/>
    </row>
    <row r="1034">
      <c r="A1034" s="284"/>
      <c r="B1034" s="251"/>
      <c r="C1034" s="251"/>
      <c r="D1034" s="261"/>
      <c r="E1034" s="261"/>
      <c r="F1034" s="261"/>
      <c r="G1034" s="261"/>
      <c r="H1034" s="261"/>
      <c r="I1034" s="261"/>
      <c r="J1034" s="261"/>
      <c r="K1034" s="262"/>
      <c r="L1034" s="261"/>
      <c r="M1034" s="262"/>
      <c r="N1034" s="262"/>
      <c r="O1034" s="261"/>
      <c r="P1034" s="262"/>
      <c r="Q1034" s="262"/>
      <c r="R1034" s="261"/>
      <c r="S1034" s="263"/>
      <c r="T1034" s="261"/>
      <c r="U1034" s="269"/>
      <c r="V1034" s="285"/>
      <c r="W1034" s="286"/>
      <c r="X1034" s="267"/>
      <c r="Y1034" s="267"/>
      <c r="Z1034" s="267"/>
      <c r="AA1034" s="267"/>
      <c r="AB1034" s="267"/>
      <c r="AC1034" s="267"/>
      <c r="AD1034" s="261"/>
      <c r="AE1034" s="261"/>
      <c r="AF1034" s="257"/>
      <c r="AG1034" s="257"/>
    </row>
    <row r="1035">
      <c r="A1035" s="284"/>
      <c r="B1035" s="251"/>
      <c r="C1035" s="251"/>
      <c r="D1035" s="261"/>
      <c r="E1035" s="261"/>
      <c r="F1035" s="261"/>
      <c r="G1035" s="261"/>
      <c r="H1035" s="261"/>
      <c r="I1035" s="261"/>
      <c r="J1035" s="261"/>
      <c r="K1035" s="262"/>
      <c r="L1035" s="261"/>
      <c r="M1035" s="262"/>
      <c r="N1035" s="262"/>
      <c r="O1035" s="261"/>
      <c r="P1035" s="262"/>
      <c r="Q1035" s="262"/>
      <c r="R1035" s="261"/>
      <c r="S1035" s="263"/>
      <c r="T1035" s="261"/>
      <c r="U1035" s="269"/>
      <c r="V1035" s="285"/>
      <c r="W1035" s="286"/>
      <c r="X1035" s="267"/>
      <c r="Y1035" s="267"/>
      <c r="Z1035" s="267"/>
      <c r="AA1035" s="267"/>
      <c r="AB1035" s="267"/>
      <c r="AC1035" s="267"/>
      <c r="AD1035" s="261"/>
      <c r="AE1035" s="261"/>
      <c r="AF1035" s="257"/>
      <c r="AG1035" s="257"/>
    </row>
    <row r="1036">
      <c r="A1036" s="284"/>
      <c r="B1036" s="251"/>
      <c r="C1036" s="251"/>
      <c r="D1036" s="261"/>
      <c r="E1036" s="261"/>
      <c r="F1036" s="261"/>
      <c r="G1036" s="261"/>
      <c r="H1036" s="261"/>
      <c r="I1036" s="261"/>
      <c r="J1036" s="261"/>
      <c r="K1036" s="262"/>
      <c r="L1036" s="261"/>
      <c r="M1036" s="262"/>
      <c r="N1036" s="262"/>
      <c r="O1036" s="261"/>
      <c r="P1036" s="262"/>
      <c r="Q1036" s="262"/>
      <c r="R1036" s="261"/>
      <c r="S1036" s="263"/>
      <c r="T1036" s="261"/>
      <c r="U1036" s="269"/>
      <c r="V1036" s="285"/>
      <c r="W1036" s="286"/>
      <c r="X1036" s="267"/>
      <c r="Y1036" s="267"/>
      <c r="Z1036" s="267"/>
      <c r="AA1036" s="267"/>
      <c r="AB1036" s="267"/>
      <c r="AC1036" s="267"/>
      <c r="AD1036" s="261"/>
      <c r="AE1036" s="261"/>
      <c r="AF1036" s="257"/>
      <c r="AG1036" s="257"/>
    </row>
    <row r="1037">
      <c r="A1037" s="284"/>
      <c r="B1037" s="251"/>
      <c r="C1037" s="251"/>
      <c r="D1037" s="261"/>
      <c r="E1037" s="261"/>
      <c r="F1037" s="261"/>
      <c r="G1037" s="261"/>
      <c r="H1037" s="261"/>
      <c r="I1037" s="261"/>
      <c r="J1037" s="261"/>
      <c r="K1037" s="262"/>
      <c r="L1037" s="261"/>
      <c r="M1037" s="262"/>
      <c r="N1037" s="262"/>
      <c r="O1037" s="261"/>
      <c r="P1037" s="262"/>
      <c r="Q1037" s="262"/>
      <c r="R1037" s="261"/>
      <c r="S1037" s="263"/>
      <c r="T1037" s="261"/>
      <c r="U1037" s="269"/>
      <c r="V1037" s="285"/>
      <c r="W1037" s="286"/>
      <c r="X1037" s="267"/>
      <c r="Y1037" s="267"/>
      <c r="Z1037" s="267"/>
      <c r="AA1037" s="267"/>
      <c r="AB1037" s="267"/>
      <c r="AC1037" s="267"/>
      <c r="AD1037" s="261"/>
      <c r="AE1037" s="261"/>
      <c r="AF1037" s="257"/>
      <c r="AG1037" s="257"/>
    </row>
    <row r="1038">
      <c r="A1038" s="284"/>
      <c r="B1038" s="251"/>
      <c r="C1038" s="251"/>
      <c r="D1038" s="261"/>
      <c r="E1038" s="261"/>
      <c r="F1038" s="261"/>
      <c r="G1038" s="261"/>
      <c r="H1038" s="261"/>
      <c r="I1038" s="261"/>
      <c r="J1038" s="261"/>
      <c r="K1038" s="262"/>
      <c r="L1038" s="261"/>
      <c r="M1038" s="262"/>
      <c r="N1038" s="262"/>
      <c r="O1038" s="261"/>
      <c r="P1038" s="262"/>
      <c r="Q1038" s="262"/>
      <c r="R1038" s="261"/>
      <c r="S1038" s="263"/>
      <c r="T1038" s="261"/>
      <c r="U1038" s="269"/>
      <c r="V1038" s="285"/>
      <c r="W1038" s="286"/>
      <c r="X1038" s="267"/>
      <c r="Y1038" s="267"/>
      <c r="Z1038" s="267"/>
      <c r="AA1038" s="267"/>
      <c r="AB1038" s="267"/>
      <c r="AC1038" s="267"/>
      <c r="AD1038" s="261"/>
      <c r="AE1038" s="261"/>
      <c r="AF1038" s="257"/>
      <c r="AG1038" s="257"/>
    </row>
    <row r="1039">
      <c r="A1039" s="284"/>
      <c r="B1039" s="251"/>
      <c r="C1039" s="251"/>
      <c r="D1039" s="261"/>
      <c r="E1039" s="261"/>
      <c r="F1039" s="261"/>
      <c r="G1039" s="261"/>
      <c r="H1039" s="261"/>
      <c r="I1039" s="261"/>
      <c r="J1039" s="261"/>
      <c r="K1039" s="262"/>
      <c r="L1039" s="261"/>
      <c r="M1039" s="262"/>
      <c r="N1039" s="262"/>
      <c r="O1039" s="261"/>
      <c r="P1039" s="262"/>
      <c r="Q1039" s="262"/>
      <c r="R1039" s="261"/>
      <c r="S1039" s="263"/>
      <c r="T1039" s="261"/>
      <c r="U1039" s="269"/>
      <c r="V1039" s="285"/>
      <c r="W1039" s="286"/>
      <c r="X1039" s="267"/>
      <c r="Y1039" s="267"/>
      <c r="Z1039" s="267"/>
      <c r="AA1039" s="267"/>
      <c r="AB1039" s="267"/>
      <c r="AC1039" s="267"/>
      <c r="AD1039" s="261"/>
      <c r="AE1039" s="261"/>
      <c r="AF1039" s="257"/>
      <c r="AG1039" s="257"/>
    </row>
    <row r="1040">
      <c r="A1040" s="284"/>
      <c r="B1040" s="251"/>
      <c r="C1040" s="251"/>
      <c r="D1040" s="261"/>
      <c r="E1040" s="261"/>
      <c r="F1040" s="261"/>
      <c r="G1040" s="261"/>
      <c r="H1040" s="261"/>
      <c r="I1040" s="261"/>
      <c r="J1040" s="261"/>
      <c r="K1040" s="262"/>
      <c r="L1040" s="261"/>
      <c r="M1040" s="262"/>
      <c r="N1040" s="262"/>
      <c r="O1040" s="261"/>
      <c r="P1040" s="262"/>
      <c r="Q1040" s="262"/>
      <c r="R1040" s="261"/>
      <c r="S1040" s="263"/>
      <c r="T1040" s="261"/>
      <c r="U1040" s="269"/>
      <c r="V1040" s="285"/>
      <c r="W1040" s="286"/>
      <c r="X1040" s="267"/>
      <c r="Y1040" s="267"/>
      <c r="Z1040" s="267"/>
      <c r="AA1040" s="267"/>
      <c r="AB1040" s="267"/>
      <c r="AC1040" s="267"/>
      <c r="AD1040" s="261"/>
      <c r="AE1040" s="261"/>
      <c r="AF1040" s="257"/>
      <c r="AG1040" s="257"/>
    </row>
    <row r="1041">
      <c r="A1041" s="284"/>
      <c r="B1041" s="251"/>
      <c r="C1041" s="251"/>
      <c r="D1041" s="261"/>
      <c r="E1041" s="261"/>
      <c r="F1041" s="261"/>
      <c r="G1041" s="261"/>
      <c r="H1041" s="261"/>
      <c r="I1041" s="261"/>
      <c r="J1041" s="261"/>
      <c r="K1041" s="262"/>
      <c r="L1041" s="261"/>
      <c r="M1041" s="262"/>
      <c r="N1041" s="262"/>
      <c r="O1041" s="261"/>
      <c r="P1041" s="262"/>
      <c r="Q1041" s="262"/>
      <c r="R1041" s="261"/>
      <c r="S1041" s="263"/>
      <c r="T1041" s="261"/>
      <c r="U1041" s="269"/>
      <c r="V1041" s="285"/>
      <c r="W1041" s="286"/>
      <c r="X1041" s="267"/>
      <c r="Y1041" s="267"/>
      <c r="Z1041" s="267"/>
      <c r="AA1041" s="267"/>
      <c r="AB1041" s="267"/>
      <c r="AC1041" s="267"/>
      <c r="AD1041" s="261"/>
      <c r="AE1041" s="261"/>
      <c r="AF1041" s="257"/>
      <c r="AG1041" s="257"/>
    </row>
    <row r="1042">
      <c r="A1042" s="284"/>
      <c r="B1042" s="251"/>
      <c r="C1042" s="251"/>
      <c r="D1042" s="261"/>
      <c r="E1042" s="261"/>
      <c r="F1042" s="261"/>
      <c r="G1042" s="261"/>
      <c r="H1042" s="261"/>
      <c r="I1042" s="261"/>
      <c r="J1042" s="261"/>
      <c r="K1042" s="262"/>
      <c r="L1042" s="261"/>
      <c r="M1042" s="262"/>
      <c r="N1042" s="262"/>
      <c r="O1042" s="261"/>
      <c r="P1042" s="262"/>
      <c r="Q1042" s="262"/>
      <c r="R1042" s="261"/>
      <c r="S1042" s="263"/>
      <c r="T1042" s="261"/>
      <c r="U1042" s="269"/>
      <c r="V1042" s="285"/>
      <c r="W1042" s="286"/>
      <c r="X1042" s="267"/>
      <c r="Y1042" s="267"/>
      <c r="Z1042" s="267"/>
      <c r="AA1042" s="267"/>
      <c r="AB1042" s="267"/>
      <c r="AC1042" s="267"/>
      <c r="AD1042" s="261"/>
      <c r="AE1042" s="261"/>
      <c r="AF1042" s="257"/>
      <c r="AG1042" s="257"/>
    </row>
    <row r="1043">
      <c r="A1043" s="284"/>
      <c r="B1043" s="251"/>
      <c r="C1043" s="251"/>
      <c r="D1043" s="261"/>
      <c r="E1043" s="261"/>
      <c r="F1043" s="261"/>
      <c r="G1043" s="261"/>
      <c r="H1043" s="261"/>
      <c r="I1043" s="261"/>
      <c r="J1043" s="261"/>
      <c r="K1043" s="262"/>
      <c r="L1043" s="261"/>
      <c r="M1043" s="262"/>
      <c r="N1043" s="262"/>
      <c r="O1043" s="261"/>
      <c r="P1043" s="262"/>
      <c r="Q1043" s="262"/>
      <c r="R1043" s="261"/>
      <c r="S1043" s="263"/>
      <c r="T1043" s="261"/>
      <c r="U1043" s="269"/>
      <c r="V1043" s="285"/>
      <c r="W1043" s="286"/>
      <c r="X1043" s="267"/>
      <c r="Y1043" s="267"/>
      <c r="Z1043" s="267"/>
      <c r="AA1043" s="267"/>
      <c r="AB1043" s="267"/>
      <c r="AC1043" s="267"/>
      <c r="AD1043" s="261"/>
      <c r="AE1043" s="261"/>
      <c r="AF1043" s="257"/>
      <c r="AG1043" s="257"/>
    </row>
    <row r="1044">
      <c r="A1044" s="284"/>
      <c r="B1044" s="251"/>
      <c r="C1044" s="251"/>
      <c r="D1044" s="261"/>
      <c r="E1044" s="261"/>
      <c r="F1044" s="261"/>
      <c r="G1044" s="261"/>
      <c r="H1044" s="261"/>
      <c r="I1044" s="261"/>
      <c r="J1044" s="261"/>
      <c r="K1044" s="262"/>
      <c r="L1044" s="261"/>
      <c r="M1044" s="262"/>
      <c r="N1044" s="262"/>
      <c r="O1044" s="261"/>
      <c r="P1044" s="262"/>
      <c r="Q1044" s="262"/>
      <c r="R1044" s="261"/>
      <c r="S1044" s="263"/>
      <c r="T1044" s="261"/>
      <c r="U1044" s="269"/>
      <c r="V1044" s="285"/>
      <c r="W1044" s="286"/>
      <c r="X1044" s="267"/>
      <c r="Y1044" s="267"/>
      <c r="Z1044" s="267"/>
      <c r="AA1044" s="267"/>
      <c r="AB1044" s="267"/>
      <c r="AC1044" s="267"/>
      <c r="AD1044" s="261"/>
      <c r="AE1044" s="261"/>
      <c r="AF1044" s="257"/>
      <c r="AG1044" s="257"/>
    </row>
    <row r="1045">
      <c r="A1045" s="284"/>
      <c r="B1045" s="251"/>
      <c r="C1045" s="251"/>
      <c r="D1045" s="261"/>
      <c r="E1045" s="261"/>
      <c r="F1045" s="261"/>
      <c r="G1045" s="261"/>
      <c r="H1045" s="261"/>
      <c r="I1045" s="261"/>
      <c r="J1045" s="261"/>
      <c r="K1045" s="262"/>
      <c r="L1045" s="261"/>
      <c r="M1045" s="262"/>
      <c r="N1045" s="262"/>
      <c r="O1045" s="261"/>
      <c r="P1045" s="262"/>
      <c r="Q1045" s="262"/>
      <c r="R1045" s="261"/>
      <c r="S1045" s="263"/>
      <c r="T1045" s="261"/>
      <c r="U1045" s="269"/>
      <c r="V1045" s="285"/>
      <c r="W1045" s="286"/>
      <c r="X1045" s="267"/>
      <c r="Y1045" s="267"/>
      <c r="Z1045" s="267"/>
      <c r="AA1045" s="267"/>
      <c r="AB1045" s="267"/>
      <c r="AC1045" s="267"/>
      <c r="AD1045" s="261"/>
      <c r="AE1045" s="261"/>
      <c r="AF1045" s="257"/>
      <c r="AG1045" s="257"/>
    </row>
    <row r="1046">
      <c r="A1046" s="284"/>
      <c r="B1046" s="251"/>
      <c r="C1046" s="251"/>
      <c r="D1046" s="261"/>
      <c r="E1046" s="261"/>
      <c r="F1046" s="261"/>
      <c r="G1046" s="261"/>
      <c r="H1046" s="261"/>
      <c r="I1046" s="261"/>
      <c r="J1046" s="261"/>
      <c r="K1046" s="262"/>
      <c r="L1046" s="261"/>
      <c r="M1046" s="262"/>
      <c r="N1046" s="262"/>
      <c r="O1046" s="261"/>
      <c r="P1046" s="262"/>
      <c r="Q1046" s="262"/>
      <c r="R1046" s="261"/>
      <c r="S1046" s="263"/>
      <c r="T1046" s="261"/>
      <c r="U1046" s="269"/>
      <c r="V1046" s="285"/>
      <c r="W1046" s="286"/>
      <c r="X1046" s="267"/>
      <c r="Y1046" s="267"/>
      <c r="Z1046" s="267"/>
      <c r="AA1046" s="267"/>
      <c r="AB1046" s="267"/>
      <c r="AC1046" s="267"/>
      <c r="AD1046" s="261"/>
      <c r="AE1046" s="261"/>
      <c r="AF1046" s="257"/>
      <c r="AG1046" s="257"/>
    </row>
    <row r="1047">
      <c r="A1047" s="284"/>
      <c r="B1047" s="251"/>
      <c r="C1047" s="251"/>
      <c r="D1047" s="261"/>
      <c r="E1047" s="261"/>
      <c r="F1047" s="261"/>
      <c r="G1047" s="261"/>
      <c r="H1047" s="261"/>
      <c r="I1047" s="261"/>
      <c r="J1047" s="261"/>
      <c r="K1047" s="262"/>
      <c r="L1047" s="261"/>
      <c r="M1047" s="262"/>
      <c r="N1047" s="262"/>
      <c r="O1047" s="261"/>
      <c r="P1047" s="262"/>
      <c r="Q1047" s="262"/>
      <c r="R1047" s="261"/>
      <c r="S1047" s="263"/>
      <c r="T1047" s="261"/>
      <c r="U1047" s="269"/>
      <c r="V1047" s="285"/>
      <c r="W1047" s="286"/>
      <c r="X1047" s="267"/>
      <c r="Y1047" s="267"/>
      <c r="Z1047" s="267"/>
      <c r="AA1047" s="267"/>
      <c r="AB1047" s="267"/>
      <c r="AC1047" s="267"/>
      <c r="AD1047" s="261"/>
      <c r="AE1047" s="261"/>
      <c r="AF1047" s="257"/>
      <c r="AG1047" s="257"/>
    </row>
    <row r="1048">
      <c r="A1048" s="284"/>
      <c r="B1048" s="251"/>
      <c r="C1048" s="251"/>
      <c r="D1048" s="261"/>
      <c r="E1048" s="261"/>
      <c r="F1048" s="261"/>
      <c r="G1048" s="261"/>
      <c r="H1048" s="261"/>
      <c r="I1048" s="261"/>
      <c r="J1048" s="261"/>
      <c r="K1048" s="262"/>
      <c r="L1048" s="261"/>
      <c r="M1048" s="262"/>
      <c r="N1048" s="262"/>
      <c r="O1048" s="261"/>
      <c r="P1048" s="262"/>
      <c r="Q1048" s="262"/>
      <c r="R1048" s="261"/>
      <c r="S1048" s="263"/>
      <c r="T1048" s="261"/>
      <c r="U1048" s="269"/>
      <c r="V1048" s="285"/>
      <c r="W1048" s="286"/>
      <c r="X1048" s="267"/>
      <c r="Y1048" s="267"/>
      <c r="Z1048" s="267"/>
      <c r="AA1048" s="267"/>
      <c r="AB1048" s="267"/>
      <c r="AC1048" s="267"/>
      <c r="AD1048" s="261"/>
      <c r="AE1048" s="261"/>
      <c r="AF1048" s="257"/>
      <c r="AG1048" s="257"/>
    </row>
    <row r="1049">
      <c r="A1049" s="284"/>
      <c r="B1049" s="251"/>
      <c r="C1049" s="251"/>
      <c r="D1049" s="261"/>
      <c r="E1049" s="261"/>
      <c r="F1049" s="261"/>
      <c r="G1049" s="261"/>
      <c r="H1049" s="261"/>
      <c r="I1049" s="261"/>
      <c r="J1049" s="261"/>
      <c r="K1049" s="262"/>
      <c r="L1049" s="261"/>
      <c r="M1049" s="262"/>
      <c r="N1049" s="262"/>
      <c r="O1049" s="261"/>
      <c r="P1049" s="262"/>
      <c r="Q1049" s="262"/>
      <c r="R1049" s="261"/>
      <c r="S1049" s="263"/>
      <c r="T1049" s="261"/>
      <c r="U1049" s="269"/>
      <c r="V1049" s="285"/>
      <c r="W1049" s="286"/>
      <c r="X1049" s="267"/>
      <c r="Y1049" s="267"/>
      <c r="Z1049" s="267"/>
      <c r="AA1049" s="267"/>
      <c r="AB1049" s="267"/>
      <c r="AC1049" s="267"/>
      <c r="AD1049" s="261"/>
      <c r="AE1049" s="261"/>
      <c r="AF1049" s="257"/>
      <c r="AG1049" s="257"/>
    </row>
    <row r="1050">
      <c r="A1050" s="284"/>
      <c r="B1050" s="251"/>
      <c r="C1050" s="251"/>
      <c r="D1050" s="261"/>
      <c r="E1050" s="261"/>
      <c r="F1050" s="261"/>
      <c r="G1050" s="261"/>
      <c r="H1050" s="261"/>
      <c r="I1050" s="261"/>
      <c r="J1050" s="261"/>
      <c r="K1050" s="262"/>
      <c r="L1050" s="261"/>
      <c r="M1050" s="262"/>
      <c r="N1050" s="262"/>
      <c r="O1050" s="261"/>
      <c r="P1050" s="262"/>
      <c r="Q1050" s="262"/>
      <c r="R1050" s="261"/>
      <c r="S1050" s="263"/>
      <c r="T1050" s="261"/>
      <c r="U1050" s="269"/>
      <c r="V1050" s="285"/>
      <c r="W1050" s="286"/>
      <c r="X1050" s="267"/>
      <c r="Y1050" s="267"/>
      <c r="Z1050" s="267"/>
      <c r="AA1050" s="267"/>
      <c r="AB1050" s="267"/>
      <c r="AC1050" s="267"/>
      <c r="AD1050" s="261"/>
      <c r="AE1050" s="261"/>
      <c r="AF1050" s="257"/>
      <c r="AG1050" s="257"/>
    </row>
    <row r="1051">
      <c r="A1051" s="284"/>
      <c r="B1051" s="251"/>
      <c r="C1051" s="251"/>
      <c r="D1051" s="261"/>
      <c r="E1051" s="261"/>
      <c r="F1051" s="261"/>
      <c r="G1051" s="261"/>
      <c r="H1051" s="261"/>
      <c r="I1051" s="261"/>
      <c r="J1051" s="261"/>
      <c r="K1051" s="262"/>
      <c r="L1051" s="261"/>
      <c r="M1051" s="262"/>
      <c r="N1051" s="262"/>
      <c r="O1051" s="261"/>
      <c r="P1051" s="262"/>
      <c r="Q1051" s="262"/>
      <c r="R1051" s="261"/>
      <c r="S1051" s="263"/>
      <c r="T1051" s="261"/>
      <c r="U1051" s="269"/>
      <c r="V1051" s="285"/>
      <c r="W1051" s="286"/>
      <c r="X1051" s="267"/>
      <c r="Y1051" s="267"/>
      <c r="Z1051" s="267"/>
      <c r="AA1051" s="267"/>
      <c r="AB1051" s="267"/>
      <c r="AC1051" s="267"/>
      <c r="AD1051" s="261"/>
      <c r="AE1051" s="261"/>
      <c r="AF1051" s="257"/>
      <c r="AG1051" s="257"/>
    </row>
    <row r="1052">
      <c r="A1052" s="284"/>
      <c r="B1052" s="251"/>
      <c r="C1052" s="251"/>
      <c r="D1052" s="261"/>
      <c r="E1052" s="261"/>
      <c r="F1052" s="261"/>
      <c r="G1052" s="261"/>
      <c r="H1052" s="261"/>
      <c r="I1052" s="261"/>
      <c r="J1052" s="261"/>
      <c r="K1052" s="262"/>
      <c r="L1052" s="261"/>
      <c r="M1052" s="262"/>
      <c r="N1052" s="262"/>
      <c r="O1052" s="261"/>
      <c r="P1052" s="262"/>
      <c r="Q1052" s="262"/>
      <c r="R1052" s="261"/>
      <c r="S1052" s="263"/>
      <c r="T1052" s="261"/>
      <c r="U1052" s="269"/>
      <c r="V1052" s="285"/>
      <c r="W1052" s="286"/>
      <c r="X1052" s="267"/>
      <c r="Y1052" s="267"/>
      <c r="Z1052" s="267"/>
      <c r="AA1052" s="267"/>
      <c r="AB1052" s="267"/>
      <c r="AC1052" s="267"/>
      <c r="AD1052" s="261"/>
      <c r="AE1052" s="261"/>
      <c r="AF1052" s="257"/>
      <c r="AG1052" s="257"/>
    </row>
    <row r="1053">
      <c r="A1053" s="284"/>
      <c r="B1053" s="251"/>
      <c r="C1053" s="251"/>
      <c r="D1053" s="261"/>
      <c r="E1053" s="261"/>
      <c r="F1053" s="261"/>
      <c r="G1053" s="261"/>
      <c r="H1053" s="261"/>
      <c r="I1053" s="261"/>
      <c r="J1053" s="261"/>
      <c r="K1053" s="262"/>
      <c r="L1053" s="261"/>
      <c r="M1053" s="262"/>
      <c r="N1053" s="262"/>
      <c r="O1053" s="261"/>
      <c r="P1053" s="262"/>
      <c r="Q1053" s="262"/>
      <c r="R1053" s="261"/>
      <c r="S1053" s="263"/>
      <c r="T1053" s="261"/>
      <c r="U1053" s="269"/>
      <c r="V1053" s="285"/>
      <c r="W1053" s="286"/>
      <c r="X1053" s="267"/>
      <c r="Y1053" s="267"/>
      <c r="Z1053" s="267"/>
      <c r="AA1053" s="267"/>
      <c r="AB1053" s="267"/>
      <c r="AC1053" s="267"/>
      <c r="AD1053" s="261"/>
      <c r="AE1053" s="261"/>
      <c r="AF1053" s="257"/>
      <c r="AG1053" s="257"/>
    </row>
    <row r="1054">
      <c r="A1054" s="284"/>
      <c r="B1054" s="251"/>
      <c r="C1054" s="251"/>
      <c r="D1054" s="261"/>
      <c r="E1054" s="261"/>
      <c r="F1054" s="261"/>
      <c r="G1054" s="261"/>
      <c r="H1054" s="261"/>
      <c r="I1054" s="261"/>
      <c r="J1054" s="261"/>
      <c r="K1054" s="262"/>
      <c r="L1054" s="261"/>
      <c r="M1054" s="262"/>
      <c r="N1054" s="262"/>
      <c r="O1054" s="261"/>
      <c r="P1054" s="262"/>
      <c r="Q1054" s="262"/>
      <c r="R1054" s="261"/>
      <c r="S1054" s="263"/>
      <c r="T1054" s="261"/>
      <c r="U1054" s="269"/>
      <c r="V1054" s="285"/>
      <c r="W1054" s="286"/>
      <c r="X1054" s="267"/>
      <c r="Y1054" s="267"/>
      <c r="Z1054" s="267"/>
      <c r="AA1054" s="267"/>
      <c r="AB1054" s="267"/>
      <c r="AC1054" s="267"/>
      <c r="AD1054" s="261"/>
      <c r="AE1054" s="261"/>
      <c r="AF1054" s="257"/>
      <c r="AG1054" s="257"/>
    </row>
    <row r="1055">
      <c r="A1055" s="284"/>
      <c r="B1055" s="251"/>
      <c r="C1055" s="251"/>
      <c r="D1055" s="261"/>
      <c r="E1055" s="261"/>
      <c r="F1055" s="261"/>
      <c r="G1055" s="261"/>
      <c r="H1055" s="261"/>
      <c r="I1055" s="261"/>
      <c r="J1055" s="261"/>
      <c r="K1055" s="262"/>
      <c r="L1055" s="261"/>
      <c r="M1055" s="262"/>
      <c r="N1055" s="262"/>
      <c r="O1055" s="261"/>
      <c r="P1055" s="262"/>
      <c r="Q1055" s="262"/>
      <c r="R1055" s="261"/>
      <c r="S1055" s="263"/>
      <c r="T1055" s="261"/>
      <c r="U1055" s="269"/>
      <c r="V1055" s="285"/>
      <c r="W1055" s="286"/>
      <c r="X1055" s="267"/>
      <c r="Y1055" s="267"/>
      <c r="Z1055" s="267"/>
      <c r="AA1055" s="267"/>
      <c r="AB1055" s="267"/>
      <c r="AC1055" s="267"/>
      <c r="AD1055" s="261"/>
      <c r="AE1055" s="261"/>
      <c r="AF1055" s="257"/>
      <c r="AG1055" s="257"/>
    </row>
    <row r="1056">
      <c r="A1056" s="284"/>
      <c r="B1056" s="251"/>
      <c r="C1056" s="251"/>
      <c r="D1056" s="261"/>
      <c r="E1056" s="261"/>
      <c r="F1056" s="261"/>
      <c r="G1056" s="261"/>
      <c r="H1056" s="261"/>
      <c r="I1056" s="261"/>
      <c r="J1056" s="261"/>
      <c r="K1056" s="262"/>
      <c r="L1056" s="261"/>
      <c r="M1056" s="262"/>
      <c r="N1056" s="262"/>
      <c r="O1056" s="261"/>
      <c r="P1056" s="262"/>
      <c r="Q1056" s="262"/>
      <c r="R1056" s="261"/>
      <c r="S1056" s="263"/>
      <c r="T1056" s="261"/>
      <c r="U1056" s="269"/>
      <c r="V1056" s="285"/>
      <c r="W1056" s="286"/>
      <c r="X1056" s="267"/>
      <c r="Y1056" s="267"/>
      <c r="Z1056" s="267"/>
      <c r="AA1056" s="267"/>
      <c r="AB1056" s="267"/>
      <c r="AC1056" s="267"/>
      <c r="AD1056" s="261"/>
      <c r="AE1056" s="261"/>
      <c r="AF1056" s="257"/>
      <c r="AG1056" s="257"/>
    </row>
    <row r="1057">
      <c r="A1057" s="284"/>
      <c r="B1057" s="251"/>
      <c r="C1057" s="251"/>
      <c r="D1057" s="261"/>
      <c r="E1057" s="261"/>
      <c r="F1057" s="261"/>
      <c r="G1057" s="261"/>
      <c r="H1057" s="261"/>
      <c r="I1057" s="261"/>
      <c r="J1057" s="261"/>
      <c r="K1057" s="262"/>
      <c r="L1057" s="261"/>
      <c r="M1057" s="262"/>
      <c r="N1057" s="262"/>
      <c r="O1057" s="261"/>
      <c r="P1057" s="262"/>
      <c r="Q1057" s="262"/>
      <c r="R1057" s="261"/>
      <c r="S1057" s="263"/>
      <c r="T1057" s="261"/>
      <c r="U1057" s="269"/>
      <c r="V1057" s="285"/>
      <c r="W1057" s="286"/>
      <c r="X1057" s="267"/>
      <c r="Y1057" s="267"/>
      <c r="Z1057" s="267"/>
      <c r="AA1057" s="267"/>
      <c r="AB1057" s="267"/>
      <c r="AC1057" s="267"/>
      <c r="AD1057" s="261"/>
      <c r="AE1057" s="261"/>
      <c r="AF1057" s="257"/>
      <c r="AG1057" s="257"/>
    </row>
    <row r="1058">
      <c r="A1058" s="284"/>
      <c r="B1058" s="251"/>
      <c r="C1058" s="251"/>
      <c r="D1058" s="261"/>
      <c r="E1058" s="261"/>
      <c r="F1058" s="261"/>
      <c r="G1058" s="261"/>
      <c r="H1058" s="261"/>
      <c r="I1058" s="261"/>
      <c r="J1058" s="261"/>
      <c r="K1058" s="262"/>
      <c r="L1058" s="261"/>
      <c r="M1058" s="262"/>
      <c r="N1058" s="262"/>
      <c r="O1058" s="261"/>
      <c r="P1058" s="262"/>
      <c r="Q1058" s="262"/>
      <c r="R1058" s="261"/>
      <c r="S1058" s="263"/>
      <c r="T1058" s="261"/>
      <c r="U1058" s="269"/>
      <c r="V1058" s="285"/>
      <c r="W1058" s="286"/>
      <c r="X1058" s="267"/>
      <c r="Y1058" s="267"/>
      <c r="Z1058" s="267"/>
      <c r="AA1058" s="267"/>
      <c r="AB1058" s="267"/>
      <c r="AC1058" s="267"/>
      <c r="AD1058" s="261"/>
      <c r="AE1058" s="261"/>
      <c r="AF1058" s="257"/>
      <c r="AG1058" s="257"/>
    </row>
    <row r="1059">
      <c r="A1059" s="284"/>
      <c r="B1059" s="251"/>
      <c r="C1059" s="251"/>
      <c r="D1059" s="261"/>
      <c r="E1059" s="261"/>
      <c r="F1059" s="261"/>
      <c r="G1059" s="261"/>
      <c r="H1059" s="261"/>
      <c r="I1059" s="261"/>
      <c r="J1059" s="261"/>
      <c r="K1059" s="262"/>
      <c r="L1059" s="261"/>
      <c r="M1059" s="262"/>
      <c r="N1059" s="262"/>
      <c r="O1059" s="261"/>
      <c r="P1059" s="262"/>
      <c r="Q1059" s="262"/>
      <c r="R1059" s="261"/>
      <c r="S1059" s="263"/>
      <c r="T1059" s="261"/>
      <c r="U1059" s="269"/>
      <c r="V1059" s="285"/>
      <c r="W1059" s="286"/>
      <c r="X1059" s="267"/>
      <c r="Y1059" s="267"/>
      <c r="Z1059" s="267"/>
      <c r="AA1059" s="267"/>
      <c r="AB1059" s="267"/>
      <c r="AC1059" s="267"/>
      <c r="AD1059" s="261"/>
      <c r="AE1059" s="261"/>
      <c r="AF1059" s="257"/>
      <c r="AG1059" s="257"/>
    </row>
    <row r="1060">
      <c r="A1060" s="284"/>
      <c r="B1060" s="251"/>
      <c r="C1060" s="251"/>
      <c r="D1060" s="261"/>
      <c r="E1060" s="261"/>
      <c r="F1060" s="261"/>
      <c r="G1060" s="261"/>
      <c r="H1060" s="261"/>
      <c r="I1060" s="261"/>
      <c r="J1060" s="261"/>
      <c r="K1060" s="262"/>
      <c r="L1060" s="261"/>
      <c r="M1060" s="262"/>
      <c r="N1060" s="262"/>
      <c r="O1060" s="261"/>
      <c r="P1060" s="262"/>
      <c r="Q1060" s="262"/>
      <c r="R1060" s="261"/>
      <c r="S1060" s="263"/>
      <c r="T1060" s="261"/>
      <c r="U1060" s="269"/>
      <c r="V1060" s="285"/>
      <c r="W1060" s="286"/>
      <c r="X1060" s="267"/>
      <c r="Y1060" s="267"/>
      <c r="Z1060" s="267"/>
      <c r="AA1060" s="267"/>
      <c r="AB1060" s="267"/>
      <c r="AC1060" s="267"/>
      <c r="AD1060" s="261"/>
      <c r="AE1060" s="261"/>
      <c r="AF1060" s="257"/>
      <c r="AG1060" s="257"/>
    </row>
    <row r="1061">
      <c r="A1061" s="284"/>
      <c r="B1061" s="251"/>
      <c r="C1061" s="251"/>
      <c r="D1061" s="261"/>
      <c r="E1061" s="261"/>
      <c r="F1061" s="261"/>
      <c r="G1061" s="261"/>
      <c r="H1061" s="261"/>
      <c r="I1061" s="261"/>
      <c r="J1061" s="261"/>
      <c r="K1061" s="262"/>
      <c r="L1061" s="261"/>
      <c r="M1061" s="262"/>
      <c r="N1061" s="262"/>
      <c r="O1061" s="261"/>
      <c r="P1061" s="262"/>
      <c r="Q1061" s="262"/>
      <c r="R1061" s="261"/>
      <c r="S1061" s="263"/>
      <c r="T1061" s="261"/>
      <c r="U1061" s="269"/>
      <c r="V1061" s="285"/>
      <c r="W1061" s="286"/>
      <c r="X1061" s="267"/>
      <c r="Y1061" s="267"/>
      <c r="Z1061" s="267"/>
      <c r="AA1061" s="267"/>
      <c r="AB1061" s="267"/>
      <c r="AC1061" s="267"/>
      <c r="AD1061" s="261"/>
      <c r="AE1061" s="261"/>
      <c r="AF1061" s="257"/>
      <c r="AG1061" s="257"/>
    </row>
    <row r="1062">
      <c r="A1062" s="284"/>
      <c r="B1062" s="251"/>
      <c r="C1062" s="251"/>
      <c r="D1062" s="261"/>
      <c r="E1062" s="261"/>
      <c r="F1062" s="261"/>
      <c r="G1062" s="261"/>
      <c r="H1062" s="261"/>
      <c r="I1062" s="261"/>
      <c r="J1062" s="261"/>
      <c r="K1062" s="262"/>
      <c r="L1062" s="261"/>
      <c r="M1062" s="262"/>
      <c r="N1062" s="262"/>
      <c r="O1062" s="261"/>
      <c r="P1062" s="262"/>
      <c r="Q1062" s="262"/>
      <c r="R1062" s="261"/>
      <c r="S1062" s="263"/>
      <c r="T1062" s="261"/>
      <c r="U1062" s="269"/>
      <c r="V1062" s="285"/>
      <c r="W1062" s="286"/>
      <c r="X1062" s="267"/>
      <c r="Y1062" s="267"/>
      <c r="Z1062" s="267"/>
      <c r="AA1062" s="267"/>
      <c r="AB1062" s="267"/>
      <c r="AC1062" s="267"/>
      <c r="AD1062" s="261"/>
      <c r="AE1062" s="261"/>
      <c r="AF1062" s="257"/>
      <c r="AG1062" s="257"/>
    </row>
    <row r="1063">
      <c r="A1063" s="284"/>
      <c r="B1063" s="251"/>
      <c r="C1063" s="251"/>
      <c r="D1063" s="261"/>
      <c r="E1063" s="261"/>
      <c r="F1063" s="261"/>
      <c r="G1063" s="261"/>
      <c r="H1063" s="261"/>
      <c r="I1063" s="261"/>
      <c r="J1063" s="261"/>
      <c r="K1063" s="262"/>
      <c r="L1063" s="261"/>
      <c r="M1063" s="262"/>
      <c r="N1063" s="262"/>
      <c r="O1063" s="261"/>
      <c r="P1063" s="262"/>
      <c r="Q1063" s="262"/>
      <c r="R1063" s="261"/>
      <c r="S1063" s="263"/>
      <c r="T1063" s="261"/>
      <c r="U1063" s="269"/>
      <c r="V1063" s="285"/>
      <c r="W1063" s="286"/>
      <c r="X1063" s="267"/>
      <c r="Y1063" s="267"/>
      <c r="Z1063" s="267"/>
      <c r="AA1063" s="267"/>
      <c r="AB1063" s="267"/>
      <c r="AC1063" s="267"/>
      <c r="AD1063" s="261"/>
      <c r="AE1063" s="261"/>
      <c r="AF1063" s="257"/>
      <c r="AG1063" s="257"/>
    </row>
    <row r="1064">
      <c r="A1064" s="284"/>
      <c r="B1064" s="251"/>
      <c r="C1064" s="251"/>
      <c r="D1064" s="261"/>
      <c r="E1064" s="261"/>
      <c r="F1064" s="261"/>
      <c r="G1064" s="261"/>
      <c r="H1064" s="261"/>
      <c r="I1064" s="261"/>
      <c r="J1064" s="261"/>
      <c r="K1064" s="262"/>
      <c r="L1064" s="261"/>
      <c r="M1064" s="262"/>
      <c r="N1064" s="262"/>
      <c r="O1064" s="261"/>
      <c r="P1064" s="262"/>
      <c r="Q1064" s="262"/>
      <c r="R1064" s="261"/>
      <c r="S1064" s="263"/>
      <c r="T1064" s="261"/>
      <c r="U1064" s="269"/>
      <c r="V1064" s="285"/>
      <c r="W1064" s="286"/>
      <c r="X1064" s="267"/>
      <c r="Y1064" s="267"/>
      <c r="Z1064" s="267"/>
      <c r="AA1064" s="267"/>
      <c r="AB1064" s="267"/>
      <c r="AC1064" s="267"/>
      <c r="AD1064" s="261"/>
      <c r="AE1064" s="261"/>
      <c r="AF1064" s="257"/>
      <c r="AG1064" s="257"/>
    </row>
    <row r="1065">
      <c r="A1065" s="284"/>
      <c r="B1065" s="251"/>
      <c r="C1065" s="251"/>
      <c r="D1065" s="261"/>
      <c r="E1065" s="261"/>
      <c r="F1065" s="261"/>
      <c r="G1065" s="261"/>
      <c r="H1065" s="261"/>
      <c r="I1065" s="261"/>
      <c r="J1065" s="261"/>
      <c r="K1065" s="262"/>
      <c r="L1065" s="261"/>
      <c r="M1065" s="262"/>
      <c r="N1065" s="262"/>
      <c r="O1065" s="261"/>
      <c r="P1065" s="262"/>
      <c r="Q1065" s="262"/>
      <c r="R1065" s="261"/>
      <c r="S1065" s="263"/>
      <c r="T1065" s="261"/>
      <c r="U1065" s="269"/>
      <c r="V1065" s="285"/>
      <c r="W1065" s="286"/>
      <c r="X1065" s="267"/>
      <c r="Y1065" s="267"/>
      <c r="Z1065" s="267"/>
      <c r="AA1065" s="267"/>
      <c r="AB1065" s="267"/>
      <c r="AC1065" s="267"/>
      <c r="AD1065" s="261"/>
      <c r="AE1065" s="261"/>
      <c r="AF1065" s="257"/>
      <c r="AG1065" s="257"/>
    </row>
    <row r="1066">
      <c r="A1066" s="284"/>
      <c r="B1066" s="251"/>
      <c r="C1066" s="251"/>
      <c r="D1066" s="261"/>
      <c r="E1066" s="261"/>
      <c r="F1066" s="261"/>
      <c r="G1066" s="261"/>
      <c r="H1066" s="261"/>
      <c r="I1066" s="261"/>
      <c r="J1066" s="261"/>
      <c r="K1066" s="262"/>
      <c r="L1066" s="261"/>
      <c r="M1066" s="262"/>
      <c r="N1066" s="262"/>
      <c r="O1066" s="261"/>
      <c r="P1066" s="262"/>
      <c r="Q1066" s="262"/>
      <c r="R1066" s="261"/>
      <c r="S1066" s="263"/>
      <c r="T1066" s="261"/>
      <c r="U1066" s="269"/>
      <c r="V1066" s="285"/>
      <c r="W1066" s="286"/>
      <c r="X1066" s="267"/>
      <c r="Y1066" s="267"/>
      <c r="Z1066" s="267"/>
      <c r="AA1066" s="267"/>
      <c r="AB1066" s="267"/>
      <c r="AC1066" s="267"/>
      <c r="AD1066" s="261"/>
      <c r="AE1066" s="261"/>
      <c r="AF1066" s="257"/>
      <c r="AG1066" s="257"/>
    </row>
    <row r="1067">
      <c r="A1067" s="284"/>
      <c r="B1067" s="251"/>
      <c r="C1067" s="251"/>
      <c r="D1067" s="261"/>
      <c r="E1067" s="261"/>
      <c r="F1067" s="261"/>
      <c r="G1067" s="261"/>
      <c r="H1067" s="261"/>
      <c r="I1067" s="261"/>
      <c r="J1067" s="261"/>
      <c r="K1067" s="262"/>
      <c r="L1067" s="261"/>
      <c r="M1067" s="262"/>
      <c r="N1067" s="262"/>
      <c r="O1067" s="261"/>
      <c r="P1067" s="262"/>
      <c r="Q1067" s="262"/>
      <c r="R1067" s="261"/>
      <c r="S1067" s="263"/>
      <c r="T1067" s="261"/>
      <c r="U1067" s="269"/>
      <c r="V1067" s="285"/>
      <c r="W1067" s="286"/>
      <c r="X1067" s="267"/>
      <c r="Y1067" s="267"/>
      <c r="Z1067" s="267"/>
      <c r="AA1067" s="267"/>
      <c r="AB1067" s="267"/>
      <c r="AC1067" s="267"/>
      <c r="AD1067" s="261"/>
      <c r="AE1067" s="261"/>
      <c r="AF1067" s="257"/>
      <c r="AG1067" s="257"/>
    </row>
    <row r="1068">
      <c r="A1068" s="284"/>
      <c r="B1068" s="251"/>
      <c r="C1068" s="251"/>
      <c r="D1068" s="261"/>
      <c r="E1068" s="261"/>
      <c r="F1068" s="261"/>
      <c r="G1068" s="261"/>
      <c r="H1068" s="261"/>
      <c r="I1068" s="261"/>
      <c r="J1068" s="261"/>
      <c r="K1068" s="262"/>
      <c r="L1068" s="261"/>
      <c r="M1068" s="262"/>
      <c r="N1068" s="262"/>
      <c r="O1068" s="261"/>
      <c r="P1068" s="262"/>
      <c r="Q1068" s="262"/>
      <c r="R1068" s="261"/>
      <c r="S1068" s="263"/>
      <c r="T1068" s="261"/>
      <c r="U1068" s="269"/>
      <c r="V1068" s="285"/>
      <c r="W1068" s="286"/>
      <c r="X1068" s="267"/>
      <c r="Y1068" s="267"/>
      <c r="Z1068" s="267"/>
      <c r="AA1068" s="267"/>
      <c r="AB1068" s="267"/>
      <c r="AC1068" s="267"/>
      <c r="AD1068" s="261"/>
      <c r="AE1068" s="261"/>
      <c r="AF1068" s="257"/>
      <c r="AG1068" s="257"/>
    </row>
    <row r="1069">
      <c r="A1069" s="284"/>
      <c r="B1069" s="251"/>
      <c r="C1069" s="251"/>
      <c r="D1069" s="261"/>
      <c r="E1069" s="261"/>
      <c r="F1069" s="261"/>
      <c r="G1069" s="261"/>
      <c r="H1069" s="261"/>
      <c r="I1069" s="261"/>
      <c r="J1069" s="261"/>
      <c r="K1069" s="262"/>
      <c r="L1069" s="261"/>
      <c r="M1069" s="262"/>
      <c r="N1069" s="262"/>
      <c r="O1069" s="261"/>
      <c r="P1069" s="262"/>
      <c r="Q1069" s="262"/>
      <c r="R1069" s="261"/>
      <c r="S1069" s="263"/>
      <c r="T1069" s="261"/>
      <c r="U1069" s="269"/>
      <c r="V1069" s="285"/>
      <c r="W1069" s="286"/>
      <c r="X1069" s="267"/>
      <c r="Y1069" s="267"/>
      <c r="Z1069" s="267"/>
      <c r="AA1069" s="267"/>
      <c r="AB1069" s="267"/>
      <c r="AC1069" s="267"/>
      <c r="AD1069" s="261"/>
      <c r="AE1069" s="261"/>
      <c r="AF1069" s="257"/>
      <c r="AG1069" s="257"/>
    </row>
    <row r="1070">
      <c r="A1070" s="284"/>
      <c r="B1070" s="251"/>
      <c r="C1070" s="251"/>
      <c r="D1070" s="261"/>
      <c r="E1070" s="261"/>
      <c r="F1070" s="261"/>
      <c r="G1070" s="261"/>
      <c r="H1070" s="261"/>
      <c r="I1070" s="261"/>
      <c r="J1070" s="261"/>
      <c r="K1070" s="262"/>
      <c r="L1070" s="261"/>
      <c r="M1070" s="262"/>
      <c r="N1070" s="262"/>
      <c r="O1070" s="261"/>
      <c r="P1070" s="262"/>
      <c r="Q1070" s="262"/>
      <c r="R1070" s="261"/>
      <c r="S1070" s="263"/>
      <c r="T1070" s="261"/>
      <c r="U1070" s="269"/>
      <c r="V1070" s="285"/>
      <c r="W1070" s="286"/>
      <c r="X1070" s="267"/>
      <c r="Y1070" s="267"/>
      <c r="Z1070" s="267"/>
      <c r="AA1070" s="267"/>
      <c r="AB1070" s="267"/>
      <c r="AC1070" s="267"/>
      <c r="AD1070" s="261"/>
      <c r="AE1070" s="261"/>
      <c r="AF1070" s="257"/>
      <c r="AG1070" s="257"/>
    </row>
    <row r="1071">
      <c r="A1071" s="284"/>
      <c r="B1071" s="251"/>
      <c r="C1071" s="251"/>
      <c r="D1071" s="261"/>
      <c r="E1071" s="261"/>
      <c r="F1071" s="261"/>
      <c r="G1071" s="261"/>
      <c r="H1071" s="261"/>
      <c r="I1071" s="261"/>
      <c r="J1071" s="261"/>
      <c r="K1071" s="262"/>
      <c r="L1071" s="261"/>
      <c r="M1071" s="262"/>
      <c r="N1071" s="262"/>
      <c r="O1071" s="261"/>
      <c r="P1071" s="262"/>
      <c r="Q1071" s="262"/>
      <c r="R1071" s="261"/>
      <c r="S1071" s="263"/>
      <c r="T1071" s="261"/>
      <c r="U1071" s="269"/>
      <c r="V1071" s="285"/>
      <c r="W1071" s="286"/>
      <c r="X1071" s="267"/>
      <c r="Y1071" s="267"/>
      <c r="Z1071" s="267"/>
      <c r="AA1071" s="267"/>
      <c r="AB1071" s="267"/>
      <c r="AC1071" s="267"/>
      <c r="AD1071" s="261"/>
      <c r="AE1071" s="261"/>
      <c r="AF1071" s="257"/>
      <c r="AG1071" s="257"/>
    </row>
    <row r="1072">
      <c r="A1072" s="284"/>
      <c r="B1072" s="251"/>
      <c r="C1072" s="251"/>
      <c r="D1072" s="261"/>
      <c r="E1072" s="261"/>
      <c r="F1072" s="261"/>
      <c r="G1072" s="261"/>
      <c r="H1072" s="261"/>
      <c r="I1072" s="261"/>
      <c r="J1072" s="261"/>
      <c r="K1072" s="262"/>
      <c r="L1072" s="261"/>
      <c r="M1072" s="262"/>
      <c r="N1072" s="262"/>
      <c r="O1072" s="261"/>
      <c r="P1072" s="262"/>
      <c r="Q1072" s="262"/>
      <c r="R1072" s="261"/>
      <c r="S1072" s="263"/>
      <c r="T1072" s="261"/>
      <c r="U1072" s="269"/>
      <c r="V1072" s="285"/>
      <c r="W1072" s="286"/>
      <c r="X1072" s="267"/>
      <c r="Y1072" s="267"/>
      <c r="Z1072" s="267"/>
      <c r="AA1072" s="267"/>
      <c r="AB1072" s="267"/>
      <c r="AC1072" s="267"/>
      <c r="AD1072" s="261"/>
      <c r="AE1072" s="261"/>
      <c r="AF1072" s="257"/>
      <c r="AG1072" s="257"/>
    </row>
    <row r="1073">
      <c r="A1073" s="284"/>
      <c r="B1073" s="251"/>
      <c r="C1073" s="251"/>
      <c r="D1073" s="261"/>
      <c r="E1073" s="261"/>
      <c r="F1073" s="261"/>
      <c r="G1073" s="261"/>
      <c r="H1073" s="261"/>
      <c r="I1073" s="261"/>
      <c r="J1073" s="261"/>
      <c r="K1073" s="262"/>
      <c r="L1073" s="261"/>
      <c r="M1073" s="262"/>
      <c r="N1073" s="262"/>
      <c r="O1073" s="261"/>
      <c r="P1073" s="262"/>
      <c r="Q1073" s="262"/>
      <c r="R1073" s="261"/>
      <c r="S1073" s="263"/>
      <c r="T1073" s="261"/>
      <c r="U1073" s="269"/>
      <c r="V1073" s="285"/>
      <c r="W1073" s="286"/>
      <c r="X1073" s="267"/>
      <c r="Y1073" s="267"/>
      <c r="Z1073" s="267"/>
      <c r="AA1073" s="267"/>
      <c r="AB1073" s="267"/>
      <c r="AC1073" s="267"/>
      <c r="AD1073" s="261"/>
      <c r="AE1073" s="261"/>
      <c r="AF1073" s="257"/>
      <c r="AG1073" s="257"/>
    </row>
    <row r="1074">
      <c r="A1074" s="284"/>
      <c r="B1074" s="251"/>
      <c r="C1074" s="251"/>
      <c r="D1074" s="261"/>
      <c r="E1074" s="261"/>
      <c r="F1074" s="261"/>
      <c r="G1074" s="261"/>
      <c r="H1074" s="261"/>
      <c r="I1074" s="261"/>
      <c r="J1074" s="261"/>
      <c r="K1074" s="262"/>
      <c r="L1074" s="261"/>
      <c r="M1074" s="262"/>
      <c r="N1074" s="262"/>
      <c r="O1074" s="261"/>
      <c r="P1074" s="262"/>
      <c r="Q1074" s="262"/>
      <c r="R1074" s="261"/>
      <c r="S1074" s="263"/>
      <c r="T1074" s="261"/>
      <c r="U1074" s="269"/>
      <c r="V1074" s="285"/>
      <c r="W1074" s="286"/>
      <c r="X1074" s="267"/>
      <c r="Y1074" s="267"/>
      <c r="Z1074" s="267"/>
      <c r="AA1074" s="267"/>
      <c r="AB1074" s="267"/>
      <c r="AC1074" s="267"/>
      <c r="AD1074" s="261"/>
      <c r="AE1074" s="261"/>
      <c r="AF1074" s="257"/>
      <c r="AG1074" s="257"/>
    </row>
    <row r="1075">
      <c r="A1075" s="284"/>
      <c r="B1075" s="251"/>
      <c r="C1075" s="251"/>
      <c r="D1075" s="261"/>
      <c r="E1075" s="261"/>
      <c r="F1075" s="261"/>
      <c r="G1075" s="261"/>
      <c r="H1075" s="261"/>
      <c r="I1075" s="261"/>
      <c r="J1075" s="261"/>
      <c r="K1075" s="262"/>
      <c r="L1075" s="261"/>
      <c r="M1075" s="262"/>
      <c r="N1075" s="262"/>
      <c r="O1075" s="261"/>
      <c r="P1075" s="262"/>
      <c r="Q1075" s="262"/>
      <c r="R1075" s="261"/>
      <c r="S1075" s="263"/>
      <c r="T1075" s="261"/>
      <c r="U1075" s="269"/>
      <c r="V1075" s="285"/>
      <c r="W1075" s="286"/>
      <c r="X1075" s="267"/>
      <c r="Y1075" s="267"/>
      <c r="Z1075" s="267"/>
      <c r="AA1075" s="267"/>
      <c r="AB1075" s="267"/>
      <c r="AC1075" s="267"/>
      <c r="AD1075" s="261"/>
      <c r="AE1075" s="261"/>
      <c r="AF1075" s="257"/>
      <c r="AG1075" s="257"/>
    </row>
    <row r="1076">
      <c r="A1076" s="284"/>
      <c r="B1076" s="251"/>
      <c r="C1076" s="251"/>
      <c r="D1076" s="261"/>
      <c r="E1076" s="261"/>
      <c r="F1076" s="261"/>
      <c r="G1076" s="261"/>
      <c r="H1076" s="261"/>
      <c r="I1076" s="261"/>
      <c r="J1076" s="261"/>
      <c r="K1076" s="262"/>
      <c r="L1076" s="261"/>
      <c r="M1076" s="262"/>
      <c r="N1076" s="262"/>
      <c r="O1076" s="261"/>
      <c r="P1076" s="262"/>
      <c r="Q1076" s="262"/>
      <c r="R1076" s="261"/>
      <c r="S1076" s="263"/>
      <c r="T1076" s="261"/>
      <c r="U1076" s="269"/>
      <c r="V1076" s="285"/>
      <c r="W1076" s="286"/>
      <c r="X1076" s="267"/>
      <c r="Y1076" s="267"/>
      <c r="Z1076" s="267"/>
      <c r="AA1076" s="267"/>
      <c r="AB1076" s="267"/>
      <c r="AC1076" s="267"/>
      <c r="AD1076" s="261"/>
      <c r="AE1076" s="261"/>
      <c r="AF1076" s="257"/>
      <c r="AG1076" s="257"/>
    </row>
    <row r="1077">
      <c r="A1077" s="284"/>
      <c r="B1077" s="251"/>
      <c r="C1077" s="251"/>
      <c r="D1077" s="261"/>
      <c r="E1077" s="261"/>
      <c r="F1077" s="261"/>
      <c r="G1077" s="261"/>
      <c r="H1077" s="261"/>
      <c r="I1077" s="261"/>
      <c r="J1077" s="261"/>
      <c r="K1077" s="262"/>
      <c r="L1077" s="261"/>
      <c r="M1077" s="262"/>
      <c r="N1077" s="262"/>
      <c r="O1077" s="261"/>
      <c r="P1077" s="262"/>
      <c r="Q1077" s="262"/>
      <c r="R1077" s="261"/>
      <c r="S1077" s="263"/>
      <c r="T1077" s="261"/>
      <c r="U1077" s="269"/>
      <c r="V1077" s="285"/>
      <c r="W1077" s="286"/>
      <c r="X1077" s="267"/>
      <c r="Y1077" s="267"/>
      <c r="Z1077" s="267"/>
      <c r="AA1077" s="267"/>
      <c r="AB1077" s="267"/>
      <c r="AC1077" s="267"/>
      <c r="AD1077" s="261"/>
      <c r="AE1077" s="261"/>
      <c r="AF1077" s="257"/>
      <c r="AG1077" s="257"/>
    </row>
    <row r="1078">
      <c r="A1078" s="284"/>
      <c r="B1078" s="251"/>
      <c r="C1078" s="251"/>
      <c r="D1078" s="261"/>
      <c r="E1078" s="261"/>
      <c r="F1078" s="261"/>
      <c r="G1078" s="261"/>
      <c r="H1078" s="261"/>
      <c r="I1078" s="261"/>
      <c r="J1078" s="261"/>
      <c r="K1078" s="262"/>
      <c r="L1078" s="261"/>
      <c r="M1078" s="262"/>
      <c r="N1078" s="262"/>
      <c r="O1078" s="261"/>
      <c r="P1078" s="262"/>
      <c r="Q1078" s="262"/>
      <c r="R1078" s="261"/>
      <c r="S1078" s="263"/>
      <c r="T1078" s="261"/>
      <c r="U1078" s="269"/>
      <c r="V1078" s="285"/>
      <c r="W1078" s="286"/>
      <c r="X1078" s="267"/>
      <c r="Y1078" s="267"/>
      <c r="Z1078" s="267"/>
      <c r="AA1078" s="267"/>
      <c r="AB1078" s="267"/>
      <c r="AC1078" s="267"/>
      <c r="AD1078" s="261"/>
      <c r="AE1078" s="261"/>
      <c r="AF1078" s="257"/>
      <c r="AG1078" s="257"/>
    </row>
    <row r="1079">
      <c r="A1079" s="284"/>
      <c r="B1079" s="251"/>
      <c r="C1079" s="251"/>
      <c r="D1079" s="261"/>
      <c r="E1079" s="261"/>
      <c r="F1079" s="261"/>
      <c r="G1079" s="261"/>
      <c r="H1079" s="261"/>
      <c r="I1079" s="261"/>
      <c r="J1079" s="261"/>
      <c r="K1079" s="262"/>
      <c r="L1079" s="261"/>
      <c r="M1079" s="262"/>
      <c r="N1079" s="262"/>
      <c r="O1079" s="261"/>
      <c r="P1079" s="262"/>
      <c r="Q1079" s="262"/>
      <c r="R1079" s="261"/>
      <c r="S1079" s="263"/>
      <c r="T1079" s="261"/>
      <c r="U1079" s="269"/>
      <c r="V1079" s="285"/>
      <c r="W1079" s="286"/>
      <c r="X1079" s="267"/>
      <c r="Y1079" s="267"/>
      <c r="Z1079" s="267"/>
      <c r="AA1079" s="267"/>
      <c r="AB1079" s="267"/>
      <c r="AC1079" s="267"/>
      <c r="AD1079" s="261"/>
      <c r="AE1079" s="261"/>
      <c r="AF1079" s="257"/>
      <c r="AG1079" s="257"/>
    </row>
    <row r="1080">
      <c r="A1080" s="284"/>
      <c r="B1080" s="251"/>
      <c r="C1080" s="251"/>
      <c r="D1080" s="261"/>
      <c r="E1080" s="261"/>
      <c r="F1080" s="261"/>
      <c r="G1080" s="261"/>
      <c r="H1080" s="261"/>
      <c r="I1080" s="261"/>
      <c r="J1080" s="261"/>
      <c r="K1080" s="262"/>
      <c r="L1080" s="261"/>
      <c r="M1080" s="262"/>
      <c r="N1080" s="262"/>
      <c r="O1080" s="261"/>
      <c r="P1080" s="262"/>
      <c r="Q1080" s="262"/>
      <c r="R1080" s="261"/>
      <c r="S1080" s="263"/>
      <c r="T1080" s="261"/>
      <c r="U1080" s="269"/>
      <c r="V1080" s="285"/>
      <c r="W1080" s="286"/>
      <c r="X1080" s="267"/>
      <c r="Y1080" s="267"/>
      <c r="Z1080" s="267"/>
      <c r="AA1080" s="267"/>
      <c r="AB1080" s="267"/>
      <c r="AC1080" s="267"/>
      <c r="AD1080" s="261"/>
      <c r="AE1080" s="261"/>
      <c r="AF1080" s="257"/>
      <c r="AG1080" s="257"/>
    </row>
    <row r="1081">
      <c r="A1081" s="284"/>
      <c r="B1081" s="251"/>
      <c r="C1081" s="251"/>
      <c r="D1081" s="261"/>
      <c r="E1081" s="261"/>
      <c r="F1081" s="261"/>
      <c r="G1081" s="261"/>
      <c r="H1081" s="261"/>
      <c r="I1081" s="261"/>
      <c r="J1081" s="261"/>
      <c r="K1081" s="262"/>
      <c r="L1081" s="261"/>
      <c r="M1081" s="262"/>
      <c r="N1081" s="262"/>
      <c r="O1081" s="261"/>
      <c r="P1081" s="262"/>
      <c r="Q1081" s="262"/>
      <c r="R1081" s="261"/>
      <c r="S1081" s="263"/>
      <c r="T1081" s="261"/>
      <c r="U1081" s="269"/>
      <c r="V1081" s="285"/>
      <c r="W1081" s="286"/>
      <c r="X1081" s="267"/>
      <c r="Y1081" s="267"/>
      <c r="Z1081" s="267"/>
      <c r="AA1081" s="267"/>
      <c r="AB1081" s="267"/>
      <c r="AC1081" s="267"/>
      <c r="AD1081" s="261"/>
      <c r="AE1081" s="261"/>
      <c r="AF1081" s="257"/>
      <c r="AG1081" s="257"/>
    </row>
    <row r="1082">
      <c r="A1082" s="284"/>
      <c r="B1082" s="251"/>
      <c r="C1082" s="251"/>
      <c r="D1082" s="261"/>
      <c r="E1082" s="261"/>
      <c r="F1082" s="261"/>
      <c r="G1082" s="261"/>
      <c r="H1082" s="261"/>
      <c r="I1082" s="261"/>
      <c r="J1082" s="261"/>
      <c r="K1082" s="262"/>
      <c r="L1082" s="261"/>
      <c r="M1082" s="262"/>
      <c r="N1082" s="262"/>
      <c r="O1082" s="261"/>
      <c r="P1082" s="262"/>
      <c r="Q1082" s="262"/>
      <c r="R1082" s="261"/>
      <c r="S1082" s="263"/>
      <c r="T1082" s="261"/>
      <c r="U1082" s="269"/>
      <c r="V1082" s="285"/>
      <c r="W1082" s="286"/>
      <c r="X1082" s="267"/>
      <c r="Y1082" s="267"/>
      <c r="Z1082" s="267"/>
      <c r="AA1082" s="267"/>
      <c r="AB1082" s="267"/>
      <c r="AC1082" s="267"/>
      <c r="AD1082" s="261"/>
      <c r="AE1082" s="261"/>
      <c r="AF1082" s="257"/>
      <c r="AG1082" s="257"/>
    </row>
    <row r="1083">
      <c r="A1083" s="284"/>
      <c r="B1083" s="251"/>
      <c r="C1083" s="251"/>
      <c r="D1083" s="261"/>
      <c r="E1083" s="261"/>
      <c r="F1083" s="261"/>
      <c r="G1083" s="261"/>
      <c r="H1083" s="261"/>
      <c r="I1083" s="261"/>
      <c r="J1083" s="261"/>
      <c r="K1083" s="262"/>
      <c r="L1083" s="261"/>
      <c r="M1083" s="262"/>
      <c r="N1083" s="262"/>
      <c r="O1083" s="261"/>
      <c r="P1083" s="262"/>
      <c r="Q1083" s="262"/>
      <c r="R1083" s="261"/>
      <c r="S1083" s="263"/>
      <c r="T1083" s="261"/>
      <c r="U1083" s="269"/>
      <c r="V1083" s="285"/>
      <c r="W1083" s="286"/>
      <c r="X1083" s="267"/>
      <c r="Y1083" s="267"/>
      <c r="Z1083" s="267"/>
      <c r="AA1083" s="267"/>
      <c r="AB1083" s="267"/>
      <c r="AC1083" s="267"/>
      <c r="AD1083" s="261"/>
      <c r="AE1083" s="261"/>
      <c r="AF1083" s="257"/>
      <c r="AG1083" s="257"/>
    </row>
    <row r="1084">
      <c r="A1084" s="284"/>
      <c r="B1084" s="251"/>
      <c r="C1084" s="251"/>
      <c r="D1084" s="261"/>
      <c r="E1084" s="261"/>
      <c r="F1084" s="261"/>
      <c r="G1084" s="261"/>
      <c r="H1084" s="261"/>
      <c r="I1084" s="261"/>
      <c r="J1084" s="261"/>
      <c r="K1084" s="262"/>
      <c r="L1084" s="261"/>
      <c r="M1084" s="262"/>
      <c r="N1084" s="262"/>
      <c r="O1084" s="261"/>
      <c r="P1084" s="262"/>
      <c r="Q1084" s="262"/>
      <c r="R1084" s="261"/>
      <c r="S1084" s="263"/>
      <c r="T1084" s="261"/>
      <c r="U1084" s="269"/>
      <c r="V1084" s="285"/>
      <c r="W1084" s="286"/>
      <c r="X1084" s="267"/>
      <c r="Y1084" s="267"/>
      <c r="Z1084" s="267"/>
      <c r="AA1084" s="267"/>
      <c r="AB1084" s="267"/>
      <c r="AC1084" s="267"/>
      <c r="AD1084" s="261"/>
      <c r="AE1084" s="261"/>
      <c r="AF1084" s="257"/>
      <c r="AG1084" s="257"/>
    </row>
    <row r="1085">
      <c r="A1085" s="284"/>
      <c r="B1085" s="251"/>
      <c r="C1085" s="251"/>
      <c r="D1085" s="261"/>
      <c r="E1085" s="261"/>
      <c r="F1085" s="261"/>
      <c r="G1085" s="261"/>
      <c r="H1085" s="261"/>
      <c r="I1085" s="261"/>
      <c r="J1085" s="261"/>
      <c r="K1085" s="262"/>
      <c r="L1085" s="261"/>
      <c r="M1085" s="262"/>
      <c r="N1085" s="262"/>
      <c r="O1085" s="261"/>
      <c r="P1085" s="262"/>
      <c r="Q1085" s="262"/>
      <c r="R1085" s="261"/>
      <c r="S1085" s="263"/>
      <c r="T1085" s="261"/>
      <c r="U1085" s="269"/>
      <c r="V1085" s="285"/>
      <c r="W1085" s="286"/>
      <c r="X1085" s="267"/>
      <c r="Y1085" s="267"/>
      <c r="Z1085" s="267"/>
      <c r="AA1085" s="267"/>
      <c r="AB1085" s="267"/>
      <c r="AC1085" s="267"/>
      <c r="AD1085" s="261"/>
      <c r="AE1085" s="261"/>
      <c r="AF1085" s="257"/>
      <c r="AG1085" s="257"/>
    </row>
    <row r="1086">
      <c r="A1086" s="284"/>
      <c r="B1086" s="251"/>
      <c r="C1086" s="251"/>
      <c r="D1086" s="261"/>
      <c r="E1086" s="261"/>
      <c r="F1086" s="261"/>
      <c r="G1086" s="261"/>
      <c r="H1086" s="261"/>
      <c r="I1086" s="261"/>
      <c r="J1086" s="261"/>
      <c r="K1086" s="262"/>
      <c r="L1086" s="261"/>
      <c r="M1086" s="262"/>
      <c r="N1086" s="262"/>
      <c r="O1086" s="261"/>
      <c r="P1086" s="262"/>
      <c r="Q1086" s="262"/>
      <c r="R1086" s="261"/>
      <c r="S1086" s="263"/>
      <c r="T1086" s="261"/>
      <c r="U1086" s="269"/>
      <c r="V1086" s="285"/>
      <c r="W1086" s="286"/>
      <c r="X1086" s="267"/>
      <c r="Y1086" s="267"/>
      <c r="Z1086" s="267"/>
      <c r="AA1086" s="267"/>
      <c r="AB1086" s="267"/>
      <c r="AC1086" s="267"/>
      <c r="AD1086" s="261"/>
      <c r="AE1086" s="261"/>
      <c r="AF1086" s="257"/>
      <c r="AG1086" s="257"/>
    </row>
    <row r="1087">
      <c r="A1087" s="284"/>
      <c r="B1087" s="251"/>
      <c r="C1087" s="251"/>
      <c r="D1087" s="261"/>
      <c r="E1087" s="261"/>
      <c r="F1087" s="261"/>
      <c r="G1087" s="261"/>
      <c r="H1087" s="261"/>
      <c r="I1087" s="261"/>
      <c r="J1087" s="261"/>
      <c r="K1087" s="262"/>
      <c r="L1087" s="261"/>
      <c r="M1087" s="262"/>
      <c r="N1087" s="262"/>
      <c r="O1087" s="261"/>
      <c r="P1087" s="262"/>
      <c r="Q1087" s="262"/>
      <c r="R1087" s="261"/>
      <c r="S1087" s="263"/>
      <c r="T1087" s="261"/>
      <c r="U1087" s="269"/>
      <c r="V1087" s="285"/>
      <c r="W1087" s="286"/>
      <c r="X1087" s="267"/>
      <c r="Y1087" s="267"/>
      <c r="Z1087" s="267"/>
      <c r="AA1087" s="267"/>
      <c r="AB1087" s="267"/>
      <c r="AC1087" s="267"/>
      <c r="AD1087" s="261"/>
      <c r="AE1087" s="261"/>
      <c r="AF1087" s="257"/>
      <c r="AG1087" s="257"/>
    </row>
    <row r="1088">
      <c r="A1088" s="284"/>
      <c r="B1088" s="251"/>
      <c r="C1088" s="251"/>
      <c r="D1088" s="261"/>
      <c r="E1088" s="261"/>
      <c r="F1088" s="261"/>
      <c r="G1088" s="261"/>
      <c r="H1088" s="261"/>
      <c r="I1088" s="261"/>
      <c r="J1088" s="261"/>
      <c r="K1088" s="262"/>
      <c r="L1088" s="261"/>
      <c r="M1088" s="262"/>
      <c r="N1088" s="262"/>
      <c r="O1088" s="261"/>
      <c r="P1088" s="262"/>
      <c r="Q1088" s="262"/>
      <c r="R1088" s="261"/>
      <c r="S1088" s="263"/>
      <c r="T1088" s="261"/>
      <c r="U1088" s="269"/>
      <c r="V1088" s="285"/>
      <c r="W1088" s="286"/>
      <c r="X1088" s="267"/>
      <c r="Y1088" s="267"/>
      <c r="Z1088" s="267"/>
      <c r="AA1088" s="267"/>
      <c r="AB1088" s="267"/>
      <c r="AC1088" s="267"/>
      <c r="AD1088" s="261"/>
      <c r="AE1088" s="261"/>
      <c r="AF1088" s="257"/>
      <c r="AG1088" s="257"/>
    </row>
    <row r="1089">
      <c r="A1089" s="284"/>
      <c r="B1089" s="251"/>
      <c r="C1089" s="251"/>
      <c r="D1089" s="261"/>
      <c r="E1089" s="261"/>
      <c r="F1089" s="261"/>
      <c r="G1089" s="261"/>
      <c r="H1089" s="261"/>
      <c r="I1089" s="261"/>
      <c r="J1089" s="261"/>
      <c r="K1089" s="262"/>
      <c r="L1089" s="261"/>
      <c r="M1089" s="262"/>
      <c r="N1089" s="262"/>
      <c r="O1089" s="261"/>
      <c r="P1089" s="262"/>
      <c r="Q1089" s="262"/>
      <c r="R1089" s="261"/>
      <c r="S1089" s="263"/>
      <c r="T1089" s="261"/>
      <c r="U1089" s="269"/>
      <c r="V1089" s="285"/>
      <c r="W1089" s="286"/>
      <c r="X1089" s="267"/>
      <c r="Y1089" s="267"/>
      <c r="Z1089" s="267"/>
      <c r="AA1089" s="267"/>
      <c r="AB1089" s="267"/>
      <c r="AC1089" s="267"/>
      <c r="AD1089" s="261"/>
      <c r="AE1089" s="261"/>
      <c r="AF1089" s="257"/>
      <c r="AG1089" s="257"/>
    </row>
    <row r="1090">
      <c r="A1090" s="284"/>
      <c r="B1090" s="251"/>
      <c r="C1090" s="251"/>
      <c r="D1090" s="261"/>
      <c r="E1090" s="261"/>
      <c r="F1090" s="261"/>
      <c r="G1090" s="261"/>
      <c r="H1090" s="261"/>
      <c r="I1090" s="261"/>
      <c r="J1090" s="261"/>
      <c r="K1090" s="262"/>
      <c r="L1090" s="261"/>
      <c r="M1090" s="262"/>
      <c r="N1090" s="262"/>
      <c r="O1090" s="261"/>
      <c r="P1090" s="262"/>
      <c r="Q1090" s="262"/>
      <c r="R1090" s="261"/>
      <c r="S1090" s="263"/>
      <c r="T1090" s="261"/>
      <c r="U1090" s="269"/>
      <c r="V1090" s="285"/>
      <c r="W1090" s="286"/>
      <c r="X1090" s="267"/>
      <c r="Y1090" s="267"/>
      <c r="Z1090" s="267"/>
      <c r="AA1090" s="267"/>
      <c r="AB1090" s="267"/>
      <c r="AC1090" s="267"/>
      <c r="AD1090" s="261"/>
      <c r="AE1090" s="261"/>
      <c r="AF1090" s="257"/>
      <c r="AG1090" s="257"/>
    </row>
    <row r="1091">
      <c r="A1091" s="284"/>
      <c r="B1091" s="251"/>
      <c r="C1091" s="251"/>
      <c r="D1091" s="261"/>
      <c r="E1091" s="261"/>
      <c r="F1091" s="261"/>
      <c r="G1091" s="261"/>
      <c r="H1091" s="261"/>
      <c r="I1091" s="261"/>
      <c r="J1091" s="261"/>
      <c r="K1091" s="262"/>
      <c r="L1091" s="261"/>
      <c r="M1091" s="262"/>
      <c r="N1091" s="262"/>
      <c r="O1091" s="261"/>
      <c r="P1091" s="262"/>
      <c r="Q1091" s="262"/>
      <c r="R1091" s="261"/>
      <c r="S1091" s="263"/>
      <c r="T1091" s="261"/>
      <c r="U1091" s="269"/>
      <c r="V1091" s="285"/>
      <c r="W1091" s="286"/>
      <c r="X1091" s="267"/>
      <c r="Y1091" s="267"/>
      <c r="Z1091" s="267"/>
      <c r="AA1091" s="267"/>
      <c r="AB1091" s="267"/>
      <c r="AC1091" s="267"/>
      <c r="AD1091" s="261"/>
      <c r="AE1091" s="261"/>
      <c r="AF1091" s="257"/>
      <c r="AG1091" s="257"/>
    </row>
    <row r="1092">
      <c r="A1092" s="284"/>
      <c r="B1092" s="251"/>
      <c r="C1092" s="251"/>
      <c r="D1092" s="261"/>
      <c r="E1092" s="261"/>
      <c r="F1092" s="261"/>
      <c r="G1092" s="261"/>
      <c r="H1092" s="261"/>
      <c r="I1092" s="261"/>
      <c r="J1092" s="261"/>
      <c r="K1092" s="262"/>
      <c r="L1092" s="261"/>
      <c r="M1092" s="262"/>
      <c r="N1092" s="262"/>
      <c r="O1092" s="261"/>
      <c r="P1092" s="262"/>
      <c r="Q1092" s="262"/>
      <c r="R1092" s="261"/>
      <c r="S1092" s="263"/>
      <c r="T1092" s="261"/>
      <c r="U1092" s="269"/>
      <c r="V1092" s="285"/>
      <c r="W1092" s="286"/>
      <c r="X1092" s="267"/>
      <c r="Y1092" s="267"/>
      <c r="Z1092" s="267"/>
      <c r="AA1092" s="267"/>
      <c r="AB1092" s="267"/>
      <c r="AC1092" s="267"/>
      <c r="AD1092" s="261"/>
      <c r="AE1092" s="261"/>
      <c r="AF1092" s="257"/>
      <c r="AG1092" s="257"/>
    </row>
    <row r="1093">
      <c r="A1093" s="284"/>
      <c r="B1093" s="251"/>
      <c r="C1093" s="251"/>
      <c r="D1093" s="261"/>
      <c r="E1093" s="261"/>
      <c r="F1093" s="261"/>
      <c r="G1093" s="261"/>
      <c r="H1093" s="261"/>
      <c r="I1093" s="261"/>
      <c r="J1093" s="261"/>
      <c r="K1093" s="262"/>
      <c r="L1093" s="261"/>
      <c r="M1093" s="262"/>
      <c r="N1093" s="262"/>
      <c r="O1093" s="261"/>
      <c r="P1093" s="262"/>
      <c r="Q1093" s="262"/>
      <c r="R1093" s="261"/>
      <c r="S1093" s="263"/>
      <c r="T1093" s="261"/>
      <c r="U1093" s="269"/>
      <c r="V1093" s="285"/>
      <c r="W1093" s="286"/>
      <c r="X1093" s="267"/>
      <c r="Y1093" s="267"/>
      <c r="Z1093" s="267"/>
      <c r="AA1093" s="267"/>
      <c r="AB1093" s="267"/>
      <c r="AC1093" s="267"/>
      <c r="AD1093" s="261"/>
      <c r="AE1093" s="261"/>
      <c r="AF1093" s="257"/>
      <c r="AG1093" s="257"/>
    </row>
    <row r="1094">
      <c r="A1094" s="284"/>
      <c r="B1094" s="251"/>
      <c r="C1094" s="251"/>
      <c r="D1094" s="261"/>
      <c r="E1094" s="261"/>
      <c r="F1094" s="261"/>
      <c r="G1094" s="261"/>
      <c r="H1094" s="261"/>
      <c r="I1094" s="261"/>
      <c r="J1094" s="261"/>
      <c r="K1094" s="262"/>
      <c r="L1094" s="261"/>
      <c r="M1094" s="262"/>
      <c r="N1094" s="262"/>
      <c r="O1094" s="261"/>
      <c r="P1094" s="262"/>
      <c r="Q1094" s="262"/>
      <c r="R1094" s="261"/>
      <c r="S1094" s="263"/>
      <c r="T1094" s="261"/>
      <c r="U1094" s="269"/>
      <c r="V1094" s="285"/>
      <c r="W1094" s="286"/>
      <c r="X1094" s="267"/>
      <c r="Y1094" s="267"/>
      <c r="Z1094" s="267"/>
      <c r="AA1094" s="267"/>
      <c r="AB1094" s="267"/>
      <c r="AC1094" s="267"/>
      <c r="AD1094" s="261"/>
      <c r="AE1094" s="261"/>
      <c r="AF1094" s="257"/>
      <c r="AG1094" s="257"/>
    </row>
    <row r="1095">
      <c r="A1095" s="284"/>
      <c r="B1095" s="251"/>
      <c r="C1095" s="251"/>
      <c r="D1095" s="261"/>
      <c r="E1095" s="261"/>
      <c r="F1095" s="261"/>
      <c r="G1095" s="261"/>
      <c r="H1095" s="261"/>
      <c r="I1095" s="261"/>
      <c r="J1095" s="261"/>
      <c r="K1095" s="262"/>
      <c r="L1095" s="261"/>
      <c r="M1095" s="262"/>
      <c r="N1095" s="262"/>
      <c r="O1095" s="261"/>
      <c r="P1095" s="262"/>
      <c r="Q1095" s="262"/>
      <c r="R1095" s="261"/>
      <c r="S1095" s="263"/>
      <c r="T1095" s="261"/>
      <c r="U1095" s="269"/>
      <c r="V1095" s="285"/>
      <c r="W1095" s="286"/>
      <c r="X1095" s="267"/>
      <c r="Y1095" s="267"/>
      <c r="Z1095" s="267"/>
      <c r="AA1095" s="267"/>
      <c r="AB1095" s="267"/>
      <c r="AC1095" s="267"/>
      <c r="AD1095" s="261"/>
      <c r="AE1095" s="261"/>
      <c r="AF1095" s="257"/>
      <c r="AG1095" s="257"/>
    </row>
    <row r="1096">
      <c r="A1096" s="284"/>
      <c r="B1096" s="251"/>
      <c r="C1096" s="251"/>
      <c r="D1096" s="261"/>
      <c r="E1096" s="261"/>
      <c r="F1096" s="261"/>
      <c r="G1096" s="261"/>
      <c r="H1096" s="261"/>
      <c r="I1096" s="261"/>
      <c r="J1096" s="261"/>
      <c r="K1096" s="262"/>
      <c r="L1096" s="261"/>
      <c r="M1096" s="262"/>
      <c r="N1096" s="262"/>
      <c r="O1096" s="261"/>
      <c r="P1096" s="262"/>
      <c r="Q1096" s="262"/>
      <c r="R1096" s="261"/>
      <c r="S1096" s="263"/>
      <c r="T1096" s="261"/>
      <c r="U1096" s="269"/>
      <c r="V1096" s="285"/>
      <c r="W1096" s="286"/>
      <c r="X1096" s="267"/>
      <c r="Y1096" s="267"/>
      <c r="Z1096" s="267"/>
      <c r="AA1096" s="267"/>
      <c r="AB1096" s="267"/>
      <c r="AC1096" s="267"/>
      <c r="AD1096" s="261"/>
      <c r="AE1096" s="261"/>
      <c r="AF1096" s="257"/>
      <c r="AG1096" s="257"/>
    </row>
    <row r="1097">
      <c r="A1097" s="284"/>
      <c r="B1097" s="251"/>
      <c r="C1097" s="251"/>
      <c r="D1097" s="261"/>
      <c r="E1097" s="261"/>
      <c r="F1097" s="261"/>
      <c r="G1097" s="261"/>
      <c r="H1097" s="261"/>
      <c r="I1097" s="261"/>
      <c r="J1097" s="261"/>
      <c r="K1097" s="262"/>
      <c r="L1097" s="261"/>
      <c r="M1097" s="262"/>
      <c r="N1097" s="262"/>
      <c r="O1097" s="261"/>
      <c r="P1097" s="262"/>
      <c r="Q1097" s="262"/>
      <c r="R1097" s="261"/>
      <c r="S1097" s="263"/>
      <c r="T1097" s="261"/>
      <c r="U1097" s="269"/>
      <c r="V1097" s="285"/>
      <c r="W1097" s="286"/>
      <c r="X1097" s="267"/>
      <c r="Y1097" s="267"/>
      <c r="Z1097" s="267"/>
      <c r="AA1097" s="267"/>
      <c r="AB1097" s="267"/>
      <c r="AC1097" s="267"/>
      <c r="AD1097" s="261"/>
      <c r="AE1097" s="261"/>
      <c r="AF1097" s="257"/>
      <c r="AG1097" s="257"/>
    </row>
    <row r="1098">
      <c r="A1098" s="284"/>
      <c r="B1098" s="251"/>
      <c r="C1098" s="251"/>
      <c r="D1098" s="261"/>
      <c r="E1098" s="261"/>
      <c r="F1098" s="261"/>
      <c r="G1098" s="261"/>
      <c r="H1098" s="261"/>
      <c r="I1098" s="261"/>
      <c r="J1098" s="261"/>
      <c r="K1098" s="262"/>
      <c r="L1098" s="261"/>
      <c r="M1098" s="262"/>
      <c r="N1098" s="262"/>
      <c r="O1098" s="261"/>
      <c r="P1098" s="262"/>
      <c r="Q1098" s="262"/>
      <c r="R1098" s="261"/>
      <c r="S1098" s="263"/>
      <c r="T1098" s="261"/>
      <c r="U1098" s="269"/>
      <c r="V1098" s="285"/>
      <c r="W1098" s="286"/>
      <c r="X1098" s="267"/>
      <c r="Y1098" s="267"/>
      <c r="Z1098" s="267"/>
      <c r="AA1098" s="267"/>
      <c r="AB1098" s="267"/>
      <c r="AC1098" s="267"/>
      <c r="AD1098" s="261"/>
      <c r="AE1098" s="261"/>
      <c r="AF1098" s="257"/>
      <c r="AG1098" s="257"/>
    </row>
    <row r="1099">
      <c r="A1099" s="284"/>
      <c r="B1099" s="251"/>
      <c r="C1099" s="251"/>
      <c r="D1099" s="261"/>
      <c r="E1099" s="261"/>
      <c r="F1099" s="261"/>
      <c r="G1099" s="261"/>
      <c r="H1099" s="261"/>
      <c r="I1099" s="261"/>
      <c r="J1099" s="261"/>
      <c r="K1099" s="262"/>
      <c r="L1099" s="261"/>
      <c r="M1099" s="262"/>
      <c r="N1099" s="262"/>
      <c r="O1099" s="261"/>
      <c r="P1099" s="262"/>
      <c r="Q1099" s="262"/>
      <c r="R1099" s="261"/>
      <c r="S1099" s="263"/>
      <c r="T1099" s="261"/>
      <c r="U1099" s="269"/>
      <c r="V1099" s="285"/>
      <c r="W1099" s="286"/>
      <c r="X1099" s="267"/>
      <c r="Y1099" s="267"/>
      <c r="Z1099" s="267"/>
      <c r="AA1099" s="267"/>
      <c r="AB1099" s="267"/>
      <c r="AC1099" s="267"/>
      <c r="AD1099" s="261"/>
      <c r="AE1099" s="261"/>
      <c r="AF1099" s="257"/>
      <c r="AG1099" s="257"/>
    </row>
    <row r="1100">
      <c r="A1100" s="284"/>
      <c r="B1100" s="251"/>
      <c r="C1100" s="251"/>
      <c r="D1100" s="261"/>
      <c r="E1100" s="261"/>
      <c r="F1100" s="261"/>
      <c r="G1100" s="261"/>
      <c r="H1100" s="261"/>
      <c r="I1100" s="261"/>
      <c r="J1100" s="261"/>
      <c r="K1100" s="262"/>
      <c r="L1100" s="261"/>
      <c r="M1100" s="262"/>
      <c r="N1100" s="262"/>
      <c r="O1100" s="261"/>
      <c r="P1100" s="262"/>
      <c r="Q1100" s="262"/>
      <c r="R1100" s="261"/>
      <c r="S1100" s="263"/>
      <c r="T1100" s="261"/>
      <c r="U1100" s="269"/>
      <c r="V1100" s="285"/>
      <c r="W1100" s="286"/>
      <c r="X1100" s="267"/>
      <c r="Y1100" s="267"/>
      <c r="Z1100" s="267"/>
      <c r="AA1100" s="267"/>
      <c r="AB1100" s="267"/>
      <c r="AC1100" s="267"/>
      <c r="AD1100" s="261"/>
      <c r="AE1100" s="261"/>
      <c r="AF1100" s="257"/>
      <c r="AG1100" s="257"/>
    </row>
    <row r="1101">
      <c r="A1101" s="284"/>
      <c r="B1101" s="251"/>
      <c r="C1101" s="251"/>
      <c r="D1101" s="261"/>
      <c r="E1101" s="261"/>
      <c r="F1101" s="261"/>
      <c r="G1101" s="261"/>
      <c r="H1101" s="261"/>
      <c r="I1101" s="261"/>
      <c r="J1101" s="261"/>
      <c r="K1101" s="262"/>
      <c r="L1101" s="261"/>
      <c r="M1101" s="262"/>
      <c r="N1101" s="262"/>
      <c r="O1101" s="261"/>
      <c r="P1101" s="262"/>
      <c r="Q1101" s="262"/>
      <c r="R1101" s="261"/>
      <c r="S1101" s="263"/>
      <c r="T1101" s="261"/>
      <c r="U1101" s="269"/>
      <c r="V1101" s="285"/>
      <c r="W1101" s="286"/>
      <c r="X1101" s="267"/>
      <c r="Y1101" s="267"/>
      <c r="Z1101" s="267"/>
      <c r="AA1101" s="267"/>
      <c r="AB1101" s="267"/>
      <c r="AC1101" s="267"/>
      <c r="AD1101" s="261"/>
      <c r="AE1101" s="261"/>
      <c r="AF1101" s="257"/>
      <c r="AG1101" s="257"/>
    </row>
    <row r="1102">
      <c r="A1102" s="284"/>
      <c r="B1102" s="251"/>
      <c r="C1102" s="251"/>
      <c r="D1102" s="261"/>
      <c r="E1102" s="261"/>
      <c r="F1102" s="261"/>
      <c r="G1102" s="261"/>
      <c r="H1102" s="261"/>
      <c r="I1102" s="261"/>
      <c r="J1102" s="261"/>
      <c r="K1102" s="262"/>
      <c r="L1102" s="261"/>
      <c r="M1102" s="262"/>
      <c r="N1102" s="262"/>
      <c r="O1102" s="261"/>
      <c r="P1102" s="262"/>
      <c r="Q1102" s="262"/>
      <c r="R1102" s="261"/>
      <c r="S1102" s="263"/>
      <c r="T1102" s="261"/>
      <c r="U1102" s="269"/>
      <c r="V1102" s="285"/>
      <c r="W1102" s="286"/>
      <c r="X1102" s="267"/>
      <c r="Y1102" s="267"/>
      <c r="Z1102" s="267"/>
      <c r="AA1102" s="267"/>
      <c r="AB1102" s="267"/>
      <c r="AC1102" s="267"/>
      <c r="AD1102" s="261"/>
      <c r="AE1102" s="261"/>
      <c r="AF1102" s="257"/>
      <c r="AG1102" s="257"/>
    </row>
    <row r="1103">
      <c r="A1103" s="284"/>
      <c r="B1103" s="251"/>
      <c r="C1103" s="251"/>
      <c r="D1103" s="261"/>
      <c r="E1103" s="261"/>
      <c r="F1103" s="261"/>
      <c r="G1103" s="261"/>
      <c r="H1103" s="261"/>
      <c r="I1103" s="261"/>
      <c r="J1103" s="261"/>
      <c r="K1103" s="262"/>
      <c r="L1103" s="261"/>
      <c r="M1103" s="262"/>
      <c r="N1103" s="262"/>
      <c r="O1103" s="261"/>
      <c r="P1103" s="262"/>
      <c r="Q1103" s="262"/>
      <c r="R1103" s="261"/>
      <c r="S1103" s="263"/>
      <c r="T1103" s="261"/>
      <c r="U1103" s="269"/>
      <c r="V1103" s="285"/>
      <c r="W1103" s="286"/>
      <c r="X1103" s="267"/>
      <c r="Y1103" s="267"/>
      <c r="Z1103" s="267"/>
      <c r="AA1103" s="267"/>
      <c r="AB1103" s="267"/>
      <c r="AC1103" s="267"/>
      <c r="AD1103" s="261"/>
      <c r="AE1103" s="261"/>
      <c r="AF1103" s="257"/>
      <c r="AG1103" s="257"/>
    </row>
    <row r="1104">
      <c r="A1104" s="284"/>
      <c r="B1104" s="251"/>
      <c r="C1104" s="251"/>
      <c r="D1104" s="261"/>
      <c r="E1104" s="261"/>
      <c r="F1104" s="261"/>
      <c r="G1104" s="261"/>
      <c r="H1104" s="261"/>
      <c r="I1104" s="261"/>
      <c r="J1104" s="261"/>
      <c r="K1104" s="262"/>
      <c r="L1104" s="261"/>
      <c r="M1104" s="262"/>
      <c r="N1104" s="262"/>
      <c r="O1104" s="261"/>
      <c r="P1104" s="262"/>
      <c r="Q1104" s="262"/>
      <c r="R1104" s="261"/>
      <c r="S1104" s="263"/>
      <c r="T1104" s="261"/>
      <c r="U1104" s="269"/>
      <c r="V1104" s="285"/>
      <c r="W1104" s="286"/>
      <c r="X1104" s="267"/>
      <c r="Y1104" s="267"/>
      <c r="Z1104" s="267"/>
      <c r="AA1104" s="267"/>
      <c r="AB1104" s="267"/>
      <c r="AC1104" s="267"/>
      <c r="AD1104" s="261"/>
      <c r="AE1104" s="261"/>
      <c r="AF1104" s="257"/>
      <c r="AG1104" s="257"/>
    </row>
    <row r="1105">
      <c r="A1105" s="284"/>
      <c r="B1105" s="251"/>
      <c r="C1105" s="251"/>
      <c r="D1105" s="261"/>
      <c r="E1105" s="261"/>
      <c r="F1105" s="261"/>
      <c r="G1105" s="261"/>
      <c r="H1105" s="261"/>
      <c r="I1105" s="261"/>
      <c r="J1105" s="261"/>
      <c r="K1105" s="262"/>
      <c r="L1105" s="261"/>
      <c r="M1105" s="262"/>
      <c r="N1105" s="262"/>
      <c r="O1105" s="261"/>
      <c r="P1105" s="262"/>
      <c r="Q1105" s="262"/>
      <c r="R1105" s="261"/>
      <c r="S1105" s="263"/>
      <c r="T1105" s="261"/>
      <c r="U1105" s="269"/>
      <c r="V1105" s="285"/>
      <c r="W1105" s="286"/>
      <c r="X1105" s="267"/>
      <c r="Y1105" s="267"/>
      <c r="Z1105" s="267"/>
      <c r="AA1105" s="267"/>
      <c r="AB1105" s="267"/>
      <c r="AC1105" s="267"/>
      <c r="AD1105" s="261"/>
      <c r="AE1105" s="261"/>
      <c r="AF1105" s="257"/>
      <c r="AG1105" s="257"/>
    </row>
    <row r="1106">
      <c r="A1106" s="284"/>
      <c r="B1106" s="251"/>
      <c r="C1106" s="251"/>
      <c r="D1106" s="261"/>
      <c r="E1106" s="261"/>
      <c r="F1106" s="261"/>
      <c r="G1106" s="261"/>
      <c r="H1106" s="261"/>
      <c r="I1106" s="261"/>
      <c r="J1106" s="261"/>
      <c r="K1106" s="262"/>
      <c r="L1106" s="261"/>
      <c r="M1106" s="262"/>
      <c r="N1106" s="262"/>
      <c r="O1106" s="261"/>
      <c r="P1106" s="262"/>
      <c r="Q1106" s="262"/>
      <c r="R1106" s="261"/>
      <c r="S1106" s="263"/>
      <c r="T1106" s="261"/>
      <c r="U1106" s="269"/>
      <c r="V1106" s="285"/>
      <c r="W1106" s="286"/>
      <c r="X1106" s="267"/>
      <c r="Y1106" s="267"/>
      <c r="Z1106" s="267"/>
      <c r="AA1106" s="267"/>
      <c r="AB1106" s="267"/>
      <c r="AC1106" s="267"/>
      <c r="AD1106" s="261"/>
      <c r="AE1106" s="261"/>
      <c r="AF1106" s="257"/>
      <c r="AG1106" s="257"/>
    </row>
    <row r="1107">
      <c r="A1107" s="284"/>
      <c r="B1107" s="251"/>
      <c r="C1107" s="251"/>
      <c r="D1107" s="261"/>
      <c r="E1107" s="261"/>
      <c r="F1107" s="261"/>
      <c r="G1107" s="261"/>
      <c r="H1107" s="261"/>
      <c r="I1107" s="261"/>
      <c r="J1107" s="261"/>
      <c r="K1107" s="262"/>
      <c r="L1107" s="261"/>
      <c r="M1107" s="262"/>
      <c r="N1107" s="262"/>
      <c r="O1107" s="261"/>
      <c r="P1107" s="262"/>
      <c r="Q1107" s="262"/>
      <c r="R1107" s="261"/>
      <c r="S1107" s="263"/>
      <c r="T1107" s="261"/>
      <c r="U1107" s="269"/>
      <c r="V1107" s="285"/>
      <c r="W1107" s="286"/>
      <c r="X1107" s="267"/>
      <c r="Y1107" s="267"/>
      <c r="Z1107" s="267"/>
      <c r="AA1107" s="267"/>
      <c r="AB1107" s="267"/>
      <c r="AC1107" s="267"/>
      <c r="AD1107" s="261"/>
      <c r="AE1107" s="261"/>
      <c r="AF1107" s="257"/>
      <c r="AG1107" s="257"/>
    </row>
    <row r="1108">
      <c r="A1108" s="284"/>
      <c r="B1108" s="251"/>
      <c r="C1108" s="251"/>
      <c r="D1108" s="261"/>
      <c r="E1108" s="261"/>
      <c r="F1108" s="261"/>
      <c r="G1108" s="261"/>
      <c r="H1108" s="261"/>
      <c r="I1108" s="261"/>
      <c r="J1108" s="261"/>
      <c r="K1108" s="262"/>
      <c r="L1108" s="261"/>
      <c r="M1108" s="262"/>
      <c r="N1108" s="262"/>
      <c r="O1108" s="261"/>
      <c r="P1108" s="262"/>
      <c r="Q1108" s="262"/>
      <c r="R1108" s="261"/>
      <c r="S1108" s="263"/>
      <c r="T1108" s="261"/>
      <c r="U1108" s="269"/>
      <c r="V1108" s="285"/>
      <c r="W1108" s="286"/>
      <c r="X1108" s="267"/>
      <c r="Y1108" s="267"/>
      <c r="Z1108" s="267"/>
      <c r="AA1108" s="267"/>
      <c r="AB1108" s="267"/>
      <c r="AC1108" s="267"/>
      <c r="AD1108" s="261"/>
      <c r="AE1108" s="261"/>
      <c r="AF1108" s="257"/>
      <c r="AG1108" s="257"/>
    </row>
    <row r="1109">
      <c r="A1109" s="284"/>
      <c r="B1109" s="251"/>
      <c r="C1109" s="251"/>
      <c r="D1109" s="261"/>
      <c r="E1109" s="261"/>
      <c r="F1109" s="261"/>
      <c r="G1109" s="261"/>
      <c r="H1109" s="261"/>
      <c r="I1109" s="261"/>
      <c r="J1109" s="261"/>
      <c r="K1109" s="262"/>
      <c r="L1109" s="261"/>
      <c r="M1109" s="262"/>
      <c r="N1109" s="262"/>
      <c r="O1109" s="261"/>
      <c r="P1109" s="262"/>
      <c r="Q1109" s="262"/>
      <c r="R1109" s="261"/>
      <c r="S1109" s="263"/>
      <c r="T1109" s="261"/>
      <c r="U1109" s="269"/>
      <c r="V1109" s="285"/>
      <c r="W1109" s="286"/>
      <c r="X1109" s="267"/>
      <c r="Y1109" s="267"/>
      <c r="Z1109" s="267"/>
      <c r="AA1109" s="267"/>
      <c r="AB1109" s="267"/>
      <c r="AC1109" s="267"/>
      <c r="AD1109" s="261"/>
      <c r="AE1109" s="261"/>
      <c r="AF1109" s="257"/>
      <c r="AG1109" s="257"/>
    </row>
    <row r="1110">
      <c r="A1110" s="284"/>
      <c r="B1110" s="251"/>
      <c r="C1110" s="251"/>
      <c r="D1110" s="261"/>
      <c r="E1110" s="261"/>
      <c r="F1110" s="261"/>
      <c r="G1110" s="261"/>
      <c r="H1110" s="261"/>
      <c r="I1110" s="261"/>
      <c r="J1110" s="261"/>
      <c r="K1110" s="262"/>
      <c r="L1110" s="261"/>
      <c r="M1110" s="262"/>
      <c r="N1110" s="262"/>
      <c r="O1110" s="261"/>
      <c r="P1110" s="262"/>
      <c r="Q1110" s="262"/>
      <c r="R1110" s="261"/>
      <c r="S1110" s="263"/>
      <c r="T1110" s="261"/>
      <c r="U1110" s="269"/>
      <c r="V1110" s="285"/>
      <c r="W1110" s="286"/>
      <c r="X1110" s="267"/>
      <c r="Y1110" s="267"/>
      <c r="Z1110" s="267"/>
      <c r="AA1110" s="267"/>
      <c r="AB1110" s="267"/>
      <c r="AC1110" s="267"/>
      <c r="AD1110" s="261"/>
      <c r="AE1110" s="261"/>
      <c r="AF1110" s="257"/>
      <c r="AG1110" s="257"/>
    </row>
    <row r="1111">
      <c r="A1111" s="284"/>
      <c r="B1111" s="251"/>
      <c r="C1111" s="251"/>
      <c r="D1111" s="261"/>
      <c r="E1111" s="261"/>
      <c r="F1111" s="261"/>
      <c r="G1111" s="261"/>
      <c r="H1111" s="261"/>
      <c r="I1111" s="261"/>
      <c r="J1111" s="261"/>
      <c r="K1111" s="262"/>
      <c r="L1111" s="261"/>
      <c r="M1111" s="262"/>
      <c r="N1111" s="262"/>
      <c r="O1111" s="261"/>
      <c r="P1111" s="262"/>
      <c r="Q1111" s="262"/>
      <c r="R1111" s="261"/>
      <c r="S1111" s="263"/>
      <c r="T1111" s="261"/>
      <c r="U1111" s="269"/>
      <c r="V1111" s="285"/>
      <c r="W1111" s="286"/>
      <c r="X1111" s="267"/>
      <c r="Y1111" s="267"/>
      <c r="Z1111" s="267"/>
      <c r="AA1111" s="267"/>
      <c r="AB1111" s="267"/>
      <c r="AC1111" s="267"/>
      <c r="AD1111" s="261"/>
      <c r="AE1111" s="261"/>
      <c r="AF1111" s="257"/>
      <c r="AG1111" s="257"/>
    </row>
    <row r="1112">
      <c r="A1112" s="284"/>
      <c r="B1112" s="251"/>
      <c r="C1112" s="251"/>
      <c r="D1112" s="261"/>
      <c r="E1112" s="261"/>
      <c r="F1112" s="261"/>
      <c r="G1112" s="261"/>
      <c r="H1112" s="261"/>
      <c r="I1112" s="261"/>
      <c r="J1112" s="261"/>
      <c r="K1112" s="262"/>
      <c r="L1112" s="261"/>
      <c r="M1112" s="262"/>
      <c r="N1112" s="262"/>
      <c r="O1112" s="261"/>
      <c r="P1112" s="262"/>
      <c r="Q1112" s="262"/>
      <c r="R1112" s="261"/>
      <c r="S1112" s="263"/>
      <c r="T1112" s="261"/>
      <c r="U1112" s="269"/>
      <c r="V1112" s="285"/>
      <c r="W1112" s="286"/>
      <c r="X1112" s="267"/>
      <c r="Y1112" s="267"/>
      <c r="Z1112" s="267"/>
      <c r="AA1112" s="267"/>
      <c r="AB1112" s="267"/>
      <c r="AC1112" s="267"/>
      <c r="AD1112" s="261"/>
      <c r="AE1112" s="261"/>
      <c r="AF1112" s="257"/>
      <c r="AG1112" s="257"/>
    </row>
    <row r="1113">
      <c r="A1113" s="284"/>
      <c r="B1113" s="251"/>
      <c r="C1113" s="251"/>
      <c r="D1113" s="261"/>
      <c r="E1113" s="261"/>
      <c r="F1113" s="261"/>
      <c r="G1113" s="261"/>
      <c r="H1113" s="261"/>
      <c r="I1113" s="261"/>
      <c r="J1113" s="261"/>
      <c r="K1113" s="262"/>
      <c r="L1113" s="261"/>
      <c r="M1113" s="262"/>
      <c r="N1113" s="262"/>
      <c r="O1113" s="261"/>
      <c r="P1113" s="262"/>
      <c r="Q1113" s="262"/>
      <c r="R1113" s="261"/>
      <c r="S1113" s="263"/>
      <c r="T1113" s="261"/>
      <c r="U1113" s="269"/>
      <c r="V1113" s="285"/>
      <c r="W1113" s="286"/>
      <c r="X1113" s="267"/>
      <c r="Y1113" s="267"/>
      <c r="Z1113" s="267"/>
      <c r="AA1113" s="267"/>
      <c r="AB1113" s="267"/>
      <c r="AC1113" s="267"/>
      <c r="AD1113" s="261"/>
      <c r="AE1113" s="261"/>
      <c r="AF1113" s="257"/>
      <c r="AG1113" s="257"/>
    </row>
    <row r="1114">
      <c r="A1114" s="284"/>
      <c r="B1114" s="251"/>
      <c r="C1114" s="251"/>
      <c r="D1114" s="261"/>
      <c r="E1114" s="261"/>
      <c r="F1114" s="261"/>
      <c r="G1114" s="261"/>
      <c r="H1114" s="261"/>
      <c r="I1114" s="261"/>
      <c r="J1114" s="261"/>
      <c r="K1114" s="262"/>
      <c r="L1114" s="261"/>
      <c r="M1114" s="262"/>
      <c r="N1114" s="262"/>
      <c r="O1114" s="261"/>
      <c r="P1114" s="262"/>
      <c r="Q1114" s="262"/>
      <c r="R1114" s="261"/>
      <c r="S1114" s="263"/>
      <c r="T1114" s="261"/>
      <c r="U1114" s="269"/>
      <c r="V1114" s="285"/>
      <c r="W1114" s="286"/>
      <c r="X1114" s="267"/>
      <c r="Y1114" s="267"/>
      <c r="Z1114" s="267"/>
      <c r="AA1114" s="267"/>
      <c r="AB1114" s="267"/>
      <c r="AC1114" s="267"/>
      <c r="AD1114" s="261"/>
      <c r="AE1114" s="261"/>
      <c r="AF1114" s="257"/>
      <c r="AG1114" s="257"/>
    </row>
    <row r="1115">
      <c r="A1115" s="284"/>
      <c r="B1115" s="251"/>
      <c r="C1115" s="251"/>
      <c r="D1115" s="261"/>
      <c r="E1115" s="261"/>
      <c r="F1115" s="261"/>
      <c r="G1115" s="261"/>
      <c r="H1115" s="261"/>
      <c r="I1115" s="261"/>
      <c r="J1115" s="261"/>
      <c r="K1115" s="262"/>
      <c r="L1115" s="261"/>
      <c r="M1115" s="262"/>
      <c r="N1115" s="262"/>
      <c r="O1115" s="261"/>
      <c r="P1115" s="262"/>
      <c r="Q1115" s="262"/>
      <c r="R1115" s="261"/>
      <c r="S1115" s="263"/>
      <c r="T1115" s="261"/>
      <c r="U1115" s="269"/>
      <c r="V1115" s="285"/>
      <c r="W1115" s="286"/>
      <c r="X1115" s="267"/>
      <c r="Y1115" s="267"/>
      <c r="Z1115" s="267"/>
      <c r="AA1115" s="267"/>
      <c r="AB1115" s="267"/>
      <c r="AC1115" s="267"/>
      <c r="AD1115" s="261"/>
      <c r="AE1115" s="261"/>
      <c r="AF1115" s="257"/>
      <c r="AG1115" s="257"/>
    </row>
    <row r="1116">
      <c r="A1116" s="284"/>
      <c r="B1116" s="251"/>
      <c r="C1116" s="251"/>
      <c r="D1116" s="261"/>
      <c r="E1116" s="261"/>
      <c r="F1116" s="261"/>
      <c r="G1116" s="261"/>
      <c r="H1116" s="261"/>
      <c r="I1116" s="261"/>
      <c r="J1116" s="261"/>
      <c r="K1116" s="262"/>
      <c r="L1116" s="261"/>
      <c r="M1116" s="262"/>
      <c r="N1116" s="262"/>
      <c r="O1116" s="261"/>
      <c r="P1116" s="262"/>
      <c r="Q1116" s="262"/>
      <c r="R1116" s="261"/>
      <c r="S1116" s="263"/>
      <c r="T1116" s="261"/>
      <c r="U1116" s="269"/>
      <c r="V1116" s="285"/>
      <c r="W1116" s="286"/>
      <c r="X1116" s="267"/>
      <c r="Y1116" s="267"/>
      <c r="Z1116" s="267"/>
      <c r="AA1116" s="267"/>
      <c r="AB1116" s="267"/>
      <c r="AC1116" s="267"/>
      <c r="AD1116" s="261"/>
      <c r="AE1116" s="261"/>
      <c r="AF1116" s="257"/>
      <c r="AG1116" s="257"/>
    </row>
    <row r="1117">
      <c r="A1117" s="284"/>
      <c r="B1117" s="251"/>
      <c r="C1117" s="251"/>
      <c r="D1117" s="261"/>
      <c r="E1117" s="261"/>
      <c r="F1117" s="261"/>
      <c r="G1117" s="261"/>
      <c r="H1117" s="261"/>
      <c r="I1117" s="261"/>
      <c r="J1117" s="261"/>
      <c r="K1117" s="262"/>
      <c r="L1117" s="261"/>
      <c r="M1117" s="262"/>
      <c r="N1117" s="262"/>
      <c r="O1117" s="261"/>
      <c r="P1117" s="262"/>
      <c r="Q1117" s="262"/>
      <c r="R1117" s="261"/>
      <c r="S1117" s="263"/>
      <c r="T1117" s="261"/>
      <c r="U1117" s="269"/>
      <c r="V1117" s="285"/>
      <c r="W1117" s="286"/>
      <c r="X1117" s="267"/>
      <c r="Y1117" s="267"/>
      <c r="Z1117" s="267"/>
      <c r="AA1117" s="267"/>
      <c r="AB1117" s="267"/>
      <c r="AC1117" s="267"/>
      <c r="AD1117" s="261"/>
      <c r="AE1117" s="261"/>
      <c r="AF1117" s="257"/>
      <c r="AG1117" s="257"/>
    </row>
    <row r="1118">
      <c r="A1118" s="284"/>
      <c r="B1118" s="251"/>
      <c r="C1118" s="251"/>
      <c r="D1118" s="261"/>
      <c r="E1118" s="261"/>
      <c r="F1118" s="261"/>
      <c r="G1118" s="261"/>
      <c r="H1118" s="261"/>
      <c r="I1118" s="261"/>
      <c r="J1118" s="261"/>
      <c r="K1118" s="262"/>
      <c r="L1118" s="261"/>
      <c r="M1118" s="262"/>
      <c r="N1118" s="262"/>
      <c r="O1118" s="261"/>
      <c r="P1118" s="262"/>
      <c r="Q1118" s="262"/>
      <c r="R1118" s="261"/>
      <c r="S1118" s="263"/>
      <c r="T1118" s="261"/>
      <c r="U1118" s="269"/>
      <c r="V1118" s="285"/>
      <c r="W1118" s="286"/>
      <c r="X1118" s="267"/>
      <c r="Y1118" s="267"/>
      <c r="Z1118" s="267"/>
      <c r="AA1118" s="267"/>
      <c r="AB1118" s="267"/>
      <c r="AC1118" s="267"/>
      <c r="AD1118" s="261"/>
      <c r="AE1118" s="261"/>
      <c r="AF1118" s="257"/>
      <c r="AG1118" s="257"/>
    </row>
    <row r="1119">
      <c r="A1119" s="284"/>
      <c r="B1119" s="251"/>
      <c r="C1119" s="251"/>
      <c r="D1119" s="261"/>
      <c r="E1119" s="261"/>
      <c r="F1119" s="261"/>
      <c r="G1119" s="261"/>
      <c r="H1119" s="261"/>
      <c r="I1119" s="261"/>
      <c r="J1119" s="261"/>
      <c r="K1119" s="262"/>
      <c r="L1119" s="261"/>
      <c r="M1119" s="262"/>
      <c r="N1119" s="262"/>
      <c r="O1119" s="261"/>
      <c r="P1119" s="262"/>
      <c r="Q1119" s="262"/>
      <c r="R1119" s="261"/>
      <c r="S1119" s="263"/>
      <c r="T1119" s="261"/>
      <c r="U1119" s="269"/>
      <c r="V1119" s="285"/>
      <c r="W1119" s="286"/>
      <c r="X1119" s="267"/>
      <c r="Y1119" s="267"/>
      <c r="Z1119" s="267"/>
      <c r="AA1119" s="267"/>
      <c r="AB1119" s="267"/>
      <c r="AC1119" s="267"/>
      <c r="AD1119" s="261"/>
      <c r="AE1119" s="261"/>
      <c r="AF1119" s="257"/>
      <c r="AG1119" s="257"/>
    </row>
    <row r="1120">
      <c r="A1120" s="284"/>
      <c r="B1120" s="251"/>
      <c r="C1120" s="251"/>
      <c r="D1120" s="261"/>
      <c r="E1120" s="261"/>
      <c r="F1120" s="261"/>
      <c r="G1120" s="261"/>
      <c r="H1120" s="261"/>
      <c r="I1120" s="261"/>
      <c r="J1120" s="261"/>
      <c r="K1120" s="262"/>
      <c r="L1120" s="261"/>
      <c r="M1120" s="262"/>
      <c r="N1120" s="262"/>
      <c r="O1120" s="261"/>
      <c r="P1120" s="262"/>
      <c r="Q1120" s="262"/>
      <c r="R1120" s="261"/>
      <c r="S1120" s="263"/>
      <c r="T1120" s="261"/>
      <c r="U1120" s="269"/>
      <c r="V1120" s="285"/>
      <c r="W1120" s="286"/>
      <c r="X1120" s="267"/>
      <c r="Y1120" s="267"/>
      <c r="Z1120" s="267"/>
      <c r="AA1120" s="267"/>
      <c r="AB1120" s="267"/>
      <c r="AC1120" s="267"/>
      <c r="AD1120" s="261"/>
      <c r="AE1120" s="261"/>
      <c r="AF1120" s="257"/>
      <c r="AG1120" s="257"/>
    </row>
    <row r="1121">
      <c r="A1121" s="284"/>
      <c r="B1121" s="251"/>
      <c r="C1121" s="251"/>
      <c r="D1121" s="261"/>
      <c r="E1121" s="261"/>
      <c r="F1121" s="261"/>
      <c r="G1121" s="261"/>
      <c r="H1121" s="261"/>
      <c r="I1121" s="261"/>
      <c r="J1121" s="261"/>
      <c r="K1121" s="262"/>
      <c r="L1121" s="261"/>
      <c r="M1121" s="262"/>
      <c r="N1121" s="262"/>
      <c r="O1121" s="261"/>
      <c r="P1121" s="262"/>
      <c r="Q1121" s="262"/>
      <c r="R1121" s="261"/>
      <c r="S1121" s="263"/>
      <c r="T1121" s="261"/>
      <c r="U1121" s="269"/>
      <c r="V1121" s="285"/>
      <c r="W1121" s="286"/>
      <c r="X1121" s="267"/>
      <c r="Y1121" s="267"/>
      <c r="Z1121" s="267"/>
      <c r="AA1121" s="267"/>
      <c r="AB1121" s="267"/>
      <c r="AC1121" s="267"/>
      <c r="AD1121" s="261"/>
      <c r="AE1121" s="261"/>
      <c r="AF1121" s="257"/>
      <c r="AG1121" s="257"/>
    </row>
    <row r="1122">
      <c r="A1122" s="284"/>
      <c r="B1122" s="251"/>
      <c r="C1122" s="251"/>
      <c r="D1122" s="261"/>
      <c r="E1122" s="261"/>
      <c r="F1122" s="261"/>
      <c r="G1122" s="261"/>
      <c r="H1122" s="261"/>
      <c r="I1122" s="261"/>
      <c r="J1122" s="261"/>
      <c r="K1122" s="262"/>
      <c r="L1122" s="261"/>
      <c r="M1122" s="262"/>
      <c r="N1122" s="262"/>
      <c r="O1122" s="261"/>
      <c r="P1122" s="262"/>
      <c r="Q1122" s="262"/>
      <c r="R1122" s="261"/>
      <c r="S1122" s="263"/>
      <c r="T1122" s="261"/>
      <c r="U1122" s="269"/>
      <c r="V1122" s="285"/>
      <c r="W1122" s="286"/>
      <c r="X1122" s="267"/>
      <c r="Y1122" s="267"/>
      <c r="Z1122" s="267"/>
      <c r="AA1122" s="267"/>
      <c r="AB1122" s="267"/>
      <c r="AC1122" s="267"/>
      <c r="AD1122" s="261"/>
      <c r="AE1122" s="261"/>
      <c r="AF1122" s="257"/>
      <c r="AG1122" s="257"/>
    </row>
    <row r="1123">
      <c r="A1123" s="284"/>
      <c r="B1123" s="251"/>
      <c r="C1123" s="251"/>
      <c r="D1123" s="261"/>
      <c r="E1123" s="261"/>
      <c r="F1123" s="261"/>
      <c r="G1123" s="261"/>
      <c r="H1123" s="261"/>
      <c r="I1123" s="261"/>
      <c r="J1123" s="261"/>
      <c r="K1123" s="262"/>
      <c r="L1123" s="261"/>
      <c r="M1123" s="262"/>
      <c r="N1123" s="262"/>
      <c r="O1123" s="261"/>
      <c r="P1123" s="262"/>
      <c r="Q1123" s="262"/>
      <c r="R1123" s="261"/>
      <c r="S1123" s="263"/>
      <c r="T1123" s="261"/>
      <c r="U1123" s="269"/>
      <c r="V1123" s="285"/>
      <c r="W1123" s="286"/>
      <c r="X1123" s="267"/>
      <c r="Y1123" s="267"/>
      <c r="Z1123" s="267"/>
      <c r="AA1123" s="267"/>
      <c r="AB1123" s="267"/>
      <c r="AC1123" s="267"/>
      <c r="AD1123" s="261"/>
      <c r="AE1123" s="261"/>
      <c r="AF1123" s="257"/>
      <c r="AG1123" s="257"/>
    </row>
    <row r="1124">
      <c r="A1124" s="284"/>
      <c r="B1124" s="251"/>
      <c r="C1124" s="251"/>
      <c r="D1124" s="261"/>
      <c r="E1124" s="261"/>
      <c r="F1124" s="261"/>
      <c r="G1124" s="261"/>
      <c r="H1124" s="261"/>
      <c r="I1124" s="261"/>
      <c r="J1124" s="261"/>
      <c r="K1124" s="262"/>
      <c r="L1124" s="261"/>
      <c r="M1124" s="262"/>
      <c r="N1124" s="262"/>
      <c r="O1124" s="261"/>
      <c r="P1124" s="262"/>
      <c r="Q1124" s="262"/>
      <c r="R1124" s="261"/>
      <c r="S1124" s="263"/>
      <c r="T1124" s="261"/>
      <c r="U1124" s="269"/>
      <c r="V1124" s="285"/>
      <c r="W1124" s="286"/>
      <c r="X1124" s="267"/>
      <c r="Y1124" s="267"/>
      <c r="Z1124" s="267"/>
      <c r="AA1124" s="267"/>
      <c r="AB1124" s="267"/>
      <c r="AC1124" s="267"/>
      <c r="AD1124" s="261"/>
      <c r="AE1124" s="261"/>
      <c r="AF1124" s="257"/>
      <c r="AG1124" s="257"/>
    </row>
    <row r="1125">
      <c r="A1125" s="284"/>
      <c r="B1125" s="251"/>
      <c r="C1125" s="251"/>
      <c r="D1125" s="261"/>
      <c r="E1125" s="261"/>
      <c r="F1125" s="261"/>
      <c r="G1125" s="261"/>
      <c r="H1125" s="261"/>
      <c r="I1125" s="261"/>
      <c r="J1125" s="261"/>
      <c r="K1125" s="262"/>
      <c r="L1125" s="261"/>
      <c r="M1125" s="262"/>
      <c r="N1125" s="262"/>
      <c r="O1125" s="261"/>
      <c r="P1125" s="262"/>
      <c r="Q1125" s="262"/>
      <c r="R1125" s="261"/>
      <c r="S1125" s="263"/>
      <c r="T1125" s="261"/>
      <c r="U1125" s="269"/>
      <c r="V1125" s="285"/>
      <c r="W1125" s="286"/>
      <c r="X1125" s="267"/>
      <c r="Y1125" s="267"/>
      <c r="Z1125" s="267"/>
      <c r="AA1125" s="267"/>
      <c r="AB1125" s="267"/>
      <c r="AC1125" s="267"/>
      <c r="AD1125" s="261"/>
      <c r="AE1125" s="261"/>
      <c r="AF1125" s="257"/>
      <c r="AG1125" s="257"/>
    </row>
    <row r="1126">
      <c r="A1126" s="284"/>
      <c r="B1126" s="251"/>
      <c r="C1126" s="251"/>
      <c r="D1126" s="261"/>
      <c r="E1126" s="261"/>
      <c r="F1126" s="261"/>
      <c r="G1126" s="261"/>
      <c r="H1126" s="261"/>
      <c r="I1126" s="261"/>
      <c r="J1126" s="261"/>
      <c r="K1126" s="262"/>
      <c r="L1126" s="261"/>
      <c r="M1126" s="262"/>
      <c r="N1126" s="262"/>
      <c r="O1126" s="261"/>
      <c r="P1126" s="262"/>
      <c r="Q1126" s="262"/>
      <c r="R1126" s="261"/>
      <c r="S1126" s="263"/>
      <c r="T1126" s="261"/>
      <c r="U1126" s="269"/>
      <c r="V1126" s="285"/>
      <c r="W1126" s="286"/>
      <c r="X1126" s="267"/>
      <c r="Y1126" s="267"/>
      <c r="Z1126" s="267"/>
      <c r="AA1126" s="267"/>
      <c r="AB1126" s="267"/>
      <c r="AC1126" s="267"/>
      <c r="AD1126" s="261"/>
      <c r="AE1126" s="261"/>
      <c r="AF1126" s="257"/>
      <c r="AG1126" s="257"/>
    </row>
    <row r="1127">
      <c r="A1127" s="284"/>
      <c r="B1127" s="251"/>
      <c r="C1127" s="251"/>
      <c r="D1127" s="261"/>
      <c r="E1127" s="261"/>
      <c r="F1127" s="261"/>
      <c r="G1127" s="261"/>
      <c r="H1127" s="261"/>
      <c r="I1127" s="261"/>
      <c r="J1127" s="261"/>
      <c r="K1127" s="262"/>
      <c r="L1127" s="261"/>
      <c r="M1127" s="262"/>
      <c r="N1127" s="262"/>
      <c r="O1127" s="261"/>
      <c r="P1127" s="262"/>
      <c r="Q1127" s="262"/>
      <c r="R1127" s="261"/>
      <c r="S1127" s="263"/>
      <c r="T1127" s="261"/>
      <c r="U1127" s="269"/>
      <c r="V1127" s="285"/>
      <c r="W1127" s="286"/>
      <c r="X1127" s="267"/>
      <c r="Y1127" s="267"/>
      <c r="Z1127" s="267"/>
      <c r="AA1127" s="267"/>
      <c r="AB1127" s="267"/>
      <c r="AC1127" s="267"/>
      <c r="AD1127" s="261"/>
      <c r="AE1127" s="261"/>
      <c r="AF1127" s="257"/>
      <c r="AG1127" s="257"/>
    </row>
    <row r="1128">
      <c r="A1128" s="284"/>
      <c r="B1128" s="251"/>
      <c r="C1128" s="251"/>
      <c r="D1128" s="261"/>
      <c r="E1128" s="261"/>
      <c r="F1128" s="261"/>
      <c r="G1128" s="261"/>
      <c r="H1128" s="261"/>
      <c r="I1128" s="261"/>
      <c r="J1128" s="261"/>
      <c r="K1128" s="262"/>
      <c r="L1128" s="261"/>
      <c r="M1128" s="262"/>
      <c r="N1128" s="262"/>
      <c r="O1128" s="261"/>
      <c r="P1128" s="262"/>
      <c r="Q1128" s="262"/>
      <c r="R1128" s="261"/>
      <c r="S1128" s="263"/>
      <c r="T1128" s="261"/>
      <c r="U1128" s="269"/>
      <c r="V1128" s="285"/>
      <c r="W1128" s="286"/>
      <c r="X1128" s="267"/>
      <c r="Y1128" s="267"/>
      <c r="Z1128" s="267"/>
      <c r="AA1128" s="267"/>
      <c r="AB1128" s="267"/>
      <c r="AC1128" s="267"/>
      <c r="AD1128" s="261"/>
      <c r="AE1128" s="261"/>
      <c r="AF1128" s="257"/>
      <c r="AG1128" s="257"/>
    </row>
    <row r="1129">
      <c r="A1129" s="284"/>
      <c r="B1129" s="251"/>
      <c r="C1129" s="251"/>
      <c r="D1129" s="261"/>
      <c r="E1129" s="261"/>
      <c r="F1129" s="261"/>
      <c r="G1129" s="261"/>
      <c r="H1129" s="261"/>
      <c r="I1129" s="261"/>
      <c r="J1129" s="261"/>
      <c r="K1129" s="262"/>
      <c r="L1129" s="261"/>
      <c r="M1129" s="262"/>
      <c r="N1129" s="262"/>
      <c r="O1129" s="261"/>
      <c r="P1129" s="262"/>
      <c r="Q1129" s="262"/>
      <c r="R1129" s="261"/>
      <c r="S1129" s="263"/>
      <c r="T1129" s="261"/>
      <c r="U1129" s="269"/>
      <c r="V1129" s="285"/>
      <c r="W1129" s="286"/>
      <c r="X1129" s="267"/>
      <c r="Y1129" s="267"/>
      <c r="Z1129" s="267"/>
      <c r="AA1129" s="267"/>
      <c r="AB1129" s="267"/>
      <c r="AC1129" s="267"/>
      <c r="AD1129" s="261"/>
      <c r="AE1129" s="261"/>
      <c r="AF1129" s="257"/>
      <c r="AG1129" s="257"/>
    </row>
    <row r="1130">
      <c r="A1130" s="284"/>
      <c r="B1130" s="251"/>
      <c r="C1130" s="251"/>
      <c r="D1130" s="261"/>
      <c r="E1130" s="261"/>
      <c r="F1130" s="261"/>
      <c r="G1130" s="261"/>
      <c r="H1130" s="261"/>
      <c r="I1130" s="261"/>
      <c r="J1130" s="261"/>
      <c r="K1130" s="262"/>
      <c r="L1130" s="261"/>
      <c r="M1130" s="262"/>
      <c r="N1130" s="262"/>
      <c r="O1130" s="261"/>
      <c r="P1130" s="262"/>
      <c r="Q1130" s="262"/>
      <c r="R1130" s="261"/>
      <c r="S1130" s="263"/>
      <c r="T1130" s="261"/>
      <c r="U1130" s="269"/>
      <c r="V1130" s="285"/>
      <c r="W1130" s="286"/>
      <c r="X1130" s="267"/>
      <c r="Y1130" s="267"/>
      <c r="Z1130" s="267"/>
      <c r="AA1130" s="267"/>
      <c r="AB1130" s="267"/>
      <c r="AC1130" s="267"/>
      <c r="AD1130" s="261"/>
      <c r="AE1130" s="261"/>
      <c r="AF1130" s="257"/>
      <c r="AG1130" s="257"/>
    </row>
    <row r="1131">
      <c r="A1131" s="284"/>
      <c r="B1131" s="251"/>
      <c r="C1131" s="251"/>
      <c r="D1131" s="261"/>
      <c r="E1131" s="261"/>
      <c r="F1131" s="261"/>
      <c r="G1131" s="261"/>
      <c r="H1131" s="261"/>
      <c r="I1131" s="261"/>
      <c r="J1131" s="261"/>
      <c r="K1131" s="262"/>
      <c r="L1131" s="261"/>
      <c r="M1131" s="262"/>
      <c r="N1131" s="262"/>
      <c r="O1131" s="261"/>
      <c r="P1131" s="262"/>
      <c r="Q1131" s="262"/>
      <c r="R1131" s="261"/>
      <c r="S1131" s="263"/>
      <c r="T1131" s="261"/>
      <c r="U1131" s="269"/>
      <c r="V1131" s="285"/>
      <c r="W1131" s="286"/>
      <c r="X1131" s="267"/>
      <c r="Y1131" s="267"/>
      <c r="Z1131" s="267"/>
      <c r="AA1131" s="267"/>
      <c r="AB1131" s="267"/>
      <c r="AC1131" s="267"/>
      <c r="AD1131" s="261"/>
      <c r="AE1131" s="261"/>
      <c r="AF1131" s="257"/>
      <c r="AG1131" s="257"/>
    </row>
    <row r="1132">
      <c r="A1132" s="284"/>
      <c r="B1132" s="251"/>
      <c r="C1132" s="251"/>
      <c r="D1132" s="261"/>
      <c r="E1132" s="261"/>
      <c r="F1132" s="261"/>
      <c r="G1132" s="261"/>
      <c r="H1132" s="261"/>
      <c r="I1132" s="261"/>
      <c r="J1132" s="261"/>
      <c r="K1132" s="262"/>
      <c r="L1132" s="261"/>
      <c r="M1132" s="262"/>
      <c r="N1132" s="262"/>
      <c r="O1132" s="261"/>
      <c r="P1132" s="262"/>
      <c r="Q1132" s="262"/>
      <c r="R1132" s="261"/>
      <c r="S1132" s="263"/>
      <c r="T1132" s="261"/>
      <c r="U1132" s="269"/>
      <c r="V1132" s="285"/>
      <c r="W1132" s="286"/>
      <c r="X1132" s="267"/>
      <c r="Y1132" s="267"/>
      <c r="Z1132" s="267"/>
      <c r="AA1132" s="267"/>
      <c r="AB1132" s="267"/>
      <c r="AC1132" s="267"/>
      <c r="AD1132" s="261"/>
      <c r="AE1132" s="261"/>
      <c r="AF1132" s="257"/>
      <c r="AG1132" s="257"/>
    </row>
    <row r="1133">
      <c r="A1133" s="284"/>
      <c r="B1133" s="251"/>
      <c r="C1133" s="251"/>
      <c r="D1133" s="261"/>
      <c r="E1133" s="261"/>
      <c r="F1133" s="261"/>
      <c r="G1133" s="261"/>
      <c r="H1133" s="261"/>
      <c r="I1133" s="261"/>
      <c r="J1133" s="261"/>
      <c r="K1133" s="262"/>
      <c r="L1133" s="261"/>
      <c r="M1133" s="262"/>
      <c r="N1133" s="262"/>
      <c r="O1133" s="261"/>
      <c r="P1133" s="262"/>
      <c r="Q1133" s="262"/>
      <c r="R1133" s="261"/>
      <c r="S1133" s="263"/>
      <c r="T1133" s="261"/>
      <c r="U1133" s="269"/>
      <c r="V1133" s="285"/>
      <c r="W1133" s="286"/>
      <c r="X1133" s="267"/>
      <c r="Y1133" s="267"/>
      <c r="Z1133" s="267"/>
      <c r="AA1133" s="267"/>
      <c r="AB1133" s="267"/>
      <c r="AC1133" s="267"/>
      <c r="AD1133" s="261"/>
      <c r="AE1133" s="261"/>
      <c r="AF1133" s="257"/>
      <c r="AG1133" s="257"/>
    </row>
    <row r="1134">
      <c r="A1134" s="284"/>
      <c r="B1134" s="251"/>
      <c r="C1134" s="251"/>
      <c r="D1134" s="261"/>
      <c r="E1134" s="261"/>
      <c r="F1134" s="261"/>
      <c r="G1134" s="261"/>
      <c r="H1134" s="261"/>
      <c r="I1134" s="261"/>
      <c r="J1134" s="261"/>
      <c r="K1134" s="262"/>
      <c r="L1134" s="261"/>
      <c r="M1134" s="262"/>
      <c r="N1134" s="262"/>
      <c r="O1134" s="261"/>
      <c r="P1134" s="262"/>
      <c r="Q1134" s="262"/>
      <c r="R1134" s="261"/>
      <c r="S1134" s="263"/>
      <c r="T1134" s="261"/>
      <c r="U1134" s="269"/>
      <c r="V1134" s="285"/>
      <c r="W1134" s="286"/>
      <c r="X1134" s="267"/>
      <c r="Y1134" s="267"/>
      <c r="Z1134" s="267"/>
      <c r="AA1134" s="267"/>
      <c r="AB1134" s="267"/>
      <c r="AC1134" s="267"/>
      <c r="AD1134" s="261"/>
      <c r="AE1134" s="261"/>
      <c r="AF1134" s="257"/>
      <c r="AG1134" s="257"/>
    </row>
    <row r="1135">
      <c r="A1135" s="284"/>
      <c r="B1135" s="251"/>
      <c r="C1135" s="251"/>
      <c r="D1135" s="261"/>
      <c r="E1135" s="261"/>
      <c r="F1135" s="261"/>
      <c r="G1135" s="261"/>
      <c r="H1135" s="261"/>
      <c r="I1135" s="261"/>
      <c r="J1135" s="261"/>
      <c r="K1135" s="262"/>
      <c r="L1135" s="261"/>
      <c r="M1135" s="262"/>
      <c r="N1135" s="262"/>
      <c r="O1135" s="261"/>
      <c r="P1135" s="262"/>
      <c r="Q1135" s="262"/>
      <c r="R1135" s="261"/>
      <c r="S1135" s="263"/>
      <c r="T1135" s="261"/>
      <c r="U1135" s="269"/>
      <c r="V1135" s="285"/>
      <c r="W1135" s="286"/>
      <c r="X1135" s="267"/>
      <c r="Y1135" s="267"/>
      <c r="Z1135" s="267"/>
      <c r="AA1135" s="267"/>
      <c r="AB1135" s="267"/>
      <c r="AC1135" s="267"/>
      <c r="AD1135" s="261"/>
      <c r="AE1135" s="261"/>
      <c r="AF1135" s="257"/>
      <c r="AG1135" s="257"/>
    </row>
    <row r="1136">
      <c r="A1136" s="284"/>
      <c r="B1136" s="251"/>
      <c r="C1136" s="251"/>
      <c r="D1136" s="261"/>
      <c r="E1136" s="261"/>
      <c r="F1136" s="261"/>
      <c r="G1136" s="261"/>
      <c r="H1136" s="261"/>
      <c r="I1136" s="261"/>
      <c r="J1136" s="261"/>
      <c r="K1136" s="262"/>
      <c r="L1136" s="261"/>
      <c r="M1136" s="262"/>
      <c r="N1136" s="262"/>
      <c r="O1136" s="261"/>
      <c r="P1136" s="262"/>
      <c r="Q1136" s="262"/>
      <c r="R1136" s="261"/>
      <c r="S1136" s="263"/>
      <c r="T1136" s="261"/>
      <c r="U1136" s="269"/>
      <c r="V1136" s="285"/>
      <c r="W1136" s="286"/>
      <c r="X1136" s="267"/>
      <c r="Y1136" s="267"/>
      <c r="Z1136" s="267"/>
      <c r="AA1136" s="267"/>
      <c r="AB1136" s="267"/>
      <c r="AC1136" s="267"/>
      <c r="AD1136" s="261"/>
      <c r="AE1136" s="261"/>
      <c r="AF1136" s="257"/>
      <c r="AG1136" s="257"/>
    </row>
    <row r="1137">
      <c r="A1137" s="284"/>
      <c r="B1137" s="251"/>
      <c r="C1137" s="251"/>
      <c r="D1137" s="261"/>
      <c r="E1137" s="261"/>
      <c r="F1137" s="261"/>
      <c r="G1137" s="261"/>
      <c r="H1137" s="261"/>
      <c r="I1137" s="261"/>
      <c r="J1137" s="261"/>
      <c r="K1137" s="262"/>
      <c r="L1137" s="261"/>
      <c r="M1137" s="262"/>
      <c r="N1137" s="262"/>
      <c r="O1137" s="261"/>
      <c r="P1137" s="262"/>
      <c r="Q1137" s="262"/>
      <c r="R1137" s="261"/>
      <c r="S1137" s="263"/>
      <c r="T1137" s="261"/>
      <c r="U1137" s="269"/>
      <c r="V1137" s="285"/>
      <c r="W1137" s="286"/>
      <c r="X1137" s="267"/>
      <c r="Y1137" s="267"/>
      <c r="Z1137" s="267"/>
      <c r="AA1137" s="267"/>
      <c r="AB1137" s="267"/>
      <c r="AC1137" s="267"/>
      <c r="AD1137" s="261"/>
      <c r="AE1137" s="261"/>
      <c r="AF1137" s="257"/>
      <c r="AG1137" s="257"/>
    </row>
    <row r="1138">
      <c r="A1138" s="284"/>
      <c r="B1138" s="251"/>
      <c r="C1138" s="251"/>
      <c r="D1138" s="261"/>
      <c r="E1138" s="261"/>
      <c r="F1138" s="261"/>
      <c r="G1138" s="261"/>
      <c r="H1138" s="261"/>
      <c r="I1138" s="261"/>
      <c r="J1138" s="261"/>
      <c r="K1138" s="262"/>
      <c r="L1138" s="261"/>
      <c r="M1138" s="262"/>
      <c r="N1138" s="262"/>
      <c r="O1138" s="261"/>
      <c r="P1138" s="262"/>
      <c r="Q1138" s="262"/>
      <c r="R1138" s="261"/>
      <c r="S1138" s="263"/>
      <c r="T1138" s="261"/>
      <c r="U1138" s="269"/>
      <c r="V1138" s="285"/>
      <c r="W1138" s="286"/>
      <c r="X1138" s="267"/>
      <c r="Y1138" s="267"/>
      <c r="Z1138" s="267"/>
      <c r="AA1138" s="267"/>
      <c r="AB1138" s="267"/>
      <c r="AC1138" s="267"/>
      <c r="AD1138" s="261"/>
      <c r="AE1138" s="261"/>
      <c r="AF1138" s="257"/>
      <c r="AG1138" s="257"/>
    </row>
    <row r="1139">
      <c r="A1139" s="284"/>
      <c r="B1139" s="251"/>
      <c r="C1139" s="251"/>
      <c r="D1139" s="261"/>
      <c r="E1139" s="261"/>
      <c r="F1139" s="261"/>
      <c r="G1139" s="261"/>
      <c r="H1139" s="261"/>
      <c r="I1139" s="261"/>
      <c r="J1139" s="261"/>
      <c r="K1139" s="262"/>
      <c r="L1139" s="261"/>
      <c r="M1139" s="262"/>
      <c r="N1139" s="262"/>
      <c r="O1139" s="261"/>
      <c r="P1139" s="262"/>
      <c r="Q1139" s="262"/>
      <c r="R1139" s="261"/>
      <c r="S1139" s="263"/>
      <c r="T1139" s="261"/>
      <c r="U1139" s="269"/>
      <c r="V1139" s="285"/>
      <c r="W1139" s="286"/>
      <c r="X1139" s="267"/>
      <c r="Y1139" s="267"/>
      <c r="Z1139" s="267"/>
      <c r="AA1139" s="267"/>
      <c r="AB1139" s="267"/>
      <c r="AC1139" s="267"/>
      <c r="AD1139" s="261"/>
      <c r="AE1139" s="261"/>
      <c r="AF1139" s="257"/>
      <c r="AG1139" s="257"/>
    </row>
    <row r="1140">
      <c r="A1140" s="284"/>
      <c r="B1140" s="251"/>
      <c r="C1140" s="251"/>
      <c r="D1140" s="261"/>
      <c r="E1140" s="261"/>
      <c r="F1140" s="261"/>
      <c r="G1140" s="261"/>
      <c r="H1140" s="261"/>
      <c r="I1140" s="261"/>
      <c r="J1140" s="261"/>
      <c r="K1140" s="262"/>
      <c r="L1140" s="261"/>
      <c r="M1140" s="262"/>
      <c r="N1140" s="262"/>
      <c r="O1140" s="261"/>
      <c r="P1140" s="262"/>
      <c r="Q1140" s="262"/>
      <c r="R1140" s="261"/>
      <c r="S1140" s="263"/>
      <c r="T1140" s="261"/>
      <c r="U1140" s="269"/>
      <c r="V1140" s="285"/>
      <c r="W1140" s="286"/>
      <c r="X1140" s="267"/>
      <c r="Y1140" s="267"/>
      <c r="Z1140" s="267"/>
      <c r="AA1140" s="267"/>
      <c r="AB1140" s="267"/>
      <c r="AC1140" s="267"/>
      <c r="AD1140" s="261"/>
      <c r="AE1140" s="261"/>
      <c r="AF1140" s="257"/>
      <c r="AG1140" s="257"/>
    </row>
    <row r="1141">
      <c r="A1141" s="284"/>
      <c r="B1141" s="251"/>
      <c r="C1141" s="251"/>
      <c r="D1141" s="261"/>
      <c r="E1141" s="261"/>
      <c r="F1141" s="261"/>
      <c r="G1141" s="261"/>
      <c r="H1141" s="261"/>
      <c r="I1141" s="261"/>
      <c r="J1141" s="261"/>
      <c r="K1141" s="262"/>
      <c r="L1141" s="261"/>
      <c r="M1141" s="262"/>
      <c r="N1141" s="262"/>
      <c r="O1141" s="261"/>
      <c r="P1141" s="262"/>
      <c r="Q1141" s="262"/>
      <c r="R1141" s="261"/>
      <c r="S1141" s="263"/>
      <c r="T1141" s="261"/>
      <c r="U1141" s="269"/>
      <c r="V1141" s="285"/>
      <c r="W1141" s="286"/>
      <c r="X1141" s="267"/>
      <c r="Y1141" s="267"/>
      <c r="Z1141" s="267"/>
      <c r="AA1141" s="267"/>
      <c r="AB1141" s="267"/>
      <c r="AC1141" s="267"/>
      <c r="AD1141" s="261"/>
      <c r="AE1141" s="261"/>
      <c r="AF1141" s="257"/>
      <c r="AG1141" s="257"/>
    </row>
    <row r="1142">
      <c r="A1142" s="284"/>
      <c r="B1142" s="251"/>
      <c r="C1142" s="251"/>
      <c r="D1142" s="261"/>
      <c r="E1142" s="261"/>
      <c r="F1142" s="261"/>
      <c r="G1142" s="261"/>
      <c r="H1142" s="261"/>
      <c r="I1142" s="261"/>
      <c r="J1142" s="261"/>
      <c r="K1142" s="262"/>
      <c r="L1142" s="261"/>
      <c r="M1142" s="262"/>
      <c r="N1142" s="262"/>
      <c r="O1142" s="261"/>
      <c r="P1142" s="262"/>
      <c r="Q1142" s="262"/>
      <c r="R1142" s="261"/>
      <c r="S1142" s="263"/>
      <c r="T1142" s="261"/>
      <c r="U1142" s="269"/>
      <c r="V1142" s="285"/>
      <c r="W1142" s="286"/>
      <c r="X1142" s="267"/>
      <c r="Y1142" s="267"/>
      <c r="Z1142" s="267"/>
      <c r="AA1142" s="267"/>
      <c r="AB1142" s="267"/>
      <c r="AC1142" s="267"/>
      <c r="AD1142" s="261"/>
      <c r="AE1142" s="261"/>
      <c r="AF1142" s="257"/>
      <c r="AG1142" s="257"/>
    </row>
    <row r="1143">
      <c r="A1143" s="284"/>
      <c r="B1143" s="251"/>
      <c r="C1143" s="251"/>
      <c r="D1143" s="261"/>
      <c r="E1143" s="261"/>
      <c r="F1143" s="261"/>
      <c r="G1143" s="261"/>
      <c r="H1143" s="261"/>
      <c r="I1143" s="261"/>
      <c r="J1143" s="261"/>
      <c r="K1143" s="262"/>
      <c r="L1143" s="261"/>
      <c r="M1143" s="262"/>
      <c r="N1143" s="262"/>
      <c r="O1143" s="261"/>
      <c r="P1143" s="262"/>
      <c r="Q1143" s="262"/>
      <c r="R1143" s="261"/>
      <c r="S1143" s="263"/>
      <c r="T1143" s="261"/>
      <c r="U1143" s="269"/>
      <c r="V1143" s="285"/>
      <c r="W1143" s="286"/>
      <c r="X1143" s="267"/>
      <c r="Y1143" s="267"/>
      <c r="Z1143" s="267"/>
      <c r="AA1143" s="267"/>
      <c r="AB1143" s="267"/>
      <c r="AC1143" s="267"/>
      <c r="AD1143" s="261"/>
      <c r="AE1143" s="261"/>
      <c r="AF1143" s="257"/>
      <c r="AG1143" s="257"/>
    </row>
    <row r="1144">
      <c r="A1144" s="284"/>
      <c r="B1144" s="251"/>
      <c r="C1144" s="251"/>
      <c r="D1144" s="261"/>
      <c r="E1144" s="261"/>
      <c r="F1144" s="261"/>
      <c r="G1144" s="261"/>
      <c r="H1144" s="261"/>
      <c r="I1144" s="261"/>
      <c r="J1144" s="261"/>
      <c r="K1144" s="262"/>
      <c r="L1144" s="261"/>
      <c r="M1144" s="262"/>
      <c r="N1144" s="262"/>
      <c r="O1144" s="261"/>
      <c r="P1144" s="262"/>
      <c r="Q1144" s="262"/>
      <c r="R1144" s="261"/>
      <c r="S1144" s="263"/>
      <c r="T1144" s="261"/>
      <c r="U1144" s="269"/>
      <c r="V1144" s="285"/>
      <c r="W1144" s="286"/>
      <c r="X1144" s="267"/>
      <c r="Y1144" s="267"/>
      <c r="Z1144" s="267"/>
      <c r="AA1144" s="267"/>
      <c r="AB1144" s="267"/>
      <c r="AC1144" s="267"/>
      <c r="AD1144" s="261"/>
      <c r="AE1144" s="261"/>
      <c r="AF1144" s="257"/>
      <c r="AG1144" s="257"/>
    </row>
    <row r="1145">
      <c r="A1145" s="284"/>
      <c r="B1145" s="251"/>
      <c r="C1145" s="251"/>
      <c r="D1145" s="261"/>
      <c r="E1145" s="261"/>
      <c r="F1145" s="261"/>
      <c r="G1145" s="261"/>
      <c r="H1145" s="261"/>
      <c r="I1145" s="261"/>
      <c r="J1145" s="261"/>
      <c r="K1145" s="262"/>
      <c r="L1145" s="261"/>
      <c r="M1145" s="262"/>
      <c r="N1145" s="262"/>
      <c r="O1145" s="261"/>
      <c r="P1145" s="262"/>
      <c r="Q1145" s="262"/>
      <c r="R1145" s="261"/>
      <c r="S1145" s="263"/>
      <c r="T1145" s="261"/>
      <c r="U1145" s="269"/>
      <c r="V1145" s="285"/>
      <c r="W1145" s="286"/>
      <c r="X1145" s="267"/>
      <c r="Y1145" s="267"/>
      <c r="Z1145" s="267"/>
      <c r="AA1145" s="267"/>
      <c r="AB1145" s="267"/>
      <c r="AC1145" s="267"/>
      <c r="AD1145" s="261"/>
      <c r="AE1145" s="261"/>
      <c r="AF1145" s="257"/>
      <c r="AG1145" s="257"/>
    </row>
    <row r="1146">
      <c r="A1146" s="284"/>
      <c r="B1146" s="251"/>
      <c r="C1146" s="251"/>
      <c r="D1146" s="261"/>
      <c r="E1146" s="261"/>
      <c r="F1146" s="261"/>
      <c r="G1146" s="261"/>
      <c r="H1146" s="261"/>
      <c r="I1146" s="261"/>
      <c r="J1146" s="261"/>
      <c r="K1146" s="262"/>
      <c r="L1146" s="261"/>
      <c r="M1146" s="262"/>
      <c r="N1146" s="262"/>
      <c r="O1146" s="261"/>
      <c r="P1146" s="262"/>
      <c r="Q1146" s="262"/>
      <c r="R1146" s="261"/>
      <c r="S1146" s="263"/>
      <c r="T1146" s="261"/>
      <c r="U1146" s="269"/>
      <c r="V1146" s="285"/>
      <c r="W1146" s="286"/>
      <c r="X1146" s="267"/>
      <c r="Y1146" s="267"/>
      <c r="Z1146" s="267"/>
      <c r="AA1146" s="267"/>
      <c r="AB1146" s="267"/>
      <c r="AC1146" s="267"/>
      <c r="AD1146" s="261"/>
      <c r="AE1146" s="261"/>
      <c r="AF1146" s="257"/>
      <c r="AG1146" s="257"/>
    </row>
    <row r="1147">
      <c r="A1147" s="284"/>
      <c r="B1147" s="251"/>
      <c r="C1147" s="251"/>
      <c r="D1147" s="261"/>
      <c r="E1147" s="261"/>
      <c r="F1147" s="261"/>
      <c r="G1147" s="261"/>
      <c r="H1147" s="261"/>
      <c r="I1147" s="261"/>
      <c r="J1147" s="261"/>
      <c r="K1147" s="262"/>
      <c r="L1147" s="261"/>
      <c r="M1147" s="262"/>
      <c r="N1147" s="262"/>
      <c r="O1147" s="261"/>
      <c r="P1147" s="262"/>
      <c r="Q1147" s="262"/>
      <c r="R1147" s="261"/>
      <c r="S1147" s="263"/>
      <c r="T1147" s="261"/>
      <c r="U1147" s="269"/>
      <c r="V1147" s="285"/>
      <c r="W1147" s="286"/>
      <c r="X1147" s="267"/>
      <c r="Y1147" s="267"/>
      <c r="Z1147" s="267"/>
      <c r="AA1147" s="267"/>
      <c r="AB1147" s="267"/>
      <c r="AC1147" s="267"/>
      <c r="AD1147" s="261"/>
      <c r="AE1147" s="261"/>
      <c r="AF1147" s="257"/>
      <c r="AG1147" s="257"/>
    </row>
    <row r="1148">
      <c r="A1148" s="284"/>
      <c r="B1148" s="251"/>
      <c r="C1148" s="251"/>
      <c r="D1148" s="261"/>
      <c r="E1148" s="261"/>
      <c r="F1148" s="261"/>
      <c r="G1148" s="261"/>
      <c r="H1148" s="261"/>
      <c r="I1148" s="261"/>
      <c r="J1148" s="261"/>
      <c r="K1148" s="262"/>
      <c r="L1148" s="261"/>
      <c r="M1148" s="262"/>
      <c r="N1148" s="262"/>
      <c r="O1148" s="261"/>
      <c r="P1148" s="262"/>
      <c r="Q1148" s="262"/>
      <c r="R1148" s="261"/>
      <c r="S1148" s="263"/>
      <c r="T1148" s="261"/>
      <c r="U1148" s="269"/>
      <c r="V1148" s="285"/>
      <c r="W1148" s="286"/>
      <c r="X1148" s="267"/>
      <c r="Y1148" s="267"/>
      <c r="Z1148" s="267"/>
      <c r="AA1148" s="267"/>
      <c r="AB1148" s="267"/>
      <c r="AC1148" s="267"/>
      <c r="AD1148" s="261"/>
      <c r="AE1148" s="261"/>
      <c r="AF1148" s="257"/>
      <c r="AG1148" s="257"/>
    </row>
    <row r="1149">
      <c r="A1149" s="284"/>
      <c r="B1149" s="251"/>
      <c r="C1149" s="251"/>
      <c r="D1149" s="261"/>
      <c r="E1149" s="261"/>
      <c r="F1149" s="261"/>
      <c r="G1149" s="261"/>
      <c r="H1149" s="261"/>
      <c r="I1149" s="261"/>
      <c r="J1149" s="261"/>
      <c r="K1149" s="262"/>
      <c r="L1149" s="261"/>
      <c r="M1149" s="262"/>
      <c r="N1149" s="262"/>
      <c r="O1149" s="261"/>
      <c r="P1149" s="262"/>
      <c r="Q1149" s="262"/>
      <c r="R1149" s="261"/>
      <c r="S1149" s="263"/>
      <c r="T1149" s="261"/>
      <c r="U1149" s="269"/>
      <c r="V1149" s="285"/>
      <c r="W1149" s="286"/>
      <c r="X1149" s="267"/>
      <c r="Y1149" s="267"/>
      <c r="Z1149" s="267"/>
      <c r="AA1149" s="267"/>
      <c r="AB1149" s="267"/>
      <c r="AC1149" s="267"/>
      <c r="AD1149" s="261"/>
      <c r="AE1149" s="261"/>
      <c r="AF1149" s="257"/>
      <c r="AG1149" s="257"/>
    </row>
    <row r="1150">
      <c r="A1150" s="284"/>
      <c r="B1150" s="251"/>
      <c r="C1150" s="251"/>
      <c r="D1150" s="261"/>
      <c r="E1150" s="261"/>
      <c r="F1150" s="261"/>
      <c r="G1150" s="261"/>
      <c r="H1150" s="261"/>
      <c r="I1150" s="261"/>
      <c r="J1150" s="261"/>
      <c r="K1150" s="262"/>
      <c r="L1150" s="261"/>
      <c r="M1150" s="262"/>
      <c r="N1150" s="262"/>
      <c r="O1150" s="261"/>
      <c r="P1150" s="262"/>
      <c r="Q1150" s="262"/>
      <c r="R1150" s="261"/>
      <c r="S1150" s="263"/>
      <c r="T1150" s="261"/>
      <c r="U1150" s="269"/>
      <c r="V1150" s="285"/>
      <c r="W1150" s="286"/>
      <c r="X1150" s="267"/>
      <c r="Y1150" s="267"/>
      <c r="Z1150" s="267"/>
      <c r="AA1150" s="267"/>
      <c r="AB1150" s="267"/>
      <c r="AC1150" s="267"/>
      <c r="AD1150" s="261"/>
      <c r="AE1150" s="261"/>
      <c r="AF1150" s="257"/>
      <c r="AG1150" s="257"/>
    </row>
    <row r="1151">
      <c r="A1151" s="284"/>
      <c r="B1151" s="251"/>
      <c r="C1151" s="251"/>
      <c r="D1151" s="261"/>
      <c r="E1151" s="261"/>
      <c r="F1151" s="261"/>
      <c r="G1151" s="261"/>
      <c r="H1151" s="261"/>
      <c r="I1151" s="261"/>
      <c r="J1151" s="261"/>
      <c r="K1151" s="262"/>
      <c r="L1151" s="261"/>
      <c r="M1151" s="262"/>
      <c r="N1151" s="262"/>
      <c r="O1151" s="261"/>
      <c r="P1151" s="262"/>
      <c r="Q1151" s="262"/>
      <c r="R1151" s="261"/>
      <c r="S1151" s="263"/>
      <c r="T1151" s="261"/>
      <c r="U1151" s="269"/>
      <c r="V1151" s="285"/>
      <c r="W1151" s="286"/>
      <c r="X1151" s="267"/>
      <c r="Y1151" s="267"/>
      <c r="Z1151" s="267"/>
      <c r="AA1151" s="267"/>
      <c r="AB1151" s="267"/>
      <c r="AC1151" s="267"/>
      <c r="AD1151" s="261"/>
      <c r="AE1151" s="261"/>
      <c r="AF1151" s="257"/>
      <c r="AG1151" s="257"/>
    </row>
    <row r="1152">
      <c r="A1152" s="284"/>
      <c r="B1152" s="251"/>
      <c r="C1152" s="251"/>
      <c r="D1152" s="261"/>
      <c r="E1152" s="261"/>
      <c r="F1152" s="261"/>
      <c r="G1152" s="261"/>
      <c r="H1152" s="261"/>
      <c r="I1152" s="261"/>
      <c r="J1152" s="261"/>
      <c r="K1152" s="262"/>
      <c r="L1152" s="261"/>
      <c r="M1152" s="262"/>
      <c r="N1152" s="262"/>
      <c r="O1152" s="261"/>
      <c r="P1152" s="262"/>
      <c r="Q1152" s="262"/>
      <c r="R1152" s="261"/>
      <c r="S1152" s="263"/>
      <c r="T1152" s="261"/>
      <c r="U1152" s="269"/>
      <c r="V1152" s="285"/>
      <c r="W1152" s="286"/>
      <c r="X1152" s="267"/>
      <c r="Y1152" s="267"/>
      <c r="Z1152" s="267"/>
      <c r="AA1152" s="267"/>
      <c r="AB1152" s="267"/>
      <c r="AC1152" s="267"/>
      <c r="AD1152" s="261"/>
      <c r="AE1152" s="261"/>
      <c r="AF1152" s="257"/>
      <c r="AG1152" s="257"/>
    </row>
    <row r="1153">
      <c r="A1153" s="284"/>
      <c r="B1153" s="251"/>
      <c r="C1153" s="251"/>
      <c r="D1153" s="261"/>
      <c r="E1153" s="261"/>
      <c r="F1153" s="261"/>
      <c r="G1153" s="261"/>
      <c r="H1153" s="261"/>
      <c r="I1153" s="261"/>
      <c r="J1153" s="261"/>
      <c r="K1153" s="262"/>
      <c r="L1153" s="261"/>
      <c r="M1153" s="262"/>
      <c r="N1153" s="262"/>
      <c r="O1153" s="261"/>
      <c r="P1153" s="262"/>
      <c r="Q1153" s="262"/>
      <c r="R1153" s="261"/>
      <c r="S1153" s="263"/>
      <c r="T1153" s="261"/>
      <c r="U1153" s="269"/>
      <c r="V1153" s="285"/>
      <c r="W1153" s="286"/>
      <c r="X1153" s="267"/>
      <c r="Y1153" s="267"/>
      <c r="Z1153" s="267"/>
      <c r="AA1153" s="267"/>
      <c r="AB1153" s="267"/>
      <c r="AC1153" s="267"/>
      <c r="AD1153" s="261"/>
      <c r="AE1153" s="261"/>
      <c r="AF1153" s="257"/>
      <c r="AG1153" s="257"/>
    </row>
    <row r="1154">
      <c r="A1154" s="284"/>
      <c r="B1154" s="251"/>
      <c r="C1154" s="251"/>
      <c r="D1154" s="261"/>
      <c r="E1154" s="261"/>
      <c r="F1154" s="261"/>
      <c r="G1154" s="261"/>
      <c r="H1154" s="261"/>
      <c r="I1154" s="261"/>
      <c r="J1154" s="261"/>
      <c r="K1154" s="262"/>
      <c r="L1154" s="261"/>
      <c r="M1154" s="262"/>
      <c r="N1154" s="262"/>
      <c r="O1154" s="261"/>
      <c r="P1154" s="262"/>
      <c r="Q1154" s="262"/>
      <c r="R1154" s="261"/>
      <c r="S1154" s="263"/>
      <c r="T1154" s="261"/>
      <c r="U1154" s="269"/>
      <c r="V1154" s="285"/>
      <c r="W1154" s="286"/>
      <c r="X1154" s="267"/>
      <c r="Y1154" s="267"/>
      <c r="Z1154" s="267"/>
      <c r="AA1154" s="267"/>
      <c r="AB1154" s="267"/>
      <c r="AC1154" s="267"/>
      <c r="AD1154" s="261"/>
      <c r="AE1154" s="261"/>
      <c r="AF1154" s="257"/>
      <c r="AG1154" s="257"/>
    </row>
    <row r="1155">
      <c r="A1155" s="284"/>
      <c r="B1155" s="251"/>
      <c r="C1155" s="251"/>
      <c r="D1155" s="261"/>
      <c r="E1155" s="261"/>
      <c r="F1155" s="261"/>
      <c r="G1155" s="261"/>
      <c r="H1155" s="261"/>
      <c r="I1155" s="261"/>
      <c r="J1155" s="261"/>
      <c r="K1155" s="262"/>
      <c r="L1155" s="261"/>
      <c r="M1155" s="262"/>
      <c r="N1155" s="262"/>
      <c r="O1155" s="261"/>
      <c r="P1155" s="262"/>
      <c r="Q1155" s="262"/>
      <c r="R1155" s="261"/>
      <c r="S1155" s="263"/>
      <c r="T1155" s="261"/>
      <c r="U1155" s="269"/>
      <c r="V1155" s="285"/>
      <c r="W1155" s="286"/>
      <c r="X1155" s="267"/>
      <c r="Y1155" s="267"/>
      <c r="Z1155" s="267"/>
      <c r="AA1155" s="267"/>
      <c r="AB1155" s="267"/>
      <c r="AC1155" s="267"/>
      <c r="AD1155" s="261"/>
      <c r="AE1155" s="261"/>
      <c r="AF1155" s="257"/>
      <c r="AG1155" s="257"/>
    </row>
    <row r="1156">
      <c r="A1156" s="284"/>
      <c r="B1156" s="251"/>
      <c r="C1156" s="251"/>
      <c r="D1156" s="261"/>
      <c r="E1156" s="261"/>
      <c r="F1156" s="261"/>
      <c r="G1156" s="261"/>
      <c r="H1156" s="261"/>
      <c r="I1156" s="261"/>
      <c r="J1156" s="261"/>
      <c r="K1156" s="262"/>
      <c r="L1156" s="261"/>
      <c r="M1156" s="262"/>
      <c r="N1156" s="262"/>
      <c r="O1156" s="261"/>
      <c r="P1156" s="262"/>
      <c r="Q1156" s="262"/>
      <c r="R1156" s="261"/>
      <c r="S1156" s="263"/>
      <c r="T1156" s="261"/>
      <c r="U1156" s="269"/>
      <c r="V1156" s="285"/>
      <c r="W1156" s="286"/>
      <c r="X1156" s="267"/>
      <c r="Y1156" s="267"/>
      <c r="Z1156" s="267"/>
      <c r="AA1156" s="267"/>
      <c r="AB1156" s="267"/>
      <c r="AC1156" s="267"/>
      <c r="AD1156" s="261"/>
      <c r="AE1156" s="261"/>
      <c r="AF1156" s="257"/>
      <c r="AG1156" s="257"/>
    </row>
    <row r="1157">
      <c r="A1157" s="284"/>
      <c r="B1157" s="251"/>
      <c r="C1157" s="251"/>
      <c r="D1157" s="261"/>
      <c r="E1157" s="261"/>
      <c r="F1157" s="261"/>
      <c r="G1157" s="261"/>
      <c r="H1157" s="261"/>
      <c r="I1157" s="261"/>
      <c r="J1157" s="261"/>
      <c r="K1157" s="262"/>
      <c r="L1157" s="261"/>
      <c r="M1157" s="262"/>
      <c r="N1157" s="262"/>
      <c r="O1157" s="261"/>
      <c r="P1157" s="262"/>
      <c r="Q1157" s="262"/>
      <c r="R1157" s="261"/>
      <c r="S1157" s="263"/>
      <c r="T1157" s="261"/>
      <c r="U1157" s="269"/>
      <c r="V1157" s="285"/>
      <c r="W1157" s="286"/>
      <c r="X1157" s="267"/>
      <c r="Y1157" s="267"/>
      <c r="Z1157" s="267"/>
      <c r="AA1157" s="267"/>
      <c r="AB1157" s="267"/>
      <c r="AC1157" s="267"/>
      <c r="AD1157" s="261"/>
      <c r="AE1157" s="261"/>
      <c r="AF1157" s="257"/>
      <c r="AG1157" s="257"/>
    </row>
    <row r="1158">
      <c r="A1158" s="284"/>
      <c r="B1158" s="251"/>
      <c r="C1158" s="251"/>
      <c r="D1158" s="261"/>
      <c r="E1158" s="261"/>
      <c r="F1158" s="261"/>
      <c r="G1158" s="261"/>
      <c r="H1158" s="261"/>
      <c r="I1158" s="261"/>
      <c r="J1158" s="261"/>
      <c r="K1158" s="262"/>
      <c r="L1158" s="261"/>
      <c r="M1158" s="262"/>
      <c r="N1158" s="262"/>
      <c r="O1158" s="261"/>
      <c r="P1158" s="262"/>
      <c r="Q1158" s="262"/>
      <c r="R1158" s="261"/>
      <c r="S1158" s="263"/>
      <c r="T1158" s="261"/>
      <c r="U1158" s="269"/>
      <c r="V1158" s="285"/>
      <c r="W1158" s="286"/>
      <c r="X1158" s="267"/>
      <c r="Y1158" s="267"/>
      <c r="Z1158" s="267"/>
      <c r="AA1158" s="267"/>
      <c r="AB1158" s="267"/>
      <c r="AC1158" s="267"/>
      <c r="AD1158" s="261"/>
      <c r="AE1158" s="261"/>
      <c r="AF1158" s="257"/>
      <c r="AG1158" s="257"/>
    </row>
    <row r="1159">
      <c r="A1159" s="284"/>
      <c r="B1159" s="251"/>
      <c r="C1159" s="251"/>
      <c r="D1159" s="261"/>
      <c r="E1159" s="261"/>
      <c r="F1159" s="261"/>
      <c r="G1159" s="261"/>
      <c r="H1159" s="261"/>
      <c r="I1159" s="261"/>
      <c r="J1159" s="261"/>
      <c r="K1159" s="262"/>
      <c r="L1159" s="261"/>
      <c r="M1159" s="262"/>
      <c r="N1159" s="262"/>
      <c r="O1159" s="261"/>
      <c r="P1159" s="262"/>
      <c r="Q1159" s="262"/>
      <c r="R1159" s="261"/>
      <c r="S1159" s="263"/>
      <c r="T1159" s="261"/>
      <c r="U1159" s="269"/>
      <c r="V1159" s="285"/>
      <c r="W1159" s="286"/>
      <c r="X1159" s="267"/>
      <c r="Y1159" s="267"/>
      <c r="Z1159" s="267"/>
      <c r="AA1159" s="267"/>
      <c r="AB1159" s="267"/>
      <c r="AC1159" s="267"/>
      <c r="AD1159" s="261"/>
      <c r="AE1159" s="261"/>
      <c r="AF1159" s="257"/>
      <c r="AG1159" s="257"/>
    </row>
    <row r="1160">
      <c r="A1160" s="284"/>
      <c r="B1160" s="251"/>
      <c r="C1160" s="251"/>
      <c r="D1160" s="261"/>
      <c r="E1160" s="261"/>
      <c r="F1160" s="261"/>
      <c r="G1160" s="261"/>
      <c r="H1160" s="261"/>
      <c r="I1160" s="261"/>
      <c r="J1160" s="261"/>
      <c r="K1160" s="262"/>
      <c r="L1160" s="261"/>
      <c r="M1160" s="262"/>
      <c r="N1160" s="262"/>
      <c r="O1160" s="261"/>
      <c r="P1160" s="262"/>
      <c r="Q1160" s="262"/>
      <c r="R1160" s="261"/>
      <c r="S1160" s="263"/>
      <c r="T1160" s="261"/>
      <c r="U1160" s="269"/>
      <c r="V1160" s="285"/>
      <c r="W1160" s="286"/>
      <c r="X1160" s="267"/>
      <c r="Y1160" s="267"/>
      <c r="Z1160" s="267"/>
      <c r="AA1160" s="267"/>
      <c r="AB1160" s="267"/>
      <c r="AC1160" s="267"/>
      <c r="AD1160" s="261"/>
      <c r="AE1160" s="261"/>
      <c r="AF1160" s="257"/>
      <c r="AG1160" s="257"/>
    </row>
    <row r="1161">
      <c r="A1161" s="284"/>
      <c r="B1161" s="251"/>
      <c r="C1161" s="251"/>
      <c r="D1161" s="261"/>
      <c r="E1161" s="261"/>
      <c r="F1161" s="261"/>
      <c r="G1161" s="261"/>
      <c r="H1161" s="261"/>
      <c r="I1161" s="261"/>
      <c r="J1161" s="261"/>
      <c r="K1161" s="262"/>
      <c r="L1161" s="261"/>
      <c r="M1161" s="262"/>
      <c r="N1161" s="262"/>
      <c r="O1161" s="261"/>
      <c r="P1161" s="262"/>
      <c r="Q1161" s="262"/>
      <c r="R1161" s="261"/>
      <c r="S1161" s="263"/>
      <c r="T1161" s="261"/>
      <c r="U1161" s="269"/>
      <c r="V1161" s="285"/>
      <c r="W1161" s="286"/>
      <c r="X1161" s="267"/>
      <c r="Y1161" s="267"/>
      <c r="Z1161" s="267"/>
      <c r="AA1161" s="267"/>
      <c r="AB1161" s="267"/>
      <c r="AC1161" s="267"/>
      <c r="AD1161" s="261"/>
      <c r="AE1161" s="261"/>
      <c r="AF1161" s="257"/>
      <c r="AG1161" s="257"/>
    </row>
    <row r="1162">
      <c r="A1162" s="284"/>
      <c r="B1162" s="251"/>
      <c r="C1162" s="251"/>
      <c r="D1162" s="261"/>
      <c r="E1162" s="261"/>
      <c r="F1162" s="261"/>
      <c r="G1162" s="261"/>
      <c r="H1162" s="261"/>
      <c r="I1162" s="261"/>
      <c r="J1162" s="261"/>
      <c r="K1162" s="262"/>
      <c r="L1162" s="261"/>
      <c r="M1162" s="262"/>
      <c r="N1162" s="262"/>
      <c r="O1162" s="261"/>
      <c r="P1162" s="262"/>
      <c r="Q1162" s="262"/>
      <c r="R1162" s="261"/>
      <c r="S1162" s="263"/>
      <c r="T1162" s="261"/>
      <c r="U1162" s="269"/>
      <c r="V1162" s="285"/>
      <c r="W1162" s="286"/>
      <c r="X1162" s="267"/>
      <c r="Y1162" s="267"/>
      <c r="Z1162" s="267"/>
      <c r="AA1162" s="267"/>
      <c r="AB1162" s="267"/>
      <c r="AC1162" s="267"/>
      <c r="AD1162" s="261"/>
      <c r="AE1162" s="261"/>
      <c r="AF1162" s="257"/>
      <c r="AG1162" s="257"/>
    </row>
    <row r="1163">
      <c r="A1163" s="284"/>
      <c r="B1163" s="251"/>
      <c r="C1163" s="251"/>
      <c r="D1163" s="261"/>
      <c r="E1163" s="261"/>
      <c r="F1163" s="261"/>
      <c r="G1163" s="261"/>
      <c r="H1163" s="261"/>
      <c r="I1163" s="261"/>
      <c r="J1163" s="261"/>
      <c r="K1163" s="262"/>
      <c r="L1163" s="261"/>
      <c r="M1163" s="262"/>
      <c r="N1163" s="262"/>
      <c r="O1163" s="261"/>
      <c r="P1163" s="262"/>
      <c r="Q1163" s="262"/>
      <c r="R1163" s="261"/>
      <c r="S1163" s="263"/>
      <c r="T1163" s="261"/>
      <c r="U1163" s="269"/>
      <c r="V1163" s="285"/>
      <c r="W1163" s="286"/>
      <c r="X1163" s="267"/>
      <c r="Y1163" s="267"/>
      <c r="Z1163" s="267"/>
      <c r="AA1163" s="267"/>
      <c r="AB1163" s="267"/>
      <c r="AC1163" s="267"/>
      <c r="AD1163" s="261"/>
      <c r="AE1163" s="261"/>
      <c r="AF1163" s="257"/>
      <c r="AG1163" s="257"/>
    </row>
    <row r="1164">
      <c r="A1164" s="284"/>
      <c r="B1164" s="251"/>
      <c r="C1164" s="251"/>
      <c r="D1164" s="261"/>
      <c r="E1164" s="261"/>
      <c r="F1164" s="261"/>
      <c r="G1164" s="261"/>
      <c r="H1164" s="261"/>
      <c r="I1164" s="261"/>
      <c r="J1164" s="261"/>
      <c r="K1164" s="262"/>
      <c r="L1164" s="261"/>
      <c r="M1164" s="262"/>
      <c r="N1164" s="262"/>
      <c r="O1164" s="261"/>
      <c r="P1164" s="262"/>
      <c r="Q1164" s="262"/>
      <c r="R1164" s="261"/>
      <c r="S1164" s="263"/>
      <c r="T1164" s="261"/>
      <c r="U1164" s="269"/>
      <c r="V1164" s="285"/>
      <c r="W1164" s="286"/>
      <c r="X1164" s="267"/>
      <c r="Y1164" s="267"/>
      <c r="Z1164" s="267"/>
      <c r="AA1164" s="267"/>
      <c r="AB1164" s="267"/>
      <c r="AC1164" s="267"/>
      <c r="AD1164" s="261"/>
      <c r="AE1164" s="261"/>
      <c r="AF1164" s="257"/>
      <c r="AG1164" s="257"/>
    </row>
    <row r="1165">
      <c r="A1165" s="284"/>
      <c r="B1165" s="251"/>
      <c r="C1165" s="251"/>
      <c r="D1165" s="261"/>
      <c r="E1165" s="261"/>
      <c r="F1165" s="261"/>
      <c r="G1165" s="261"/>
      <c r="H1165" s="261"/>
      <c r="I1165" s="261"/>
      <c r="J1165" s="261"/>
      <c r="K1165" s="262"/>
      <c r="L1165" s="261"/>
      <c r="M1165" s="262"/>
      <c r="N1165" s="262"/>
      <c r="O1165" s="261"/>
      <c r="P1165" s="262"/>
      <c r="Q1165" s="262"/>
      <c r="R1165" s="261"/>
      <c r="S1165" s="263"/>
      <c r="T1165" s="261"/>
      <c r="U1165" s="269"/>
      <c r="V1165" s="285"/>
      <c r="W1165" s="286"/>
      <c r="X1165" s="267"/>
      <c r="Y1165" s="267"/>
      <c r="Z1165" s="267"/>
      <c r="AA1165" s="267"/>
      <c r="AB1165" s="267"/>
      <c r="AC1165" s="267"/>
      <c r="AD1165" s="261"/>
      <c r="AE1165" s="261"/>
      <c r="AF1165" s="257"/>
      <c r="AG1165" s="257"/>
    </row>
    <row r="1166">
      <c r="A1166" s="284"/>
      <c r="B1166" s="251"/>
      <c r="C1166" s="251"/>
      <c r="D1166" s="261"/>
      <c r="E1166" s="261"/>
      <c r="F1166" s="261"/>
      <c r="G1166" s="261"/>
      <c r="H1166" s="261"/>
      <c r="I1166" s="261"/>
      <c r="J1166" s="261"/>
      <c r="K1166" s="262"/>
      <c r="L1166" s="261"/>
      <c r="M1166" s="262"/>
      <c r="N1166" s="262"/>
      <c r="O1166" s="261"/>
      <c r="P1166" s="262"/>
      <c r="Q1166" s="262"/>
      <c r="R1166" s="261"/>
      <c r="S1166" s="263"/>
      <c r="T1166" s="261"/>
      <c r="U1166" s="269"/>
      <c r="V1166" s="285"/>
      <c r="W1166" s="286"/>
      <c r="X1166" s="267"/>
      <c r="Y1166" s="267"/>
      <c r="Z1166" s="267"/>
      <c r="AA1166" s="267"/>
      <c r="AB1166" s="267"/>
      <c r="AC1166" s="267"/>
      <c r="AD1166" s="261"/>
      <c r="AE1166" s="261"/>
      <c r="AF1166" s="257"/>
      <c r="AG1166" s="257"/>
    </row>
    <row r="1167">
      <c r="A1167" s="284"/>
      <c r="B1167" s="251"/>
      <c r="C1167" s="251"/>
      <c r="D1167" s="261"/>
      <c r="E1167" s="261"/>
      <c r="F1167" s="261"/>
      <c r="G1167" s="261"/>
      <c r="H1167" s="261"/>
      <c r="I1167" s="261"/>
      <c r="J1167" s="261"/>
      <c r="K1167" s="262"/>
      <c r="L1167" s="261"/>
      <c r="M1167" s="262"/>
      <c r="N1167" s="262"/>
      <c r="O1167" s="261"/>
      <c r="P1167" s="262"/>
      <c r="Q1167" s="262"/>
      <c r="R1167" s="261"/>
      <c r="S1167" s="263"/>
      <c r="T1167" s="261"/>
      <c r="U1167" s="269"/>
      <c r="V1167" s="285"/>
      <c r="W1167" s="286"/>
      <c r="X1167" s="267"/>
      <c r="Y1167" s="267"/>
      <c r="Z1167" s="267"/>
      <c r="AA1167" s="267"/>
      <c r="AB1167" s="267"/>
      <c r="AC1167" s="267"/>
      <c r="AD1167" s="261"/>
      <c r="AE1167" s="261"/>
      <c r="AF1167" s="257"/>
      <c r="AG1167" s="257"/>
    </row>
    <row r="1168">
      <c r="A1168" s="284"/>
      <c r="B1168" s="251"/>
      <c r="C1168" s="251"/>
      <c r="D1168" s="261"/>
      <c r="E1168" s="261"/>
      <c r="F1168" s="261"/>
      <c r="G1168" s="261"/>
      <c r="H1168" s="261"/>
      <c r="I1168" s="261"/>
      <c r="J1168" s="261"/>
      <c r="K1168" s="262"/>
      <c r="L1168" s="261"/>
      <c r="M1168" s="262"/>
      <c r="N1168" s="262"/>
      <c r="O1168" s="261"/>
      <c r="P1168" s="262"/>
      <c r="Q1168" s="262"/>
      <c r="R1168" s="261"/>
      <c r="S1168" s="263"/>
      <c r="T1168" s="261"/>
      <c r="U1168" s="269"/>
      <c r="V1168" s="285"/>
      <c r="W1168" s="286"/>
      <c r="X1168" s="267"/>
      <c r="Y1168" s="267"/>
      <c r="Z1168" s="267"/>
      <c r="AA1168" s="267"/>
      <c r="AB1168" s="267"/>
      <c r="AC1168" s="267"/>
      <c r="AD1168" s="261"/>
      <c r="AE1168" s="261"/>
      <c r="AF1168" s="257"/>
      <c r="AG1168" s="257"/>
    </row>
    <row r="1169">
      <c r="A1169" s="284"/>
      <c r="B1169" s="251"/>
      <c r="C1169" s="251"/>
      <c r="D1169" s="261"/>
      <c r="E1169" s="261"/>
      <c r="F1169" s="261"/>
      <c r="G1169" s="261"/>
      <c r="H1169" s="261"/>
      <c r="I1169" s="261"/>
      <c r="J1169" s="261"/>
      <c r="K1169" s="262"/>
      <c r="L1169" s="261"/>
      <c r="M1169" s="262"/>
      <c r="N1169" s="262"/>
      <c r="O1169" s="261"/>
      <c r="P1169" s="262"/>
      <c r="Q1169" s="262"/>
      <c r="R1169" s="261"/>
      <c r="S1169" s="263"/>
      <c r="T1169" s="261"/>
      <c r="U1169" s="269"/>
      <c r="V1169" s="285"/>
      <c r="W1169" s="286"/>
      <c r="X1169" s="267"/>
      <c r="Y1169" s="267"/>
      <c r="Z1169" s="267"/>
      <c r="AA1169" s="267"/>
      <c r="AB1169" s="267"/>
      <c r="AC1169" s="267"/>
      <c r="AD1169" s="261"/>
      <c r="AE1169" s="261"/>
      <c r="AF1169" s="257"/>
      <c r="AG1169" s="257"/>
    </row>
    <row r="1170">
      <c r="A1170" s="284"/>
      <c r="B1170" s="251"/>
      <c r="C1170" s="251"/>
      <c r="D1170" s="261"/>
      <c r="E1170" s="261"/>
      <c r="F1170" s="261"/>
      <c r="G1170" s="261"/>
      <c r="H1170" s="261"/>
      <c r="I1170" s="261"/>
      <c r="J1170" s="261"/>
      <c r="K1170" s="262"/>
      <c r="L1170" s="261"/>
      <c r="M1170" s="262"/>
      <c r="N1170" s="262"/>
      <c r="O1170" s="261"/>
      <c r="P1170" s="262"/>
      <c r="Q1170" s="262"/>
      <c r="R1170" s="261"/>
      <c r="S1170" s="263"/>
      <c r="T1170" s="261"/>
      <c r="U1170" s="269"/>
      <c r="V1170" s="285"/>
      <c r="W1170" s="286"/>
      <c r="X1170" s="267"/>
      <c r="Y1170" s="267"/>
      <c r="Z1170" s="267"/>
      <c r="AA1170" s="267"/>
      <c r="AB1170" s="267"/>
      <c r="AC1170" s="267"/>
      <c r="AD1170" s="261"/>
      <c r="AE1170" s="261"/>
      <c r="AF1170" s="257"/>
      <c r="AG1170" s="257"/>
    </row>
    <row r="1171">
      <c r="A1171" s="284"/>
      <c r="B1171" s="251"/>
      <c r="C1171" s="251"/>
      <c r="D1171" s="261"/>
      <c r="E1171" s="261"/>
      <c r="F1171" s="261"/>
      <c r="G1171" s="261"/>
      <c r="H1171" s="261"/>
      <c r="I1171" s="261"/>
      <c r="J1171" s="261"/>
      <c r="K1171" s="262"/>
      <c r="L1171" s="261"/>
      <c r="M1171" s="262"/>
      <c r="N1171" s="262"/>
      <c r="O1171" s="261"/>
      <c r="P1171" s="262"/>
      <c r="Q1171" s="262"/>
      <c r="R1171" s="261"/>
      <c r="S1171" s="263"/>
      <c r="T1171" s="261"/>
      <c r="U1171" s="269"/>
      <c r="V1171" s="285"/>
      <c r="W1171" s="286"/>
      <c r="X1171" s="267"/>
      <c r="Y1171" s="267"/>
      <c r="Z1171" s="267"/>
      <c r="AA1171" s="267"/>
      <c r="AB1171" s="267"/>
      <c r="AC1171" s="267"/>
      <c r="AD1171" s="261"/>
      <c r="AE1171" s="261"/>
      <c r="AF1171" s="257"/>
      <c r="AG1171" s="257"/>
    </row>
    <row r="1172">
      <c r="A1172" s="284"/>
      <c r="B1172" s="251"/>
      <c r="C1172" s="251"/>
      <c r="D1172" s="261"/>
      <c r="E1172" s="261"/>
      <c r="F1172" s="261"/>
      <c r="G1172" s="261"/>
      <c r="H1172" s="261"/>
      <c r="I1172" s="261"/>
      <c r="J1172" s="261"/>
      <c r="K1172" s="262"/>
      <c r="L1172" s="261"/>
      <c r="M1172" s="262"/>
      <c r="N1172" s="262"/>
      <c r="O1172" s="261"/>
      <c r="P1172" s="262"/>
      <c r="Q1172" s="262"/>
      <c r="R1172" s="261"/>
      <c r="S1172" s="263"/>
      <c r="T1172" s="261"/>
      <c r="U1172" s="269"/>
      <c r="V1172" s="285"/>
      <c r="W1172" s="286"/>
      <c r="X1172" s="267"/>
      <c r="Y1172" s="267"/>
      <c r="Z1172" s="267"/>
      <c r="AA1172" s="267"/>
      <c r="AB1172" s="267"/>
      <c r="AC1172" s="267"/>
      <c r="AD1172" s="261"/>
      <c r="AE1172" s="261"/>
      <c r="AF1172" s="257"/>
      <c r="AG1172" s="257"/>
    </row>
    <row r="1173">
      <c r="A1173" s="284"/>
      <c r="B1173" s="251"/>
      <c r="C1173" s="251"/>
      <c r="D1173" s="261"/>
      <c r="E1173" s="261"/>
      <c r="F1173" s="261"/>
      <c r="G1173" s="261"/>
      <c r="H1173" s="261"/>
      <c r="I1173" s="261"/>
      <c r="J1173" s="261"/>
      <c r="K1173" s="262"/>
      <c r="L1173" s="261"/>
      <c r="M1173" s="262"/>
      <c r="N1173" s="262"/>
      <c r="O1173" s="261"/>
      <c r="P1173" s="262"/>
      <c r="Q1173" s="262"/>
      <c r="R1173" s="261"/>
      <c r="S1173" s="263"/>
      <c r="T1173" s="261"/>
      <c r="U1173" s="269"/>
      <c r="V1173" s="285"/>
      <c r="W1173" s="286"/>
      <c r="X1173" s="267"/>
      <c r="Y1173" s="267"/>
      <c r="Z1173" s="267"/>
      <c r="AA1173" s="267"/>
      <c r="AB1173" s="267"/>
      <c r="AC1173" s="267"/>
      <c r="AD1173" s="261"/>
      <c r="AE1173" s="261"/>
      <c r="AF1173" s="257"/>
      <c r="AG1173" s="257"/>
    </row>
    <row r="1174">
      <c r="A1174" s="284"/>
      <c r="B1174" s="251"/>
      <c r="C1174" s="251"/>
      <c r="D1174" s="261"/>
      <c r="E1174" s="261"/>
      <c r="F1174" s="261"/>
      <c r="G1174" s="261"/>
      <c r="H1174" s="261"/>
      <c r="I1174" s="261"/>
      <c r="J1174" s="261"/>
      <c r="K1174" s="262"/>
      <c r="L1174" s="261"/>
      <c r="M1174" s="262"/>
      <c r="N1174" s="262"/>
      <c r="O1174" s="261"/>
      <c r="P1174" s="262"/>
      <c r="Q1174" s="262"/>
      <c r="R1174" s="261"/>
      <c r="S1174" s="263"/>
      <c r="T1174" s="261"/>
      <c r="U1174" s="269"/>
      <c r="V1174" s="285"/>
      <c r="W1174" s="286"/>
      <c r="X1174" s="267"/>
      <c r="Y1174" s="267"/>
      <c r="Z1174" s="267"/>
      <c r="AA1174" s="267"/>
      <c r="AB1174" s="267"/>
      <c r="AC1174" s="267"/>
      <c r="AD1174" s="261"/>
      <c r="AE1174" s="261"/>
      <c r="AF1174" s="257"/>
      <c r="AG1174" s="257"/>
    </row>
    <row r="1175">
      <c r="A1175" s="284"/>
      <c r="B1175" s="251"/>
      <c r="C1175" s="251"/>
      <c r="D1175" s="261"/>
      <c r="E1175" s="261"/>
      <c r="F1175" s="261"/>
      <c r="G1175" s="261"/>
      <c r="H1175" s="261"/>
      <c r="I1175" s="261"/>
      <c r="J1175" s="261"/>
      <c r="K1175" s="262"/>
      <c r="L1175" s="261"/>
      <c r="M1175" s="262"/>
      <c r="N1175" s="262"/>
      <c r="O1175" s="261"/>
      <c r="P1175" s="262"/>
      <c r="Q1175" s="262"/>
      <c r="R1175" s="261"/>
      <c r="S1175" s="263"/>
      <c r="T1175" s="261"/>
      <c r="U1175" s="269"/>
      <c r="V1175" s="285"/>
      <c r="W1175" s="286"/>
      <c r="X1175" s="267"/>
      <c r="Y1175" s="267"/>
      <c r="Z1175" s="267"/>
      <c r="AA1175" s="267"/>
      <c r="AB1175" s="267"/>
      <c r="AC1175" s="267"/>
      <c r="AD1175" s="261"/>
      <c r="AE1175" s="261"/>
      <c r="AF1175" s="257"/>
      <c r="AG1175" s="257"/>
    </row>
    <row r="1176">
      <c r="A1176" s="284"/>
      <c r="B1176" s="251"/>
      <c r="C1176" s="251"/>
      <c r="D1176" s="261"/>
      <c r="E1176" s="261"/>
      <c r="F1176" s="261"/>
      <c r="G1176" s="261"/>
      <c r="H1176" s="261"/>
      <c r="I1176" s="261"/>
      <c r="J1176" s="261"/>
      <c r="K1176" s="262"/>
      <c r="L1176" s="261"/>
      <c r="M1176" s="262"/>
      <c r="N1176" s="262"/>
      <c r="O1176" s="261"/>
      <c r="P1176" s="262"/>
      <c r="Q1176" s="262"/>
      <c r="R1176" s="261"/>
      <c r="S1176" s="263"/>
      <c r="T1176" s="261"/>
      <c r="U1176" s="269"/>
      <c r="V1176" s="285"/>
      <c r="W1176" s="286"/>
      <c r="X1176" s="267"/>
      <c r="Y1176" s="267"/>
      <c r="Z1176" s="267"/>
      <c r="AA1176" s="267"/>
      <c r="AB1176" s="267"/>
      <c r="AC1176" s="267"/>
      <c r="AD1176" s="261"/>
      <c r="AE1176" s="261"/>
      <c r="AF1176" s="257"/>
      <c r="AG1176" s="257"/>
    </row>
    <row r="1177">
      <c r="A1177" s="284"/>
      <c r="B1177" s="251"/>
      <c r="C1177" s="251"/>
      <c r="D1177" s="261"/>
      <c r="E1177" s="261"/>
      <c r="F1177" s="261"/>
      <c r="G1177" s="261"/>
      <c r="H1177" s="261"/>
      <c r="I1177" s="261"/>
      <c r="J1177" s="261"/>
      <c r="K1177" s="262"/>
      <c r="L1177" s="261"/>
      <c r="M1177" s="262"/>
      <c r="N1177" s="262"/>
      <c r="O1177" s="261"/>
      <c r="P1177" s="262"/>
      <c r="Q1177" s="262"/>
      <c r="R1177" s="261"/>
      <c r="S1177" s="263"/>
      <c r="T1177" s="261"/>
      <c r="U1177" s="269"/>
      <c r="V1177" s="285"/>
      <c r="W1177" s="286"/>
      <c r="X1177" s="267"/>
      <c r="Y1177" s="267"/>
      <c r="Z1177" s="267"/>
      <c r="AA1177" s="267"/>
      <c r="AB1177" s="267"/>
      <c r="AC1177" s="267"/>
      <c r="AD1177" s="261"/>
      <c r="AE1177" s="261"/>
      <c r="AF1177" s="257"/>
      <c r="AG1177" s="257"/>
    </row>
    <row r="1178">
      <c r="A1178" s="284"/>
      <c r="B1178" s="251"/>
      <c r="C1178" s="251"/>
      <c r="D1178" s="261"/>
      <c r="E1178" s="261"/>
      <c r="F1178" s="261"/>
      <c r="G1178" s="261"/>
      <c r="H1178" s="261"/>
      <c r="I1178" s="261"/>
      <c r="J1178" s="261"/>
      <c r="K1178" s="262"/>
      <c r="L1178" s="261"/>
      <c r="M1178" s="262"/>
      <c r="N1178" s="262"/>
      <c r="O1178" s="261"/>
      <c r="P1178" s="262"/>
      <c r="Q1178" s="262"/>
      <c r="R1178" s="261"/>
      <c r="S1178" s="263"/>
      <c r="T1178" s="261"/>
      <c r="U1178" s="269"/>
      <c r="V1178" s="285"/>
      <c r="W1178" s="286"/>
      <c r="X1178" s="267"/>
      <c r="Y1178" s="267"/>
      <c r="Z1178" s="267"/>
      <c r="AA1178" s="267"/>
      <c r="AB1178" s="267"/>
      <c r="AC1178" s="267"/>
      <c r="AD1178" s="261"/>
      <c r="AE1178" s="261"/>
      <c r="AF1178" s="257"/>
      <c r="AG1178" s="257"/>
    </row>
    <row r="1179">
      <c r="A1179" s="284"/>
      <c r="B1179" s="251"/>
      <c r="C1179" s="251"/>
      <c r="D1179" s="261"/>
      <c r="E1179" s="261"/>
      <c r="F1179" s="261"/>
      <c r="G1179" s="261"/>
      <c r="H1179" s="261"/>
      <c r="I1179" s="261"/>
      <c r="J1179" s="261"/>
      <c r="K1179" s="262"/>
      <c r="L1179" s="261"/>
      <c r="M1179" s="262"/>
      <c r="N1179" s="262"/>
      <c r="O1179" s="261"/>
      <c r="P1179" s="262"/>
      <c r="Q1179" s="262"/>
      <c r="R1179" s="261"/>
      <c r="S1179" s="263"/>
      <c r="T1179" s="261"/>
      <c r="U1179" s="269"/>
      <c r="V1179" s="285"/>
      <c r="W1179" s="286"/>
      <c r="X1179" s="267"/>
      <c r="Y1179" s="267"/>
      <c r="Z1179" s="267"/>
      <c r="AA1179" s="267"/>
      <c r="AB1179" s="267"/>
      <c r="AC1179" s="267"/>
      <c r="AD1179" s="261"/>
      <c r="AE1179" s="261"/>
      <c r="AF1179" s="257"/>
      <c r="AG1179" s="257"/>
    </row>
    <row r="1180">
      <c r="A1180" s="284"/>
      <c r="B1180" s="251"/>
      <c r="C1180" s="251"/>
      <c r="D1180" s="261"/>
      <c r="E1180" s="261"/>
      <c r="F1180" s="261"/>
      <c r="G1180" s="261"/>
      <c r="H1180" s="261"/>
      <c r="I1180" s="261"/>
      <c r="J1180" s="261"/>
      <c r="K1180" s="262"/>
      <c r="L1180" s="261"/>
      <c r="M1180" s="262"/>
      <c r="N1180" s="262"/>
      <c r="O1180" s="261"/>
      <c r="P1180" s="262"/>
      <c r="Q1180" s="262"/>
      <c r="R1180" s="261"/>
      <c r="S1180" s="263"/>
      <c r="T1180" s="261"/>
      <c r="U1180" s="269"/>
      <c r="V1180" s="285"/>
      <c r="W1180" s="286"/>
      <c r="X1180" s="267"/>
      <c r="Y1180" s="267"/>
      <c r="Z1180" s="267"/>
      <c r="AA1180" s="267"/>
      <c r="AB1180" s="267"/>
      <c r="AC1180" s="267"/>
      <c r="AD1180" s="261"/>
      <c r="AE1180" s="261"/>
      <c r="AF1180" s="257"/>
      <c r="AG1180" s="257"/>
    </row>
    <row r="1181">
      <c r="A1181" s="284"/>
      <c r="B1181" s="251"/>
      <c r="C1181" s="251"/>
      <c r="D1181" s="261"/>
      <c r="E1181" s="261"/>
      <c r="F1181" s="261"/>
      <c r="G1181" s="261"/>
      <c r="H1181" s="261"/>
      <c r="I1181" s="261"/>
      <c r="J1181" s="261"/>
      <c r="K1181" s="262"/>
      <c r="L1181" s="261"/>
      <c r="M1181" s="262"/>
      <c r="N1181" s="262"/>
      <c r="O1181" s="261"/>
      <c r="P1181" s="262"/>
      <c r="Q1181" s="262"/>
      <c r="R1181" s="261"/>
      <c r="S1181" s="263"/>
      <c r="T1181" s="261"/>
      <c r="U1181" s="269"/>
      <c r="V1181" s="285"/>
      <c r="W1181" s="286"/>
      <c r="X1181" s="267"/>
      <c r="Y1181" s="267"/>
      <c r="Z1181" s="267"/>
      <c r="AA1181" s="267"/>
      <c r="AB1181" s="267"/>
      <c r="AC1181" s="267"/>
      <c r="AD1181" s="261"/>
      <c r="AE1181" s="261"/>
      <c r="AF1181" s="257"/>
      <c r="AG1181" s="257"/>
    </row>
    <row r="1182">
      <c r="A1182" s="284"/>
      <c r="B1182" s="251"/>
      <c r="C1182" s="251"/>
      <c r="D1182" s="261"/>
      <c r="E1182" s="261"/>
      <c r="F1182" s="261"/>
      <c r="G1182" s="261"/>
      <c r="H1182" s="261"/>
      <c r="I1182" s="261"/>
      <c r="J1182" s="261"/>
      <c r="K1182" s="262"/>
      <c r="L1182" s="261"/>
      <c r="M1182" s="262"/>
      <c r="N1182" s="262"/>
      <c r="O1182" s="261"/>
      <c r="P1182" s="262"/>
      <c r="Q1182" s="262"/>
      <c r="R1182" s="261"/>
      <c r="S1182" s="263"/>
      <c r="T1182" s="261"/>
      <c r="U1182" s="269"/>
      <c r="V1182" s="285"/>
      <c r="W1182" s="286"/>
      <c r="X1182" s="267"/>
      <c r="Y1182" s="267"/>
      <c r="Z1182" s="267"/>
      <c r="AA1182" s="267"/>
      <c r="AB1182" s="267"/>
      <c r="AC1182" s="267"/>
      <c r="AD1182" s="261"/>
      <c r="AE1182" s="261"/>
      <c r="AF1182" s="257"/>
      <c r="AG1182" s="257"/>
    </row>
    <row r="1183">
      <c r="A1183" s="284"/>
      <c r="B1183" s="251"/>
      <c r="C1183" s="251"/>
      <c r="D1183" s="261"/>
      <c r="E1183" s="261"/>
      <c r="F1183" s="261"/>
      <c r="G1183" s="261"/>
      <c r="H1183" s="261"/>
      <c r="I1183" s="261"/>
      <c r="J1183" s="261"/>
      <c r="K1183" s="262"/>
      <c r="L1183" s="261"/>
      <c r="M1183" s="262"/>
      <c r="N1183" s="262"/>
      <c r="O1183" s="261"/>
      <c r="P1183" s="262"/>
      <c r="Q1183" s="262"/>
      <c r="R1183" s="261"/>
      <c r="S1183" s="263"/>
      <c r="T1183" s="261"/>
      <c r="U1183" s="269"/>
      <c r="V1183" s="285"/>
      <c r="W1183" s="286"/>
      <c r="X1183" s="267"/>
      <c r="Y1183" s="267"/>
      <c r="Z1183" s="267"/>
      <c r="AA1183" s="267"/>
      <c r="AB1183" s="267"/>
      <c r="AC1183" s="267"/>
      <c r="AD1183" s="261"/>
      <c r="AE1183" s="261"/>
      <c r="AF1183" s="257"/>
      <c r="AG1183" s="257"/>
    </row>
    <row r="1184">
      <c r="A1184" s="284"/>
      <c r="B1184" s="251"/>
      <c r="C1184" s="251"/>
      <c r="D1184" s="261"/>
      <c r="E1184" s="261"/>
      <c r="F1184" s="261"/>
      <c r="G1184" s="261"/>
      <c r="H1184" s="261"/>
      <c r="I1184" s="261"/>
      <c r="J1184" s="261"/>
      <c r="K1184" s="262"/>
      <c r="L1184" s="261"/>
      <c r="M1184" s="262"/>
      <c r="N1184" s="262"/>
      <c r="O1184" s="261"/>
      <c r="P1184" s="262"/>
      <c r="Q1184" s="262"/>
      <c r="R1184" s="261"/>
      <c r="S1184" s="263"/>
      <c r="T1184" s="261"/>
      <c r="U1184" s="269"/>
      <c r="V1184" s="285"/>
      <c r="W1184" s="286"/>
      <c r="X1184" s="267"/>
      <c r="Y1184" s="267"/>
      <c r="Z1184" s="267"/>
      <c r="AA1184" s="267"/>
      <c r="AB1184" s="267"/>
      <c r="AC1184" s="267"/>
      <c r="AD1184" s="261"/>
      <c r="AE1184" s="261"/>
      <c r="AF1184" s="257"/>
      <c r="AG1184" s="257"/>
    </row>
    <row r="1185">
      <c r="A1185" s="284"/>
      <c r="B1185" s="251"/>
      <c r="C1185" s="251"/>
      <c r="D1185" s="261"/>
      <c r="E1185" s="261"/>
      <c r="F1185" s="261"/>
      <c r="G1185" s="261"/>
      <c r="H1185" s="261"/>
      <c r="I1185" s="261"/>
      <c r="J1185" s="261"/>
      <c r="K1185" s="262"/>
      <c r="L1185" s="261"/>
      <c r="M1185" s="262"/>
      <c r="N1185" s="262"/>
      <c r="O1185" s="261"/>
      <c r="P1185" s="262"/>
      <c r="Q1185" s="262"/>
      <c r="R1185" s="261"/>
      <c r="S1185" s="263"/>
      <c r="T1185" s="261"/>
      <c r="U1185" s="269"/>
      <c r="V1185" s="285"/>
      <c r="W1185" s="286"/>
      <c r="X1185" s="267"/>
      <c r="Y1185" s="267"/>
      <c r="Z1185" s="267"/>
      <c r="AA1185" s="267"/>
      <c r="AB1185" s="267"/>
      <c r="AC1185" s="267"/>
      <c r="AD1185" s="261"/>
      <c r="AE1185" s="261"/>
      <c r="AF1185" s="257"/>
      <c r="AG1185" s="257"/>
    </row>
    <row r="1186">
      <c r="A1186" s="284"/>
      <c r="B1186" s="251"/>
      <c r="C1186" s="251"/>
      <c r="D1186" s="261"/>
      <c r="E1186" s="261"/>
      <c r="F1186" s="261"/>
      <c r="G1186" s="261"/>
      <c r="H1186" s="261"/>
      <c r="I1186" s="261"/>
      <c r="J1186" s="261"/>
      <c r="K1186" s="262"/>
      <c r="L1186" s="261"/>
      <c r="M1186" s="262"/>
      <c r="N1186" s="262"/>
      <c r="O1186" s="261"/>
      <c r="P1186" s="262"/>
      <c r="Q1186" s="262"/>
      <c r="R1186" s="261"/>
      <c r="S1186" s="263"/>
      <c r="T1186" s="261"/>
      <c r="U1186" s="269"/>
      <c r="V1186" s="285"/>
      <c r="W1186" s="286"/>
      <c r="X1186" s="267"/>
      <c r="Y1186" s="267"/>
      <c r="Z1186" s="267"/>
      <c r="AA1186" s="267"/>
      <c r="AB1186" s="267"/>
      <c r="AC1186" s="267"/>
      <c r="AD1186" s="261"/>
      <c r="AE1186" s="261"/>
      <c r="AF1186" s="257"/>
      <c r="AG1186" s="257"/>
    </row>
    <row r="1187">
      <c r="A1187" s="284"/>
      <c r="B1187" s="251"/>
      <c r="C1187" s="251"/>
      <c r="D1187" s="261"/>
      <c r="E1187" s="261"/>
      <c r="F1187" s="261"/>
      <c r="G1187" s="261"/>
      <c r="H1187" s="261"/>
      <c r="I1187" s="261"/>
      <c r="J1187" s="261"/>
      <c r="K1187" s="262"/>
      <c r="L1187" s="261"/>
      <c r="M1187" s="262"/>
      <c r="N1187" s="262"/>
      <c r="O1187" s="261"/>
      <c r="P1187" s="262"/>
      <c r="Q1187" s="262"/>
      <c r="R1187" s="261"/>
      <c r="S1187" s="263"/>
      <c r="T1187" s="261"/>
      <c r="U1187" s="269"/>
      <c r="V1187" s="285"/>
      <c r="W1187" s="286"/>
      <c r="X1187" s="267"/>
      <c r="Y1187" s="267"/>
      <c r="Z1187" s="267"/>
      <c r="AA1187" s="267"/>
      <c r="AB1187" s="267"/>
      <c r="AC1187" s="267"/>
      <c r="AD1187" s="261"/>
      <c r="AE1187" s="261"/>
      <c r="AF1187" s="257"/>
      <c r="AG1187" s="257"/>
    </row>
    <row r="1188">
      <c r="A1188" s="284"/>
      <c r="B1188" s="251"/>
      <c r="C1188" s="251"/>
      <c r="D1188" s="261"/>
      <c r="E1188" s="261"/>
      <c r="F1188" s="261"/>
      <c r="G1188" s="261"/>
      <c r="H1188" s="261"/>
      <c r="I1188" s="261"/>
      <c r="J1188" s="261"/>
      <c r="K1188" s="262"/>
      <c r="L1188" s="261"/>
      <c r="M1188" s="262"/>
      <c r="N1188" s="262"/>
      <c r="O1188" s="261"/>
      <c r="P1188" s="262"/>
      <c r="Q1188" s="262"/>
      <c r="R1188" s="261"/>
      <c r="S1188" s="263"/>
      <c r="T1188" s="261"/>
      <c r="U1188" s="269"/>
      <c r="V1188" s="285"/>
      <c r="W1188" s="286"/>
      <c r="X1188" s="267"/>
      <c r="Y1188" s="267"/>
      <c r="Z1188" s="267"/>
      <c r="AA1188" s="267"/>
      <c r="AB1188" s="267"/>
      <c r="AC1188" s="267"/>
      <c r="AD1188" s="261"/>
      <c r="AE1188" s="261"/>
      <c r="AF1188" s="257"/>
      <c r="AG1188" s="257"/>
    </row>
    <row r="1189">
      <c r="A1189" s="284"/>
      <c r="B1189" s="251"/>
      <c r="C1189" s="251"/>
      <c r="D1189" s="261"/>
      <c r="E1189" s="261"/>
      <c r="F1189" s="261"/>
      <c r="G1189" s="261"/>
      <c r="H1189" s="261"/>
      <c r="I1189" s="261"/>
      <c r="J1189" s="261"/>
      <c r="K1189" s="262"/>
      <c r="L1189" s="261"/>
      <c r="M1189" s="262"/>
      <c r="N1189" s="262"/>
      <c r="O1189" s="261"/>
      <c r="P1189" s="262"/>
      <c r="Q1189" s="262"/>
      <c r="R1189" s="261"/>
      <c r="S1189" s="263"/>
      <c r="T1189" s="261"/>
      <c r="U1189" s="269"/>
      <c r="V1189" s="285"/>
      <c r="W1189" s="286"/>
      <c r="X1189" s="267"/>
      <c r="Y1189" s="267"/>
      <c r="Z1189" s="267"/>
      <c r="AA1189" s="267"/>
      <c r="AB1189" s="267"/>
      <c r="AC1189" s="267"/>
      <c r="AD1189" s="261"/>
      <c r="AE1189" s="261"/>
      <c r="AF1189" s="257"/>
      <c r="AG1189" s="257"/>
    </row>
    <row r="1190">
      <c r="A1190" s="284"/>
      <c r="B1190" s="251"/>
      <c r="C1190" s="251"/>
      <c r="D1190" s="261"/>
      <c r="E1190" s="261"/>
      <c r="F1190" s="261"/>
      <c r="G1190" s="261"/>
      <c r="H1190" s="261"/>
      <c r="I1190" s="261"/>
      <c r="J1190" s="261"/>
      <c r="K1190" s="262"/>
      <c r="L1190" s="261"/>
      <c r="M1190" s="262"/>
      <c r="N1190" s="262"/>
      <c r="O1190" s="261"/>
      <c r="P1190" s="262"/>
      <c r="Q1190" s="262"/>
      <c r="R1190" s="261"/>
      <c r="S1190" s="263"/>
      <c r="T1190" s="261"/>
      <c r="U1190" s="269"/>
      <c r="V1190" s="285"/>
      <c r="W1190" s="286"/>
      <c r="X1190" s="267"/>
      <c r="Y1190" s="267"/>
      <c r="Z1190" s="267"/>
      <c r="AA1190" s="267"/>
      <c r="AB1190" s="267"/>
      <c r="AC1190" s="267"/>
      <c r="AD1190" s="261"/>
      <c r="AE1190" s="261"/>
      <c r="AF1190" s="257"/>
      <c r="AG1190" s="257"/>
    </row>
    <row r="1191">
      <c r="A1191" s="284"/>
      <c r="B1191" s="251"/>
      <c r="C1191" s="251"/>
      <c r="D1191" s="261"/>
      <c r="E1191" s="261"/>
      <c r="F1191" s="261"/>
      <c r="G1191" s="261"/>
      <c r="H1191" s="261"/>
      <c r="I1191" s="261"/>
      <c r="J1191" s="261"/>
      <c r="K1191" s="262"/>
      <c r="L1191" s="261"/>
      <c r="M1191" s="262"/>
      <c r="N1191" s="262"/>
      <c r="O1191" s="261"/>
      <c r="P1191" s="262"/>
      <c r="Q1191" s="262"/>
      <c r="R1191" s="261"/>
      <c r="S1191" s="263"/>
      <c r="T1191" s="261"/>
      <c r="U1191" s="269"/>
      <c r="V1191" s="285"/>
      <c r="W1191" s="286"/>
      <c r="X1191" s="267"/>
      <c r="Y1191" s="267"/>
      <c r="Z1191" s="267"/>
      <c r="AA1191" s="267"/>
      <c r="AB1191" s="267"/>
      <c r="AC1191" s="267"/>
      <c r="AD1191" s="261"/>
      <c r="AE1191" s="261"/>
      <c r="AF1191" s="257"/>
      <c r="AG1191" s="257"/>
    </row>
    <row r="1192">
      <c r="A1192" s="284"/>
      <c r="B1192" s="251"/>
      <c r="C1192" s="251"/>
      <c r="D1192" s="261"/>
      <c r="E1192" s="261"/>
      <c r="F1192" s="261"/>
      <c r="G1192" s="261"/>
      <c r="H1192" s="261"/>
      <c r="I1192" s="261"/>
      <c r="J1192" s="261"/>
      <c r="K1192" s="262"/>
      <c r="L1192" s="261"/>
      <c r="M1192" s="262"/>
      <c r="N1192" s="262"/>
      <c r="O1192" s="261"/>
      <c r="P1192" s="262"/>
      <c r="Q1192" s="262"/>
      <c r="R1192" s="261"/>
      <c r="S1192" s="263"/>
      <c r="T1192" s="261"/>
      <c r="U1192" s="269"/>
      <c r="V1192" s="285"/>
      <c r="W1192" s="286"/>
      <c r="X1192" s="267"/>
      <c r="Y1192" s="267"/>
      <c r="Z1192" s="267"/>
      <c r="AA1192" s="267"/>
      <c r="AB1192" s="267"/>
      <c r="AC1192" s="267"/>
      <c r="AD1192" s="261"/>
      <c r="AE1192" s="261"/>
      <c r="AF1192" s="257"/>
      <c r="AG1192" s="257"/>
    </row>
    <row r="1193">
      <c r="A1193" s="284"/>
      <c r="B1193" s="251"/>
      <c r="C1193" s="251"/>
      <c r="D1193" s="261"/>
      <c r="E1193" s="261"/>
      <c r="F1193" s="261"/>
      <c r="G1193" s="261"/>
      <c r="H1193" s="261"/>
      <c r="I1193" s="261"/>
      <c r="J1193" s="261"/>
      <c r="K1193" s="262"/>
      <c r="L1193" s="261"/>
      <c r="M1193" s="262"/>
      <c r="N1193" s="262"/>
      <c r="O1193" s="261"/>
      <c r="P1193" s="262"/>
      <c r="Q1193" s="262"/>
      <c r="R1193" s="261"/>
      <c r="S1193" s="263"/>
      <c r="T1193" s="261"/>
      <c r="U1193" s="269"/>
      <c r="V1193" s="285"/>
      <c r="W1193" s="286"/>
      <c r="X1193" s="267"/>
      <c r="Y1193" s="267"/>
      <c r="Z1193" s="267"/>
      <c r="AA1193" s="267"/>
      <c r="AB1193" s="267"/>
      <c r="AC1193" s="267"/>
      <c r="AD1193" s="261"/>
      <c r="AE1193" s="261"/>
      <c r="AF1193" s="257"/>
      <c r="AG1193" s="257"/>
    </row>
    <row r="1194">
      <c r="A1194" s="284"/>
      <c r="B1194" s="251"/>
      <c r="C1194" s="251"/>
      <c r="D1194" s="261"/>
      <c r="E1194" s="261"/>
      <c r="F1194" s="261"/>
      <c r="G1194" s="261"/>
      <c r="H1194" s="261"/>
      <c r="I1194" s="261"/>
      <c r="J1194" s="261"/>
      <c r="K1194" s="262"/>
      <c r="L1194" s="261"/>
      <c r="M1194" s="262"/>
      <c r="N1194" s="262"/>
      <c r="O1194" s="261"/>
      <c r="P1194" s="262"/>
      <c r="Q1194" s="262"/>
      <c r="R1194" s="261"/>
      <c r="S1194" s="263"/>
      <c r="T1194" s="261"/>
      <c r="U1194" s="269"/>
      <c r="V1194" s="285"/>
      <c r="W1194" s="286"/>
      <c r="X1194" s="267"/>
      <c r="Y1194" s="267"/>
      <c r="Z1194" s="267"/>
      <c r="AA1194" s="267"/>
      <c r="AB1194" s="267"/>
      <c r="AC1194" s="267"/>
      <c r="AD1194" s="261"/>
      <c r="AE1194" s="261"/>
      <c r="AF1194" s="257"/>
      <c r="AG1194" s="257"/>
    </row>
    <row r="1195">
      <c r="A1195" s="284"/>
      <c r="B1195" s="251"/>
      <c r="C1195" s="251"/>
      <c r="D1195" s="261"/>
      <c r="E1195" s="261"/>
      <c r="F1195" s="261"/>
      <c r="G1195" s="261"/>
      <c r="H1195" s="261"/>
      <c r="I1195" s="261"/>
      <c r="J1195" s="261"/>
      <c r="K1195" s="262"/>
      <c r="L1195" s="261"/>
      <c r="M1195" s="262"/>
      <c r="N1195" s="262"/>
      <c r="O1195" s="261"/>
      <c r="P1195" s="262"/>
      <c r="Q1195" s="262"/>
      <c r="R1195" s="261"/>
      <c r="S1195" s="263"/>
      <c r="T1195" s="261"/>
      <c r="U1195" s="269"/>
      <c r="V1195" s="285"/>
      <c r="W1195" s="286"/>
      <c r="X1195" s="267"/>
      <c r="Y1195" s="267"/>
      <c r="Z1195" s="267"/>
      <c r="AA1195" s="267"/>
      <c r="AB1195" s="267"/>
      <c r="AC1195" s="267"/>
      <c r="AD1195" s="261"/>
      <c r="AE1195" s="261"/>
      <c r="AF1195" s="257"/>
      <c r="AG1195" s="257"/>
    </row>
    <row r="1196">
      <c r="A1196" s="284"/>
      <c r="B1196" s="251"/>
      <c r="C1196" s="251"/>
      <c r="D1196" s="261"/>
      <c r="E1196" s="261"/>
      <c r="F1196" s="261"/>
      <c r="G1196" s="261"/>
      <c r="H1196" s="261"/>
      <c r="I1196" s="261"/>
      <c r="J1196" s="261"/>
      <c r="K1196" s="262"/>
      <c r="L1196" s="261"/>
      <c r="M1196" s="262"/>
      <c r="N1196" s="262"/>
      <c r="O1196" s="261"/>
      <c r="P1196" s="262"/>
      <c r="Q1196" s="262"/>
      <c r="R1196" s="261"/>
      <c r="S1196" s="263"/>
      <c r="T1196" s="261"/>
      <c r="U1196" s="269"/>
      <c r="V1196" s="285"/>
      <c r="W1196" s="286"/>
      <c r="X1196" s="267"/>
      <c r="Y1196" s="267"/>
      <c r="Z1196" s="267"/>
      <c r="AA1196" s="267"/>
      <c r="AB1196" s="267"/>
      <c r="AC1196" s="267"/>
      <c r="AD1196" s="261"/>
      <c r="AE1196" s="261"/>
      <c r="AF1196" s="257"/>
      <c r="AG1196" s="257"/>
    </row>
    <row r="1197">
      <c r="A1197" s="284"/>
      <c r="B1197" s="251"/>
      <c r="C1197" s="251"/>
      <c r="D1197" s="261"/>
      <c r="E1197" s="261"/>
      <c r="F1197" s="261"/>
      <c r="G1197" s="261"/>
      <c r="H1197" s="261"/>
      <c r="I1197" s="261"/>
      <c r="J1197" s="261"/>
      <c r="K1197" s="262"/>
      <c r="L1197" s="261"/>
      <c r="M1197" s="262"/>
      <c r="N1197" s="262"/>
      <c r="O1197" s="261"/>
      <c r="P1197" s="262"/>
      <c r="Q1197" s="262"/>
      <c r="R1197" s="261"/>
      <c r="S1197" s="263"/>
      <c r="T1197" s="261"/>
      <c r="U1197" s="269"/>
      <c r="V1197" s="285"/>
      <c r="W1197" s="286"/>
      <c r="X1197" s="267"/>
      <c r="Y1197" s="267"/>
      <c r="Z1197" s="267"/>
      <c r="AA1197" s="267"/>
      <c r="AB1197" s="267"/>
      <c r="AC1197" s="267"/>
      <c r="AD1197" s="261"/>
      <c r="AE1197" s="261"/>
      <c r="AF1197" s="257"/>
      <c r="AG1197" s="257"/>
    </row>
    <row r="1198">
      <c r="A1198" s="284"/>
      <c r="B1198" s="251"/>
      <c r="C1198" s="251"/>
      <c r="D1198" s="261"/>
      <c r="E1198" s="261"/>
      <c r="F1198" s="261"/>
      <c r="G1198" s="261"/>
      <c r="H1198" s="261"/>
      <c r="I1198" s="261"/>
      <c r="J1198" s="261"/>
      <c r="K1198" s="262"/>
      <c r="L1198" s="261"/>
      <c r="M1198" s="262"/>
      <c r="N1198" s="262"/>
      <c r="O1198" s="261"/>
      <c r="P1198" s="262"/>
      <c r="Q1198" s="262"/>
      <c r="R1198" s="261"/>
      <c r="S1198" s="263"/>
      <c r="T1198" s="261"/>
      <c r="U1198" s="269"/>
      <c r="V1198" s="285"/>
      <c r="W1198" s="286"/>
      <c r="X1198" s="267"/>
      <c r="Y1198" s="267"/>
      <c r="Z1198" s="267"/>
      <c r="AA1198" s="267"/>
      <c r="AB1198" s="267"/>
      <c r="AC1198" s="267"/>
      <c r="AD1198" s="261"/>
      <c r="AE1198" s="261"/>
      <c r="AF1198" s="257"/>
      <c r="AG1198" s="257"/>
    </row>
    <row r="1199">
      <c r="A1199" s="284"/>
      <c r="B1199" s="251"/>
      <c r="C1199" s="251"/>
      <c r="D1199" s="261"/>
      <c r="E1199" s="261"/>
      <c r="F1199" s="261"/>
      <c r="G1199" s="261"/>
      <c r="H1199" s="261"/>
      <c r="I1199" s="261"/>
      <c r="J1199" s="261"/>
      <c r="K1199" s="262"/>
      <c r="L1199" s="261"/>
      <c r="M1199" s="262"/>
      <c r="N1199" s="262"/>
      <c r="O1199" s="261"/>
      <c r="P1199" s="262"/>
      <c r="Q1199" s="262"/>
      <c r="R1199" s="261"/>
      <c r="S1199" s="263"/>
      <c r="T1199" s="261"/>
      <c r="U1199" s="269"/>
      <c r="V1199" s="285"/>
      <c r="W1199" s="286"/>
      <c r="X1199" s="267"/>
      <c r="Y1199" s="267"/>
      <c r="Z1199" s="267"/>
      <c r="AA1199" s="267"/>
      <c r="AB1199" s="267"/>
      <c r="AC1199" s="267"/>
      <c r="AD1199" s="261"/>
      <c r="AE1199" s="261"/>
      <c r="AF1199" s="257"/>
      <c r="AG1199" s="257"/>
    </row>
    <row r="1200">
      <c r="A1200" s="284"/>
      <c r="B1200" s="251"/>
      <c r="C1200" s="251"/>
      <c r="D1200" s="261"/>
      <c r="E1200" s="261"/>
      <c r="F1200" s="261"/>
      <c r="G1200" s="261"/>
      <c r="H1200" s="261"/>
      <c r="I1200" s="261"/>
      <c r="J1200" s="261"/>
      <c r="K1200" s="262"/>
      <c r="L1200" s="261"/>
      <c r="M1200" s="262"/>
      <c r="N1200" s="262"/>
      <c r="O1200" s="261"/>
      <c r="P1200" s="262"/>
      <c r="Q1200" s="262"/>
      <c r="R1200" s="261"/>
      <c r="S1200" s="263"/>
      <c r="T1200" s="261"/>
      <c r="U1200" s="269"/>
      <c r="V1200" s="285"/>
      <c r="W1200" s="286"/>
      <c r="X1200" s="267"/>
      <c r="Y1200" s="267"/>
      <c r="Z1200" s="267"/>
      <c r="AA1200" s="267"/>
      <c r="AB1200" s="267"/>
      <c r="AC1200" s="267"/>
      <c r="AD1200" s="261"/>
      <c r="AE1200" s="261"/>
      <c r="AF1200" s="257"/>
      <c r="AG1200" s="257"/>
    </row>
    <row r="1201">
      <c r="A1201" s="284"/>
      <c r="B1201" s="251"/>
      <c r="C1201" s="251"/>
      <c r="D1201" s="261"/>
      <c r="E1201" s="261"/>
      <c r="F1201" s="261"/>
      <c r="G1201" s="261"/>
      <c r="H1201" s="261"/>
      <c r="I1201" s="261"/>
      <c r="J1201" s="261"/>
      <c r="K1201" s="262"/>
      <c r="L1201" s="261"/>
      <c r="M1201" s="262"/>
      <c r="N1201" s="262"/>
      <c r="O1201" s="261"/>
      <c r="P1201" s="262"/>
      <c r="Q1201" s="262"/>
      <c r="R1201" s="261"/>
      <c r="S1201" s="263"/>
      <c r="T1201" s="261"/>
      <c r="U1201" s="269"/>
      <c r="V1201" s="285"/>
      <c r="W1201" s="286"/>
      <c r="X1201" s="267"/>
      <c r="Y1201" s="267"/>
      <c r="Z1201" s="267"/>
      <c r="AA1201" s="267"/>
      <c r="AB1201" s="267"/>
      <c r="AC1201" s="267"/>
      <c r="AD1201" s="261"/>
      <c r="AE1201" s="261"/>
      <c r="AF1201" s="257"/>
      <c r="AG1201" s="257"/>
    </row>
    <row r="1202">
      <c r="A1202" s="284"/>
      <c r="B1202" s="251"/>
      <c r="C1202" s="251"/>
      <c r="D1202" s="261"/>
      <c r="E1202" s="261"/>
      <c r="F1202" s="261"/>
      <c r="G1202" s="261"/>
      <c r="H1202" s="261"/>
      <c r="I1202" s="261"/>
      <c r="J1202" s="261"/>
      <c r="K1202" s="262"/>
      <c r="L1202" s="261"/>
      <c r="M1202" s="262"/>
      <c r="N1202" s="262"/>
      <c r="O1202" s="261"/>
      <c r="P1202" s="262"/>
      <c r="Q1202" s="262"/>
      <c r="R1202" s="261"/>
      <c r="S1202" s="263"/>
      <c r="T1202" s="261"/>
      <c r="U1202" s="269"/>
      <c r="V1202" s="285"/>
      <c r="W1202" s="286"/>
      <c r="X1202" s="267"/>
      <c r="Y1202" s="267"/>
      <c r="Z1202" s="267"/>
      <c r="AA1202" s="267"/>
      <c r="AB1202" s="267"/>
      <c r="AC1202" s="267"/>
      <c r="AD1202" s="261"/>
      <c r="AE1202" s="261"/>
      <c r="AF1202" s="257"/>
      <c r="AG1202" s="257"/>
    </row>
    <row r="1203">
      <c r="A1203" s="284"/>
      <c r="B1203" s="251"/>
      <c r="C1203" s="251"/>
      <c r="D1203" s="261"/>
      <c r="E1203" s="261"/>
      <c r="F1203" s="261"/>
      <c r="G1203" s="261"/>
      <c r="H1203" s="261"/>
      <c r="I1203" s="261"/>
      <c r="J1203" s="261"/>
      <c r="K1203" s="262"/>
      <c r="L1203" s="261"/>
      <c r="M1203" s="262"/>
      <c r="N1203" s="262"/>
      <c r="O1203" s="261"/>
      <c r="P1203" s="262"/>
      <c r="Q1203" s="262"/>
      <c r="R1203" s="261"/>
      <c r="S1203" s="263"/>
      <c r="T1203" s="261"/>
      <c r="U1203" s="269"/>
      <c r="V1203" s="285"/>
      <c r="W1203" s="286"/>
      <c r="X1203" s="267"/>
      <c r="Y1203" s="267"/>
      <c r="Z1203" s="267"/>
      <c r="AA1203" s="267"/>
      <c r="AB1203" s="267"/>
      <c r="AC1203" s="267"/>
      <c r="AD1203" s="261"/>
      <c r="AE1203" s="261"/>
      <c r="AF1203" s="257"/>
      <c r="AG1203" s="257"/>
    </row>
    <row r="1204">
      <c r="A1204" s="284"/>
      <c r="B1204" s="251"/>
      <c r="C1204" s="251"/>
      <c r="D1204" s="261"/>
      <c r="E1204" s="261"/>
      <c r="F1204" s="261"/>
      <c r="G1204" s="261"/>
      <c r="H1204" s="261"/>
      <c r="I1204" s="261"/>
      <c r="J1204" s="261"/>
      <c r="K1204" s="262"/>
      <c r="L1204" s="261"/>
      <c r="M1204" s="262"/>
      <c r="N1204" s="262"/>
      <c r="O1204" s="261"/>
      <c r="P1204" s="262"/>
      <c r="Q1204" s="262"/>
      <c r="R1204" s="261"/>
      <c r="S1204" s="263"/>
      <c r="T1204" s="261"/>
      <c r="U1204" s="269"/>
      <c r="V1204" s="285"/>
      <c r="W1204" s="286"/>
      <c r="X1204" s="267"/>
      <c r="Y1204" s="267"/>
      <c r="Z1204" s="267"/>
      <c r="AA1204" s="267"/>
      <c r="AB1204" s="267"/>
      <c r="AC1204" s="267"/>
      <c r="AD1204" s="261"/>
      <c r="AE1204" s="261"/>
      <c r="AF1204" s="257"/>
      <c r="AG1204" s="257"/>
    </row>
    <row r="1205">
      <c r="A1205" s="284"/>
      <c r="B1205" s="251"/>
      <c r="C1205" s="251"/>
      <c r="D1205" s="261"/>
      <c r="E1205" s="261"/>
      <c r="F1205" s="261"/>
      <c r="G1205" s="261"/>
      <c r="H1205" s="261"/>
      <c r="I1205" s="261"/>
      <c r="J1205" s="261"/>
      <c r="K1205" s="262"/>
      <c r="L1205" s="261"/>
      <c r="M1205" s="262"/>
      <c r="N1205" s="262"/>
      <c r="O1205" s="261"/>
      <c r="P1205" s="262"/>
      <c r="Q1205" s="262"/>
      <c r="R1205" s="261"/>
      <c r="S1205" s="263"/>
      <c r="T1205" s="261"/>
      <c r="U1205" s="269"/>
      <c r="V1205" s="285"/>
      <c r="W1205" s="286"/>
      <c r="X1205" s="267"/>
      <c r="Y1205" s="267"/>
      <c r="Z1205" s="267"/>
      <c r="AA1205" s="267"/>
      <c r="AB1205" s="267"/>
      <c r="AC1205" s="267"/>
      <c r="AD1205" s="261"/>
      <c r="AE1205" s="261"/>
      <c r="AF1205" s="257"/>
      <c r="AG1205" s="257"/>
    </row>
    <row r="1206">
      <c r="A1206" s="284"/>
      <c r="B1206" s="251"/>
      <c r="C1206" s="251"/>
      <c r="D1206" s="261"/>
      <c r="E1206" s="261"/>
      <c r="F1206" s="261"/>
      <c r="G1206" s="261"/>
      <c r="H1206" s="261"/>
      <c r="I1206" s="261"/>
      <c r="J1206" s="261"/>
      <c r="K1206" s="262"/>
      <c r="L1206" s="261"/>
      <c r="M1206" s="262"/>
      <c r="N1206" s="262"/>
      <c r="O1206" s="261"/>
      <c r="P1206" s="262"/>
      <c r="Q1206" s="262"/>
      <c r="R1206" s="261"/>
      <c r="S1206" s="263"/>
      <c r="T1206" s="261"/>
      <c r="U1206" s="269"/>
      <c r="V1206" s="285"/>
      <c r="W1206" s="286"/>
      <c r="X1206" s="267"/>
      <c r="Y1206" s="267"/>
      <c r="Z1206" s="267"/>
      <c r="AA1206" s="267"/>
      <c r="AB1206" s="267"/>
      <c r="AC1206" s="267"/>
      <c r="AD1206" s="261"/>
      <c r="AE1206" s="261"/>
      <c r="AF1206" s="257"/>
      <c r="AG1206" s="257"/>
    </row>
    <row r="1207">
      <c r="A1207" s="284"/>
      <c r="B1207" s="251"/>
      <c r="C1207" s="251"/>
      <c r="D1207" s="261"/>
      <c r="E1207" s="261"/>
      <c r="F1207" s="261"/>
      <c r="G1207" s="261"/>
      <c r="H1207" s="261"/>
      <c r="I1207" s="261"/>
      <c r="J1207" s="261"/>
      <c r="K1207" s="262"/>
      <c r="L1207" s="261"/>
      <c r="M1207" s="262"/>
      <c r="N1207" s="262"/>
      <c r="O1207" s="261"/>
      <c r="P1207" s="262"/>
      <c r="Q1207" s="262"/>
      <c r="R1207" s="261"/>
      <c r="S1207" s="263"/>
      <c r="T1207" s="261"/>
      <c r="U1207" s="269"/>
      <c r="V1207" s="285"/>
      <c r="W1207" s="286"/>
      <c r="X1207" s="267"/>
      <c r="Y1207" s="267"/>
      <c r="Z1207" s="267"/>
      <c r="AA1207" s="267"/>
      <c r="AB1207" s="267"/>
      <c r="AC1207" s="267"/>
      <c r="AD1207" s="261"/>
      <c r="AE1207" s="261"/>
      <c r="AF1207" s="257"/>
      <c r="AG1207" s="257"/>
    </row>
    <row r="1208">
      <c r="A1208" s="284"/>
      <c r="B1208" s="251"/>
      <c r="C1208" s="251"/>
      <c r="D1208" s="261"/>
      <c r="E1208" s="261"/>
      <c r="F1208" s="261"/>
      <c r="G1208" s="261"/>
      <c r="H1208" s="261"/>
      <c r="I1208" s="261"/>
      <c r="J1208" s="261"/>
      <c r="K1208" s="262"/>
      <c r="L1208" s="261"/>
      <c r="M1208" s="262"/>
      <c r="N1208" s="262"/>
      <c r="O1208" s="261"/>
      <c r="P1208" s="262"/>
      <c r="Q1208" s="262"/>
      <c r="R1208" s="261"/>
      <c r="S1208" s="263"/>
      <c r="T1208" s="261"/>
      <c r="U1208" s="269"/>
      <c r="V1208" s="285"/>
      <c r="W1208" s="286"/>
      <c r="X1208" s="267"/>
      <c r="Y1208" s="267"/>
      <c r="Z1208" s="267"/>
      <c r="AA1208" s="267"/>
      <c r="AB1208" s="267"/>
      <c r="AC1208" s="267"/>
      <c r="AD1208" s="261"/>
      <c r="AE1208" s="261"/>
      <c r="AF1208" s="257"/>
      <c r="AG1208" s="257"/>
    </row>
    <row r="1209">
      <c r="A1209" s="284"/>
      <c r="B1209" s="251"/>
      <c r="C1209" s="251"/>
      <c r="D1209" s="261"/>
      <c r="E1209" s="261"/>
      <c r="F1209" s="261"/>
      <c r="G1209" s="261"/>
      <c r="H1209" s="261"/>
      <c r="I1209" s="261"/>
      <c r="J1209" s="261"/>
      <c r="K1209" s="262"/>
      <c r="L1209" s="261"/>
      <c r="M1209" s="262"/>
      <c r="N1209" s="262"/>
      <c r="O1209" s="261"/>
      <c r="P1209" s="262"/>
      <c r="Q1209" s="262"/>
      <c r="R1209" s="261"/>
      <c r="S1209" s="263"/>
      <c r="T1209" s="261"/>
      <c r="U1209" s="269"/>
      <c r="V1209" s="285"/>
      <c r="W1209" s="286"/>
      <c r="X1209" s="267"/>
      <c r="Y1209" s="267"/>
      <c r="Z1209" s="267"/>
      <c r="AA1209" s="267"/>
      <c r="AB1209" s="267"/>
      <c r="AC1209" s="267"/>
      <c r="AD1209" s="261"/>
      <c r="AE1209" s="261"/>
      <c r="AF1209" s="257"/>
      <c r="AG1209" s="257"/>
    </row>
    <row r="1210">
      <c r="A1210" s="284"/>
      <c r="B1210" s="251"/>
      <c r="C1210" s="251"/>
      <c r="D1210" s="261"/>
      <c r="E1210" s="261"/>
      <c r="F1210" s="261"/>
      <c r="G1210" s="261"/>
      <c r="H1210" s="261"/>
      <c r="I1210" s="261"/>
      <c r="J1210" s="261"/>
      <c r="K1210" s="262"/>
      <c r="L1210" s="261"/>
      <c r="M1210" s="262"/>
      <c r="N1210" s="262"/>
      <c r="O1210" s="261"/>
      <c r="P1210" s="262"/>
      <c r="Q1210" s="262"/>
      <c r="R1210" s="261"/>
      <c r="S1210" s="263"/>
      <c r="T1210" s="261"/>
      <c r="U1210" s="269"/>
      <c r="V1210" s="285"/>
      <c r="W1210" s="286"/>
      <c r="X1210" s="267"/>
      <c r="Y1210" s="267"/>
      <c r="Z1210" s="267"/>
      <c r="AA1210" s="267"/>
      <c r="AB1210" s="267"/>
      <c r="AC1210" s="267"/>
      <c r="AD1210" s="261"/>
      <c r="AE1210" s="261"/>
      <c r="AF1210" s="257"/>
      <c r="AG1210" s="257"/>
    </row>
    <row r="1211">
      <c r="A1211" s="284"/>
      <c r="B1211" s="251"/>
      <c r="C1211" s="251"/>
      <c r="D1211" s="261"/>
      <c r="E1211" s="261"/>
      <c r="F1211" s="261"/>
      <c r="G1211" s="261"/>
      <c r="H1211" s="261"/>
      <c r="I1211" s="261"/>
      <c r="J1211" s="261"/>
      <c r="K1211" s="262"/>
      <c r="L1211" s="261"/>
      <c r="M1211" s="262"/>
      <c r="N1211" s="262"/>
      <c r="O1211" s="261"/>
      <c r="P1211" s="262"/>
      <c r="Q1211" s="262"/>
      <c r="R1211" s="261"/>
      <c r="S1211" s="263"/>
      <c r="T1211" s="261"/>
      <c r="U1211" s="269"/>
      <c r="V1211" s="285"/>
      <c r="W1211" s="286"/>
      <c r="X1211" s="267"/>
      <c r="Y1211" s="267"/>
      <c r="Z1211" s="267"/>
      <c r="AA1211" s="267"/>
      <c r="AB1211" s="267"/>
      <c r="AC1211" s="267"/>
      <c r="AD1211" s="261"/>
      <c r="AE1211" s="261"/>
      <c r="AF1211" s="257"/>
      <c r="AG1211" s="257"/>
    </row>
    <row r="1212">
      <c r="A1212" s="284"/>
      <c r="B1212" s="251"/>
      <c r="C1212" s="251"/>
      <c r="D1212" s="261"/>
      <c r="E1212" s="261"/>
      <c r="F1212" s="261"/>
      <c r="G1212" s="261"/>
      <c r="H1212" s="261"/>
      <c r="I1212" s="261"/>
      <c r="J1212" s="261"/>
      <c r="K1212" s="262"/>
      <c r="L1212" s="261"/>
      <c r="M1212" s="262"/>
      <c r="N1212" s="262"/>
      <c r="O1212" s="261"/>
      <c r="P1212" s="262"/>
      <c r="Q1212" s="262"/>
      <c r="R1212" s="261"/>
      <c r="S1212" s="263"/>
      <c r="T1212" s="261"/>
      <c r="U1212" s="269"/>
      <c r="V1212" s="285"/>
      <c r="W1212" s="286"/>
      <c r="X1212" s="267"/>
      <c r="Y1212" s="267"/>
      <c r="Z1212" s="267"/>
      <c r="AA1212" s="267"/>
      <c r="AB1212" s="267"/>
      <c r="AC1212" s="267"/>
      <c r="AD1212" s="261"/>
      <c r="AE1212" s="261"/>
      <c r="AF1212" s="257"/>
      <c r="AG1212" s="257"/>
    </row>
    <row r="1213">
      <c r="A1213" s="284"/>
      <c r="B1213" s="251"/>
      <c r="C1213" s="251"/>
      <c r="D1213" s="261"/>
      <c r="E1213" s="261"/>
      <c r="F1213" s="261"/>
      <c r="G1213" s="261"/>
      <c r="H1213" s="261"/>
      <c r="I1213" s="261"/>
      <c r="J1213" s="261"/>
      <c r="K1213" s="262"/>
      <c r="L1213" s="261"/>
      <c r="M1213" s="262"/>
      <c r="N1213" s="262"/>
      <c r="O1213" s="261"/>
      <c r="P1213" s="262"/>
      <c r="Q1213" s="262"/>
      <c r="R1213" s="261"/>
      <c r="S1213" s="263"/>
      <c r="T1213" s="261"/>
      <c r="U1213" s="269"/>
      <c r="V1213" s="285"/>
      <c r="W1213" s="286"/>
      <c r="X1213" s="267"/>
      <c r="Y1213" s="267"/>
      <c r="Z1213" s="267"/>
      <c r="AA1213" s="267"/>
      <c r="AB1213" s="267"/>
      <c r="AC1213" s="267"/>
      <c r="AD1213" s="261"/>
      <c r="AE1213" s="261"/>
      <c r="AF1213" s="257"/>
      <c r="AG1213" s="257"/>
    </row>
    <row r="1214">
      <c r="A1214" s="284"/>
      <c r="B1214" s="251"/>
      <c r="C1214" s="251"/>
      <c r="D1214" s="261"/>
      <c r="E1214" s="261"/>
      <c r="F1214" s="261"/>
      <c r="G1214" s="261"/>
      <c r="H1214" s="261"/>
      <c r="I1214" s="261"/>
      <c r="J1214" s="261"/>
      <c r="K1214" s="262"/>
      <c r="L1214" s="261"/>
      <c r="M1214" s="262"/>
      <c r="N1214" s="262"/>
      <c r="O1214" s="261"/>
      <c r="P1214" s="262"/>
      <c r="Q1214" s="262"/>
      <c r="R1214" s="261"/>
      <c r="S1214" s="263"/>
      <c r="T1214" s="261"/>
      <c r="U1214" s="269"/>
      <c r="V1214" s="285"/>
      <c r="W1214" s="286"/>
      <c r="X1214" s="267"/>
      <c r="Y1214" s="267"/>
      <c r="Z1214" s="267"/>
      <c r="AA1214" s="267"/>
      <c r="AB1214" s="267"/>
      <c r="AC1214" s="267"/>
      <c r="AD1214" s="261"/>
      <c r="AE1214" s="261"/>
      <c r="AF1214" s="257"/>
      <c r="AG1214" s="257"/>
    </row>
    <row r="1215">
      <c r="A1215" s="284"/>
      <c r="B1215" s="251"/>
      <c r="C1215" s="251"/>
      <c r="D1215" s="261"/>
      <c r="E1215" s="261"/>
      <c r="F1215" s="261"/>
      <c r="G1215" s="261"/>
      <c r="H1215" s="261"/>
      <c r="I1215" s="261"/>
      <c r="J1215" s="261"/>
      <c r="K1215" s="262"/>
      <c r="L1215" s="261"/>
      <c r="M1215" s="262"/>
      <c r="N1215" s="262"/>
      <c r="O1215" s="261"/>
      <c r="P1215" s="262"/>
      <c r="Q1215" s="262"/>
      <c r="R1215" s="261"/>
      <c r="S1215" s="263"/>
      <c r="T1215" s="261"/>
      <c r="U1215" s="269"/>
      <c r="V1215" s="285"/>
      <c r="W1215" s="286"/>
      <c r="X1215" s="267"/>
      <c r="Y1215" s="267"/>
      <c r="Z1215" s="267"/>
      <c r="AA1215" s="267"/>
      <c r="AB1215" s="267"/>
      <c r="AC1215" s="267"/>
      <c r="AD1215" s="261"/>
      <c r="AE1215" s="261"/>
      <c r="AF1215" s="257"/>
      <c r="AG1215" s="257"/>
    </row>
    <row r="1216">
      <c r="A1216" s="284"/>
      <c r="B1216" s="251"/>
      <c r="C1216" s="251"/>
      <c r="D1216" s="261"/>
      <c r="E1216" s="261"/>
      <c r="F1216" s="261"/>
      <c r="G1216" s="261"/>
      <c r="H1216" s="261"/>
      <c r="I1216" s="261"/>
      <c r="J1216" s="261"/>
      <c r="K1216" s="262"/>
      <c r="L1216" s="261"/>
      <c r="M1216" s="262"/>
      <c r="N1216" s="262"/>
      <c r="O1216" s="261"/>
      <c r="P1216" s="262"/>
      <c r="Q1216" s="262"/>
      <c r="R1216" s="261"/>
      <c r="S1216" s="263"/>
      <c r="T1216" s="261"/>
      <c r="U1216" s="269"/>
      <c r="V1216" s="285"/>
      <c r="W1216" s="286"/>
      <c r="X1216" s="267"/>
      <c r="Y1216" s="267"/>
      <c r="Z1216" s="267"/>
      <c r="AA1216" s="267"/>
      <c r="AB1216" s="267"/>
      <c r="AC1216" s="267"/>
      <c r="AD1216" s="261"/>
      <c r="AE1216" s="261"/>
      <c r="AF1216" s="257"/>
      <c r="AG1216" s="257"/>
    </row>
    <row r="1217">
      <c r="A1217" s="284"/>
      <c r="B1217" s="251"/>
      <c r="C1217" s="251"/>
      <c r="D1217" s="261"/>
      <c r="E1217" s="261"/>
      <c r="F1217" s="261"/>
      <c r="G1217" s="261"/>
      <c r="H1217" s="261"/>
      <c r="I1217" s="261"/>
      <c r="J1217" s="261"/>
      <c r="K1217" s="262"/>
      <c r="L1217" s="261"/>
      <c r="M1217" s="262"/>
      <c r="N1217" s="262"/>
      <c r="O1217" s="261"/>
      <c r="P1217" s="262"/>
      <c r="Q1217" s="262"/>
      <c r="R1217" s="261"/>
      <c r="S1217" s="263"/>
      <c r="T1217" s="261"/>
      <c r="U1217" s="269"/>
      <c r="V1217" s="285"/>
      <c r="W1217" s="286"/>
      <c r="X1217" s="267"/>
      <c r="Y1217" s="267"/>
      <c r="Z1217" s="267"/>
      <c r="AA1217" s="267"/>
      <c r="AB1217" s="267"/>
      <c r="AC1217" s="267"/>
      <c r="AD1217" s="261"/>
      <c r="AE1217" s="261"/>
      <c r="AF1217" s="257"/>
      <c r="AG1217" s="257"/>
    </row>
    <row r="1218">
      <c r="A1218" s="284"/>
      <c r="B1218" s="251"/>
      <c r="C1218" s="251"/>
      <c r="D1218" s="261"/>
      <c r="E1218" s="261"/>
      <c r="F1218" s="261"/>
      <c r="G1218" s="261"/>
      <c r="H1218" s="261"/>
      <c r="I1218" s="261"/>
      <c r="J1218" s="261"/>
      <c r="K1218" s="262"/>
      <c r="L1218" s="261"/>
      <c r="M1218" s="262"/>
      <c r="N1218" s="262"/>
      <c r="O1218" s="261"/>
      <c r="P1218" s="262"/>
      <c r="Q1218" s="262"/>
      <c r="R1218" s="261"/>
      <c r="S1218" s="263"/>
      <c r="T1218" s="261"/>
      <c r="U1218" s="269"/>
      <c r="V1218" s="285"/>
      <c r="W1218" s="286"/>
      <c r="X1218" s="267"/>
      <c r="Y1218" s="267"/>
      <c r="Z1218" s="267"/>
      <c r="AA1218" s="267"/>
      <c r="AB1218" s="267"/>
      <c r="AC1218" s="267"/>
      <c r="AD1218" s="261"/>
      <c r="AE1218" s="261"/>
      <c r="AF1218" s="257"/>
      <c r="AG1218" s="257"/>
    </row>
    <row r="1219">
      <c r="A1219" s="284"/>
      <c r="B1219" s="251"/>
      <c r="C1219" s="251"/>
      <c r="D1219" s="261"/>
      <c r="E1219" s="261"/>
      <c r="F1219" s="261"/>
      <c r="G1219" s="261"/>
      <c r="H1219" s="261"/>
      <c r="I1219" s="261"/>
      <c r="J1219" s="261"/>
      <c r="K1219" s="262"/>
      <c r="L1219" s="261"/>
      <c r="M1219" s="262"/>
      <c r="N1219" s="262"/>
      <c r="O1219" s="261"/>
      <c r="P1219" s="262"/>
      <c r="Q1219" s="262"/>
      <c r="R1219" s="261"/>
      <c r="S1219" s="263"/>
      <c r="T1219" s="261"/>
      <c r="U1219" s="269"/>
      <c r="V1219" s="285"/>
      <c r="W1219" s="286"/>
      <c r="X1219" s="267"/>
      <c r="Y1219" s="267"/>
      <c r="Z1219" s="267"/>
      <c r="AA1219" s="267"/>
      <c r="AB1219" s="267"/>
      <c r="AC1219" s="267"/>
      <c r="AD1219" s="261"/>
      <c r="AE1219" s="261"/>
      <c r="AF1219" s="257"/>
      <c r="AG1219" s="257"/>
    </row>
    <row r="1220">
      <c r="A1220" s="284"/>
      <c r="B1220" s="251"/>
      <c r="C1220" s="251"/>
      <c r="D1220" s="261"/>
      <c r="E1220" s="261"/>
      <c r="F1220" s="261"/>
      <c r="G1220" s="261"/>
      <c r="H1220" s="261"/>
      <c r="I1220" s="261"/>
      <c r="J1220" s="261"/>
      <c r="K1220" s="262"/>
      <c r="L1220" s="261"/>
      <c r="M1220" s="262"/>
      <c r="N1220" s="262"/>
      <c r="O1220" s="261"/>
      <c r="P1220" s="262"/>
      <c r="Q1220" s="262"/>
      <c r="R1220" s="261"/>
      <c r="S1220" s="263"/>
      <c r="T1220" s="261"/>
      <c r="U1220" s="269"/>
      <c r="V1220" s="285"/>
      <c r="W1220" s="286"/>
      <c r="X1220" s="267"/>
      <c r="Y1220" s="267"/>
      <c r="Z1220" s="267"/>
      <c r="AA1220" s="267"/>
      <c r="AB1220" s="267"/>
      <c r="AC1220" s="267"/>
      <c r="AD1220" s="261"/>
      <c r="AE1220" s="261"/>
      <c r="AF1220" s="257"/>
      <c r="AG1220" s="257"/>
    </row>
    <row r="1221">
      <c r="A1221" s="284"/>
      <c r="B1221" s="251"/>
      <c r="C1221" s="251"/>
      <c r="D1221" s="261"/>
      <c r="E1221" s="261"/>
      <c r="F1221" s="261"/>
      <c r="G1221" s="261"/>
      <c r="H1221" s="261"/>
      <c r="I1221" s="261"/>
      <c r="J1221" s="261"/>
      <c r="K1221" s="262"/>
      <c r="L1221" s="261"/>
      <c r="M1221" s="262"/>
      <c r="N1221" s="262"/>
      <c r="O1221" s="261"/>
      <c r="P1221" s="262"/>
      <c r="Q1221" s="262"/>
      <c r="R1221" s="261"/>
      <c r="S1221" s="263"/>
      <c r="T1221" s="261"/>
      <c r="U1221" s="269"/>
      <c r="V1221" s="285"/>
      <c r="W1221" s="286"/>
      <c r="X1221" s="267"/>
      <c r="Y1221" s="267"/>
      <c r="Z1221" s="267"/>
      <c r="AA1221" s="267"/>
      <c r="AB1221" s="267"/>
      <c r="AC1221" s="267"/>
      <c r="AD1221" s="261"/>
      <c r="AE1221" s="261"/>
      <c r="AF1221" s="257"/>
      <c r="AG1221" s="257"/>
    </row>
    <row r="1222">
      <c r="A1222" s="284"/>
      <c r="B1222" s="251"/>
      <c r="C1222" s="251"/>
      <c r="D1222" s="261"/>
      <c r="E1222" s="261"/>
      <c r="F1222" s="261"/>
      <c r="G1222" s="261"/>
      <c r="H1222" s="261"/>
      <c r="I1222" s="261"/>
      <c r="J1222" s="261"/>
      <c r="K1222" s="262"/>
      <c r="L1222" s="261"/>
      <c r="M1222" s="262"/>
      <c r="N1222" s="262"/>
      <c r="O1222" s="261"/>
      <c r="P1222" s="262"/>
      <c r="Q1222" s="262"/>
      <c r="R1222" s="261"/>
      <c r="S1222" s="263"/>
      <c r="T1222" s="261"/>
      <c r="U1222" s="269"/>
      <c r="V1222" s="285"/>
      <c r="W1222" s="286"/>
      <c r="X1222" s="267"/>
      <c r="Y1222" s="267"/>
      <c r="Z1222" s="267"/>
      <c r="AA1222" s="267"/>
      <c r="AB1222" s="267"/>
      <c r="AC1222" s="267"/>
      <c r="AD1222" s="261"/>
      <c r="AE1222" s="261"/>
      <c r="AF1222" s="257"/>
      <c r="AG1222" s="257"/>
    </row>
    <row r="1223">
      <c r="A1223" s="284"/>
      <c r="B1223" s="251"/>
      <c r="C1223" s="251"/>
      <c r="D1223" s="261"/>
      <c r="E1223" s="261"/>
      <c r="F1223" s="261"/>
      <c r="G1223" s="261"/>
      <c r="H1223" s="261"/>
      <c r="I1223" s="261"/>
      <c r="J1223" s="261"/>
      <c r="K1223" s="262"/>
      <c r="L1223" s="261"/>
      <c r="M1223" s="262"/>
      <c r="N1223" s="262"/>
      <c r="O1223" s="261"/>
      <c r="P1223" s="262"/>
      <c r="Q1223" s="262"/>
      <c r="R1223" s="261"/>
      <c r="S1223" s="263"/>
      <c r="T1223" s="261"/>
      <c r="U1223" s="269"/>
      <c r="V1223" s="285"/>
      <c r="W1223" s="286"/>
      <c r="X1223" s="267"/>
      <c r="Y1223" s="267"/>
      <c r="Z1223" s="267"/>
      <c r="AA1223" s="267"/>
      <c r="AB1223" s="267"/>
      <c r="AC1223" s="267"/>
      <c r="AD1223" s="261"/>
      <c r="AE1223" s="261"/>
      <c r="AF1223" s="257"/>
      <c r="AG1223" s="257"/>
    </row>
    <row r="1224">
      <c r="A1224" s="284"/>
      <c r="B1224" s="251"/>
      <c r="C1224" s="251"/>
      <c r="D1224" s="261"/>
      <c r="E1224" s="261"/>
      <c r="F1224" s="261"/>
      <c r="G1224" s="261"/>
      <c r="H1224" s="261"/>
      <c r="I1224" s="261"/>
      <c r="J1224" s="261"/>
      <c r="K1224" s="262"/>
      <c r="L1224" s="261"/>
      <c r="M1224" s="262"/>
      <c r="N1224" s="262"/>
      <c r="O1224" s="261"/>
      <c r="P1224" s="262"/>
      <c r="Q1224" s="262"/>
      <c r="R1224" s="261"/>
      <c r="S1224" s="263"/>
      <c r="T1224" s="261"/>
      <c r="U1224" s="269"/>
      <c r="V1224" s="285"/>
      <c r="W1224" s="286"/>
      <c r="X1224" s="267"/>
      <c r="Y1224" s="267"/>
      <c r="Z1224" s="267"/>
      <c r="AA1224" s="267"/>
      <c r="AB1224" s="267"/>
      <c r="AC1224" s="267"/>
      <c r="AD1224" s="261"/>
      <c r="AE1224" s="261"/>
      <c r="AF1224" s="257"/>
      <c r="AG1224" s="257"/>
    </row>
    <row r="1225">
      <c r="A1225" s="284"/>
      <c r="B1225" s="251"/>
      <c r="C1225" s="251"/>
      <c r="D1225" s="261"/>
      <c r="E1225" s="261"/>
      <c r="F1225" s="261"/>
      <c r="G1225" s="261"/>
      <c r="H1225" s="261"/>
      <c r="I1225" s="261"/>
      <c r="J1225" s="261"/>
      <c r="K1225" s="262"/>
      <c r="L1225" s="261"/>
      <c r="M1225" s="262"/>
      <c r="N1225" s="262"/>
      <c r="O1225" s="261"/>
      <c r="P1225" s="262"/>
      <c r="Q1225" s="262"/>
      <c r="R1225" s="261"/>
      <c r="S1225" s="263"/>
      <c r="T1225" s="261"/>
      <c r="U1225" s="269"/>
      <c r="V1225" s="285"/>
      <c r="W1225" s="286"/>
      <c r="X1225" s="267"/>
      <c r="Y1225" s="267"/>
      <c r="Z1225" s="267"/>
      <c r="AA1225" s="267"/>
      <c r="AB1225" s="267"/>
      <c r="AC1225" s="267"/>
      <c r="AD1225" s="261"/>
      <c r="AE1225" s="261"/>
      <c r="AF1225" s="257"/>
      <c r="AG1225" s="257"/>
    </row>
    <row r="1226">
      <c r="A1226" s="284"/>
      <c r="B1226" s="251"/>
      <c r="C1226" s="251"/>
      <c r="D1226" s="261"/>
      <c r="E1226" s="261"/>
      <c r="F1226" s="261"/>
      <c r="G1226" s="261"/>
      <c r="H1226" s="261"/>
      <c r="I1226" s="261"/>
      <c r="J1226" s="261"/>
      <c r="K1226" s="262"/>
      <c r="L1226" s="261"/>
      <c r="M1226" s="262"/>
      <c r="N1226" s="262"/>
      <c r="O1226" s="261"/>
      <c r="P1226" s="262"/>
      <c r="Q1226" s="262"/>
      <c r="R1226" s="261"/>
      <c r="S1226" s="263"/>
      <c r="T1226" s="261"/>
      <c r="U1226" s="269"/>
      <c r="V1226" s="285"/>
      <c r="W1226" s="286"/>
      <c r="X1226" s="267"/>
      <c r="Y1226" s="267"/>
      <c r="Z1226" s="267"/>
      <c r="AA1226" s="267"/>
      <c r="AB1226" s="267"/>
      <c r="AC1226" s="267"/>
      <c r="AD1226" s="261"/>
      <c r="AE1226" s="261"/>
      <c r="AF1226" s="257"/>
      <c r="AG1226" s="257"/>
    </row>
    <row r="1227">
      <c r="A1227" s="284"/>
      <c r="B1227" s="251"/>
      <c r="C1227" s="251"/>
      <c r="D1227" s="261"/>
      <c r="E1227" s="261"/>
      <c r="F1227" s="261"/>
      <c r="G1227" s="261"/>
      <c r="H1227" s="261"/>
      <c r="I1227" s="261"/>
      <c r="J1227" s="261"/>
      <c r="K1227" s="262"/>
      <c r="L1227" s="261"/>
      <c r="M1227" s="262"/>
      <c r="N1227" s="262"/>
      <c r="O1227" s="261"/>
      <c r="P1227" s="262"/>
      <c r="Q1227" s="262"/>
      <c r="R1227" s="261"/>
      <c r="S1227" s="263"/>
      <c r="T1227" s="261"/>
      <c r="U1227" s="269"/>
      <c r="V1227" s="285"/>
      <c r="W1227" s="286"/>
      <c r="X1227" s="267"/>
      <c r="Y1227" s="267"/>
      <c r="Z1227" s="267"/>
      <c r="AA1227" s="267"/>
      <c r="AB1227" s="267"/>
      <c r="AC1227" s="267"/>
      <c r="AD1227" s="261"/>
      <c r="AE1227" s="261"/>
      <c r="AF1227" s="257"/>
      <c r="AG1227" s="257"/>
    </row>
    <row r="1228">
      <c r="A1228" s="284"/>
      <c r="B1228" s="251"/>
      <c r="C1228" s="251"/>
      <c r="D1228" s="261"/>
      <c r="E1228" s="261"/>
      <c r="F1228" s="261"/>
      <c r="G1228" s="261"/>
      <c r="H1228" s="261"/>
      <c r="I1228" s="261"/>
      <c r="J1228" s="261"/>
      <c r="K1228" s="262"/>
      <c r="L1228" s="261"/>
      <c r="M1228" s="262"/>
      <c r="N1228" s="262"/>
      <c r="O1228" s="261"/>
      <c r="P1228" s="262"/>
      <c r="Q1228" s="262"/>
      <c r="R1228" s="261"/>
      <c r="S1228" s="263"/>
      <c r="T1228" s="261"/>
      <c r="U1228" s="269"/>
      <c r="V1228" s="285"/>
      <c r="W1228" s="286"/>
      <c r="X1228" s="267"/>
      <c r="Y1228" s="267"/>
      <c r="Z1228" s="267"/>
      <c r="AA1228" s="267"/>
      <c r="AB1228" s="267"/>
      <c r="AC1228" s="267"/>
      <c r="AD1228" s="261"/>
      <c r="AE1228" s="261"/>
      <c r="AF1228" s="257"/>
      <c r="AG1228" s="257"/>
    </row>
    <row r="1229">
      <c r="A1229" s="284"/>
      <c r="B1229" s="251"/>
      <c r="C1229" s="251"/>
      <c r="D1229" s="261"/>
      <c r="E1229" s="261"/>
      <c r="F1229" s="261"/>
      <c r="G1229" s="261"/>
      <c r="H1229" s="261"/>
      <c r="I1229" s="261"/>
      <c r="J1229" s="261"/>
      <c r="K1229" s="262"/>
      <c r="L1229" s="261"/>
      <c r="M1229" s="262"/>
      <c r="N1229" s="262"/>
      <c r="O1229" s="261"/>
      <c r="P1229" s="262"/>
      <c r="Q1229" s="262"/>
      <c r="R1229" s="261"/>
      <c r="S1229" s="263"/>
      <c r="T1229" s="261"/>
      <c r="U1229" s="269"/>
      <c r="V1229" s="285"/>
      <c r="W1229" s="286"/>
      <c r="X1229" s="267"/>
      <c r="Y1229" s="267"/>
      <c r="Z1229" s="267"/>
      <c r="AA1229" s="267"/>
      <c r="AB1229" s="267"/>
      <c r="AC1229" s="267"/>
      <c r="AD1229" s="261"/>
      <c r="AE1229" s="261"/>
      <c r="AF1229" s="257"/>
      <c r="AG1229" s="257"/>
    </row>
    <row r="1230">
      <c r="A1230" s="284"/>
      <c r="B1230" s="251"/>
      <c r="C1230" s="251"/>
      <c r="D1230" s="261"/>
      <c r="E1230" s="261"/>
      <c r="F1230" s="261"/>
      <c r="G1230" s="261"/>
      <c r="H1230" s="261"/>
      <c r="I1230" s="261"/>
      <c r="J1230" s="261"/>
      <c r="K1230" s="262"/>
      <c r="L1230" s="261"/>
      <c r="M1230" s="262"/>
      <c r="N1230" s="262"/>
      <c r="O1230" s="261"/>
      <c r="P1230" s="262"/>
      <c r="Q1230" s="262"/>
      <c r="R1230" s="261"/>
      <c r="S1230" s="263"/>
      <c r="T1230" s="261"/>
      <c r="U1230" s="269"/>
      <c r="V1230" s="285"/>
      <c r="W1230" s="286"/>
      <c r="X1230" s="267"/>
      <c r="Y1230" s="267"/>
      <c r="Z1230" s="267"/>
      <c r="AA1230" s="267"/>
      <c r="AB1230" s="267"/>
      <c r="AC1230" s="267"/>
      <c r="AD1230" s="261"/>
      <c r="AE1230" s="261"/>
      <c r="AF1230" s="257"/>
      <c r="AG1230" s="257"/>
    </row>
    <row r="1231">
      <c r="A1231" s="284"/>
      <c r="B1231" s="251"/>
      <c r="C1231" s="251"/>
      <c r="D1231" s="261"/>
      <c r="E1231" s="261"/>
      <c r="F1231" s="261"/>
      <c r="G1231" s="261"/>
      <c r="H1231" s="261"/>
      <c r="I1231" s="261"/>
      <c r="J1231" s="261"/>
      <c r="K1231" s="262"/>
      <c r="L1231" s="261"/>
      <c r="M1231" s="262"/>
      <c r="N1231" s="262"/>
      <c r="O1231" s="261"/>
      <c r="P1231" s="262"/>
      <c r="Q1231" s="262"/>
      <c r="R1231" s="261"/>
      <c r="S1231" s="263"/>
      <c r="T1231" s="261"/>
      <c r="U1231" s="269"/>
      <c r="V1231" s="285"/>
      <c r="W1231" s="286"/>
      <c r="X1231" s="267"/>
      <c r="Y1231" s="267"/>
      <c r="Z1231" s="267"/>
      <c r="AA1231" s="267"/>
      <c r="AB1231" s="267"/>
      <c r="AC1231" s="267"/>
      <c r="AD1231" s="261"/>
      <c r="AE1231" s="261"/>
      <c r="AF1231" s="257"/>
      <c r="AG1231" s="257"/>
    </row>
    <row r="1232">
      <c r="A1232" s="284"/>
      <c r="B1232" s="251"/>
      <c r="C1232" s="251"/>
      <c r="D1232" s="261"/>
      <c r="E1232" s="261"/>
      <c r="F1232" s="261"/>
      <c r="G1232" s="261"/>
      <c r="H1232" s="261"/>
      <c r="I1232" s="261"/>
      <c r="J1232" s="261"/>
      <c r="K1232" s="262"/>
      <c r="L1232" s="261"/>
      <c r="M1232" s="262"/>
      <c r="N1232" s="262"/>
      <c r="O1232" s="261"/>
      <c r="P1232" s="262"/>
      <c r="Q1232" s="262"/>
      <c r="R1232" s="261"/>
      <c r="S1232" s="263"/>
      <c r="T1232" s="261"/>
      <c r="U1232" s="269"/>
      <c r="V1232" s="285"/>
      <c r="W1232" s="286"/>
      <c r="X1232" s="267"/>
      <c r="Y1232" s="267"/>
      <c r="Z1232" s="267"/>
      <c r="AA1232" s="267"/>
      <c r="AB1232" s="267"/>
      <c r="AC1232" s="267"/>
      <c r="AD1232" s="261"/>
      <c r="AE1232" s="261"/>
      <c r="AF1232" s="257"/>
      <c r="AG1232" s="257"/>
    </row>
    <row r="1233">
      <c r="A1233" s="284"/>
      <c r="B1233" s="251"/>
      <c r="C1233" s="251"/>
      <c r="D1233" s="261"/>
      <c r="E1233" s="261"/>
      <c r="F1233" s="261"/>
      <c r="G1233" s="261"/>
      <c r="H1233" s="261"/>
      <c r="I1233" s="261"/>
      <c r="J1233" s="261"/>
      <c r="K1233" s="262"/>
      <c r="L1233" s="261"/>
      <c r="M1233" s="262"/>
      <c r="N1233" s="262"/>
      <c r="O1233" s="261"/>
      <c r="P1233" s="262"/>
      <c r="Q1233" s="262"/>
      <c r="R1233" s="261"/>
      <c r="S1233" s="263"/>
      <c r="T1233" s="261"/>
      <c r="U1233" s="269"/>
      <c r="V1233" s="285"/>
      <c r="W1233" s="286"/>
      <c r="X1233" s="267"/>
      <c r="Y1233" s="267"/>
      <c r="Z1233" s="267"/>
      <c r="AA1233" s="267"/>
      <c r="AB1233" s="267"/>
      <c r="AC1233" s="267"/>
      <c r="AD1233" s="261"/>
      <c r="AE1233" s="261"/>
      <c r="AF1233" s="257"/>
      <c r="AG1233" s="257"/>
    </row>
    <row r="1234">
      <c r="A1234" s="284"/>
      <c r="B1234" s="251"/>
      <c r="C1234" s="251"/>
      <c r="D1234" s="261"/>
      <c r="E1234" s="261"/>
      <c r="F1234" s="261"/>
      <c r="G1234" s="261"/>
      <c r="H1234" s="261"/>
      <c r="I1234" s="261"/>
      <c r="J1234" s="261"/>
      <c r="K1234" s="262"/>
      <c r="L1234" s="261"/>
      <c r="M1234" s="262"/>
      <c r="N1234" s="262"/>
      <c r="O1234" s="261"/>
      <c r="P1234" s="262"/>
      <c r="Q1234" s="262"/>
      <c r="R1234" s="261"/>
      <c r="S1234" s="263"/>
      <c r="T1234" s="261"/>
      <c r="U1234" s="269"/>
      <c r="V1234" s="285"/>
      <c r="W1234" s="286"/>
      <c r="X1234" s="267"/>
      <c r="Y1234" s="267"/>
      <c r="Z1234" s="267"/>
      <c r="AA1234" s="267"/>
      <c r="AB1234" s="267"/>
      <c r="AC1234" s="267"/>
      <c r="AD1234" s="261"/>
      <c r="AE1234" s="261"/>
      <c r="AF1234" s="257"/>
      <c r="AG1234" s="257"/>
    </row>
    <row r="1235">
      <c r="A1235" s="284"/>
      <c r="B1235" s="251"/>
      <c r="C1235" s="251"/>
      <c r="D1235" s="261"/>
      <c r="E1235" s="261"/>
      <c r="F1235" s="261"/>
      <c r="G1235" s="261"/>
      <c r="H1235" s="261"/>
      <c r="I1235" s="261"/>
      <c r="J1235" s="261"/>
      <c r="K1235" s="262"/>
      <c r="L1235" s="261"/>
      <c r="M1235" s="262"/>
      <c r="N1235" s="262"/>
      <c r="O1235" s="261"/>
      <c r="P1235" s="262"/>
      <c r="Q1235" s="262"/>
      <c r="R1235" s="261"/>
      <c r="S1235" s="263"/>
      <c r="T1235" s="261"/>
      <c r="U1235" s="269"/>
      <c r="V1235" s="285"/>
      <c r="W1235" s="286"/>
      <c r="X1235" s="267"/>
      <c r="Y1235" s="267"/>
      <c r="Z1235" s="267"/>
      <c r="AA1235" s="267"/>
      <c r="AB1235" s="267"/>
      <c r="AC1235" s="267"/>
      <c r="AD1235" s="261"/>
      <c r="AE1235" s="261"/>
      <c r="AF1235" s="257"/>
      <c r="AG1235" s="257"/>
    </row>
    <row r="1236">
      <c r="A1236" s="284"/>
      <c r="B1236" s="251"/>
      <c r="C1236" s="251"/>
      <c r="D1236" s="261"/>
      <c r="E1236" s="261"/>
      <c r="F1236" s="261"/>
      <c r="G1236" s="261"/>
      <c r="H1236" s="261"/>
      <c r="I1236" s="261"/>
      <c r="J1236" s="261"/>
      <c r="K1236" s="262"/>
      <c r="L1236" s="261"/>
      <c r="M1236" s="262"/>
      <c r="N1236" s="262"/>
      <c r="O1236" s="261"/>
      <c r="P1236" s="262"/>
      <c r="Q1236" s="262"/>
      <c r="R1236" s="261"/>
      <c r="S1236" s="263"/>
      <c r="T1236" s="261"/>
      <c r="U1236" s="269"/>
      <c r="V1236" s="285"/>
      <c r="W1236" s="286"/>
      <c r="X1236" s="267"/>
      <c r="Y1236" s="267"/>
      <c r="Z1236" s="267"/>
      <c r="AA1236" s="267"/>
      <c r="AB1236" s="267"/>
      <c r="AC1236" s="267"/>
      <c r="AD1236" s="261"/>
      <c r="AE1236" s="261"/>
      <c r="AF1236" s="257"/>
      <c r="AG1236" s="257"/>
    </row>
    <row r="1237">
      <c r="A1237" s="284"/>
      <c r="B1237" s="251"/>
      <c r="C1237" s="251"/>
      <c r="D1237" s="261"/>
      <c r="E1237" s="261"/>
      <c r="F1237" s="261"/>
      <c r="G1237" s="261"/>
      <c r="H1237" s="261"/>
      <c r="I1237" s="261"/>
      <c r="J1237" s="261"/>
      <c r="K1237" s="262"/>
      <c r="L1237" s="261"/>
      <c r="M1237" s="262"/>
      <c r="N1237" s="262"/>
      <c r="O1237" s="261"/>
      <c r="P1237" s="262"/>
      <c r="Q1237" s="262"/>
      <c r="R1237" s="261"/>
      <c r="S1237" s="263"/>
      <c r="T1237" s="261"/>
      <c r="U1237" s="269"/>
      <c r="V1237" s="285"/>
      <c r="W1237" s="286"/>
      <c r="X1237" s="267"/>
      <c r="Y1237" s="267"/>
      <c r="Z1237" s="267"/>
      <c r="AA1237" s="267"/>
      <c r="AB1237" s="267"/>
      <c r="AC1237" s="267"/>
      <c r="AD1237" s="261"/>
      <c r="AE1237" s="261"/>
      <c r="AF1237" s="257"/>
      <c r="AG1237" s="257"/>
    </row>
    <row r="1238">
      <c r="A1238" s="284"/>
      <c r="B1238" s="251"/>
      <c r="C1238" s="251"/>
      <c r="D1238" s="261"/>
      <c r="E1238" s="261"/>
      <c r="F1238" s="261"/>
      <c r="G1238" s="261"/>
      <c r="H1238" s="261"/>
      <c r="I1238" s="261"/>
      <c r="J1238" s="261"/>
      <c r="K1238" s="262"/>
      <c r="L1238" s="261"/>
      <c r="M1238" s="262"/>
      <c r="N1238" s="262"/>
      <c r="O1238" s="261"/>
      <c r="P1238" s="262"/>
      <c r="Q1238" s="262"/>
      <c r="R1238" s="261"/>
      <c r="S1238" s="263"/>
      <c r="T1238" s="261"/>
      <c r="U1238" s="269"/>
      <c r="V1238" s="285"/>
      <c r="W1238" s="286"/>
      <c r="X1238" s="267"/>
      <c r="Y1238" s="267"/>
      <c r="Z1238" s="267"/>
      <c r="AA1238" s="267"/>
      <c r="AB1238" s="267"/>
      <c r="AC1238" s="267"/>
      <c r="AD1238" s="261"/>
      <c r="AE1238" s="261"/>
      <c r="AF1238" s="257"/>
      <c r="AG1238" s="257"/>
    </row>
    <row r="1239">
      <c r="A1239" s="284"/>
      <c r="B1239" s="251"/>
      <c r="C1239" s="251"/>
      <c r="D1239" s="261"/>
      <c r="E1239" s="261"/>
      <c r="F1239" s="261"/>
      <c r="G1239" s="261"/>
      <c r="H1239" s="261"/>
      <c r="I1239" s="261"/>
      <c r="J1239" s="261"/>
      <c r="K1239" s="262"/>
      <c r="L1239" s="261"/>
      <c r="M1239" s="262"/>
      <c r="N1239" s="262"/>
      <c r="O1239" s="261"/>
      <c r="P1239" s="262"/>
      <c r="Q1239" s="262"/>
      <c r="R1239" s="261"/>
      <c r="S1239" s="263"/>
      <c r="T1239" s="261"/>
      <c r="U1239" s="269"/>
      <c r="V1239" s="285"/>
      <c r="W1239" s="286"/>
      <c r="X1239" s="267"/>
      <c r="Y1239" s="267"/>
      <c r="Z1239" s="267"/>
      <c r="AA1239" s="267"/>
      <c r="AB1239" s="267"/>
      <c r="AC1239" s="267"/>
      <c r="AD1239" s="261"/>
      <c r="AE1239" s="261"/>
      <c r="AF1239" s="257"/>
      <c r="AG1239" s="257"/>
    </row>
    <row r="1240">
      <c r="A1240" s="284"/>
      <c r="B1240" s="251"/>
      <c r="C1240" s="251"/>
      <c r="D1240" s="261"/>
      <c r="E1240" s="261"/>
      <c r="F1240" s="261"/>
      <c r="G1240" s="261"/>
      <c r="H1240" s="261"/>
      <c r="I1240" s="261"/>
      <c r="J1240" s="261"/>
      <c r="K1240" s="262"/>
      <c r="L1240" s="261"/>
      <c r="M1240" s="262"/>
      <c r="N1240" s="262"/>
      <c r="O1240" s="261"/>
      <c r="P1240" s="262"/>
      <c r="Q1240" s="262"/>
      <c r="R1240" s="261"/>
      <c r="S1240" s="263"/>
      <c r="T1240" s="261"/>
      <c r="U1240" s="269"/>
      <c r="V1240" s="285"/>
      <c r="W1240" s="286"/>
      <c r="X1240" s="267"/>
      <c r="Y1240" s="267"/>
      <c r="Z1240" s="267"/>
      <c r="AA1240" s="267"/>
      <c r="AB1240" s="267"/>
      <c r="AC1240" s="267"/>
      <c r="AD1240" s="261"/>
      <c r="AE1240" s="261"/>
      <c r="AF1240" s="257"/>
      <c r="AG1240" s="257"/>
    </row>
    <row r="1241">
      <c r="A1241" s="284"/>
      <c r="B1241" s="251"/>
      <c r="C1241" s="251"/>
      <c r="D1241" s="261"/>
      <c r="E1241" s="261"/>
      <c r="F1241" s="261"/>
      <c r="G1241" s="261"/>
      <c r="H1241" s="261"/>
      <c r="I1241" s="261"/>
      <c r="J1241" s="261"/>
      <c r="K1241" s="262"/>
      <c r="L1241" s="261"/>
      <c r="M1241" s="262"/>
      <c r="N1241" s="262"/>
      <c r="O1241" s="261"/>
      <c r="P1241" s="262"/>
      <c r="Q1241" s="262"/>
      <c r="R1241" s="261"/>
      <c r="S1241" s="263"/>
      <c r="T1241" s="261"/>
      <c r="U1241" s="269"/>
      <c r="V1241" s="285"/>
      <c r="W1241" s="286"/>
      <c r="X1241" s="267"/>
      <c r="Y1241" s="267"/>
      <c r="Z1241" s="267"/>
      <c r="AA1241" s="267"/>
      <c r="AB1241" s="267"/>
      <c r="AC1241" s="267"/>
      <c r="AD1241" s="261"/>
      <c r="AE1241" s="261"/>
      <c r="AF1241" s="257"/>
      <c r="AG1241" s="257"/>
    </row>
    <row r="1242">
      <c r="A1242" s="284"/>
      <c r="B1242" s="251"/>
      <c r="C1242" s="251"/>
      <c r="D1242" s="261"/>
      <c r="E1242" s="261"/>
      <c r="F1242" s="261"/>
      <c r="G1242" s="261"/>
      <c r="H1242" s="261"/>
      <c r="I1242" s="261"/>
      <c r="J1242" s="261"/>
      <c r="K1242" s="262"/>
      <c r="L1242" s="261"/>
      <c r="M1242" s="262"/>
      <c r="N1242" s="262"/>
      <c r="O1242" s="261"/>
      <c r="P1242" s="262"/>
      <c r="Q1242" s="262"/>
      <c r="R1242" s="261"/>
      <c r="S1242" s="263"/>
      <c r="T1242" s="261"/>
      <c r="U1242" s="269"/>
      <c r="V1242" s="285"/>
      <c r="W1242" s="286"/>
      <c r="X1242" s="267"/>
      <c r="Y1242" s="267"/>
      <c r="Z1242" s="267"/>
      <c r="AA1242" s="267"/>
      <c r="AB1242" s="267"/>
      <c r="AC1242" s="267"/>
      <c r="AD1242" s="261"/>
      <c r="AE1242" s="261"/>
      <c r="AF1242" s="257"/>
      <c r="AG1242" s="257"/>
    </row>
    <row r="1243">
      <c r="A1243" s="284"/>
      <c r="B1243" s="251"/>
      <c r="C1243" s="251"/>
      <c r="D1243" s="261"/>
      <c r="E1243" s="261"/>
      <c r="F1243" s="261"/>
      <c r="G1243" s="261"/>
      <c r="H1243" s="261"/>
      <c r="I1243" s="261"/>
      <c r="J1243" s="261"/>
      <c r="K1243" s="262"/>
      <c r="L1243" s="261"/>
      <c r="M1243" s="262"/>
      <c r="N1243" s="262"/>
      <c r="O1243" s="261"/>
      <c r="P1243" s="262"/>
      <c r="Q1243" s="262"/>
      <c r="R1243" s="261"/>
      <c r="S1243" s="263"/>
      <c r="T1243" s="261"/>
      <c r="U1243" s="269"/>
      <c r="V1243" s="285"/>
      <c r="W1243" s="286"/>
      <c r="X1243" s="267"/>
      <c r="Y1243" s="267"/>
      <c r="Z1243" s="267"/>
      <c r="AA1243" s="267"/>
      <c r="AB1243" s="267"/>
      <c r="AC1243" s="267"/>
      <c r="AD1243" s="261"/>
      <c r="AE1243" s="261"/>
      <c r="AF1243" s="257"/>
      <c r="AG1243" s="257"/>
    </row>
    <row r="1244">
      <c r="A1244" s="284"/>
      <c r="B1244" s="251"/>
      <c r="C1244" s="251"/>
      <c r="D1244" s="261"/>
      <c r="E1244" s="261"/>
      <c r="F1244" s="261"/>
      <c r="G1244" s="261"/>
      <c r="H1244" s="261"/>
      <c r="I1244" s="261"/>
      <c r="J1244" s="261"/>
      <c r="K1244" s="262"/>
      <c r="L1244" s="261"/>
      <c r="M1244" s="262"/>
      <c r="N1244" s="262"/>
      <c r="O1244" s="261"/>
      <c r="P1244" s="262"/>
      <c r="Q1244" s="262"/>
      <c r="R1244" s="261"/>
      <c r="S1244" s="263"/>
      <c r="T1244" s="261"/>
      <c r="U1244" s="269"/>
      <c r="V1244" s="285"/>
      <c r="W1244" s="286"/>
      <c r="X1244" s="267"/>
      <c r="Y1244" s="267"/>
      <c r="Z1244" s="267"/>
      <c r="AA1244" s="267"/>
      <c r="AB1244" s="267"/>
      <c r="AC1244" s="267"/>
      <c r="AD1244" s="261"/>
      <c r="AE1244" s="261"/>
      <c r="AF1244" s="257"/>
      <c r="AG1244" s="257"/>
    </row>
    <row r="1245">
      <c r="A1245" s="284"/>
      <c r="B1245" s="251"/>
      <c r="C1245" s="251"/>
      <c r="D1245" s="261"/>
      <c r="E1245" s="261"/>
      <c r="F1245" s="261"/>
      <c r="G1245" s="261"/>
      <c r="H1245" s="261"/>
      <c r="I1245" s="261"/>
      <c r="J1245" s="261"/>
      <c r="K1245" s="262"/>
      <c r="L1245" s="261"/>
      <c r="M1245" s="262"/>
      <c r="N1245" s="262"/>
      <c r="O1245" s="261"/>
      <c r="P1245" s="262"/>
      <c r="Q1245" s="262"/>
      <c r="R1245" s="261"/>
      <c r="S1245" s="263"/>
      <c r="T1245" s="261"/>
      <c r="U1245" s="269"/>
      <c r="V1245" s="285"/>
      <c r="W1245" s="286"/>
      <c r="X1245" s="267"/>
      <c r="Y1245" s="267"/>
      <c r="Z1245" s="267"/>
      <c r="AA1245" s="267"/>
      <c r="AB1245" s="267"/>
      <c r="AC1245" s="267"/>
      <c r="AD1245" s="261"/>
      <c r="AE1245" s="261"/>
      <c r="AF1245" s="257"/>
      <c r="AG1245" s="257"/>
    </row>
    <row r="1246">
      <c r="A1246" s="284"/>
      <c r="B1246" s="251"/>
      <c r="C1246" s="251"/>
      <c r="D1246" s="261"/>
      <c r="E1246" s="261"/>
      <c r="F1246" s="261"/>
      <c r="G1246" s="261"/>
      <c r="H1246" s="261"/>
      <c r="I1246" s="261"/>
      <c r="J1246" s="261"/>
      <c r="K1246" s="262"/>
      <c r="L1246" s="261"/>
      <c r="M1246" s="262"/>
      <c r="N1246" s="262"/>
      <c r="O1246" s="261"/>
      <c r="P1246" s="262"/>
      <c r="Q1246" s="262"/>
      <c r="R1246" s="261"/>
      <c r="S1246" s="263"/>
      <c r="T1246" s="261"/>
      <c r="U1246" s="269"/>
      <c r="V1246" s="285"/>
      <c r="W1246" s="286"/>
      <c r="X1246" s="267"/>
      <c r="Y1246" s="267"/>
      <c r="Z1246" s="267"/>
      <c r="AA1246" s="267"/>
      <c r="AB1246" s="267"/>
      <c r="AC1246" s="267"/>
      <c r="AD1246" s="261"/>
      <c r="AE1246" s="261"/>
      <c r="AF1246" s="257"/>
      <c r="AG1246" s="257"/>
    </row>
    <row r="1247">
      <c r="A1247" s="284"/>
      <c r="B1247" s="251"/>
      <c r="C1247" s="251"/>
      <c r="D1247" s="261"/>
      <c r="E1247" s="261"/>
      <c r="F1247" s="261"/>
      <c r="G1247" s="261"/>
      <c r="H1247" s="261"/>
      <c r="I1247" s="261"/>
      <c r="J1247" s="261"/>
      <c r="K1247" s="262"/>
      <c r="L1247" s="261"/>
      <c r="M1247" s="262"/>
      <c r="N1247" s="262"/>
      <c r="O1247" s="261"/>
      <c r="P1247" s="262"/>
      <c r="Q1247" s="262"/>
      <c r="R1247" s="261"/>
      <c r="S1247" s="263"/>
      <c r="T1247" s="261"/>
      <c r="U1247" s="269"/>
      <c r="V1247" s="285"/>
      <c r="W1247" s="286"/>
      <c r="X1247" s="267"/>
      <c r="Y1247" s="267"/>
      <c r="Z1247" s="267"/>
      <c r="AA1247" s="267"/>
      <c r="AB1247" s="267"/>
      <c r="AC1247" s="267"/>
      <c r="AD1247" s="261"/>
      <c r="AE1247" s="261"/>
      <c r="AF1247" s="257"/>
      <c r="AG1247" s="257"/>
    </row>
    <row r="1248">
      <c r="A1248" s="284"/>
      <c r="B1248" s="251"/>
      <c r="C1248" s="251"/>
      <c r="D1248" s="261"/>
      <c r="E1248" s="261"/>
      <c r="F1248" s="261"/>
      <c r="G1248" s="261"/>
      <c r="H1248" s="261"/>
      <c r="I1248" s="261"/>
      <c r="J1248" s="261"/>
      <c r="K1248" s="262"/>
      <c r="L1248" s="261"/>
      <c r="M1248" s="262"/>
      <c r="N1248" s="262"/>
      <c r="O1248" s="261"/>
      <c r="P1248" s="262"/>
      <c r="Q1248" s="262"/>
      <c r="R1248" s="261"/>
      <c r="S1248" s="263"/>
      <c r="T1248" s="261"/>
      <c r="U1248" s="269"/>
      <c r="V1248" s="285"/>
      <c r="W1248" s="286"/>
      <c r="X1248" s="267"/>
      <c r="Y1248" s="267"/>
      <c r="Z1248" s="267"/>
      <c r="AA1248" s="267"/>
      <c r="AB1248" s="267"/>
      <c r="AC1248" s="267"/>
      <c r="AD1248" s="261"/>
      <c r="AE1248" s="261"/>
      <c r="AF1248" s="257"/>
      <c r="AG1248" s="257"/>
    </row>
    <row r="1249">
      <c r="A1249" s="284"/>
      <c r="B1249" s="251"/>
      <c r="C1249" s="251"/>
      <c r="D1249" s="261"/>
      <c r="E1249" s="261"/>
      <c r="F1249" s="261"/>
      <c r="G1249" s="261"/>
      <c r="H1249" s="261"/>
      <c r="I1249" s="261"/>
      <c r="J1249" s="261"/>
      <c r="K1249" s="262"/>
      <c r="L1249" s="261"/>
      <c r="M1249" s="262"/>
      <c r="N1249" s="262"/>
      <c r="O1249" s="261"/>
      <c r="P1249" s="262"/>
      <c r="Q1249" s="262"/>
      <c r="R1249" s="261"/>
      <c r="S1249" s="263"/>
      <c r="T1249" s="261"/>
      <c r="U1249" s="269"/>
      <c r="V1249" s="285"/>
      <c r="W1249" s="286"/>
      <c r="X1249" s="267"/>
      <c r="Y1249" s="267"/>
      <c r="Z1249" s="267"/>
      <c r="AA1249" s="267"/>
      <c r="AB1249" s="267"/>
      <c r="AC1249" s="267"/>
      <c r="AD1249" s="261"/>
      <c r="AE1249" s="261"/>
      <c r="AF1249" s="257"/>
      <c r="AG1249" s="257"/>
    </row>
    <row r="1250">
      <c r="A1250" s="284"/>
      <c r="B1250" s="251"/>
      <c r="C1250" s="251"/>
      <c r="D1250" s="261"/>
      <c r="E1250" s="261"/>
      <c r="F1250" s="261"/>
      <c r="G1250" s="261"/>
      <c r="H1250" s="261"/>
      <c r="I1250" s="261"/>
      <c r="J1250" s="261"/>
      <c r="K1250" s="262"/>
      <c r="L1250" s="261"/>
      <c r="M1250" s="262"/>
      <c r="N1250" s="262"/>
      <c r="O1250" s="261"/>
      <c r="P1250" s="262"/>
      <c r="Q1250" s="262"/>
      <c r="R1250" s="261"/>
      <c r="S1250" s="263"/>
      <c r="T1250" s="261"/>
      <c r="U1250" s="269"/>
      <c r="V1250" s="285"/>
      <c r="W1250" s="286"/>
      <c r="X1250" s="267"/>
      <c r="Y1250" s="267"/>
      <c r="Z1250" s="267"/>
      <c r="AA1250" s="267"/>
      <c r="AB1250" s="267"/>
      <c r="AC1250" s="267"/>
      <c r="AD1250" s="261"/>
      <c r="AE1250" s="261"/>
      <c r="AF1250" s="257"/>
      <c r="AG1250" s="257"/>
    </row>
    <row r="1251">
      <c r="A1251" s="284"/>
      <c r="B1251" s="251"/>
      <c r="C1251" s="251"/>
      <c r="D1251" s="261"/>
      <c r="E1251" s="261"/>
      <c r="F1251" s="261"/>
      <c r="G1251" s="261"/>
      <c r="H1251" s="261"/>
      <c r="I1251" s="261"/>
      <c r="J1251" s="261"/>
      <c r="K1251" s="262"/>
      <c r="L1251" s="261"/>
      <c r="M1251" s="262"/>
      <c r="N1251" s="262"/>
      <c r="O1251" s="261"/>
      <c r="P1251" s="262"/>
      <c r="Q1251" s="262"/>
      <c r="R1251" s="261"/>
      <c r="S1251" s="263"/>
      <c r="T1251" s="261"/>
      <c r="U1251" s="269"/>
      <c r="V1251" s="285"/>
      <c r="W1251" s="286"/>
      <c r="X1251" s="267"/>
      <c r="Y1251" s="267"/>
      <c r="Z1251" s="267"/>
      <c r="AA1251" s="267"/>
      <c r="AB1251" s="267"/>
      <c r="AC1251" s="267"/>
      <c r="AD1251" s="261"/>
      <c r="AE1251" s="261"/>
      <c r="AF1251" s="257"/>
      <c r="AG1251" s="257"/>
    </row>
    <row r="1252">
      <c r="A1252" s="284"/>
      <c r="B1252" s="251"/>
      <c r="C1252" s="251"/>
      <c r="D1252" s="261"/>
      <c r="E1252" s="261"/>
      <c r="F1252" s="261"/>
      <c r="G1252" s="261"/>
      <c r="H1252" s="261"/>
      <c r="I1252" s="261"/>
      <c r="J1252" s="261"/>
      <c r="K1252" s="262"/>
      <c r="L1252" s="261"/>
      <c r="M1252" s="262"/>
      <c r="N1252" s="262"/>
      <c r="O1252" s="261"/>
      <c r="P1252" s="262"/>
      <c r="Q1252" s="262"/>
      <c r="R1252" s="261"/>
      <c r="S1252" s="263"/>
      <c r="T1252" s="261"/>
      <c r="U1252" s="269"/>
      <c r="V1252" s="285"/>
      <c r="W1252" s="286"/>
      <c r="X1252" s="267"/>
      <c r="Y1252" s="267"/>
      <c r="Z1252" s="267"/>
      <c r="AA1252" s="267"/>
      <c r="AB1252" s="267"/>
      <c r="AC1252" s="267"/>
      <c r="AD1252" s="261"/>
      <c r="AE1252" s="261"/>
      <c r="AF1252" s="257"/>
      <c r="AG1252" s="257"/>
    </row>
    <row r="1253">
      <c r="A1253" s="284"/>
      <c r="B1253" s="251"/>
      <c r="C1253" s="251"/>
      <c r="D1253" s="261"/>
      <c r="E1253" s="261"/>
      <c r="F1253" s="261"/>
      <c r="G1253" s="261"/>
      <c r="H1253" s="261"/>
      <c r="I1253" s="261"/>
      <c r="J1253" s="261"/>
      <c r="K1253" s="262"/>
      <c r="L1253" s="261"/>
      <c r="M1253" s="262"/>
      <c r="N1253" s="262"/>
      <c r="O1253" s="261"/>
      <c r="P1253" s="262"/>
      <c r="Q1253" s="262"/>
      <c r="R1253" s="261"/>
      <c r="S1253" s="263"/>
      <c r="T1253" s="261"/>
      <c r="U1253" s="269"/>
      <c r="V1253" s="285"/>
      <c r="W1253" s="286"/>
      <c r="X1253" s="267"/>
      <c r="Y1253" s="267"/>
      <c r="Z1253" s="267"/>
      <c r="AA1253" s="267"/>
      <c r="AB1253" s="267"/>
      <c r="AC1253" s="267"/>
      <c r="AD1253" s="261"/>
      <c r="AE1253" s="261"/>
      <c r="AF1253" s="257"/>
      <c r="AG1253" s="257"/>
    </row>
    <row r="1254">
      <c r="A1254" s="284"/>
      <c r="B1254" s="251"/>
      <c r="C1254" s="251"/>
      <c r="D1254" s="261"/>
      <c r="E1254" s="261"/>
      <c r="F1254" s="261"/>
      <c r="G1254" s="261"/>
      <c r="H1254" s="261"/>
      <c r="I1254" s="261"/>
      <c r="J1254" s="261"/>
      <c r="K1254" s="262"/>
      <c r="L1254" s="261"/>
      <c r="M1254" s="262"/>
      <c r="N1254" s="262"/>
      <c r="O1254" s="261"/>
      <c r="P1254" s="262"/>
      <c r="Q1254" s="262"/>
      <c r="R1254" s="261"/>
      <c r="S1254" s="263"/>
      <c r="T1254" s="261"/>
      <c r="U1254" s="269"/>
      <c r="V1254" s="285"/>
      <c r="W1254" s="286"/>
      <c r="X1254" s="267"/>
      <c r="Y1254" s="267"/>
      <c r="Z1254" s="267"/>
      <c r="AA1254" s="267"/>
      <c r="AB1254" s="267"/>
      <c r="AC1254" s="267"/>
      <c r="AD1254" s="261"/>
      <c r="AE1254" s="261"/>
      <c r="AF1254" s="257"/>
      <c r="AG1254" s="257"/>
    </row>
    <row r="1255">
      <c r="A1255" s="284"/>
      <c r="B1255" s="251"/>
      <c r="C1255" s="251"/>
      <c r="D1255" s="261"/>
      <c r="E1255" s="261"/>
      <c r="F1255" s="261"/>
      <c r="G1255" s="261"/>
      <c r="H1255" s="261"/>
      <c r="I1255" s="261"/>
      <c r="J1255" s="261"/>
      <c r="K1255" s="262"/>
      <c r="L1255" s="261"/>
      <c r="M1255" s="262"/>
      <c r="N1255" s="262"/>
      <c r="O1255" s="261"/>
      <c r="P1255" s="262"/>
      <c r="Q1255" s="262"/>
      <c r="R1255" s="261"/>
      <c r="S1255" s="263"/>
      <c r="T1255" s="261"/>
      <c r="U1255" s="269"/>
      <c r="V1255" s="285"/>
      <c r="W1255" s="286"/>
      <c r="X1255" s="267"/>
      <c r="Y1255" s="267"/>
      <c r="Z1255" s="267"/>
      <c r="AA1255" s="267"/>
      <c r="AB1255" s="267"/>
      <c r="AC1255" s="267"/>
      <c r="AD1255" s="261"/>
      <c r="AE1255" s="261"/>
      <c r="AF1255" s="257"/>
      <c r="AG1255" s="257"/>
    </row>
    <row r="1256">
      <c r="A1256" s="284"/>
      <c r="B1256" s="251"/>
      <c r="C1256" s="251"/>
      <c r="D1256" s="261"/>
      <c r="E1256" s="261"/>
      <c r="F1256" s="261"/>
      <c r="G1256" s="261"/>
      <c r="H1256" s="261"/>
      <c r="I1256" s="261"/>
      <c r="J1256" s="261"/>
      <c r="K1256" s="262"/>
      <c r="L1256" s="261"/>
      <c r="M1256" s="262"/>
      <c r="N1256" s="262"/>
      <c r="O1256" s="261"/>
      <c r="P1256" s="262"/>
      <c r="Q1256" s="262"/>
      <c r="R1256" s="261"/>
      <c r="S1256" s="263"/>
      <c r="T1256" s="261"/>
      <c r="U1256" s="269"/>
      <c r="V1256" s="285"/>
      <c r="W1256" s="286"/>
      <c r="X1256" s="267"/>
      <c r="Y1256" s="267"/>
      <c r="Z1256" s="267"/>
      <c r="AA1256" s="267"/>
      <c r="AB1256" s="267"/>
      <c r="AC1256" s="267"/>
      <c r="AD1256" s="261"/>
      <c r="AE1256" s="261"/>
      <c r="AF1256" s="257"/>
      <c r="AG1256" s="257"/>
    </row>
    <row r="1257">
      <c r="A1257" s="284"/>
      <c r="B1257" s="251"/>
      <c r="C1257" s="251"/>
      <c r="D1257" s="261"/>
      <c r="E1257" s="261"/>
      <c r="F1257" s="261"/>
      <c r="G1257" s="261"/>
      <c r="H1257" s="261"/>
      <c r="I1257" s="261"/>
      <c r="J1257" s="261"/>
      <c r="K1257" s="262"/>
      <c r="L1257" s="261"/>
      <c r="M1257" s="262"/>
      <c r="N1257" s="262"/>
      <c r="O1257" s="261"/>
      <c r="P1257" s="262"/>
      <c r="Q1257" s="262"/>
      <c r="R1257" s="261"/>
      <c r="S1257" s="263"/>
      <c r="T1257" s="261"/>
      <c r="U1257" s="269"/>
      <c r="V1257" s="285"/>
      <c r="W1257" s="286"/>
      <c r="X1257" s="267"/>
      <c r="Y1257" s="267"/>
      <c r="Z1257" s="267"/>
      <c r="AA1257" s="267"/>
      <c r="AB1257" s="267"/>
      <c r="AC1257" s="267"/>
      <c r="AD1257" s="261"/>
      <c r="AE1257" s="261"/>
      <c r="AF1257" s="257"/>
      <c r="AG1257" s="257"/>
    </row>
    <row r="1258">
      <c r="A1258" s="284"/>
      <c r="B1258" s="251"/>
      <c r="C1258" s="251"/>
      <c r="D1258" s="261"/>
      <c r="E1258" s="261"/>
      <c r="F1258" s="261"/>
      <c r="G1258" s="261"/>
      <c r="H1258" s="261"/>
      <c r="I1258" s="261"/>
      <c r="J1258" s="261"/>
      <c r="K1258" s="262"/>
      <c r="L1258" s="261"/>
      <c r="M1258" s="262"/>
      <c r="N1258" s="262"/>
      <c r="O1258" s="261"/>
      <c r="P1258" s="262"/>
      <c r="Q1258" s="262"/>
      <c r="R1258" s="261"/>
      <c r="S1258" s="263"/>
      <c r="T1258" s="261"/>
      <c r="U1258" s="269"/>
      <c r="V1258" s="285"/>
      <c r="W1258" s="286"/>
      <c r="X1258" s="267"/>
      <c r="Y1258" s="267"/>
      <c r="Z1258" s="267"/>
      <c r="AA1258" s="267"/>
      <c r="AB1258" s="267"/>
      <c r="AC1258" s="267"/>
      <c r="AD1258" s="261"/>
      <c r="AE1258" s="261"/>
      <c r="AF1258" s="257"/>
      <c r="AG1258" s="257"/>
    </row>
    <row r="1259">
      <c r="A1259" s="284"/>
      <c r="B1259" s="251"/>
      <c r="C1259" s="251"/>
      <c r="D1259" s="261"/>
      <c r="E1259" s="261"/>
      <c r="F1259" s="261"/>
      <c r="G1259" s="261"/>
      <c r="H1259" s="261"/>
      <c r="I1259" s="261"/>
      <c r="J1259" s="261"/>
      <c r="K1259" s="262"/>
      <c r="L1259" s="261"/>
      <c r="M1259" s="262"/>
      <c r="N1259" s="262"/>
      <c r="O1259" s="261"/>
      <c r="P1259" s="262"/>
      <c r="Q1259" s="262"/>
      <c r="R1259" s="261"/>
      <c r="S1259" s="263"/>
      <c r="T1259" s="261"/>
      <c r="U1259" s="269"/>
      <c r="V1259" s="285"/>
      <c r="W1259" s="286"/>
      <c r="X1259" s="267"/>
      <c r="Y1259" s="267"/>
      <c r="Z1259" s="267"/>
      <c r="AA1259" s="267"/>
      <c r="AB1259" s="267"/>
      <c r="AC1259" s="267"/>
      <c r="AD1259" s="261"/>
      <c r="AE1259" s="261"/>
      <c r="AF1259" s="257"/>
      <c r="AG1259" s="257"/>
    </row>
    <row r="1260">
      <c r="A1260" s="284"/>
      <c r="B1260" s="251"/>
      <c r="C1260" s="251"/>
      <c r="D1260" s="261"/>
      <c r="E1260" s="261"/>
      <c r="F1260" s="261"/>
      <c r="G1260" s="261"/>
      <c r="H1260" s="261"/>
      <c r="I1260" s="261"/>
      <c r="J1260" s="261"/>
      <c r="K1260" s="262"/>
      <c r="L1260" s="261"/>
      <c r="M1260" s="262"/>
      <c r="N1260" s="262"/>
      <c r="O1260" s="261"/>
      <c r="P1260" s="262"/>
      <c r="Q1260" s="262"/>
      <c r="R1260" s="261"/>
      <c r="S1260" s="263"/>
      <c r="T1260" s="261"/>
      <c r="U1260" s="269"/>
      <c r="V1260" s="285"/>
      <c r="W1260" s="286"/>
      <c r="X1260" s="267"/>
      <c r="Y1260" s="267"/>
      <c r="Z1260" s="267"/>
      <c r="AA1260" s="267"/>
      <c r="AB1260" s="267"/>
      <c r="AC1260" s="267"/>
      <c r="AD1260" s="261"/>
      <c r="AE1260" s="261"/>
      <c r="AF1260" s="257"/>
      <c r="AG1260" s="257"/>
    </row>
    <row r="1261">
      <c r="A1261" s="284"/>
      <c r="B1261" s="251"/>
      <c r="C1261" s="251"/>
      <c r="D1261" s="261"/>
      <c r="E1261" s="261"/>
      <c r="F1261" s="261"/>
      <c r="G1261" s="261"/>
      <c r="H1261" s="261"/>
      <c r="I1261" s="261"/>
      <c r="J1261" s="261"/>
      <c r="K1261" s="262"/>
      <c r="L1261" s="261"/>
      <c r="M1261" s="262"/>
      <c r="N1261" s="262"/>
      <c r="O1261" s="261"/>
      <c r="P1261" s="262"/>
      <c r="Q1261" s="262"/>
      <c r="R1261" s="261"/>
      <c r="S1261" s="263"/>
      <c r="T1261" s="261"/>
      <c r="U1261" s="269"/>
      <c r="V1261" s="285"/>
      <c r="W1261" s="286"/>
      <c r="X1261" s="267"/>
      <c r="Y1261" s="267"/>
      <c r="Z1261" s="267"/>
      <c r="AA1261" s="267"/>
      <c r="AB1261" s="267"/>
      <c r="AC1261" s="267"/>
      <c r="AD1261" s="261"/>
      <c r="AE1261" s="261"/>
      <c r="AF1261" s="257"/>
      <c r="AG1261" s="257"/>
    </row>
    <row r="1262">
      <c r="A1262" s="284"/>
      <c r="B1262" s="251"/>
      <c r="C1262" s="251"/>
      <c r="D1262" s="261"/>
      <c r="E1262" s="261"/>
      <c r="F1262" s="261"/>
      <c r="G1262" s="261"/>
      <c r="H1262" s="261"/>
      <c r="I1262" s="261"/>
      <c r="J1262" s="261"/>
      <c r="K1262" s="262"/>
      <c r="L1262" s="261"/>
      <c r="M1262" s="262"/>
      <c r="N1262" s="262"/>
      <c r="O1262" s="261"/>
      <c r="P1262" s="262"/>
      <c r="Q1262" s="262"/>
      <c r="R1262" s="261"/>
      <c r="S1262" s="263"/>
      <c r="T1262" s="261"/>
      <c r="U1262" s="269"/>
      <c r="V1262" s="285"/>
      <c r="W1262" s="286"/>
      <c r="X1262" s="267"/>
      <c r="Y1262" s="267"/>
      <c r="Z1262" s="267"/>
      <c r="AA1262" s="267"/>
      <c r="AB1262" s="267"/>
      <c r="AC1262" s="267"/>
      <c r="AD1262" s="261"/>
      <c r="AE1262" s="261"/>
      <c r="AF1262" s="257"/>
      <c r="AG1262" s="257"/>
    </row>
    <row r="1263">
      <c r="A1263" s="284"/>
      <c r="B1263" s="251"/>
      <c r="C1263" s="251"/>
      <c r="D1263" s="261"/>
      <c r="E1263" s="261"/>
      <c r="F1263" s="261"/>
      <c r="G1263" s="261"/>
      <c r="H1263" s="261"/>
      <c r="I1263" s="261"/>
      <c r="J1263" s="261"/>
      <c r="K1263" s="262"/>
      <c r="L1263" s="261"/>
      <c r="M1263" s="262"/>
      <c r="N1263" s="262"/>
      <c r="O1263" s="261"/>
      <c r="P1263" s="262"/>
      <c r="Q1263" s="262"/>
      <c r="R1263" s="261"/>
      <c r="S1263" s="263"/>
      <c r="T1263" s="261"/>
      <c r="U1263" s="269"/>
      <c r="V1263" s="285"/>
      <c r="W1263" s="286"/>
      <c r="X1263" s="267"/>
      <c r="Y1263" s="267"/>
      <c r="Z1263" s="267"/>
      <c r="AA1263" s="267"/>
      <c r="AB1263" s="267"/>
      <c r="AC1263" s="267"/>
      <c r="AD1263" s="261"/>
      <c r="AE1263" s="261"/>
      <c r="AF1263" s="257"/>
      <c r="AG1263" s="257"/>
    </row>
    <row r="1264">
      <c r="A1264" s="284"/>
      <c r="B1264" s="251"/>
      <c r="C1264" s="251"/>
      <c r="D1264" s="261"/>
      <c r="E1264" s="261"/>
      <c r="F1264" s="261"/>
      <c r="G1264" s="261"/>
      <c r="H1264" s="261"/>
      <c r="I1264" s="261"/>
      <c r="J1264" s="261"/>
      <c r="K1264" s="262"/>
      <c r="L1264" s="261"/>
      <c r="M1264" s="262"/>
      <c r="N1264" s="262"/>
      <c r="O1264" s="261"/>
      <c r="P1264" s="262"/>
      <c r="Q1264" s="262"/>
      <c r="R1264" s="261"/>
      <c r="S1264" s="263"/>
      <c r="T1264" s="261"/>
      <c r="U1264" s="269"/>
      <c r="V1264" s="285"/>
      <c r="W1264" s="286"/>
      <c r="X1264" s="267"/>
      <c r="Y1264" s="267"/>
      <c r="Z1264" s="267"/>
      <c r="AA1264" s="267"/>
      <c r="AB1264" s="267"/>
      <c r="AC1264" s="267"/>
      <c r="AD1264" s="261"/>
      <c r="AE1264" s="261"/>
      <c r="AF1264" s="257"/>
      <c r="AG1264" s="257"/>
    </row>
    <row r="1265">
      <c r="A1265" s="284"/>
      <c r="B1265" s="251"/>
      <c r="C1265" s="251"/>
      <c r="D1265" s="261"/>
      <c r="E1265" s="261"/>
      <c r="F1265" s="261"/>
      <c r="G1265" s="261"/>
      <c r="H1265" s="261"/>
      <c r="I1265" s="261"/>
      <c r="J1265" s="261"/>
      <c r="K1265" s="262"/>
      <c r="L1265" s="261"/>
      <c r="M1265" s="262"/>
      <c r="N1265" s="262"/>
      <c r="O1265" s="261"/>
      <c r="P1265" s="262"/>
      <c r="Q1265" s="262"/>
      <c r="R1265" s="261"/>
      <c r="S1265" s="263"/>
      <c r="T1265" s="261"/>
      <c r="U1265" s="269"/>
      <c r="V1265" s="285"/>
      <c r="W1265" s="286"/>
      <c r="X1265" s="267"/>
      <c r="Y1265" s="267"/>
      <c r="Z1265" s="267"/>
      <c r="AA1265" s="267"/>
      <c r="AB1265" s="267"/>
      <c r="AC1265" s="267"/>
      <c r="AD1265" s="261"/>
      <c r="AE1265" s="261"/>
      <c r="AF1265" s="257"/>
      <c r="AG1265" s="257"/>
    </row>
    <row r="1266">
      <c r="A1266" s="284"/>
      <c r="B1266" s="251"/>
      <c r="C1266" s="251"/>
      <c r="D1266" s="261"/>
      <c r="E1266" s="261"/>
      <c r="F1266" s="261"/>
      <c r="G1266" s="261"/>
      <c r="H1266" s="261"/>
      <c r="I1266" s="261"/>
      <c r="J1266" s="261"/>
      <c r="K1266" s="262"/>
      <c r="L1266" s="261"/>
      <c r="M1266" s="262"/>
      <c r="N1266" s="262"/>
      <c r="O1266" s="261"/>
      <c r="P1266" s="262"/>
      <c r="Q1266" s="262"/>
      <c r="R1266" s="261"/>
      <c r="S1266" s="263"/>
      <c r="T1266" s="261"/>
      <c r="U1266" s="269"/>
      <c r="V1266" s="285"/>
      <c r="W1266" s="286"/>
      <c r="X1266" s="267"/>
      <c r="Y1266" s="267"/>
      <c r="Z1266" s="267"/>
      <c r="AA1266" s="267"/>
      <c r="AB1266" s="267"/>
      <c r="AC1266" s="267"/>
      <c r="AD1266" s="261"/>
      <c r="AE1266" s="261"/>
      <c r="AF1266" s="257"/>
      <c r="AG1266" s="257"/>
    </row>
    <row r="1267">
      <c r="A1267" s="284"/>
      <c r="B1267" s="251"/>
      <c r="C1267" s="251"/>
      <c r="D1267" s="261"/>
      <c r="E1267" s="261"/>
      <c r="F1267" s="261"/>
      <c r="G1267" s="261"/>
      <c r="H1267" s="261"/>
      <c r="I1267" s="261"/>
      <c r="J1267" s="261"/>
      <c r="K1267" s="262"/>
      <c r="L1267" s="261"/>
      <c r="M1267" s="262"/>
      <c r="N1267" s="262"/>
      <c r="O1267" s="261"/>
      <c r="P1267" s="262"/>
      <c r="Q1267" s="262"/>
      <c r="R1267" s="261"/>
      <c r="S1267" s="263"/>
      <c r="T1267" s="261"/>
      <c r="U1267" s="269"/>
      <c r="V1267" s="285"/>
      <c r="W1267" s="286"/>
      <c r="X1267" s="267"/>
      <c r="Y1267" s="267"/>
      <c r="Z1267" s="267"/>
      <c r="AA1267" s="267"/>
      <c r="AB1267" s="267"/>
      <c r="AC1267" s="267"/>
      <c r="AD1267" s="261"/>
      <c r="AE1267" s="261"/>
      <c r="AF1267" s="257"/>
      <c r="AG1267" s="257"/>
    </row>
    <row r="1268">
      <c r="A1268" s="284"/>
      <c r="B1268" s="251"/>
      <c r="C1268" s="251"/>
      <c r="D1268" s="261"/>
      <c r="E1268" s="261"/>
      <c r="F1268" s="261"/>
      <c r="G1268" s="261"/>
      <c r="H1268" s="261"/>
      <c r="I1268" s="261"/>
      <c r="J1268" s="261"/>
      <c r="K1268" s="262"/>
      <c r="L1268" s="261"/>
      <c r="M1268" s="262"/>
      <c r="N1268" s="262"/>
      <c r="O1268" s="261"/>
      <c r="P1268" s="262"/>
      <c r="Q1268" s="262"/>
      <c r="R1268" s="261"/>
      <c r="S1268" s="263"/>
      <c r="T1268" s="261"/>
      <c r="U1268" s="269"/>
      <c r="V1268" s="285"/>
      <c r="W1268" s="286"/>
      <c r="X1268" s="267"/>
      <c r="Y1268" s="267"/>
      <c r="Z1268" s="267"/>
      <c r="AA1268" s="267"/>
      <c r="AB1268" s="267"/>
      <c r="AC1268" s="267"/>
      <c r="AD1268" s="261"/>
      <c r="AE1268" s="261"/>
      <c r="AF1268" s="257"/>
      <c r="AG1268" s="257"/>
    </row>
    <row r="1269">
      <c r="A1269" s="284"/>
      <c r="B1269" s="251"/>
      <c r="C1269" s="251"/>
      <c r="D1269" s="261"/>
      <c r="E1269" s="261"/>
      <c r="F1269" s="261"/>
      <c r="G1269" s="261"/>
      <c r="H1269" s="261"/>
      <c r="I1269" s="261"/>
      <c r="J1269" s="261"/>
      <c r="K1269" s="262"/>
      <c r="L1269" s="261"/>
      <c r="M1269" s="262"/>
      <c r="N1269" s="262"/>
      <c r="O1269" s="261"/>
      <c r="P1269" s="262"/>
      <c r="Q1269" s="262"/>
      <c r="R1269" s="261"/>
      <c r="S1269" s="263"/>
      <c r="T1269" s="261"/>
      <c r="U1269" s="269"/>
      <c r="V1269" s="285"/>
      <c r="W1269" s="286"/>
      <c r="X1269" s="267"/>
      <c r="Y1269" s="267"/>
      <c r="Z1269" s="267"/>
      <c r="AA1269" s="267"/>
      <c r="AB1269" s="267"/>
      <c r="AC1269" s="267"/>
      <c r="AD1269" s="261"/>
      <c r="AE1269" s="261"/>
      <c r="AF1269" s="257"/>
      <c r="AG1269" s="257"/>
    </row>
    <row r="1270">
      <c r="A1270" s="284"/>
      <c r="B1270" s="251"/>
      <c r="C1270" s="251"/>
      <c r="D1270" s="261"/>
      <c r="E1270" s="261"/>
      <c r="F1270" s="261"/>
      <c r="G1270" s="261"/>
      <c r="H1270" s="261"/>
      <c r="I1270" s="261"/>
      <c r="J1270" s="261"/>
      <c r="K1270" s="262"/>
      <c r="L1270" s="261"/>
      <c r="M1270" s="262"/>
      <c r="N1270" s="262"/>
      <c r="O1270" s="261"/>
      <c r="P1270" s="262"/>
      <c r="Q1270" s="262"/>
      <c r="R1270" s="261"/>
      <c r="S1270" s="263"/>
      <c r="T1270" s="261"/>
      <c r="U1270" s="269"/>
      <c r="V1270" s="285"/>
      <c r="W1270" s="286"/>
      <c r="X1270" s="267"/>
      <c r="Y1270" s="267"/>
      <c r="Z1270" s="267"/>
      <c r="AA1270" s="267"/>
      <c r="AB1270" s="267"/>
      <c r="AC1270" s="267"/>
      <c r="AD1270" s="261"/>
      <c r="AE1270" s="261"/>
      <c r="AF1270" s="257"/>
      <c r="AG1270" s="257"/>
    </row>
    <row r="1271">
      <c r="A1271" s="284"/>
      <c r="B1271" s="251"/>
      <c r="C1271" s="251"/>
      <c r="D1271" s="261"/>
      <c r="E1271" s="261"/>
      <c r="F1271" s="261"/>
      <c r="G1271" s="261"/>
      <c r="H1271" s="261"/>
      <c r="I1271" s="261"/>
      <c r="J1271" s="261"/>
      <c r="K1271" s="262"/>
      <c r="L1271" s="261"/>
      <c r="M1271" s="262"/>
      <c r="N1271" s="262"/>
      <c r="O1271" s="261"/>
      <c r="P1271" s="262"/>
      <c r="Q1271" s="262"/>
      <c r="R1271" s="261"/>
      <c r="S1271" s="263"/>
      <c r="T1271" s="261"/>
      <c r="U1271" s="269"/>
      <c r="V1271" s="285"/>
      <c r="W1271" s="286"/>
      <c r="X1271" s="267"/>
      <c r="Y1271" s="267"/>
      <c r="Z1271" s="267"/>
      <c r="AA1271" s="267"/>
      <c r="AB1271" s="267"/>
      <c r="AC1271" s="267"/>
      <c r="AD1271" s="261"/>
      <c r="AE1271" s="261"/>
      <c r="AF1271" s="257"/>
      <c r="AG1271" s="257"/>
    </row>
    <row r="1272">
      <c r="A1272" s="284"/>
      <c r="B1272" s="251"/>
      <c r="C1272" s="251"/>
      <c r="D1272" s="261"/>
      <c r="E1272" s="261"/>
      <c r="F1272" s="261"/>
      <c r="G1272" s="261"/>
      <c r="H1272" s="261"/>
      <c r="I1272" s="261"/>
      <c r="J1272" s="261"/>
      <c r="K1272" s="262"/>
      <c r="L1272" s="261"/>
      <c r="M1272" s="262"/>
      <c r="N1272" s="262"/>
      <c r="O1272" s="261"/>
      <c r="P1272" s="262"/>
      <c r="Q1272" s="262"/>
      <c r="R1272" s="261"/>
      <c r="S1272" s="263"/>
      <c r="T1272" s="261"/>
      <c r="U1272" s="269"/>
      <c r="V1272" s="285"/>
      <c r="W1272" s="286"/>
      <c r="X1272" s="267"/>
      <c r="Y1272" s="267"/>
      <c r="Z1272" s="267"/>
      <c r="AA1272" s="267"/>
      <c r="AB1272" s="267"/>
      <c r="AC1272" s="267"/>
      <c r="AD1272" s="261"/>
      <c r="AE1272" s="261"/>
      <c r="AF1272" s="257"/>
      <c r="AG1272" s="257"/>
    </row>
    <row r="1273">
      <c r="A1273" s="284"/>
      <c r="B1273" s="251"/>
      <c r="C1273" s="251"/>
      <c r="D1273" s="261"/>
      <c r="E1273" s="261"/>
      <c r="F1273" s="261"/>
      <c r="G1273" s="261"/>
      <c r="H1273" s="261"/>
      <c r="I1273" s="261"/>
      <c r="J1273" s="261"/>
      <c r="K1273" s="262"/>
      <c r="L1273" s="261"/>
      <c r="M1273" s="262"/>
      <c r="N1273" s="262"/>
      <c r="O1273" s="261"/>
      <c r="P1273" s="262"/>
      <c r="Q1273" s="262"/>
      <c r="R1273" s="261"/>
      <c r="S1273" s="263"/>
      <c r="T1273" s="261"/>
      <c r="U1273" s="269"/>
      <c r="V1273" s="285"/>
      <c r="W1273" s="286"/>
      <c r="X1273" s="267"/>
      <c r="Y1273" s="267"/>
      <c r="Z1273" s="267"/>
      <c r="AA1273" s="267"/>
      <c r="AB1273" s="267"/>
      <c r="AC1273" s="267"/>
      <c r="AD1273" s="261"/>
      <c r="AE1273" s="261"/>
      <c r="AF1273" s="257"/>
      <c r="AG1273" s="257"/>
    </row>
    <row r="1274">
      <c r="A1274" s="284"/>
      <c r="B1274" s="251"/>
      <c r="C1274" s="251"/>
      <c r="D1274" s="261"/>
      <c r="E1274" s="261"/>
      <c r="F1274" s="261"/>
      <c r="G1274" s="261"/>
      <c r="H1274" s="261"/>
      <c r="I1274" s="261"/>
      <c r="J1274" s="261"/>
      <c r="K1274" s="262"/>
      <c r="L1274" s="261"/>
      <c r="M1274" s="262"/>
      <c r="N1274" s="262"/>
      <c r="O1274" s="261"/>
      <c r="P1274" s="262"/>
      <c r="Q1274" s="262"/>
      <c r="R1274" s="261"/>
      <c r="S1274" s="263"/>
      <c r="T1274" s="261"/>
      <c r="U1274" s="269"/>
      <c r="V1274" s="285"/>
      <c r="W1274" s="286"/>
      <c r="X1274" s="267"/>
      <c r="Y1274" s="267"/>
      <c r="Z1274" s="267"/>
      <c r="AA1274" s="267"/>
      <c r="AB1274" s="267"/>
      <c r="AC1274" s="267"/>
      <c r="AD1274" s="261"/>
      <c r="AE1274" s="261"/>
      <c r="AF1274" s="257"/>
      <c r="AG1274" s="257"/>
    </row>
    <row r="1275">
      <c r="A1275" s="284"/>
      <c r="B1275" s="251"/>
      <c r="C1275" s="251"/>
      <c r="D1275" s="261"/>
      <c r="E1275" s="261"/>
      <c r="F1275" s="261"/>
      <c r="G1275" s="261"/>
      <c r="H1275" s="261"/>
      <c r="I1275" s="261"/>
      <c r="J1275" s="261"/>
      <c r="K1275" s="262"/>
      <c r="L1275" s="261"/>
      <c r="M1275" s="262"/>
      <c r="N1275" s="262"/>
      <c r="O1275" s="261"/>
      <c r="P1275" s="262"/>
      <c r="Q1275" s="262"/>
      <c r="R1275" s="261"/>
      <c r="S1275" s="263"/>
      <c r="T1275" s="261"/>
      <c r="U1275" s="269"/>
      <c r="V1275" s="285"/>
      <c r="W1275" s="286"/>
      <c r="X1275" s="267"/>
      <c r="Y1275" s="267"/>
      <c r="Z1275" s="267"/>
      <c r="AA1275" s="267"/>
      <c r="AB1275" s="267"/>
      <c r="AC1275" s="267"/>
      <c r="AD1275" s="261"/>
      <c r="AE1275" s="261"/>
      <c r="AF1275" s="257"/>
      <c r="AG1275" s="257"/>
    </row>
    <row r="1276">
      <c r="A1276" s="284"/>
      <c r="B1276" s="251"/>
      <c r="C1276" s="251"/>
      <c r="D1276" s="261"/>
      <c r="E1276" s="261"/>
      <c r="F1276" s="261"/>
      <c r="G1276" s="261"/>
      <c r="H1276" s="261"/>
      <c r="I1276" s="261"/>
      <c r="J1276" s="261"/>
      <c r="K1276" s="262"/>
      <c r="L1276" s="261"/>
      <c r="M1276" s="262"/>
      <c r="N1276" s="262"/>
      <c r="O1276" s="261"/>
      <c r="P1276" s="262"/>
      <c r="Q1276" s="262"/>
      <c r="R1276" s="261"/>
      <c r="S1276" s="263"/>
      <c r="T1276" s="261"/>
      <c r="U1276" s="269"/>
      <c r="V1276" s="285"/>
      <c r="W1276" s="286"/>
      <c r="X1276" s="267"/>
      <c r="Y1276" s="267"/>
      <c r="Z1276" s="267"/>
      <c r="AA1276" s="267"/>
      <c r="AB1276" s="267"/>
      <c r="AC1276" s="267"/>
      <c r="AD1276" s="261"/>
      <c r="AE1276" s="261"/>
      <c r="AF1276" s="257"/>
      <c r="AG1276" s="257"/>
    </row>
    <row r="1277">
      <c r="A1277" s="284"/>
      <c r="B1277" s="251"/>
      <c r="C1277" s="251"/>
      <c r="D1277" s="261"/>
      <c r="E1277" s="261"/>
      <c r="F1277" s="261"/>
      <c r="G1277" s="261"/>
      <c r="H1277" s="261"/>
      <c r="I1277" s="261"/>
      <c r="J1277" s="261"/>
      <c r="K1277" s="262"/>
      <c r="L1277" s="261"/>
      <c r="M1277" s="262"/>
      <c r="N1277" s="262"/>
      <c r="O1277" s="261"/>
      <c r="P1277" s="262"/>
      <c r="Q1277" s="262"/>
      <c r="R1277" s="261"/>
      <c r="S1277" s="263"/>
      <c r="T1277" s="261"/>
      <c r="U1277" s="269"/>
      <c r="V1277" s="285"/>
      <c r="W1277" s="286"/>
      <c r="X1277" s="267"/>
      <c r="Y1277" s="267"/>
      <c r="Z1277" s="267"/>
      <c r="AA1277" s="267"/>
      <c r="AB1277" s="267"/>
      <c r="AC1277" s="267"/>
      <c r="AD1277" s="261"/>
      <c r="AE1277" s="261"/>
      <c r="AF1277" s="257"/>
      <c r="AG1277" s="257"/>
    </row>
    <row r="1278">
      <c r="A1278" s="284"/>
      <c r="B1278" s="251"/>
      <c r="C1278" s="251"/>
      <c r="D1278" s="261"/>
      <c r="E1278" s="261"/>
      <c r="F1278" s="261"/>
      <c r="G1278" s="261"/>
      <c r="H1278" s="261"/>
      <c r="I1278" s="261"/>
      <c r="J1278" s="261"/>
      <c r="K1278" s="262"/>
      <c r="L1278" s="261"/>
      <c r="M1278" s="262"/>
      <c r="N1278" s="262"/>
      <c r="O1278" s="261"/>
      <c r="P1278" s="262"/>
      <c r="Q1278" s="262"/>
      <c r="R1278" s="261"/>
      <c r="S1278" s="263"/>
      <c r="T1278" s="261"/>
      <c r="U1278" s="269"/>
      <c r="V1278" s="285"/>
      <c r="W1278" s="286"/>
      <c r="X1278" s="267"/>
      <c r="Y1278" s="267"/>
      <c r="Z1278" s="267"/>
      <c r="AA1278" s="267"/>
      <c r="AB1278" s="267"/>
      <c r="AC1278" s="267"/>
      <c r="AD1278" s="261"/>
      <c r="AE1278" s="261"/>
      <c r="AF1278" s="257"/>
      <c r="AG1278" s="257"/>
    </row>
    <row r="1279">
      <c r="A1279" s="284"/>
      <c r="B1279" s="251"/>
      <c r="C1279" s="251"/>
      <c r="D1279" s="261"/>
      <c r="E1279" s="261"/>
      <c r="F1279" s="261"/>
      <c r="G1279" s="261"/>
      <c r="H1279" s="261"/>
      <c r="I1279" s="261"/>
      <c r="J1279" s="261"/>
      <c r="K1279" s="262"/>
      <c r="L1279" s="261"/>
      <c r="M1279" s="262"/>
      <c r="N1279" s="262"/>
      <c r="O1279" s="261"/>
      <c r="P1279" s="262"/>
      <c r="Q1279" s="262"/>
      <c r="R1279" s="261"/>
      <c r="S1279" s="263"/>
      <c r="T1279" s="261"/>
      <c r="U1279" s="269"/>
      <c r="V1279" s="285"/>
      <c r="W1279" s="286"/>
      <c r="X1279" s="267"/>
      <c r="Y1279" s="267"/>
      <c r="Z1279" s="267"/>
      <c r="AA1279" s="267"/>
      <c r="AB1279" s="267"/>
      <c r="AC1279" s="267"/>
      <c r="AD1279" s="261"/>
      <c r="AE1279" s="261"/>
      <c r="AF1279" s="257"/>
      <c r="AG1279" s="257"/>
    </row>
    <row r="1280">
      <c r="A1280" s="284"/>
      <c r="B1280" s="251"/>
      <c r="C1280" s="251"/>
      <c r="D1280" s="261"/>
      <c r="E1280" s="261"/>
      <c r="F1280" s="261"/>
      <c r="G1280" s="261"/>
      <c r="H1280" s="261"/>
      <c r="I1280" s="261"/>
      <c r="J1280" s="261"/>
      <c r="K1280" s="262"/>
      <c r="L1280" s="261"/>
      <c r="M1280" s="262"/>
      <c r="N1280" s="262"/>
      <c r="O1280" s="261"/>
      <c r="P1280" s="262"/>
      <c r="Q1280" s="262"/>
      <c r="R1280" s="261"/>
      <c r="S1280" s="263"/>
      <c r="T1280" s="261"/>
      <c r="U1280" s="269"/>
      <c r="V1280" s="285"/>
      <c r="W1280" s="286"/>
      <c r="X1280" s="267"/>
      <c r="Y1280" s="267"/>
      <c r="Z1280" s="267"/>
      <c r="AA1280" s="267"/>
      <c r="AB1280" s="267"/>
      <c r="AC1280" s="267"/>
      <c r="AD1280" s="261"/>
      <c r="AE1280" s="261"/>
      <c r="AF1280" s="257"/>
      <c r="AG1280" s="257"/>
    </row>
    <row r="1281">
      <c r="A1281" s="284"/>
      <c r="B1281" s="251"/>
      <c r="C1281" s="251"/>
      <c r="D1281" s="261"/>
      <c r="E1281" s="261"/>
      <c r="F1281" s="261"/>
      <c r="G1281" s="261"/>
      <c r="H1281" s="261"/>
      <c r="I1281" s="261"/>
      <c r="J1281" s="261"/>
      <c r="K1281" s="262"/>
      <c r="L1281" s="261"/>
      <c r="M1281" s="262"/>
      <c r="N1281" s="262"/>
      <c r="O1281" s="261"/>
      <c r="P1281" s="262"/>
      <c r="Q1281" s="262"/>
      <c r="R1281" s="261"/>
      <c r="S1281" s="263"/>
      <c r="T1281" s="261"/>
      <c r="U1281" s="269"/>
      <c r="V1281" s="285"/>
      <c r="W1281" s="286"/>
      <c r="X1281" s="267"/>
      <c r="Y1281" s="267"/>
      <c r="Z1281" s="267"/>
      <c r="AA1281" s="267"/>
      <c r="AB1281" s="267"/>
      <c r="AC1281" s="267"/>
      <c r="AD1281" s="261"/>
      <c r="AE1281" s="261"/>
      <c r="AF1281" s="257"/>
      <c r="AG1281" s="257"/>
    </row>
    <row r="1282">
      <c r="A1282" s="284"/>
      <c r="B1282" s="251"/>
      <c r="C1282" s="251"/>
      <c r="D1282" s="261"/>
      <c r="E1282" s="261"/>
      <c r="F1282" s="261"/>
      <c r="G1282" s="261"/>
      <c r="H1282" s="261"/>
      <c r="I1282" s="261"/>
      <c r="J1282" s="261"/>
      <c r="K1282" s="262"/>
      <c r="L1282" s="261"/>
      <c r="M1282" s="262"/>
      <c r="N1282" s="262"/>
      <c r="O1282" s="261"/>
      <c r="P1282" s="262"/>
      <c r="Q1282" s="262"/>
      <c r="R1282" s="261"/>
      <c r="S1282" s="263"/>
      <c r="T1282" s="261"/>
      <c r="U1282" s="269"/>
      <c r="V1282" s="285"/>
      <c r="W1282" s="286"/>
      <c r="X1282" s="267"/>
      <c r="Y1282" s="267"/>
      <c r="Z1282" s="267"/>
      <c r="AA1282" s="267"/>
      <c r="AB1282" s="267"/>
      <c r="AC1282" s="267"/>
      <c r="AD1282" s="261"/>
      <c r="AE1282" s="261"/>
      <c r="AF1282" s="257"/>
      <c r="AG1282" s="257"/>
    </row>
    <row r="1283">
      <c r="A1283" s="284"/>
      <c r="B1283" s="251"/>
      <c r="C1283" s="251"/>
      <c r="D1283" s="261"/>
      <c r="E1283" s="261"/>
      <c r="F1283" s="261"/>
      <c r="G1283" s="261"/>
      <c r="H1283" s="261"/>
      <c r="I1283" s="261"/>
      <c r="J1283" s="261"/>
      <c r="K1283" s="262"/>
      <c r="L1283" s="261"/>
      <c r="M1283" s="262"/>
      <c r="N1283" s="262"/>
      <c r="O1283" s="261"/>
      <c r="P1283" s="262"/>
      <c r="Q1283" s="262"/>
      <c r="R1283" s="261"/>
      <c r="S1283" s="263"/>
      <c r="T1283" s="261"/>
      <c r="U1283" s="269"/>
      <c r="V1283" s="285"/>
      <c r="W1283" s="286"/>
      <c r="X1283" s="267"/>
      <c r="Y1283" s="267"/>
      <c r="Z1283" s="267"/>
      <c r="AA1283" s="267"/>
      <c r="AB1283" s="267"/>
      <c r="AC1283" s="267"/>
      <c r="AD1283" s="261"/>
      <c r="AE1283" s="261"/>
      <c r="AF1283" s="257"/>
      <c r="AG1283" s="257"/>
    </row>
    <row r="1284">
      <c r="A1284" s="284"/>
      <c r="B1284" s="251"/>
      <c r="C1284" s="251"/>
      <c r="D1284" s="261"/>
      <c r="E1284" s="261"/>
      <c r="F1284" s="261"/>
      <c r="G1284" s="261"/>
      <c r="H1284" s="261"/>
      <c r="I1284" s="261"/>
      <c r="J1284" s="261"/>
      <c r="K1284" s="262"/>
      <c r="L1284" s="261"/>
      <c r="M1284" s="262"/>
      <c r="N1284" s="262"/>
      <c r="O1284" s="261"/>
      <c r="P1284" s="262"/>
      <c r="Q1284" s="262"/>
      <c r="R1284" s="261"/>
      <c r="S1284" s="263"/>
      <c r="T1284" s="261"/>
      <c r="U1284" s="269"/>
      <c r="V1284" s="285"/>
      <c r="W1284" s="286"/>
      <c r="X1284" s="267"/>
      <c r="Y1284" s="267"/>
      <c r="Z1284" s="267"/>
      <c r="AA1284" s="267"/>
      <c r="AB1284" s="267"/>
      <c r="AC1284" s="267"/>
      <c r="AD1284" s="261"/>
      <c r="AE1284" s="261"/>
      <c r="AF1284" s="257"/>
      <c r="AG1284" s="257"/>
    </row>
    <row r="1285">
      <c r="A1285" s="284"/>
      <c r="B1285" s="251"/>
      <c r="C1285" s="251"/>
      <c r="D1285" s="261"/>
      <c r="E1285" s="261"/>
      <c r="F1285" s="261"/>
      <c r="G1285" s="261"/>
      <c r="H1285" s="261"/>
      <c r="I1285" s="261"/>
      <c r="J1285" s="261"/>
      <c r="K1285" s="262"/>
      <c r="L1285" s="261"/>
      <c r="M1285" s="262"/>
      <c r="N1285" s="262"/>
      <c r="O1285" s="261"/>
      <c r="P1285" s="262"/>
      <c r="Q1285" s="262"/>
      <c r="R1285" s="261"/>
      <c r="S1285" s="263"/>
      <c r="T1285" s="261"/>
      <c r="U1285" s="269"/>
      <c r="V1285" s="285"/>
      <c r="W1285" s="286"/>
      <c r="X1285" s="267"/>
      <c r="Y1285" s="267"/>
      <c r="Z1285" s="267"/>
      <c r="AA1285" s="267"/>
      <c r="AB1285" s="267"/>
      <c r="AC1285" s="267"/>
      <c r="AD1285" s="261"/>
      <c r="AE1285" s="261"/>
      <c r="AF1285" s="257"/>
      <c r="AG1285" s="257"/>
    </row>
    <row r="1286">
      <c r="A1286" s="284"/>
      <c r="B1286" s="251"/>
      <c r="C1286" s="251"/>
      <c r="D1286" s="261"/>
      <c r="E1286" s="261"/>
      <c r="F1286" s="261"/>
      <c r="G1286" s="261"/>
      <c r="H1286" s="261"/>
      <c r="I1286" s="261"/>
      <c r="J1286" s="261"/>
      <c r="K1286" s="262"/>
      <c r="L1286" s="261"/>
      <c r="M1286" s="262"/>
      <c r="N1286" s="262"/>
      <c r="O1286" s="261"/>
      <c r="P1286" s="262"/>
      <c r="Q1286" s="262"/>
      <c r="R1286" s="261"/>
      <c r="S1286" s="263"/>
      <c r="T1286" s="261"/>
      <c r="U1286" s="269"/>
      <c r="V1286" s="285"/>
      <c r="W1286" s="286"/>
      <c r="X1286" s="267"/>
      <c r="Y1286" s="267"/>
      <c r="Z1286" s="267"/>
      <c r="AA1286" s="267"/>
      <c r="AB1286" s="267"/>
      <c r="AC1286" s="267"/>
      <c r="AD1286" s="261"/>
      <c r="AE1286" s="261"/>
      <c r="AF1286" s="257"/>
      <c r="AG1286" s="257"/>
    </row>
    <row r="1287">
      <c r="A1287" s="284"/>
      <c r="B1287" s="251"/>
      <c r="C1287" s="251"/>
      <c r="D1287" s="261"/>
      <c r="E1287" s="261"/>
      <c r="F1287" s="261"/>
      <c r="G1287" s="261"/>
      <c r="H1287" s="261"/>
      <c r="I1287" s="261"/>
      <c r="J1287" s="261"/>
      <c r="K1287" s="262"/>
      <c r="L1287" s="261"/>
      <c r="M1287" s="262"/>
      <c r="N1287" s="262"/>
      <c r="O1287" s="261"/>
      <c r="P1287" s="262"/>
      <c r="Q1287" s="262"/>
      <c r="R1287" s="261"/>
      <c r="S1287" s="263"/>
      <c r="T1287" s="261"/>
      <c r="U1287" s="269"/>
      <c r="V1287" s="285"/>
      <c r="W1287" s="286"/>
      <c r="X1287" s="267"/>
      <c r="Y1287" s="267"/>
      <c r="Z1287" s="267"/>
      <c r="AA1287" s="267"/>
      <c r="AB1287" s="267"/>
      <c r="AC1287" s="267"/>
      <c r="AD1287" s="261"/>
      <c r="AE1287" s="261"/>
      <c r="AF1287" s="257"/>
      <c r="AG1287" s="257"/>
    </row>
    <row r="1288">
      <c r="A1288" s="284"/>
      <c r="B1288" s="251"/>
      <c r="C1288" s="251"/>
      <c r="D1288" s="261"/>
      <c r="E1288" s="261"/>
      <c r="F1288" s="261"/>
      <c r="G1288" s="261"/>
      <c r="H1288" s="261"/>
      <c r="I1288" s="261"/>
      <c r="J1288" s="261"/>
      <c r="K1288" s="262"/>
      <c r="L1288" s="261"/>
      <c r="M1288" s="262"/>
      <c r="N1288" s="262"/>
      <c r="O1288" s="261"/>
      <c r="P1288" s="262"/>
      <c r="Q1288" s="262"/>
      <c r="R1288" s="261"/>
      <c r="S1288" s="263"/>
      <c r="T1288" s="261"/>
      <c r="U1288" s="269"/>
      <c r="V1288" s="285"/>
      <c r="W1288" s="286"/>
      <c r="X1288" s="267"/>
      <c r="Y1288" s="267"/>
      <c r="Z1288" s="267"/>
      <c r="AA1288" s="267"/>
      <c r="AB1288" s="267"/>
      <c r="AC1288" s="267"/>
      <c r="AD1288" s="261"/>
      <c r="AE1288" s="261"/>
      <c r="AF1288" s="257"/>
      <c r="AG1288" s="257"/>
    </row>
    <row r="1289">
      <c r="A1289" s="284"/>
      <c r="B1289" s="251"/>
      <c r="C1289" s="251"/>
      <c r="D1289" s="261"/>
      <c r="E1289" s="261"/>
      <c r="F1289" s="261"/>
      <c r="G1289" s="261"/>
      <c r="H1289" s="261"/>
      <c r="I1289" s="261"/>
      <c r="J1289" s="261"/>
      <c r="K1289" s="262"/>
      <c r="L1289" s="261"/>
      <c r="M1289" s="262"/>
      <c r="N1289" s="262"/>
      <c r="O1289" s="261"/>
      <c r="P1289" s="262"/>
      <c r="Q1289" s="262"/>
      <c r="R1289" s="261"/>
      <c r="S1289" s="263"/>
      <c r="T1289" s="261"/>
      <c r="U1289" s="269"/>
      <c r="V1289" s="285"/>
      <c r="W1289" s="286"/>
      <c r="X1289" s="267"/>
      <c r="Y1289" s="267"/>
      <c r="Z1289" s="267"/>
      <c r="AA1289" s="267"/>
      <c r="AB1289" s="267"/>
      <c r="AC1289" s="267"/>
      <c r="AD1289" s="261"/>
      <c r="AE1289" s="261"/>
      <c r="AF1289" s="257"/>
      <c r="AG1289" s="257"/>
    </row>
    <row r="1290">
      <c r="A1290" s="284"/>
      <c r="B1290" s="251"/>
      <c r="C1290" s="251"/>
      <c r="D1290" s="261"/>
      <c r="E1290" s="261"/>
      <c r="F1290" s="261"/>
      <c r="G1290" s="261"/>
      <c r="H1290" s="261"/>
      <c r="I1290" s="261"/>
      <c r="J1290" s="261"/>
      <c r="K1290" s="262"/>
      <c r="L1290" s="261"/>
      <c r="M1290" s="262"/>
      <c r="N1290" s="262"/>
      <c r="O1290" s="261"/>
      <c r="P1290" s="262"/>
      <c r="Q1290" s="262"/>
      <c r="R1290" s="261"/>
      <c r="S1290" s="263"/>
      <c r="T1290" s="261"/>
      <c r="U1290" s="269"/>
      <c r="V1290" s="285"/>
      <c r="W1290" s="286"/>
      <c r="X1290" s="267"/>
      <c r="Y1290" s="267"/>
      <c r="Z1290" s="267"/>
      <c r="AA1290" s="267"/>
      <c r="AB1290" s="267"/>
      <c r="AC1290" s="267"/>
      <c r="AD1290" s="261"/>
      <c r="AE1290" s="261"/>
      <c r="AF1290" s="257"/>
      <c r="AG1290" s="257"/>
    </row>
    <row r="1291">
      <c r="A1291" s="284"/>
      <c r="B1291" s="251"/>
      <c r="C1291" s="251"/>
      <c r="D1291" s="261"/>
      <c r="E1291" s="261"/>
      <c r="F1291" s="261"/>
      <c r="G1291" s="261"/>
      <c r="H1291" s="261"/>
      <c r="I1291" s="261"/>
      <c r="J1291" s="261"/>
      <c r="K1291" s="262"/>
      <c r="L1291" s="261"/>
      <c r="M1291" s="262"/>
      <c r="N1291" s="262"/>
      <c r="O1291" s="261"/>
      <c r="P1291" s="262"/>
      <c r="Q1291" s="262"/>
      <c r="R1291" s="261"/>
      <c r="S1291" s="263"/>
      <c r="T1291" s="261"/>
      <c r="U1291" s="269"/>
      <c r="V1291" s="285"/>
      <c r="W1291" s="286"/>
      <c r="X1291" s="267"/>
      <c r="Y1291" s="267"/>
      <c r="Z1291" s="267"/>
      <c r="AA1291" s="267"/>
      <c r="AB1291" s="267"/>
      <c r="AC1291" s="267"/>
      <c r="AD1291" s="261"/>
      <c r="AE1291" s="261"/>
      <c r="AF1291" s="257"/>
      <c r="AG1291" s="257"/>
    </row>
    <row r="1292">
      <c r="A1292" s="284"/>
      <c r="B1292" s="251"/>
      <c r="C1292" s="251"/>
      <c r="D1292" s="261"/>
      <c r="E1292" s="261"/>
      <c r="F1292" s="261"/>
      <c r="G1292" s="261"/>
      <c r="H1292" s="261"/>
      <c r="I1292" s="261"/>
      <c r="J1292" s="261"/>
      <c r="K1292" s="262"/>
      <c r="L1292" s="261"/>
      <c r="M1292" s="262"/>
      <c r="N1292" s="262"/>
      <c r="O1292" s="261"/>
      <c r="P1292" s="262"/>
      <c r="Q1292" s="262"/>
      <c r="R1292" s="261"/>
      <c r="S1292" s="263"/>
      <c r="T1292" s="261"/>
      <c r="U1292" s="269"/>
      <c r="V1292" s="285"/>
      <c r="W1292" s="286"/>
      <c r="X1292" s="267"/>
      <c r="Y1292" s="267"/>
      <c r="Z1292" s="267"/>
      <c r="AA1292" s="267"/>
      <c r="AB1292" s="267"/>
      <c r="AC1292" s="267"/>
      <c r="AD1292" s="261"/>
      <c r="AE1292" s="261"/>
      <c r="AF1292" s="257"/>
      <c r="AG1292" s="257"/>
    </row>
    <row r="1293">
      <c r="A1293" s="284"/>
      <c r="B1293" s="251"/>
      <c r="C1293" s="251"/>
      <c r="D1293" s="261"/>
      <c r="E1293" s="261"/>
      <c r="F1293" s="261"/>
      <c r="G1293" s="261"/>
      <c r="H1293" s="261"/>
      <c r="I1293" s="261"/>
      <c r="J1293" s="261"/>
      <c r="K1293" s="262"/>
      <c r="L1293" s="261"/>
      <c r="M1293" s="262"/>
      <c r="N1293" s="262"/>
      <c r="O1293" s="261"/>
      <c r="P1293" s="262"/>
      <c r="Q1293" s="262"/>
      <c r="R1293" s="261"/>
      <c r="S1293" s="263"/>
      <c r="T1293" s="261"/>
      <c r="U1293" s="269"/>
      <c r="V1293" s="285"/>
      <c r="W1293" s="286"/>
      <c r="X1293" s="267"/>
      <c r="Y1293" s="267"/>
      <c r="Z1293" s="267"/>
      <c r="AA1293" s="267"/>
      <c r="AB1293" s="267"/>
      <c r="AC1293" s="267"/>
      <c r="AD1293" s="261"/>
      <c r="AE1293" s="261"/>
      <c r="AF1293" s="257"/>
      <c r="AG1293" s="257"/>
    </row>
    <row r="1294">
      <c r="A1294" s="284"/>
      <c r="B1294" s="251"/>
      <c r="C1294" s="251"/>
      <c r="D1294" s="261"/>
      <c r="E1294" s="261"/>
      <c r="F1294" s="261"/>
      <c r="G1294" s="261"/>
      <c r="H1294" s="261"/>
      <c r="I1294" s="261"/>
      <c r="J1294" s="261"/>
      <c r="K1294" s="262"/>
      <c r="L1294" s="261"/>
      <c r="M1294" s="262"/>
      <c r="N1294" s="262"/>
      <c r="O1294" s="261"/>
      <c r="P1294" s="262"/>
      <c r="Q1294" s="262"/>
      <c r="R1294" s="261"/>
      <c r="S1294" s="263"/>
      <c r="T1294" s="261"/>
      <c r="U1294" s="269"/>
      <c r="V1294" s="285"/>
      <c r="W1294" s="286"/>
      <c r="X1294" s="267"/>
      <c r="Y1294" s="267"/>
      <c r="Z1294" s="267"/>
      <c r="AA1294" s="267"/>
      <c r="AB1294" s="267"/>
      <c r="AC1294" s="267"/>
      <c r="AD1294" s="261"/>
      <c r="AE1294" s="261"/>
      <c r="AF1294" s="257"/>
      <c r="AG1294" s="257"/>
    </row>
    <row r="1295">
      <c r="A1295" s="284"/>
      <c r="B1295" s="251"/>
      <c r="C1295" s="251"/>
      <c r="D1295" s="261"/>
      <c r="E1295" s="261"/>
      <c r="F1295" s="261"/>
      <c r="G1295" s="261"/>
      <c r="H1295" s="261"/>
      <c r="I1295" s="261"/>
      <c r="J1295" s="261"/>
      <c r="K1295" s="262"/>
      <c r="L1295" s="261"/>
      <c r="M1295" s="262"/>
      <c r="N1295" s="262"/>
      <c r="O1295" s="261"/>
      <c r="P1295" s="262"/>
      <c r="Q1295" s="262"/>
      <c r="R1295" s="261"/>
      <c r="S1295" s="263"/>
      <c r="T1295" s="261"/>
      <c r="U1295" s="269"/>
      <c r="V1295" s="285"/>
      <c r="W1295" s="286"/>
      <c r="X1295" s="267"/>
      <c r="Y1295" s="267"/>
      <c r="Z1295" s="267"/>
      <c r="AA1295" s="267"/>
      <c r="AB1295" s="267"/>
      <c r="AC1295" s="267"/>
      <c r="AD1295" s="261"/>
      <c r="AE1295" s="261"/>
      <c r="AF1295" s="257"/>
      <c r="AG1295" s="257"/>
    </row>
    <row r="1296">
      <c r="A1296" s="284"/>
      <c r="B1296" s="251"/>
      <c r="C1296" s="251"/>
      <c r="D1296" s="261"/>
      <c r="E1296" s="261"/>
      <c r="F1296" s="261"/>
      <c r="G1296" s="261"/>
      <c r="H1296" s="261"/>
      <c r="I1296" s="261"/>
      <c r="J1296" s="261"/>
      <c r="K1296" s="262"/>
      <c r="L1296" s="261"/>
      <c r="M1296" s="262"/>
      <c r="N1296" s="262"/>
      <c r="O1296" s="261"/>
      <c r="P1296" s="262"/>
      <c r="Q1296" s="262"/>
      <c r="R1296" s="261"/>
      <c r="S1296" s="263"/>
      <c r="T1296" s="261"/>
      <c r="U1296" s="269"/>
      <c r="V1296" s="285"/>
      <c r="W1296" s="286"/>
      <c r="X1296" s="267"/>
      <c r="Y1296" s="267"/>
      <c r="Z1296" s="267"/>
      <c r="AA1296" s="267"/>
      <c r="AB1296" s="267"/>
      <c r="AC1296" s="267"/>
      <c r="AD1296" s="261"/>
      <c r="AE1296" s="261"/>
      <c r="AF1296" s="257"/>
      <c r="AG1296" s="257"/>
    </row>
    <row r="1297">
      <c r="A1297" s="284"/>
      <c r="B1297" s="251"/>
      <c r="C1297" s="251"/>
      <c r="D1297" s="261"/>
      <c r="E1297" s="261"/>
      <c r="F1297" s="261"/>
      <c r="G1297" s="261"/>
      <c r="H1297" s="261"/>
      <c r="I1297" s="261"/>
      <c r="J1297" s="261"/>
      <c r="K1297" s="262"/>
      <c r="L1297" s="261"/>
      <c r="M1297" s="262"/>
      <c r="N1297" s="262"/>
      <c r="O1297" s="261"/>
      <c r="P1297" s="262"/>
      <c r="Q1297" s="262"/>
      <c r="R1297" s="261"/>
      <c r="S1297" s="263"/>
      <c r="T1297" s="261"/>
      <c r="U1297" s="269"/>
      <c r="V1297" s="285"/>
      <c r="W1297" s="286"/>
      <c r="X1297" s="267"/>
      <c r="Y1297" s="267"/>
      <c r="Z1297" s="267"/>
      <c r="AA1297" s="267"/>
      <c r="AB1297" s="267"/>
      <c r="AC1297" s="267"/>
      <c r="AD1297" s="261"/>
      <c r="AE1297" s="261"/>
      <c r="AF1297" s="257"/>
      <c r="AG1297" s="257"/>
    </row>
    <row r="1298">
      <c r="A1298" s="284"/>
      <c r="B1298" s="251"/>
      <c r="C1298" s="251"/>
      <c r="D1298" s="261"/>
      <c r="E1298" s="261"/>
      <c r="F1298" s="261"/>
      <c r="G1298" s="261"/>
      <c r="H1298" s="261"/>
      <c r="I1298" s="261"/>
      <c r="J1298" s="261"/>
      <c r="K1298" s="262"/>
      <c r="L1298" s="261"/>
      <c r="M1298" s="262"/>
      <c r="N1298" s="262"/>
      <c r="O1298" s="261"/>
      <c r="P1298" s="262"/>
      <c r="Q1298" s="262"/>
      <c r="R1298" s="261"/>
      <c r="S1298" s="263"/>
      <c r="T1298" s="261"/>
      <c r="U1298" s="269"/>
      <c r="V1298" s="285"/>
      <c r="W1298" s="286"/>
      <c r="X1298" s="267"/>
      <c r="Y1298" s="267"/>
      <c r="Z1298" s="267"/>
      <c r="AA1298" s="267"/>
      <c r="AB1298" s="267"/>
      <c r="AC1298" s="267"/>
      <c r="AD1298" s="261"/>
      <c r="AE1298" s="261"/>
      <c r="AF1298" s="257"/>
      <c r="AG1298" s="257"/>
    </row>
    <row r="1299">
      <c r="A1299" s="284"/>
      <c r="B1299" s="251"/>
      <c r="C1299" s="251"/>
      <c r="D1299" s="261"/>
      <c r="E1299" s="261"/>
      <c r="F1299" s="261"/>
      <c r="G1299" s="261"/>
      <c r="H1299" s="261"/>
      <c r="I1299" s="261"/>
      <c r="J1299" s="261"/>
      <c r="K1299" s="262"/>
      <c r="L1299" s="261"/>
      <c r="M1299" s="262"/>
      <c r="N1299" s="262"/>
      <c r="O1299" s="261"/>
      <c r="P1299" s="262"/>
      <c r="Q1299" s="262"/>
      <c r="R1299" s="261"/>
      <c r="S1299" s="263"/>
      <c r="T1299" s="261"/>
      <c r="U1299" s="269"/>
      <c r="V1299" s="285"/>
      <c r="W1299" s="286"/>
      <c r="X1299" s="267"/>
      <c r="Y1299" s="267"/>
      <c r="Z1299" s="267"/>
      <c r="AA1299" s="267"/>
      <c r="AB1299" s="267"/>
      <c r="AC1299" s="267"/>
      <c r="AD1299" s="261"/>
      <c r="AE1299" s="261"/>
      <c r="AF1299" s="257"/>
      <c r="AG1299" s="257"/>
    </row>
    <row r="1300">
      <c r="A1300" s="284"/>
      <c r="B1300" s="251"/>
      <c r="C1300" s="251"/>
      <c r="D1300" s="261"/>
      <c r="E1300" s="261"/>
      <c r="F1300" s="261"/>
      <c r="G1300" s="261"/>
      <c r="H1300" s="261"/>
      <c r="I1300" s="261"/>
      <c r="J1300" s="261"/>
      <c r="K1300" s="262"/>
      <c r="L1300" s="261"/>
      <c r="M1300" s="262"/>
      <c r="N1300" s="262"/>
      <c r="O1300" s="261"/>
      <c r="P1300" s="262"/>
      <c r="Q1300" s="262"/>
      <c r="R1300" s="261"/>
      <c r="S1300" s="263"/>
      <c r="T1300" s="261"/>
      <c r="U1300" s="269"/>
      <c r="V1300" s="285"/>
      <c r="W1300" s="286"/>
      <c r="X1300" s="267"/>
      <c r="Y1300" s="267"/>
      <c r="Z1300" s="267"/>
      <c r="AA1300" s="267"/>
      <c r="AB1300" s="267"/>
      <c r="AC1300" s="267"/>
      <c r="AD1300" s="261"/>
      <c r="AE1300" s="261"/>
      <c r="AF1300" s="257"/>
      <c r="AG1300" s="257"/>
    </row>
    <row r="1301">
      <c r="A1301" s="284"/>
      <c r="B1301" s="251"/>
      <c r="C1301" s="251"/>
      <c r="D1301" s="261"/>
      <c r="E1301" s="261"/>
      <c r="F1301" s="261"/>
      <c r="G1301" s="261"/>
      <c r="H1301" s="261"/>
      <c r="I1301" s="261"/>
      <c r="J1301" s="261"/>
      <c r="K1301" s="262"/>
      <c r="L1301" s="261"/>
      <c r="M1301" s="262"/>
      <c r="N1301" s="262"/>
      <c r="O1301" s="261"/>
      <c r="P1301" s="262"/>
      <c r="Q1301" s="262"/>
      <c r="R1301" s="261"/>
      <c r="S1301" s="263"/>
      <c r="T1301" s="261"/>
      <c r="U1301" s="269"/>
      <c r="V1301" s="285"/>
      <c r="W1301" s="286"/>
      <c r="X1301" s="267"/>
      <c r="Y1301" s="267"/>
      <c r="Z1301" s="267"/>
      <c r="AA1301" s="267"/>
      <c r="AB1301" s="267"/>
      <c r="AC1301" s="267"/>
      <c r="AD1301" s="261"/>
      <c r="AE1301" s="261"/>
      <c r="AF1301" s="257"/>
      <c r="AG1301" s="257"/>
    </row>
    <row r="1302">
      <c r="A1302" s="284"/>
      <c r="B1302" s="251"/>
      <c r="C1302" s="251"/>
      <c r="D1302" s="261"/>
      <c r="E1302" s="261"/>
      <c r="F1302" s="261"/>
      <c r="G1302" s="261"/>
      <c r="H1302" s="261"/>
      <c r="I1302" s="261"/>
      <c r="J1302" s="261"/>
      <c r="K1302" s="262"/>
      <c r="L1302" s="261"/>
      <c r="M1302" s="262"/>
      <c r="N1302" s="262"/>
      <c r="O1302" s="261"/>
      <c r="P1302" s="262"/>
      <c r="Q1302" s="262"/>
      <c r="R1302" s="261"/>
      <c r="S1302" s="263"/>
      <c r="T1302" s="261"/>
      <c r="U1302" s="269"/>
      <c r="V1302" s="285"/>
      <c r="W1302" s="286"/>
      <c r="X1302" s="267"/>
      <c r="Y1302" s="267"/>
      <c r="Z1302" s="267"/>
      <c r="AA1302" s="267"/>
      <c r="AB1302" s="267"/>
      <c r="AC1302" s="267"/>
      <c r="AD1302" s="261"/>
      <c r="AE1302" s="261"/>
      <c r="AF1302" s="257"/>
      <c r="AG1302" s="257"/>
    </row>
    <row r="1303">
      <c r="A1303" s="284"/>
      <c r="B1303" s="251"/>
      <c r="C1303" s="251"/>
      <c r="D1303" s="261"/>
      <c r="E1303" s="261"/>
      <c r="F1303" s="261"/>
      <c r="G1303" s="261"/>
      <c r="H1303" s="261"/>
      <c r="I1303" s="261"/>
      <c r="J1303" s="261"/>
      <c r="K1303" s="262"/>
      <c r="L1303" s="261"/>
      <c r="M1303" s="262"/>
      <c r="N1303" s="262"/>
      <c r="O1303" s="261"/>
      <c r="P1303" s="262"/>
      <c r="Q1303" s="262"/>
      <c r="R1303" s="261"/>
      <c r="S1303" s="263"/>
      <c r="T1303" s="261"/>
      <c r="U1303" s="269"/>
      <c r="V1303" s="285"/>
      <c r="W1303" s="286"/>
      <c r="X1303" s="267"/>
      <c r="Y1303" s="267"/>
      <c r="Z1303" s="267"/>
      <c r="AA1303" s="267"/>
      <c r="AB1303" s="267"/>
      <c r="AC1303" s="267"/>
      <c r="AD1303" s="261"/>
      <c r="AE1303" s="261"/>
      <c r="AF1303" s="257"/>
      <c r="AG1303" s="257"/>
    </row>
    <row r="1304">
      <c r="A1304" s="284"/>
      <c r="B1304" s="251"/>
      <c r="C1304" s="251"/>
      <c r="D1304" s="261"/>
      <c r="E1304" s="261"/>
      <c r="F1304" s="261"/>
      <c r="G1304" s="261"/>
      <c r="H1304" s="261"/>
      <c r="I1304" s="261"/>
      <c r="J1304" s="261"/>
      <c r="K1304" s="262"/>
      <c r="L1304" s="261"/>
      <c r="M1304" s="262"/>
      <c r="N1304" s="262"/>
      <c r="O1304" s="261"/>
      <c r="P1304" s="262"/>
      <c r="Q1304" s="262"/>
      <c r="R1304" s="261"/>
      <c r="S1304" s="263"/>
      <c r="T1304" s="261"/>
      <c r="U1304" s="269"/>
      <c r="V1304" s="285"/>
      <c r="W1304" s="286"/>
      <c r="X1304" s="267"/>
      <c r="Y1304" s="267"/>
      <c r="Z1304" s="267"/>
      <c r="AA1304" s="267"/>
      <c r="AB1304" s="267"/>
      <c r="AC1304" s="267"/>
      <c r="AD1304" s="261"/>
      <c r="AE1304" s="261"/>
      <c r="AF1304" s="257"/>
      <c r="AG1304" s="257"/>
    </row>
    <row r="1305">
      <c r="A1305" s="284"/>
      <c r="B1305" s="251"/>
      <c r="C1305" s="251"/>
      <c r="D1305" s="261"/>
      <c r="E1305" s="261"/>
      <c r="F1305" s="261"/>
      <c r="G1305" s="261"/>
      <c r="H1305" s="261"/>
      <c r="I1305" s="261"/>
      <c r="J1305" s="261"/>
      <c r="K1305" s="262"/>
      <c r="L1305" s="261"/>
      <c r="M1305" s="262"/>
      <c r="N1305" s="262"/>
      <c r="O1305" s="261"/>
      <c r="P1305" s="262"/>
      <c r="Q1305" s="262"/>
      <c r="R1305" s="261"/>
      <c r="S1305" s="263"/>
      <c r="T1305" s="261"/>
      <c r="U1305" s="269"/>
      <c r="V1305" s="285"/>
      <c r="W1305" s="286"/>
      <c r="X1305" s="267"/>
      <c r="Y1305" s="267"/>
      <c r="Z1305" s="267"/>
      <c r="AA1305" s="267"/>
      <c r="AB1305" s="267"/>
      <c r="AC1305" s="267"/>
      <c r="AD1305" s="261"/>
      <c r="AE1305" s="261"/>
      <c r="AF1305" s="257"/>
      <c r="AG1305" s="257"/>
    </row>
    <row r="1306">
      <c r="A1306" s="284"/>
      <c r="B1306" s="251"/>
      <c r="C1306" s="251"/>
      <c r="D1306" s="261"/>
      <c r="E1306" s="261"/>
      <c r="F1306" s="261"/>
      <c r="G1306" s="261"/>
      <c r="H1306" s="261"/>
      <c r="I1306" s="261"/>
      <c r="J1306" s="261"/>
      <c r="K1306" s="262"/>
      <c r="L1306" s="261"/>
      <c r="M1306" s="262"/>
      <c r="N1306" s="262"/>
      <c r="O1306" s="261"/>
      <c r="P1306" s="262"/>
      <c r="Q1306" s="262"/>
      <c r="R1306" s="261"/>
      <c r="S1306" s="263"/>
      <c r="T1306" s="261"/>
      <c r="U1306" s="269"/>
      <c r="V1306" s="285"/>
      <c r="W1306" s="286"/>
      <c r="X1306" s="267"/>
      <c r="Y1306" s="267"/>
      <c r="Z1306" s="267"/>
      <c r="AA1306" s="267"/>
      <c r="AB1306" s="267"/>
      <c r="AC1306" s="267"/>
      <c r="AD1306" s="261"/>
      <c r="AE1306" s="261"/>
      <c r="AF1306" s="257"/>
      <c r="AG1306" s="257"/>
    </row>
    <row r="1307">
      <c r="A1307" s="284"/>
      <c r="B1307" s="251"/>
      <c r="C1307" s="251"/>
      <c r="D1307" s="261"/>
      <c r="E1307" s="261"/>
      <c r="F1307" s="261"/>
      <c r="G1307" s="261"/>
      <c r="H1307" s="261"/>
      <c r="I1307" s="261"/>
      <c r="J1307" s="261"/>
      <c r="K1307" s="262"/>
      <c r="L1307" s="261"/>
      <c r="M1307" s="262"/>
      <c r="N1307" s="262"/>
      <c r="O1307" s="261"/>
      <c r="P1307" s="262"/>
      <c r="Q1307" s="262"/>
      <c r="R1307" s="261"/>
      <c r="S1307" s="263"/>
      <c r="T1307" s="261"/>
      <c r="U1307" s="269"/>
      <c r="V1307" s="285"/>
      <c r="W1307" s="286"/>
      <c r="X1307" s="267"/>
      <c r="Y1307" s="267"/>
      <c r="Z1307" s="267"/>
      <c r="AA1307" s="267"/>
      <c r="AB1307" s="267"/>
      <c r="AC1307" s="267"/>
      <c r="AD1307" s="261"/>
      <c r="AE1307" s="261"/>
      <c r="AF1307" s="257"/>
      <c r="AG1307" s="257"/>
    </row>
    <row r="1308">
      <c r="A1308" s="284"/>
      <c r="B1308" s="251"/>
      <c r="C1308" s="251"/>
      <c r="D1308" s="261"/>
      <c r="E1308" s="261"/>
      <c r="F1308" s="261"/>
      <c r="G1308" s="261"/>
      <c r="H1308" s="261"/>
      <c r="I1308" s="261"/>
      <c r="J1308" s="261"/>
      <c r="K1308" s="262"/>
      <c r="L1308" s="261"/>
      <c r="M1308" s="262"/>
      <c r="N1308" s="262"/>
      <c r="O1308" s="261"/>
      <c r="P1308" s="262"/>
      <c r="Q1308" s="262"/>
      <c r="R1308" s="261"/>
      <c r="S1308" s="263"/>
      <c r="T1308" s="261"/>
      <c r="U1308" s="269"/>
      <c r="V1308" s="285"/>
      <c r="W1308" s="286"/>
      <c r="X1308" s="267"/>
      <c r="Y1308" s="267"/>
      <c r="Z1308" s="267"/>
      <c r="AA1308" s="267"/>
      <c r="AB1308" s="267"/>
      <c r="AC1308" s="267"/>
      <c r="AD1308" s="261"/>
      <c r="AE1308" s="261"/>
      <c r="AF1308" s="257"/>
      <c r="AG1308" s="257"/>
    </row>
    <row r="1309">
      <c r="A1309" s="284"/>
      <c r="B1309" s="251"/>
      <c r="C1309" s="251"/>
      <c r="D1309" s="261"/>
      <c r="E1309" s="261"/>
      <c r="F1309" s="261"/>
      <c r="G1309" s="261"/>
      <c r="H1309" s="261"/>
      <c r="I1309" s="261"/>
      <c r="J1309" s="261"/>
      <c r="K1309" s="262"/>
      <c r="L1309" s="261"/>
      <c r="M1309" s="262"/>
      <c r="N1309" s="262"/>
      <c r="O1309" s="261"/>
      <c r="P1309" s="262"/>
      <c r="Q1309" s="262"/>
      <c r="R1309" s="261"/>
      <c r="S1309" s="263"/>
      <c r="T1309" s="261"/>
      <c r="U1309" s="269"/>
      <c r="V1309" s="285"/>
      <c r="W1309" s="286"/>
      <c r="X1309" s="267"/>
      <c r="Y1309" s="267"/>
      <c r="Z1309" s="267"/>
      <c r="AA1309" s="267"/>
      <c r="AB1309" s="267"/>
      <c r="AC1309" s="267"/>
      <c r="AD1309" s="261"/>
      <c r="AE1309" s="261"/>
      <c r="AF1309" s="257"/>
      <c r="AG1309" s="257"/>
    </row>
    <row r="1310">
      <c r="A1310" s="284"/>
      <c r="B1310" s="251"/>
      <c r="C1310" s="251"/>
      <c r="D1310" s="261"/>
      <c r="E1310" s="261"/>
      <c r="F1310" s="261"/>
      <c r="G1310" s="261"/>
      <c r="H1310" s="261"/>
      <c r="I1310" s="261"/>
      <c r="J1310" s="261"/>
      <c r="K1310" s="262"/>
      <c r="L1310" s="261"/>
      <c r="M1310" s="262"/>
      <c r="N1310" s="262"/>
      <c r="O1310" s="261"/>
      <c r="P1310" s="262"/>
      <c r="Q1310" s="262"/>
      <c r="R1310" s="261"/>
      <c r="S1310" s="263"/>
      <c r="T1310" s="261"/>
      <c r="U1310" s="269"/>
      <c r="V1310" s="285"/>
      <c r="W1310" s="286"/>
      <c r="X1310" s="267"/>
      <c r="Y1310" s="267"/>
      <c r="Z1310" s="267"/>
      <c r="AA1310" s="267"/>
      <c r="AB1310" s="267"/>
      <c r="AC1310" s="267"/>
      <c r="AD1310" s="261"/>
      <c r="AE1310" s="261"/>
      <c r="AF1310" s="257"/>
      <c r="AG1310" s="257"/>
    </row>
    <row r="1311">
      <c r="A1311" s="284"/>
      <c r="B1311" s="251"/>
      <c r="C1311" s="251"/>
      <c r="D1311" s="261"/>
      <c r="E1311" s="261"/>
      <c r="F1311" s="261"/>
      <c r="G1311" s="261"/>
      <c r="H1311" s="261"/>
      <c r="I1311" s="261"/>
      <c r="J1311" s="261"/>
      <c r="K1311" s="262"/>
      <c r="L1311" s="261"/>
      <c r="M1311" s="262"/>
      <c r="N1311" s="262"/>
      <c r="O1311" s="261"/>
      <c r="P1311" s="262"/>
      <c r="Q1311" s="262"/>
      <c r="R1311" s="261"/>
      <c r="S1311" s="263"/>
      <c r="T1311" s="261"/>
      <c r="U1311" s="269"/>
      <c r="V1311" s="285"/>
      <c r="W1311" s="286"/>
      <c r="X1311" s="267"/>
      <c r="Y1311" s="267"/>
      <c r="Z1311" s="267"/>
      <c r="AA1311" s="267"/>
      <c r="AB1311" s="267"/>
      <c r="AC1311" s="267"/>
      <c r="AD1311" s="261"/>
      <c r="AE1311" s="261"/>
      <c r="AF1311" s="257"/>
      <c r="AG1311" s="257"/>
    </row>
    <row r="1312">
      <c r="A1312" s="284"/>
      <c r="B1312" s="251"/>
      <c r="C1312" s="251"/>
      <c r="D1312" s="261"/>
      <c r="E1312" s="261"/>
      <c r="F1312" s="261"/>
      <c r="G1312" s="261"/>
      <c r="H1312" s="261"/>
      <c r="I1312" s="261"/>
      <c r="J1312" s="261"/>
      <c r="K1312" s="262"/>
      <c r="L1312" s="261"/>
      <c r="M1312" s="262"/>
      <c r="N1312" s="262"/>
      <c r="O1312" s="261"/>
      <c r="P1312" s="262"/>
      <c r="Q1312" s="262"/>
      <c r="R1312" s="261"/>
      <c r="S1312" s="263"/>
      <c r="T1312" s="261"/>
      <c r="U1312" s="269"/>
      <c r="V1312" s="285"/>
      <c r="W1312" s="286"/>
      <c r="X1312" s="267"/>
      <c r="Y1312" s="267"/>
      <c r="Z1312" s="267"/>
      <c r="AA1312" s="267"/>
      <c r="AB1312" s="267"/>
      <c r="AC1312" s="267"/>
      <c r="AD1312" s="261"/>
      <c r="AE1312" s="261"/>
      <c r="AF1312" s="257"/>
      <c r="AG1312" s="257"/>
    </row>
    <row r="1313">
      <c r="A1313" s="284"/>
      <c r="B1313" s="251"/>
      <c r="C1313" s="251"/>
      <c r="D1313" s="261"/>
      <c r="E1313" s="261"/>
      <c r="F1313" s="261"/>
      <c r="G1313" s="261"/>
      <c r="H1313" s="261"/>
      <c r="I1313" s="261"/>
      <c r="J1313" s="261"/>
      <c r="K1313" s="262"/>
      <c r="L1313" s="261"/>
      <c r="M1313" s="262"/>
      <c r="N1313" s="262"/>
      <c r="O1313" s="261"/>
      <c r="P1313" s="262"/>
      <c r="Q1313" s="262"/>
      <c r="R1313" s="261"/>
      <c r="S1313" s="263"/>
      <c r="T1313" s="261"/>
      <c r="U1313" s="269"/>
      <c r="V1313" s="285"/>
      <c r="W1313" s="286"/>
      <c r="X1313" s="267"/>
      <c r="Y1313" s="267"/>
      <c r="Z1313" s="267"/>
      <c r="AA1313" s="267"/>
      <c r="AB1313" s="267"/>
      <c r="AC1313" s="267"/>
      <c r="AD1313" s="261"/>
      <c r="AE1313" s="261"/>
      <c r="AF1313" s="257"/>
      <c r="AG1313" s="257"/>
    </row>
    <row r="1314">
      <c r="A1314" s="284"/>
      <c r="B1314" s="251"/>
      <c r="C1314" s="251"/>
      <c r="D1314" s="261"/>
      <c r="E1314" s="261"/>
      <c r="F1314" s="261"/>
      <c r="G1314" s="261"/>
      <c r="H1314" s="261"/>
      <c r="I1314" s="261"/>
      <c r="J1314" s="261"/>
      <c r="K1314" s="262"/>
      <c r="L1314" s="261"/>
      <c r="M1314" s="262"/>
      <c r="N1314" s="262"/>
      <c r="O1314" s="261"/>
      <c r="P1314" s="262"/>
      <c r="Q1314" s="262"/>
      <c r="R1314" s="261"/>
      <c r="S1314" s="263"/>
      <c r="T1314" s="261"/>
      <c r="U1314" s="269"/>
      <c r="V1314" s="285"/>
      <c r="W1314" s="286"/>
      <c r="X1314" s="267"/>
      <c r="Y1314" s="267"/>
      <c r="Z1314" s="267"/>
      <c r="AA1314" s="267"/>
      <c r="AB1314" s="267"/>
      <c r="AC1314" s="267"/>
      <c r="AD1314" s="261"/>
      <c r="AE1314" s="261"/>
      <c r="AF1314" s="257"/>
      <c r="AG1314" s="257"/>
    </row>
    <row r="1315">
      <c r="A1315" s="284"/>
      <c r="B1315" s="251"/>
      <c r="C1315" s="251"/>
      <c r="D1315" s="261"/>
      <c r="E1315" s="261"/>
      <c r="F1315" s="261"/>
      <c r="G1315" s="261"/>
      <c r="H1315" s="261"/>
      <c r="I1315" s="261"/>
      <c r="J1315" s="261"/>
      <c r="K1315" s="262"/>
      <c r="L1315" s="261"/>
      <c r="M1315" s="262"/>
      <c r="N1315" s="262"/>
      <c r="O1315" s="261"/>
      <c r="P1315" s="262"/>
      <c r="Q1315" s="262"/>
      <c r="R1315" s="261"/>
      <c r="S1315" s="263"/>
      <c r="T1315" s="261"/>
      <c r="U1315" s="269"/>
      <c r="V1315" s="285"/>
      <c r="W1315" s="286"/>
      <c r="X1315" s="267"/>
      <c r="Y1315" s="267"/>
      <c r="Z1315" s="267"/>
      <c r="AA1315" s="267"/>
      <c r="AB1315" s="267"/>
      <c r="AC1315" s="267"/>
      <c r="AD1315" s="261"/>
      <c r="AE1315" s="261"/>
      <c r="AF1315" s="257"/>
      <c r="AG1315" s="257"/>
    </row>
    <row r="1316">
      <c r="A1316" s="284"/>
      <c r="B1316" s="251"/>
      <c r="C1316" s="251"/>
      <c r="D1316" s="261"/>
      <c r="E1316" s="261"/>
      <c r="F1316" s="261"/>
      <c r="G1316" s="261"/>
      <c r="H1316" s="261"/>
      <c r="I1316" s="261"/>
      <c r="J1316" s="261"/>
      <c r="K1316" s="262"/>
      <c r="L1316" s="261"/>
      <c r="M1316" s="262"/>
      <c r="N1316" s="262"/>
      <c r="O1316" s="261"/>
      <c r="P1316" s="262"/>
      <c r="Q1316" s="262"/>
      <c r="R1316" s="261"/>
      <c r="S1316" s="263"/>
      <c r="T1316" s="261"/>
      <c r="U1316" s="269"/>
      <c r="V1316" s="285"/>
      <c r="W1316" s="286"/>
      <c r="X1316" s="267"/>
      <c r="Y1316" s="267"/>
      <c r="Z1316" s="267"/>
      <c r="AA1316" s="267"/>
      <c r="AB1316" s="267"/>
      <c r="AC1316" s="267"/>
      <c r="AD1316" s="261"/>
      <c r="AE1316" s="261"/>
      <c r="AF1316" s="257"/>
      <c r="AG1316" s="257"/>
    </row>
    <row r="1317">
      <c r="A1317" s="284"/>
      <c r="B1317" s="251"/>
      <c r="C1317" s="251"/>
      <c r="D1317" s="261"/>
      <c r="E1317" s="261"/>
      <c r="F1317" s="261"/>
      <c r="G1317" s="261"/>
      <c r="H1317" s="261"/>
      <c r="I1317" s="261"/>
      <c r="J1317" s="261"/>
      <c r="K1317" s="262"/>
      <c r="L1317" s="261"/>
      <c r="M1317" s="262"/>
      <c r="N1317" s="262"/>
      <c r="O1317" s="261"/>
      <c r="P1317" s="262"/>
      <c r="Q1317" s="262"/>
      <c r="R1317" s="261"/>
      <c r="S1317" s="263"/>
      <c r="T1317" s="261"/>
      <c r="U1317" s="269"/>
      <c r="V1317" s="285"/>
      <c r="W1317" s="286"/>
      <c r="X1317" s="267"/>
      <c r="Y1317" s="267"/>
      <c r="Z1317" s="267"/>
      <c r="AA1317" s="267"/>
      <c r="AB1317" s="267"/>
      <c r="AC1317" s="267"/>
      <c r="AD1317" s="261"/>
      <c r="AE1317" s="261"/>
      <c r="AF1317" s="257"/>
      <c r="AG1317" s="257"/>
    </row>
    <row r="1318">
      <c r="A1318" s="284"/>
      <c r="B1318" s="251"/>
      <c r="C1318" s="251"/>
      <c r="D1318" s="261"/>
      <c r="E1318" s="261"/>
      <c r="F1318" s="261"/>
      <c r="G1318" s="261"/>
      <c r="H1318" s="261"/>
      <c r="I1318" s="261"/>
      <c r="J1318" s="261"/>
      <c r="K1318" s="262"/>
      <c r="L1318" s="261"/>
      <c r="M1318" s="262"/>
      <c r="N1318" s="262"/>
      <c r="O1318" s="261"/>
      <c r="P1318" s="262"/>
      <c r="Q1318" s="262"/>
      <c r="R1318" s="261"/>
      <c r="S1318" s="263"/>
      <c r="T1318" s="261"/>
      <c r="U1318" s="269"/>
      <c r="V1318" s="285"/>
      <c r="W1318" s="286"/>
      <c r="X1318" s="267"/>
      <c r="Y1318" s="267"/>
      <c r="Z1318" s="267"/>
      <c r="AA1318" s="267"/>
      <c r="AB1318" s="267"/>
      <c r="AC1318" s="267"/>
      <c r="AD1318" s="261"/>
      <c r="AE1318" s="261"/>
      <c r="AF1318" s="257"/>
      <c r="AG1318" s="257"/>
    </row>
    <row r="1319">
      <c r="A1319" s="284"/>
      <c r="B1319" s="251"/>
      <c r="C1319" s="251"/>
      <c r="D1319" s="261"/>
      <c r="E1319" s="261"/>
      <c r="F1319" s="261"/>
      <c r="G1319" s="261"/>
      <c r="H1319" s="261"/>
      <c r="I1319" s="261"/>
      <c r="J1319" s="261"/>
      <c r="K1319" s="262"/>
      <c r="L1319" s="261"/>
      <c r="M1319" s="262"/>
      <c r="N1319" s="262"/>
      <c r="O1319" s="261"/>
      <c r="P1319" s="262"/>
      <c r="Q1319" s="262"/>
      <c r="R1319" s="261"/>
      <c r="S1319" s="263"/>
      <c r="T1319" s="261"/>
      <c r="U1319" s="269"/>
      <c r="V1319" s="285"/>
      <c r="W1319" s="286"/>
      <c r="X1319" s="267"/>
      <c r="Y1319" s="267"/>
      <c r="Z1319" s="267"/>
      <c r="AA1319" s="267"/>
      <c r="AB1319" s="267"/>
      <c r="AC1319" s="267"/>
      <c r="AD1319" s="261"/>
      <c r="AE1319" s="261"/>
      <c r="AF1319" s="257"/>
      <c r="AG1319" s="257"/>
    </row>
    <row r="1320">
      <c r="A1320" s="284"/>
      <c r="B1320" s="251"/>
      <c r="C1320" s="251"/>
      <c r="D1320" s="261"/>
      <c r="E1320" s="261"/>
      <c r="F1320" s="261"/>
      <c r="G1320" s="261"/>
      <c r="H1320" s="261"/>
      <c r="I1320" s="261"/>
      <c r="J1320" s="261"/>
      <c r="K1320" s="262"/>
      <c r="L1320" s="261"/>
      <c r="M1320" s="262"/>
      <c r="N1320" s="262"/>
      <c r="O1320" s="261"/>
      <c r="P1320" s="262"/>
      <c r="Q1320" s="262"/>
      <c r="R1320" s="261"/>
      <c r="S1320" s="263"/>
      <c r="T1320" s="261"/>
      <c r="U1320" s="269"/>
      <c r="V1320" s="285"/>
      <c r="W1320" s="286"/>
      <c r="X1320" s="267"/>
      <c r="Y1320" s="267"/>
      <c r="Z1320" s="267"/>
      <c r="AA1320" s="267"/>
      <c r="AB1320" s="267"/>
      <c r="AC1320" s="267"/>
      <c r="AD1320" s="261"/>
      <c r="AE1320" s="261"/>
      <c r="AF1320" s="257"/>
      <c r="AG1320" s="257"/>
    </row>
    <row r="1321">
      <c r="A1321" s="284"/>
      <c r="B1321" s="251"/>
      <c r="C1321" s="251"/>
      <c r="D1321" s="261"/>
      <c r="E1321" s="261"/>
      <c r="F1321" s="261"/>
      <c r="G1321" s="261"/>
      <c r="H1321" s="261"/>
      <c r="I1321" s="261"/>
      <c r="J1321" s="261"/>
      <c r="K1321" s="262"/>
      <c r="L1321" s="261"/>
      <c r="M1321" s="262"/>
      <c r="N1321" s="262"/>
      <c r="O1321" s="261"/>
      <c r="P1321" s="262"/>
      <c r="Q1321" s="262"/>
      <c r="R1321" s="261"/>
      <c r="S1321" s="263"/>
      <c r="T1321" s="261"/>
      <c r="U1321" s="269"/>
      <c r="V1321" s="285"/>
      <c r="W1321" s="286"/>
      <c r="X1321" s="267"/>
      <c r="Y1321" s="267"/>
      <c r="Z1321" s="267"/>
      <c r="AA1321" s="267"/>
      <c r="AB1321" s="267"/>
      <c r="AC1321" s="267"/>
      <c r="AD1321" s="261"/>
      <c r="AE1321" s="261"/>
      <c r="AF1321" s="257"/>
      <c r="AG1321" s="257"/>
    </row>
    <row r="1322">
      <c r="A1322" s="284"/>
      <c r="B1322" s="251"/>
      <c r="C1322" s="251"/>
      <c r="D1322" s="261"/>
      <c r="E1322" s="261"/>
      <c r="F1322" s="261"/>
      <c r="G1322" s="261"/>
      <c r="H1322" s="261"/>
      <c r="I1322" s="261"/>
      <c r="J1322" s="261"/>
      <c r="K1322" s="262"/>
      <c r="L1322" s="261"/>
      <c r="M1322" s="262"/>
      <c r="N1322" s="262"/>
      <c r="O1322" s="261"/>
      <c r="P1322" s="262"/>
      <c r="Q1322" s="262"/>
      <c r="R1322" s="261"/>
      <c r="S1322" s="263"/>
      <c r="T1322" s="261"/>
      <c r="U1322" s="269"/>
      <c r="V1322" s="285"/>
      <c r="W1322" s="286"/>
      <c r="X1322" s="267"/>
      <c r="Y1322" s="267"/>
      <c r="Z1322" s="267"/>
      <c r="AA1322" s="267"/>
      <c r="AB1322" s="267"/>
      <c r="AC1322" s="267"/>
      <c r="AD1322" s="261"/>
      <c r="AE1322" s="261"/>
      <c r="AF1322" s="257"/>
      <c r="AG1322" s="257"/>
    </row>
    <row r="1323">
      <c r="A1323" s="284"/>
      <c r="B1323" s="251"/>
      <c r="C1323" s="251"/>
      <c r="D1323" s="261"/>
      <c r="E1323" s="261"/>
      <c r="F1323" s="261"/>
      <c r="G1323" s="261"/>
      <c r="H1323" s="261"/>
      <c r="I1323" s="261"/>
      <c r="J1323" s="261"/>
      <c r="K1323" s="262"/>
      <c r="L1323" s="261"/>
      <c r="M1323" s="262"/>
      <c r="N1323" s="262"/>
      <c r="O1323" s="261"/>
      <c r="P1323" s="262"/>
      <c r="Q1323" s="262"/>
      <c r="R1323" s="261"/>
      <c r="S1323" s="263"/>
      <c r="T1323" s="261"/>
      <c r="U1323" s="269"/>
      <c r="V1323" s="285"/>
      <c r="W1323" s="286"/>
      <c r="X1323" s="267"/>
      <c r="Y1323" s="267"/>
      <c r="Z1323" s="267"/>
      <c r="AA1323" s="267"/>
      <c r="AB1323" s="267"/>
      <c r="AC1323" s="267"/>
      <c r="AD1323" s="261"/>
      <c r="AE1323" s="261"/>
      <c r="AF1323" s="257"/>
      <c r="AG1323" s="257"/>
    </row>
    <row r="1324">
      <c r="A1324" s="284"/>
      <c r="B1324" s="251"/>
      <c r="C1324" s="251"/>
      <c r="D1324" s="261"/>
      <c r="E1324" s="261"/>
      <c r="F1324" s="261"/>
      <c r="G1324" s="261"/>
      <c r="H1324" s="261"/>
      <c r="I1324" s="261"/>
      <c r="J1324" s="261"/>
      <c r="K1324" s="262"/>
      <c r="L1324" s="261"/>
      <c r="M1324" s="262"/>
      <c r="N1324" s="262"/>
      <c r="O1324" s="261"/>
      <c r="P1324" s="262"/>
      <c r="Q1324" s="262"/>
      <c r="R1324" s="261"/>
      <c r="S1324" s="263"/>
      <c r="T1324" s="261"/>
      <c r="U1324" s="269"/>
      <c r="V1324" s="285"/>
      <c r="W1324" s="286"/>
      <c r="X1324" s="267"/>
      <c r="Y1324" s="267"/>
      <c r="Z1324" s="267"/>
      <c r="AA1324" s="267"/>
      <c r="AB1324" s="267"/>
      <c r="AC1324" s="267"/>
      <c r="AD1324" s="261"/>
      <c r="AE1324" s="261"/>
      <c r="AF1324" s="257"/>
      <c r="AG1324" s="257"/>
    </row>
    <row r="1325">
      <c r="A1325" s="284"/>
      <c r="B1325" s="251"/>
      <c r="C1325" s="251"/>
      <c r="D1325" s="261"/>
      <c r="E1325" s="261"/>
      <c r="F1325" s="261"/>
      <c r="G1325" s="261"/>
      <c r="H1325" s="261"/>
      <c r="I1325" s="261"/>
      <c r="J1325" s="261"/>
      <c r="K1325" s="262"/>
      <c r="L1325" s="261"/>
      <c r="M1325" s="262"/>
      <c r="N1325" s="262"/>
      <c r="O1325" s="261"/>
      <c r="P1325" s="262"/>
      <c r="Q1325" s="262"/>
      <c r="R1325" s="261"/>
      <c r="S1325" s="263"/>
      <c r="T1325" s="261"/>
      <c r="U1325" s="269"/>
      <c r="V1325" s="285"/>
      <c r="W1325" s="286"/>
      <c r="X1325" s="267"/>
      <c r="Y1325" s="267"/>
      <c r="Z1325" s="267"/>
      <c r="AA1325" s="267"/>
      <c r="AB1325" s="267"/>
      <c r="AC1325" s="267"/>
      <c r="AD1325" s="261"/>
      <c r="AE1325" s="261"/>
      <c r="AF1325" s="257"/>
      <c r="AG1325" s="257"/>
    </row>
    <row r="1326">
      <c r="A1326" s="284"/>
      <c r="B1326" s="251"/>
      <c r="C1326" s="251"/>
      <c r="D1326" s="261"/>
      <c r="E1326" s="261"/>
      <c r="F1326" s="261"/>
      <c r="G1326" s="261"/>
      <c r="H1326" s="261"/>
      <c r="I1326" s="261"/>
      <c r="J1326" s="261"/>
      <c r="K1326" s="262"/>
      <c r="L1326" s="261"/>
      <c r="M1326" s="262"/>
      <c r="N1326" s="262"/>
      <c r="O1326" s="261"/>
      <c r="P1326" s="262"/>
      <c r="Q1326" s="262"/>
      <c r="R1326" s="261"/>
      <c r="S1326" s="263"/>
      <c r="T1326" s="261"/>
      <c r="U1326" s="269"/>
      <c r="V1326" s="285"/>
      <c r="W1326" s="286"/>
      <c r="X1326" s="267"/>
      <c r="Y1326" s="267"/>
      <c r="Z1326" s="267"/>
      <c r="AA1326" s="267"/>
      <c r="AB1326" s="267"/>
      <c r="AC1326" s="267"/>
      <c r="AD1326" s="261"/>
      <c r="AE1326" s="261"/>
      <c r="AF1326" s="257"/>
      <c r="AG1326" s="257"/>
    </row>
    <row r="1327">
      <c r="A1327" s="284"/>
      <c r="B1327" s="251"/>
      <c r="C1327" s="251"/>
      <c r="D1327" s="261"/>
      <c r="E1327" s="261"/>
      <c r="F1327" s="261"/>
      <c r="G1327" s="261"/>
      <c r="H1327" s="261"/>
      <c r="I1327" s="261"/>
      <c r="J1327" s="261"/>
      <c r="K1327" s="262"/>
      <c r="L1327" s="261"/>
      <c r="M1327" s="262"/>
      <c r="N1327" s="262"/>
      <c r="O1327" s="261"/>
      <c r="P1327" s="262"/>
      <c r="Q1327" s="262"/>
      <c r="R1327" s="261"/>
      <c r="S1327" s="263"/>
      <c r="T1327" s="261"/>
      <c r="U1327" s="269"/>
      <c r="V1327" s="285"/>
      <c r="W1327" s="286"/>
      <c r="X1327" s="267"/>
      <c r="Y1327" s="267"/>
      <c r="Z1327" s="267"/>
      <c r="AA1327" s="267"/>
      <c r="AB1327" s="267"/>
      <c r="AC1327" s="267"/>
      <c r="AD1327" s="261"/>
      <c r="AE1327" s="261"/>
      <c r="AF1327" s="257"/>
      <c r="AG1327" s="257"/>
    </row>
    <row r="1328">
      <c r="A1328" s="284"/>
      <c r="B1328" s="251"/>
      <c r="C1328" s="251"/>
      <c r="D1328" s="261"/>
      <c r="E1328" s="261"/>
      <c r="F1328" s="261"/>
      <c r="G1328" s="261"/>
      <c r="H1328" s="261"/>
      <c r="I1328" s="261"/>
      <c r="J1328" s="261"/>
      <c r="K1328" s="262"/>
      <c r="L1328" s="261"/>
      <c r="M1328" s="262"/>
      <c r="N1328" s="262"/>
      <c r="O1328" s="261"/>
      <c r="P1328" s="262"/>
      <c r="Q1328" s="262"/>
      <c r="R1328" s="261"/>
      <c r="S1328" s="263"/>
      <c r="T1328" s="261"/>
      <c r="U1328" s="269"/>
      <c r="V1328" s="285"/>
      <c r="W1328" s="286"/>
      <c r="X1328" s="267"/>
      <c r="Y1328" s="267"/>
      <c r="Z1328" s="267"/>
      <c r="AA1328" s="267"/>
      <c r="AB1328" s="267"/>
      <c r="AC1328" s="267"/>
      <c r="AD1328" s="261"/>
      <c r="AE1328" s="261"/>
      <c r="AF1328" s="257"/>
      <c r="AG1328" s="257"/>
    </row>
    <row r="1329">
      <c r="A1329" s="284"/>
      <c r="B1329" s="251"/>
      <c r="C1329" s="251"/>
      <c r="D1329" s="261"/>
      <c r="E1329" s="261"/>
      <c r="F1329" s="261"/>
      <c r="G1329" s="261"/>
      <c r="H1329" s="261"/>
      <c r="I1329" s="261"/>
      <c r="J1329" s="261"/>
      <c r="K1329" s="262"/>
      <c r="L1329" s="261"/>
      <c r="M1329" s="262"/>
      <c r="N1329" s="262"/>
      <c r="O1329" s="261"/>
      <c r="P1329" s="262"/>
      <c r="Q1329" s="262"/>
      <c r="R1329" s="261"/>
      <c r="S1329" s="263"/>
      <c r="T1329" s="261"/>
      <c r="U1329" s="269"/>
      <c r="V1329" s="285"/>
      <c r="W1329" s="286"/>
      <c r="X1329" s="267"/>
      <c r="Y1329" s="267"/>
      <c r="Z1329" s="267"/>
      <c r="AA1329" s="267"/>
      <c r="AB1329" s="267"/>
      <c r="AC1329" s="267"/>
      <c r="AD1329" s="261"/>
      <c r="AE1329" s="261"/>
      <c r="AF1329" s="257"/>
      <c r="AG1329" s="257"/>
    </row>
    <row r="1330">
      <c r="A1330" s="284"/>
      <c r="B1330" s="251"/>
      <c r="C1330" s="251"/>
      <c r="D1330" s="261"/>
      <c r="E1330" s="261"/>
      <c r="F1330" s="261"/>
      <c r="G1330" s="261"/>
      <c r="H1330" s="261"/>
      <c r="I1330" s="261"/>
      <c r="J1330" s="261"/>
      <c r="K1330" s="262"/>
      <c r="L1330" s="261"/>
      <c r="M1330" s="262"/>
      <c r="N1330" s="262"/>
      <c r="O1330" s="261"/>
      <c r="P1330" s="262"/>
      <c r="Q1330" s="262"/>
      <c r="R1330" s="261"/>
      <c r="S1330" s="263"/>
      <c r="T1330" s="261"/>
      <c r="U1330" s="269"/>
      <c r="V1330" s="285"/>
      <c r="W1330" s="286"/>
      <c r="X1330" s="267"/>
      <c r="Y1330" s="267"/>
      <c r="Z1330" s="267"/>
      <c r="AA1330" s="267"/>
      <c r="AB1330" s="267"/>
      <c r="AC1330" s="267"/>
      <c r="AD1330" s="261"/>
      <c r="AE1330" s="261"/>
      <c r="AF1330" s="257"/>
      <c r="AG1330" s="257"/>
    </row>
    <row r="1331">
      <c r="A1331" s="284"/>
      <c r="B1331" s="251"/>
      <c r="C1331" s="251"/>
      <c r="D1331" s="261"/>
      <c r="E1331" s="261"/>
      <c r="F1331" s="261"/>
      <c r="G1331" s="261"/>
      <c r="H1331" s="261"/>
      <c r="I1331" s="261"/>
      <c r="J1331" s="261"/>
      <c r="K1331" s="262"/>
      <c r="L1331" s="261"/>
      <c r="M1331" s="262"/>
      <c r="N1331" s="262"/>
      <c r="O1331" s="261"/>
      <c r="P1331" s="262"/>
      <c r="Q1331" s="262"/>
      <c r="R1331" s="261"/>
      <c r="S1331" s="263"/>
      <c r="T1331" s="261"/>
      <c r="U1331" s="269"/>
      <c r="V1331" s="285"/>
      <c r="W1331" s="286"/>
      <c r="X1331" s="267"/>
      <c r="Y1331" s="267"/>
      <c r="Z1331" s="267"/>
      <c r="AA1331" s="267"/>
      <c r="AB1331" s="267"/>
      <c r="AC1331" s="267"/>
      <c r="AD1331" s="261"/>
      <c r="AE1331" s="261"/>
      <c r="AF1331" s="257"/>
      <c r="AG1331" s="257"/>
    </row>
    <row r="1332">
      <c r="A1332" s="284"/>
      <c r="B1332" s="251"/>
      <c r="C1332" s="251"/>
      <c r="D1332" s="261"/>
      <c r="E1332" s="261"/>
      <c r="F1332" s="261"/>
      <c r="G1332" s="261"/>
      <c r="H1332" s="261"/>
      <c r="I1332" s="261"/>
      <c r="J1332" s="261"/>
      <c r="K1332" s="262"/>
      <c r="L1332" s="261"/>
      <c r="M1332" s="262"/>
      <c r="N1332" s="262"/>
      <c r="O1332" s="261"/>
      <c r="P1332" s="262"/>
      <c r="Q1332" s="262"/>
      <c r="R1332" s="261"/>
      <c r="S1332" s="263"/>
      <c r="T1332" s="261"/>
      <c r="U1332" s="269"/>
      <c r="V1332" s="285"/>
      <c r="W1332" s="286"/>
      <c r="X1332" s="267"/>
      <c r="Y1332" s="267"/>
      <c r="Z1332" s="267"/>
      <c r="AA1332" s="267"/>
      <c r="AB1332" s="267"/>
      <c r="AC1332" s="267"/>
      <c r="AD1332" s="261"/>
      <c r="AE1332" s="261"/>
      <c r="AF1332" s="257"/>
      <c r="AG1332" s="257"/>
    </row>
    <row r="1333">
      <c r="A1333" s="284"/>
      <c r="B1333" s="251"/>
      <c r="C1333" s="251"/>
      <c r="D1333" s="261"/>
      <c r="E1333" s="261"/>
      <c r="F1333" s="261"/>
      <c r="G1333" s="261"/>
      <c r="H1333" s="261"/>
      <c r="I1333" s="261"/>
      <c r="J1333" s="261"/>
      <c r="K1333" s="262"/>
      <c r="L1333" s="261"/>
      <c r="M1333" s="262"/>
      <c r="N1333" s="262"/>
      <c r="O1333" s="261"/>
      <c r="P1333" s="262"/>
      <c r="Q1333" s="262"/>
      <c r="R1333" s="261"/>
      <c r="S1333" s="263"/>
      <c r="T1333" s="261"/>
      <c r="U1333" s="269"/>
      <c r="V1333" s="285"/>
      <c r="W1333" s="286"/>
      <c r="X1333" s="267"/>
      <c r="Y1333" s="267"/>
      <c r="Z1333" s="267"/>
      <c r="AA1333" s="267"/>
      <c r="AB1333" s="267"/>
      <c r="AC1333" s="267"/>
      <c r="AD1333" s="261"/>
      <c r="AE1333" s="261"/>
      <c r="AF1333" s="257"/>
      <c r="AG1333" s="257"/>
    </row>
    <row r="1334">
      <c r="A1334" s="284"/>
      <c r="B1334" s="251"/>
      <c r="C1334" s="251"/>
      <c r="D1334" s="261"/>
      <c r="E1334" s="261"/>
      <c r="F1334" s="261"/>
      <c r="G1334" s="261"/>
      <c r="H1334" s="261"/>
      <c r="I1334" s="261"/>
      <c r="J1334" s="261"/>
      <c r="K1334" s="262"/>
      <c r="L1334" s="261"/>
      <c r="M1334" s="262"/>
      <c r="N1334" s="262"/>
      <c r="O1334" s="261"/>
      <c r="P1334" s="262"/>
      <c r="Q1334" s="262"/>
      <c r="R1334" s="261"/>
      <c r="S1334" s="263"/>
      <c r="T1334" s="261"/>
      <c r="U1334" s="269"/>
      <c r="V1334" s="285"/>
      <c r="W1334" s="286"/>
      <c r="X1334" s="267"/>
      <c r="Y1334" s="267"/>
      <c r="Z1334" s="267"/>
      <c r="AA1334" s="267"/>
      <c r="AB1334" s="267"/>
      <c r="AC1334" s="267"/>
      <c r="AD1334" s="261"/>
      <c r="AE1334" s="261"/>
      <c r="AF1334" s="257"/>
      <c r="AG1334" s="257"/>
    </row>
    <row r="1335">
      <c r="A1335" s="284"/>
      <c r="B1335" s="251"/>
      <c r="C1335" s="251"/>
      <c r="D1335" s="261"/>
      <c r="E1335" s="261"/>
      <c r="F1335" s="261"/>
      <c r="G1335" s="261"/>
      <c r="H1335" s="261"/>
      <c r="I1335" s="261"/>
      <c r="J1335" s="261"/>
      <c r="K1335" s="262"/>
      <c r="L1335" s="261"/>
      <c r="M1335" s="262"/>
      <c r="N1335" s="262"/>
      <c r="O1335" s="261"/>
      <c r="P1335" s="262"/>
      <c r="Q1335" s="262"/>
      <c r="R1335" s="261"/>
      <c r="S1335" s="263"/>
      <c r="T1335" s="261"/>
      <c r="U1335" s="269"/>
      <c r="V1335" s="285"/>
      <c r="W1335" s="286"/>
      <c r="X1335" s="267"/>
      <c r="Y1335" s="267"/>
      <c r="Z1335" s="267"/>
      <c r="AA1335" s="267"/>
      <c r="AB1335" s="267"/>
      <c r="AC1335" s="267"/>
      <c r="AD1335" s="261"/>
      <c r="AE1335" s="261"/>
      <c r="AF1335" s="257"/>
      <c r="AG1335" s="257"/>
    </row>
    <row r="1336">
      <c r="A1336" s="284"/>
      <c r="B1336" s="251"/>
      <c r="C1336" s="251"/>
      <c r="D1336" s="261"/>
      <c r="E1336" s="261"/>
      <c r="F1336" s="261"/>
      <c r="G1336" s="261"/>
      <c r="H1336" s="261"/>
      <c r="I1336" s="261"/>
      <c r="J1336" s="261"/>
      <c r="K1336" s="262"/>
      <c r="L1336" s="261"/>
      <c r="M1336" s="262"/>
      <c r="N1336" s="262"/>
      <c r="O1336" s="261"/>
      <c r="P1336" s="262"/>
      <c r="Q1336" s="262"/>
      <c r="R1336" s="261"/>
      <c r="S1336" s="263"/>
      <c r="T1336" s="261"/>
      <c r="U1336" s="269"/>
      <c r="V1336" s="285"/>
      <c r="W1336" s="286"/>
      <c r="X1336" s="267"/>
      <c r="Y1336" s="267"/>
      <c r="Z1336" s="267"/>
      <c r="AA1336" s="267"/>
      <c r="AB1336" s="267"/>
      <c r="AC1336" s="267"/>
      <c r="AD1336" s="261"/>
      <c r="AE1336" s="261"/>
      <c r="AF1336" s="257"/>
      <c r="AG1336" s="257"/>
    </row>
    <row r="1337">
      <c r="A1337" s="284"/>
      <c r="B1337" s="251"/>
      <c r="C1337" s="251"/>
      <c r="D1337" s="261"/>
      <c r="E1337" s="261"/>
      <c r="F1337" s="261"/>
      <c r="G1337" s="261"/>
      <c r="H1337" s="261"/>
      <c r="I1337" s="261"/>
      <c r="J1337" s="261"/>
      <c r="K1337" s="262"/>
      <c r="L1337" s="261"/>
      <c r="M1337" s="262"/>
      <c r="N1337" s="262"/>
      <c r="O1337" s="261"/>
      <c r="P1337" s="262"/>
      <c r="Q1337" s="262"/>
      <c r="R1337" s="261"/>
      <c r="S1337" s="263"/>
      <c r="T1337" s="261"/>
      <c r="U1337" s="269"/>
      <c r="V1337" s="285"/>
      <c r="W1337" s="286"/>
      <c r="X1337" s="267"/>
      <c r="Y1337" s="267"/>
      <c r="Z1337" s="267"/>
      <c r="AA1337" s="267"/>
      <c r="AB1337" s="267"/>
      <c r="AC1337" s="267"/>
      <c r="AD1337" s="261"/>
      <c r="AE1337" s="261"/>
      <c r="AF1337" s="257"/>
      <c r="AG1337" s="257"/>
    </row>
    <row r="1338">
      <c r="A1338" s="284"/>
      <c r="B1338" s="251"/>
      <c r="C1338" s="251"/>
      <c r="D1338" s="261"/>
      <c r="E1338" s="261"/>
      <c r="F1338" s="261"/>
      <c r="G1338" s="261"/>
      <c r="H1338" s="261"/>
      <c r="I1338" s="261"/>
      <c r="J1338" s="261"/>
      <c r="K1338" s="262"/>
      <c r="L1338" s="261"/>
      <c r="M1338" s="262"/>
      <c r="N1338" s="262"/>
      <c r="O1338" s="261"/>
      <c r="P1338" s="262"/>
      <c r="Q1338" s="262"/>
      <c r="R1338" s="261"/>
      <c r="S1338" s="263"/>
      <c r="T1338" s="261"/>
      <c r="U1338" s="269"/>
      <c r="V1338" s="285"/>
      <c r="W1338" s="286"/>
      <c r="X1338" s="267"/>
      <c r="Y1338" s="267"/>
      <c r="Z1338" s="267"/>
      <c r="AA1338" s="267"/>
      <c r="AB1338" s="267"/>
      <c r="AC1338" s="267"/>
      <c r="AD1338" s="261"/>
      <c r="AE1338" s="261"/>
      <c r="AF1338" s="257"/>
      <c r="AG1338" s="257"/>
    </row>
    <row r="1339">
      <c r="A1339" s="284"/>
      <c r="B1339" s="251"/>
      <c r="C1339" s="251"/>
      <c r="D1339" s="261"/>
      <c r="E1339" s="261"/>
      <c r="F1339" s="261"/>
      <c r="G1339" s="261"/>
      <c r="H1339" s="261"/>
      <c r="I1339" s="261"/>
      <c r="J1339" s="261"/>
      <c r="K1339" s="262"/>
      <c r="L1339" s="261"/>
      <c r="M1339" s="262"/>
      <c r="N1339" s="262"/>
      <c r="O1339" s="261"/>
      <c r="P1339" s="262"/>
      <c r="Q1339" s="262"/>
      <c r="R1339" s="261"/>
      <c r="S1339" s="263"/>
      <c r="T1339" s="261"/>
      <c r="U1339" s="269"/>
      <c r="V1339" s="285"/>
      <c r="W1339" s="286"/>
      <c r="X1339" s="267"/>
      <c r="Y1339" s="267"/>
      <c r="Z1339" s="267"/>
      <c r="AA1339" s="267"/>
      <c r="AB1339" s="267"/>
      <c r="AC1339" s="267"/>
      <c r="AD1339" s="261"/>
      <c r="AE1339" s="261"/>
      <c r="AF1339" s="257"/>
      <c r="AG1339" s="257"/>
    </row>
    <row r="1340">
      <c r="A1340" s="284"/>
      <c r="B1340" s="251"/>
      <c r="C1340" s="251"/>
      <c r="D1340" s="261"/>
      <c r="E1340" s="261"/>
      <c r="F1340" s="261"/>
      <c r="G1340" s="261"/>
      <c r="H1340" s="261"/>
      <c r="I1340" s="261"/>
      <c r="J1340" s="261"/>
      <c r="K1340" s="262"/>
      <c r="L1340" s="261"/>
      <c r="M1340" s="262"/>
      <c r="N1340" s="262"/>
      <c r="O1340" s="261"/>
      <c r="P1340" s="262"/>
      <c r="Q1340" s="262"/>
      <c r="R1340" s="261"/>
      <c r="S1340" s="263"/>
      <c r="T1340" s="261"/>
      <c r="U1340" s="269"/>
      <c r="V1340" s="285"/>
      <c r="W1340" s="286"/>
      <c r="X1340" s="267"/>
      <c r="Y1340" s="267"/>
      <c r="Z1340" s="267"/>
      <c r="AA1340" s="267"/>
      <c r="AB1340" s="267"/>
      <c r="AC1340" s="267"/>
      <c r="AD1340" s="261"/>
      <c r="AE1340" s="261"/>
      <c r="AF1340" s="257"/>
      <c r="AG1340" s="257"/>
    </row>
    <row r="1341">
      <c r="A1341" s="284"/>
      <c r="B1341" s="251"/>
      <c r="C1341" s="251"/>
      <c r="D1341" s="261"/>
      <c r="E1341" s="261"/>
      <c r="F1341" s="261"/>
      <c r="G1341" s="261"/>
      <c r="H1341" s="261"/>
      <c r="I1341" s="261"/>
      <c r="J1341" s="261"/>
      <c r="K1341" s="262"/>
      <c r="L1341" s="261"/>
      <c r="M1341" s="262"/>
      <c r="N1341" s="262"/>
      <c r="O1341" s="261"/>
      <c r="P1341" s="262"/>
      <c r="Q1341" s="262"/>
      <c r="R1341" s="261"/>
      <c r="S1341" s="263"/>
      <c r="T1341" s="261"/>
      <c r="U1341" s="269"/>
      <c r="V1341" s="285"/>
      <c r="W1341" s="286"/>
      <c r="X1341" s="267"/>
      <c r="Y1341" s="267"/>
      <c r="Z1341" s="267"/>
      <c r="AA1341" s="267"/>
      <c r="AB1341" s="267"/>
      <c r="AC1341" s="267"/>
      <c r="AD1341" s="261"/>
      <c r="AE1341" s="261"/>
      <c r="AF1341" s="257"/>
      <c r="AG1341" s="257"/>
    </row>
    <row r="1342">
      <c r="A1342" s="284"/>
      <c r="B1342" s="251"/>
      <c r="C1342" s="251"/>
      <c r="D1342" s="261"/>
      <c r="E1342" s="261"/>
      <c r="F1342" s="261"/>
      <c r="G1342" s="261"/>
      <c r="H1342" s="261"/>
      <c r="I1342" s="261"/>
      <c r="J1342" s="261"/>
      <c r="K1342" s="262"/>
      <c r="L1342" s="261"/>
      <c r="M1342" s="262"/>
      <c r="N1342" s="262"/>
      <c r="O1342" s="261"/>
      <c r="P1342" s="262"/>
      <c r="Q1342" s="262"/>
      <c r="R1342" s="261"/>
      <c r="S1342" s="263"/>
      <c r="T1342" s="261"/>
      <c r="U1342" s="269"/>
      <c r="V1342" s="285"/>
      <c r="W1342" s="286"/>
      <c r="X1342" s="267"/>
      <c r="Y1342" s="267"/>
      <c r="Z1342" s="267"/>
      <c r="AA1342" s="267"/>
      <c r="AB1342" s="267"/>
      <c r="AC1342" s="267"/>
      <c r="AD1342" s="261"/>
      <c r="AE1342" s="261"/>
      <c r="AF1342" s="257"/>
      <c r="AG1342" s="257"/>
    </row>
    <row r="1343">
      <c r="A1343" s="284"/>
      <c r="B1343" s="251"/>
      <c r="C1343" s="251"/>
      <c r="D1343" s="261"/>
      <c r="E1343" s="261"/>
      <c r="F1343" s="261"/>
      <c r="G1343" s="261"/>
      <c r="H1343" s="261"/>
      <c r="I1343" s="261"/>
      <c r="J1343" s="261"/>
      <c r="K1343" s="262"/>
      <c r="L1343" s="261"/>
      <c r="M1343" s="262"/>
      <c r="N1343" s="262"/>
      <c r="O1343" s="261"/>
      <c r="P1343" s="262"/>
      <c r="Q1343" s="262"/>
      <c r="R1343" s="261"/>
      <c r="S1343" s="263"/>
      <c r="T1343" s="261"/>
      <c r="U1343" s="269"/>
      <c r="V1343" s="285"/>
      <c r="W1343" s="286"/>
      <c r="X1343" s="267"/>
      <c r="Y1343" s="267"/>
      <c r="Z1343" s="267"/>
      <c r="AA1343" s="267"/>
      <c r="AB1343" s="267"/>
      <c r="AC1343" s="267"/>
      <c r="AD1343" s="261"/>
      <c r="AE1343" s="261"/>
      <c r="AF1343" s="257"/>
      <c r="AG1343" s="257"/>
    </row>
    <row r="1344">
      <c r="A1344" s="284"/>
      <c r="B1344" s="251"/>
      <c r="C1344" s="251"/>
      <c r="D1344" s="261"/>
      <c r="E1344" s="261"/>
      <c r="F1344" s="261"/>
      <c r="G1344" s="261"/>
      <c r="H1344" s="261"/>
      <c r="I1344" s="261"/>
      <c r="J1344" s="261"/>
      <c r="K1344" s="262"/>
      <c r="L1344" s="261"/>
      <c r="M1344" s="262"/>
      <c r="N1344" s="262"/>
      <c r="O1344" s="261"/>
      <c r="P1344" s="262"/>
      <c r="Q1344" s="262"/>
      <c r="R1344" s="261"/>
      <c r="S1344" s="263"/>
      <c r="T1344" s="261"/>
      <c r="U1344" s="269"/>
      <c r="V1344" s="285"/>
      <c r="W1344" s="286"/>
      <c r="X1344" s="267"/>
      <c r="Y1344" s="267"/>
      <c r="Z1344" s="267"/>
      <c r="AA1344" s="267"/>
      <c r="AB1344" s="267"/>
      <c r="AC1344" s="267"/>
      <c r="AD1344" s="261"/>
      <c r="AE1344" s="261"/>
      <c r="AF1344" s="257"/>
      <c r="AG1344" s="257"/>
    </row>
    <row r="1345">
      <c r="A1345" s="284"/>
      <c r="B1345" s="251"/>
      <c r="C1345" s="251"/>
      <c r="D1345" s="261"/>
      <c r="E1345" s="261"/>
      <c r="F1345" s="261"/>
      <c r="G1345" s="261"/>
      <c r="H1345" s="261"/>
      <c r="I1345" s="261"/>
      <c r="J1345" s="261"/>
      <c r="K1345" s="262"/>
      <c r="L1345" s="261"/>
      <c r="M1345" s="262"/>
      <c r="N1345" s="262"/>
      <c r="O1345" s="261"/>
      <c r="P1345" s="262"/>
      <c r="Q1345" s="262"/>
      <c r="R1345" s="261"/>
      <c r="S1345" s="263"/>
      <c r="T1345" s="261"/>
      <c r="U1345" s="269"/>
      <c r="V1345" s="285"/>
      <c r="W1345" s="286"/>
      <c r="X1345" s="267"/>
      <c r="Y1345" s="267"/>
      <c r="Z1345" s="267"/>
      <c r="AA1345" s="267"/>
      <c r="AB1345" s="267"/>
      <c r="AC1345" s="267"/>
      <c r="AD1345" s="261"/>
      <c r="AE1345" s="261"/>
      <c r="AF1345" s="257"/>
      <c r="AG1345" s="257"/>
    </row>
    <row r="1346">
      <c r="A1346" s="284"/>
      <c r="B1346" s="251"/>
      <c r="C1346" s="251"/>
      <c r="D1346" s="261"/>
      <c r="E1346" s="261"/>
      <c r="F1346" s="261"/>
      <c r="G1346" s="261"/>
      <c r="H1346" s="261"/>
      <c r="I1346" s="261"/>
      <c r="J1346" s="261"/>
      <c r="K1346" s="262"/>
      <c r="L1346" s="261"/>
      <c r="M1346" s="262"/>
      <c r="N1346" s="262"/>
      <c r="O1346" s="261"/>
      <c r="P1346" s="262"/>
      <c r="Q1346" s="262"/>
      <c r="R1346" s="261"/>
      <c r="S1346" s="263"/>
      <c r="T1346" s="261"/>
      <c r="U1346" s="269"/>
      <c r="V1346" s="285"/>
      <c r="W1346" s="286"/>
      <c r="X1346" s="267"/>
      <c r="Y1346" s="267"/>
      <c r="Z1346" s="267"/>
      <c r="AA1346" s="267"/>
      <c r="AB1346" s="267"/>
      <c r="AC1346" s="267"/>
      <c r="AD1346" s="261"/>
      <c r="AE1346" s="261"/>
      <c r="AF1346" s="257"/>
      <c r="AG1346" s="257"/>
    </row>
    <row r="1347">
      <c r="A1347" s="284"/>
      <c r="B1347" s="251"/>
      <c r="C1347" s="251"/>
      <c r="D1347" s="261"/>
      <c r="E1347" s="261"/>
      <c r="F1347" s="261"/>
      <c r="G1347" s="261"/>
      <c r="H1347" s="261"/>
      <c r="I1347" s="261"/>
      <c r="J1347" s="261"/>
      <c r="K1347" s="262"/>
      <c r="L1347" s="261"/>
      <c r="M1347" s="262"/>
      <c r="N1347" s="262"/>
      <c r="O1347" s="261"/>
      <c r="P1347" s="262"/>
      <c r="Q1347" s="262"/>
      <c r="R1347" s="261"/>
      <c r="S1347" s="263"/>
      <c r="T1347" s="261"/>
      <c r="U1347" s="269"/>
      <c r="V1347" s="285"/>
      <c r="W1347" s="286"/>
      <c r="X1347" s="267"/>
      <c r="Y1347" s="267"/>
      <c r="Z1347" s="267"/>
      <c r="AA1347" s="267"/>
      <c r="AB1347" s="267"/>
      <c r="AC1347" s="267"/>
      <c r="AD1347" s="261"/>
      <c r="AE1347" s="261"/>
      <c r="AF1347" s="257"/>
      <c r="AG1347" s="257"/>
    </row>
    <row r="1348">
      <c r="A1348" s="284"/>
      <c r="B1348" s="251"/>
      <c r="C1348" s="251"/>
      <c r="D1348" s="261"/>
      <c r="E1348" s="261"/>
      <c r="F1348" s="261"/>
      <c r="G1348" s="261"/>
      <c r="H1348" s="261"/>
      <c r="I1348" s="261"/>
      <c r="J1348" s="261"/>
      <c r="K1348" s="262"/>
      <c r="L1348" s="261"/>
      <c r="M1348" s="262"/>
      <c r="N1348" s="262"/>
      <c r="O1348" s="261"/>
      <c r="P1348" s="262"/>
      <c r="Q1348" s="262"/>
      <c r="R1348" s="261"/>
      <c r="S1348" s="263"/>
      <c r="T1348" s="261"/>
      <c r="U1348" s="269"/>
      <c r="V1348" s="285"/>
      <c r="W1348" s="286"/>
      <c r="X1348" s="267"/>
      <c r="Y1348" s="267"/>
      <c r="Z1348" s="267"/>
      <c r="AA1348" s="267"/>
      <c r="AB1348" s="267"/>
      <c r="AC1348" s="267"/>
      <c r="AD1348" s="261"/>
      <c r="AE1348" s="261"/>
      <c r="AF1348" s="257"/>
      <c r="AG1348" s="257"/>
    </row>
    <row r="1349">
      <c r="A1349" s="284"/>
      <c r="B1349" s="251"/>
      <c r="C1349" s="251"/>
      <c r="D1349" s="261"/>
      <c r="E1349" s="261"/>
      <c r="F1349" s="261"/>
      <c r="G1349" s="261"/>
      <c r="H1349" s="261"/>
      <c r="I1349" s="261"/>
      <c r="J1349" s="261"/>
      <c r="K1349" s="262"/>
      <c r="L1349" s="261"/>
      <c r="M1349" s="262"/>
      <c r="N1349" s="262"/>
      <c r="O1349" s="261"/>
      <c r="P1349" s="262"/>
      <c r="Q1349" s="262"/>
      <c r="R1349" s="261"/>
      <c r="S1349" s="263"/>
      <c r="T1349" s="261"/>
      <c r="U1349" s="269"/>
      <c r="V1349" s="285"/>
      <c r="W1349" s="286"/>
      <c r="X1349" s="267"/>
      <c r="Y1349" s="267"/>
      <c r="Z1349" s="267"/>
      <c r="AA1349" s="267"/>
      <c r="AB1349" s="267"/>
      <c r="AC1349" s="267"/>
      <c r="AD1349" s="261"/>
      <c r="AE1349" s="261"/>
      <c r="AF1349" s="257"/>
      <c r="AG1349" s="257"/>
    </row>
    <row r="1350">
      <c r="A1350" s="284"/>
      <c r="B1350" s="251"/>
      <c r="C1350" s="251"/>
      <c r="D1350" s="261"/>
      <c r="E1350" s="261"/>
      <c r="F1350" s="261"/>
      <c r="G1350" s="261"/>
      <c r="H1350" s="261"/>
      <c r="I1350" s="261"/>
      <c r="J1350" s="261"/>
      <c r="K1350" s="262"/>
      <c r="L1350" s="261"/>
      <c r="M1350" s="262"/>
      <c r="N1350" s="262"/>
      <c r="O1350" s="261"/>
      <c r="P1350" s="262"/>
      <c r="Q1350" s="262"/>
      <c r="R1350" s="261"/>
      <c r="S1350" s="263"/>
      <c r="T1350" s="261"/>
      <c r="U1350" s="269"/>
      <c r="V1350" s="285"/>
      <c r="W1350" s="286"/>
      <c r="X1350" s="267"/>
      <c r="Y1350" s="267"/>
      <c r="Z1350" s="267"/>
      <c r="AA1350" s="267"/>
      <c r="AB1350" s="267"/>
      <c r="AC1350" s="267"/>
      <c r="AD1350" s="261"/>
      <c r="AE1350" s="261"/>
      <c r="AF1350" s="257"/>
      <c r="AG1350" s="257"/>
    </row>
    <row r="1351">
      <c r="A1351" s="284"/>
      <c r="B1351" s="251"/>
      <c r="C1351" s="251"/>
      <c r="D1351" s="261"/>
      <c r="E1351" s="261"/>
      <c r="F1351" s="261"/>
      <c r="G1351" s="261"/>
      <c r="H1351" s="261"/>
      <c r="I1351" s="261"/>
      <c r="J1351" s="261"/>
      <c r="K1351" s="262"/>
      <c r="L1351" s="261"/>
      <c r="M1351" s="262"/>
      <c r="N1351" s="262"/>
      <c r="O1351" s="261"/>
      <c r="P1351" s="262"/>
      <c r="Q1351" s="262"/>
      <c r="R1351" s="261"/>
      <c r="S1351" s="263"/>
      <c r="T1351" s="261"/>
      <c r="U1351" s="269"/>
      <c r="V1351" s="285"/>
      <c r="W1351" s="286"/>
      <c r="X1351" s="267"/>
      <c r="Y1351" s="267"/>
      <c r="Z1351" s="267"/>
      <c r="AA1351" s="267"/>
      <c r="AB1351" s="267"/>
      <c r="AC1351" s="267"/>
      <c r="AD1351" s="261"/>
      <c r="AE1351" s="261"/>
      <c r="AF1351" s="257"/>
      <c r="AG1351" s="257"/>
    </row>
    <row r="1352">
      <c r="A1352" s="284"/>
      <c r="B1352" s="251"/>
      <c r="C1352" s="251"/>
      <c r="D1352" s="261"/>
      <c r="E1352" s="261"/>
      <c r="F1352" s="261"/>
      <c r="G1352" s="261"/>
      <c r="H1352" s="261"/>
      <c r="I1352" s="261"/>
      <c r="J1352" s="261"/>
      <c r="K1352" s="262"/>
      <c r="L1352" s="261"/>
      <c r="M1352" s="262"/>
      <c r="N1352" s="262"/>
      <c r="O1352" s="261"/>
      <c r="P1352" s="262"/>
      <c r="Q1352" s="262"/>
      <c r="R1352" s="261"/>
      <c r="S1352" s="263"/>
      <c r="T1352" s="261"/>
      <c r="U1352" s="269"/>
      <c r="V1352" s="285"/>
      <c r="W1352" s="286"/>
      <c r="X1352" s="267"/>
      <c r="Y1352" s="267"/>
      <c r="Z1352" s="267"/>
      <c r="AA1352" s="267"/>
      <c r="AB1352" s="267"/>
      <c r="AC1352" s="267"/>
      <c r="AD1352" s="261"/>
      <c r="AE1352" s="261"/>
      <c r="AF1352" s="257"/>
      <c r="AG1352" s="257"/>
    </row>
    <row r="1353">
      <c r="A1353" s="284"/>
      <c r="B1353" s="251"/>
      <c r="C1353" s="251"/>
      <c r="D1353" s="261"/>
      <c r="E1353" s="261"/>
      <c r="F1353" s="261"/>
      <c r="G1353" s="261"/>
      <c r="H1353" s="261"/>
      <c r="I1353" s="261"/>
      <c r="J1353" s="261"/>
      <c r="K1353" s="262"/>
      <c r="L1353" s="261"/>
      <c r="M1353" s="262"/>
      <c r="N1353" s="262"/>
      <c r="O1353" s="261"/>
      <c r="P1353" s="262"/>
      <c r="Q1353" s="262"/>
      <c r="R1353" s="261"/>
      <c r="S1353" s="263"/>
      <c r="T1353" s="261"/>
      <c r="U1353" s="269"/>
      <c r="V1353" s="285"/>
      <c r="W1353" s="286"/>
      <c r="X1353" s="267"/>
      <c r="Y1353" s="267"/>
      <c r="Z1353" s="267"/>
      <c r="AA1353" s="267"/>
      <c r="AB1353" s="267"/>
      <c r="AC1353" s="267"/>
      <c r="AD1353" s="261"/>
      <c r="AE1353" s="261"/>
      <c r="AF1353" s="257"/>
      <c r="AG1353" s="257"/>
    </row>
    <row r="1354">
      <c r="A1354" s="284"/>
      <c r="B1354" s="251"/>
      <c r="C1354" s="251"/>
      <c r="D1354" s="261"/>
      <c r="E1354" s="261"/>
      <c r="F1354" s="261"/>
      <c r="G1354" s="261"/>
      <c r="H1354" s="261"/>
      <c r="I1354" s="261"/>
      <c r="J1354" s="261"/>
      <c r="K1354" s="262"/>
      <c r="L1354" s="261"/>
      <c r="M1354" s="262"/>
      <c r="N1354" s="262"/>
      <c r="O1354" s="261"/>
      <c r="P1354" s="262"/>
      <c r="Q1354" s="262"/>
      <c r="R1354" s="261"/>
      <c r="S1354" s="263"/>
      <c r="T1354" s="261"/>
      <c r="U1354" s="269"/>
      <c r="V1354" s="285"/>
      <c r="W1354" s="286"/>
      <c r="X1354" s="267"/>
      <c r="Y1354" s="267"/>
      <c r="Z1354" s="267"/>
      <c r="AA1354" s="267"/>
      <c r="AB1354" s="267"/>
      <c r="AC1354" s="267"/>
      <c r="AD1354" s="261"/>
      <c r="AE1354" s="261"/>
      <c r="AF1354" s="257"/>
      <c r="AG1354" s="257"/>
    </row>
    <row r="1355">
      <c r="A1355" s="284"/>
      <c r="B1355" s="251"/>
      <c r="C1355" s="251"/>
      <c r="D1355" s="261"/>
      <c r="E1355" s="261"/>
      <c r="F1355" s="261"/>
      <c r="G1355" s="261"/>
      <c r="H1355" s="261"/>
      <c r="I1355" s="261"/>
      <c r="J1355" s="261"/>
      <c r="K1355" s="262"/>
      <c r="L1355" s="261"/>
      <c r="M1355" s="262"/>
      <c r="N1355" s="262"/>
      <c r="O1355" s="261"/>
      <c r="P1355" s="262"/>
      <c r="Q1355" s="262"/>
      <c r="R1355" s="261"/>
      <c r="S1355" s="263"/>
      <c r="T1355" s="261"/>
      <c r="U1355" s="269"/>
      <c r="V1355" s="285"/>
      <c r="W1355" s="286"/>
      <c r="X1355" s="267"/>
      <c r="Y1355" s="267"/>
      <c r="Z1355" s="267"/>
      <c r="AA1355" s="267"/>
      <c r="AB1355" s="267"/>
      <c r="AC1355" s="267"/>
      <c r="AD1355" s="261"/>
      <c r="AE1355" s="261"/>
      <c r="AF1355" s="257"/>
      <c r="AG1355" s="257"/>
    </row>
    <row r="1356">
      <c r="A1356" s="284"/>
      <c r="B1356" s="251"/>
      <c r="C1356" s="251"/>
      <c r="D1356" s="261"/>
      <c r="E1356" s="261"/>
      <c r="F1356" s="261"/>
      <c r="G1356" s="261"/>
      <c r="H1356" s="261"/>
      <c r="I1356" s="261"/>
      <c r="J1356" s="261"/>
      <c r="K1356" s="262"/>
      <c r="L1356" s="261"/>
      <c r="M1356" s="262"/>
      <c r="N1356" s="262"/>
      <c r="O1356" s="261"/>
      <c r="P1356" s="262"/>
      <c r="Q1356" s="262"/>
      <c r="R1356" s="261"/>
      <c r="S1356" s="263"/>
      <c r="T1356" s="261"/>
      <c r="U1356" s="269"/>
      <c r="V1356" s="285"/>
      <c r="W1356" s="286"/>
      <c r="X1356" s="267"/>
      <c r="Y1356" s="267"/>
      <c r="Z1356" s="267"/>
      <c r="AA1356" s="267"/>
      <c r="AB1356" s="267"/>
      <c r="AC1356" s="267"/>
      <c r="AD1356" s="261"/>
      <c r="AE1356" s="261"/>
      <c r="AF1356" s="257"/>
      <c r="AG1356" s="257"/>
    </row>
    <row r="1357">
      <c r="A1357" s="284"/>
      <c r="B1357" s="251"/>
      <c r="C1357" s="251"/>
      <c r="D1357" s="261"/>
      <c r="E1357" s="261"/>
      <c r="F1357" s="261"/>
      <c r="G1357" s="261"/>
      <c r="H1357" s="261"/>
      <c r="I1357" s="261"/>
      <c r="J1357" s="261"/>
      <c r="K1357" s="262"/>
      <c r="L1357" s="261"/>
      <c r="M1357" s="262"/>
      <c r="N1357" s="262"/>
      <c r="O1357" s="261"/>
      <c r="P1357" s="262"/>
      <c r="Q1357" s="262"/>
      <c r="R1357" s="261"/>
      <c r="S1357" s="263"/>
      <c r="T1357" s="261"/>
      <c r="U1357" s="269"/>
      <c r="V1357" s="285"/>
      <c r="W1357" s="286"/>
      <c r="X1357" s="267"/>
      <c r="Y1357" s="267"/>
      <c r="Z1357" s="267"/>
      <c r="AA1357" s="267"/>
      <c r="AB1357" s="267"/>
      <c r="AC1357" s="267"/>
      <c r="AD1357" s="261"/>
      <c r="AE1357" s="261"/>
      <c r="AF1357" s="257"/>
      <c r="AG1357" s="257"/>
    </row>
    <row r="1358">
      <c r="A1358" s="284"/>
      <c r="B1358" s="251"/>
      <c r="C1358" s="251"/>
      <c r="D1358" s="261"/>
      <c r="E1358" s="261"/>
      <c r="F1358" s="261"/>
      <c r="G1358" s="261"/>
      <c r="H1358" s="261"/>
      <c r="I1358" s="261"/>
      <c r="J1358" s="261"/>
      <c r="K1358" s="262"/>
      <c r="L1358" s="261"/>
      <c r="M1358" s="262"/>
      <c r="N1358" s="262"/>
      <c r="O1358" s="261"/>
      <c r="P1358" s="262"/>
      <c r="Q1358" s="262"/>
      <c r="R1358" s="261"/>
      <c r="S1358" s="263"/>
      <c r="T1358" s="261"/>
      <c r="U1358" s="269"/>
      <c r="V1358" s="285"/>
      <c r="W1358" s="286"/>
      <c r="X1358" s="267"/>
      <c r="Y1358" s="267"/>
      <c r="Z1358" s="267"/>
      <c r="AA1358" s="267"/>
      <c r="AB1358" s="267"/>
      <c r="AC1358" s="267"/>
      <c r="AD1358" s="261"/>
      <c r="AE1358" s="261"/>
      <c r="AF1358" s="257"/>
      <c r="AG1358" s="257"/>
    </row>
    <row r="1359">
      <c r="A1359" s="284"/>
      <c r="B1359" s="251"/>
      <c r="C1359" s="251"/>
      <c r="D1359" s="261"/>
      <c r="E1359" s="261"/>
      <c r="F1359" s="261"/>
      <c r="G1359" s="261"/>
      <c r="H1359" s="261"/>
      <c r="I1359" s="261"/>
      <c r="J1359" s="261"/>
      <c r="K1359" s="262"/>
      <c r="L1359" s="261"/>
      <c r="M1359" s="262"/>
      <c r="N1359" s="262"/>
      <c r="O1359" s="261"/>
      <c r="P1359" s="262"/>
      <c r="Q1359" s="262"/>
      <c r="R1359" s="261"/>
      <c r="S1359" s="263"/>
      <c r="T1359" s="261"/>
      <c r="U1359" s="269"/>
      <c r="V1359" s="285"/>
      <c r="W1359" s="286"/>
      <c r="X1359" s="267"/>
      <c r="Y1359" s="267"/>
      <c r="Z1359" s="267"/>
      <c r="AA1359" s="267"/>
      <c r="AB1359" s="267"/>
      <c r="AC1359" s="267"/>
      <c r="AD1359" s="261"/>
      <c r="AE1359" s="261"/>
      <c r="AF1359" s="257"/>
      <c r="AG1359" s="257"/>
    </row>
    <row r="1360">
      <c r="A1360" s="284"/>
      <c r="B1360" s="251"/>
      <c r="C1360" s="251"/>
      <c r="D1360" s="261"/>
      <c r="E1360" s="261"/>
      <c r="F1360" s="261"/>
      <c r="G1360" s="261"/>
      <c r="H1360" s="261"/>
      <c r="I1360" s="261"/>
      <c r="J1360" s="261"/>
      <c r="K1360" s="262"/>
      <c r="L1360" s="261"/>
      <c r="M1360" s="262"/>
      <c r="N1360" s="262"/>
      <c r="O1360" s="261"/>
      <c r="P1360" s="262"/>
      <c r="Q1360" s="262"/>
      <c r="R1360" s="261"/>
      <c r="S1360" s="263"/>
      <c r="T1360" s="261"/>
      <c r="U1360" s="269"/>
      <c r="V1360" s="285"/>
      <c r="W1360" s="286"/>
      <c r="X1360" s="267"/>
      <c r="Y1360" s="267"/>
      <c r="Z1360" s="267"/>
      <c r="AA1360" s="267"/>
      <c r="AB1360" s="267"/>
      <c r="AC1360" s="267"/>
      <c r="AD1360" s="261"/>
      <c r="AE1360" s="261"/>
      <c r="AF1360" s="257"/>
      <c r="AG1360" s="257"/>
    </row>
    <row r="1361">
      <c r="A1361" s="284"/>
      <c r="B1361" s="251"/>
      <c r="C1361" s="251"/>
      <c r="D1361" s="261"/>
      <c r="E1361" s="261"/>
      <c r="F1361" s="261"/>
      <c r="G1361" s="261"/>
      <c r="H1361" s="261"/>
      <c r="I1361" s="261"/>
      <c r="J1361" s="261"/>
      <c r="K1361" s="262"/>
      <c r="L1361" s="261"/>
      <c r="M1361" s="262"/>
      <c r="N1361" s="262"/>
      <c r="O1361" s="261"/>
      <c r="P1361" s="262"/>
      <c r="Q1361" s="262"/>
      <c r="R1361" s="261"/>
      <c r="S1361" s="263"/>
      <c r="T1361" s="261"/>
      <c r="U1361" s="269"/>
      <c r="V1361" s="285"/>
      <c r="W1361" s="286"/>
      <c r="X1361" s="267"/>
      <c r="Y1361" s="267"/>
      <c r="Z1361" s="267"/>
      <c r="AA1361" s="267"/>
      <c r="AB1361" s="267"/>
      <c r="AC1361" s="267"/>
      <c r="AD1361" s="261"/>
      <c r="AE1361" s="261"/>
      <c r="AF1361" s="257"/>
      <c r="AG1361" s="257"/>
    </row>
    <row r="1362">
      <c r="A1362" s="284"/>
      <c r="B1362" s="251"/>
      <c r="C1362" s="251"/>
      <c r="D1362" s="261"/>
      <c r="E1362" s="261"/>
      <c r="F1362" s="261"/>
      <c r="G1362" s="261"/>
      <c r="H1362" s="261"/>
      <c r="I1362" s="261"/>
      <c r="J1362" s="261"/>
      <c r="K1362" s="262"/>
      <c r="L1362" s="261"/>
      <c r="M1362" s="262"/>
      <c r="N1362" s="262"/>
      <c r="O1362" s="261"/>
      <c r="P1362" s="262"/>
      <c r="Q1362" s="262"/>
      <c r="R1362" s="261"/>
      <c r="S1362" s="263"/>
      <c r="T1362" s="261"/>
      <c r="U1362" s="269"/>
      <c r="V1362" s="285"/>
      <c r="W1362" s="286"/>
      <c r="X1362" s="267"/>
      <c r="Y1362" s="267"/>
      <c r="Z1362" s="267"/>
      <c r="AA1362" s="267"/>
      <c r="AB1362" s="267"/>
      <c r="AC1362" s="267"/>
      <c r="AD1362" s="261"/>
      <c r="AE1362" s="261"/>
      <c r="AF1362" s="257"/>
      <c r="AG1362" s="257"/>
    </row>
    <row r="1363">
      <c r="A1363" s="284"/>
      <c r="B1363" s="251"/>
      <c r="C1363" s="251"/>
      <c r="D1363" s="261"/>
      <c r="E1363" s="261"/>
      <c r="F1363" s="261"/>
      <c r="G1363" s="261"/>
      <c r="H1363" s="261"/>
      <c r="I1363" s="261"/>
      <c r="J1363" s="261"/>
      <c r="K1363" s="262"/>
      <c r="L1363" s="261"/>
      <c r="M1363" s="262"/>
      <c r="N1363" s="262"/>
      <c r="O1363" s="261"/>
      <c r="P1363" s="262"/>
      <c r="Q1363" s="262"/>
      <c r="R1363" s="261"/>
      <c r="S1363" s="263"/>
      <c r="T1363" s="261"/>
      <c r="U1363" s="269"/>
      <c r="V1363" s="285"/>
      <c r="W1363" s="286"/>
      <c r="X1363" s="267"/>
      <c r="Y1363" s="267"/>
      <c r="Z1363" s="267"/>
      <c r="AA1363" s="267"/>
      <c r="AB1363" s="267"/>
      <c r="AC1363" s="267"/>
      <c r="AD1363" s="261"/>
      <c r="AE1363" s="261"/>
      <c r="AF1363" s="257"/>
      <c r="AG1363" s="257"/>
    </row>
    <row r="1364">
      <c r="A1364" s="284"/>
      <c r="B1364" s="251"/>
      <c r="C1364" s="251"/>
      <c r="D1364" s="261"/>
      <c r="E1364" s="261"/>
      <c r="F1364" s="261"/>
      <c r="G1364" s="261"/>
      <c r="H1364" s="261"/>
      <c r="I1364" s="261"/>
      <c r="J1364" s="261"/>
      <c r="K1364" s="262"/>
      <c r="L1364" s="261"/>
      <c r="M1364" s="262"/>
      <c r="N1364" s="262"/>
      <c r="O1364" s="261"/>
      <c r="P1364" s="262"/>
      <c r="Q1364" s="262"/>
      <c r="R1364" s="261"/>
      <c r="S1364" s="263"/>
      <c r="T1364" s="261"/>
      <c r="U1364" s="269"/>
      <c r="V1364" s="285"/>
      <c r="W1364" s="286"/>
      <c r="X1364" s="267"/>
      <c r="Y1364" s="267"/>
      <c r="Z1364" s="267"/>
      <c r="AA1364" s="267"/>
      <c r="AB1364" s="267"/>
      <c r="AC1364" s="267"/>
      <c r="AD1364" s="261"/>
      <c r="AE1364" s="261"/>
      <c r="AF1364" s="257"/>
      <c r="AG1364" s="257"/>
    </row>
    <row r="1365">
      <c r="A1365" s="284"/>
      <c r="B1365" s="251"/>
      <c r="C1365" s="251"/>
      <c r="D1365" s="261"/>
      <c r="E1365" s="261"/>
      <c r="F1365" s="261"/>
      <c r="G1365" s="261"/>
      <c r="H1365" s="261"/>
      <c r="I1365" s="261"/>
      <c r="J1365" s="261"/>
      <c r="K1365" s="262"/>
      <c r="L1365" s="261"/>
      <c r="M1365" s="262"/>
      <c r="N1365" s="262"/>
      <c r="O1365" s="261"/>
      <c r="P1365" s="262"/>
      <c r="Q1365" s="262"/>
      <c r="R1365" s="261"/>
      <c r="S1365" s="263"/>
      <c r="T1365" s="261"/>
      <c r="U1365" s="269"/>
      <c r="V1365" s="285"/>
      <c r="W1365" s="286"/>
      <c r="X1365" s="267"/>
      <c r="Y1365" s="267"/>
      <c r="Z1365" s="267"/>
      <c r="AA1365" s="267"/>
      <c r="AB1365" s="267"/>
      <c r="AC1365" s="267"/>
      <c r="AD1365" s="261"/>
      <c r="AE1365" s="261"/>
      <c r="AF1365" s="257"/>
      <c r="AG1365" s="257"/>
    </row>
    <row r="1366">
      <c r="A1366" s="284"/>
      <c r="B1366" s="251"/>
      <c r="C1366" s="251"/>
      <c r="D1366" s="261"/>
      <c r="E1366" s="261"/>
      <c r="F1366" s="261"/>
      <c r="G1366" s="261"/>
      <c r="H1366" s="261"/>
      <c r="I1366" s="261"/>
      <c r="J1366" s="261"/>
      <c r="K1366" s="262"/>
      <c r="L1366" s="261"/>
      <c r="M1366" s="262"/>
      <c r="N1366" s="262"/>
      <c r="O1366" s="261"/>
      <c r="P1366" s="262"/>
      <c r="Q1366" s="262"/>
      <c r="R1366" s="261"/>
      <c r="S1366" s="263"/>
      <c r="T1366" s="261"/>
      <c r="U1366" s="269"/>
      <c r="V1366" s="285"/>
      <c r="W1366" s="286"/>
      <c r="X1366" s="267"/>
      <c r="Y1366" s="267"/>
      <c r="Z1366" s="267"/>
      <c r="AA1366" s="267"/>
      <c r="AB1366" s="267"/>
      <c r="AC1366" s="267"/>
      <c r="AD1366" s="261"/>
      <c r="AE1366" s="261"/>
      <c r="AF1366" s="257"/>
      <c r="AG1366" s="257"/>
    </row>
    <row r="1367">
      <c r="A1367" s="284"/>
      <c r="B1367" s="251"/>
      <c r="C1367" s="251"/>
      <c r="D1367" s="261"/>
      <c r="E1367" s="261"/>
      <c r="F1367" s="261"/>
      <c r="G1367" s="261"/>
      <c r="H1367" s="261"/>
      <c r="I1367" s="261"/>
      <c r="J1367" s="261"/>
      <c r="K1367" s="262"/>
      <c r="L1367" s="261"/>
      <c r="M1367" s="262"/>
      <c r="N1367" s="262"/>
      <c r="O1367" s="261"/>
      <c r="P1367" s="262"/>
      <c r="Q1367" s="262"/>
      <c r="R1367" s="261"/>
      <c r="S1367" s="263"/>
      <c r="T1367" s="261"/>
      <c r="U1367" s="269"/>
      <c r="V1367" s="285"/>
      <c r="W1367" s="286"/>
      <c r="X1367" s="267"/>
      <c r="Y1367" s="267"/>
      <c r="Z1367" s="267"/>
      <c r="AA1367" s="267"/>
      <c r="AB1367" s="267"/>
      <c r="AC1367" s="267"/>
      <c r="AD1367" s="261"/>
      <c r="AE1367" s="261"/>
      <c r="AF1367" s="257"/>
      <c r="AG1367" s="257"/>
    </row>
    <row r="1368">
      <c r="A1368" s="284"/>
      <c r="B1368" s="251"/>
      <c r="C1368" s="251"/>
      <c r="D1368" s="261"/>
      <c r="E1368" s="261"/>
      <c r="F1368" s="261"/>
      <c r="G1368" s="261"/>
      <c r="H1368" s="261"/>
      <c r="I1368" s="261"/>
      <c r="J1368" s="261"/>
      <c r="K1368" s="262"/>
      <c r="L1368" s="261"/>
      <c r="M1368" s="262"/>
      <c r="N1368" s="262"/>
      <c r="O1368" s="261"/>
      <c r="P1368" s="262"/>
      <c r="Q1368" s="262"/>
      <c r="R1368" s="261"/>
      <c r="S1368" s="263"/>
      <c r="T1368" s="261"/>
      <c r="U1368" s="269"/>
      <c r="V1368" s="285"/>
      <c r="W1368" s="286"/>
      <c r="X1368" s="267"/>
      <c r="Y1368" s="267"/>
      <c r="Z1368" s="267"/>
      <c r="AA1368" s="267"/>
      <c r="AB1368" s="267"/>
      <c r="AC1368" s="267"/>
      <c r="AD1368" s="261"/>
      <c r="AE1368" s="261"/>
      <c r="AF1368" s="257"/>
      <c r="AG1368" s="257"/>
    </row>
    <row r="1369">
      <c r="A1369" s="284"/>
      <c r="B1369" s="251"/>
      <c r="C1369" s="251"/>
      <c r="D1369" s="261"/>
      <c r="E1369" s="261"/>
      <c r="F1369" s="261"/>
      <c r="G1369" s="261"/>
      <c r="H1369" s="261"/>
      <c r="I1369" s="261"/>
      <c r="J1369" s="261"/>
      <c r="K1369" s="262"/>
      <c r="L1369" s="261"/>
      <c r="M1369" s="262"/>
      <c r="N1369" s="262"/>
      <c r="O1369" s="261"/>
      <c r="P1369" s="262"/>
      <c r="Q1369" s="262"/>
      <c r="R1369" s="261"/>
      <c r="S1369" s="263"/>
      <c r="T1369" s="261"/>
      <c r="U1369" s="269"/>
      <c r="V1369" s="285"/>
      <c r="W1369" s="286"/>
      <c r="X1369" s="267"/>
      <c r="Y1369" s="267"/>
      <c r="Z1369" s="267"/>
      <c r="AA1369" s="267"/>
      <c r="AB1369" s="267"/>
      <c r="AC1369" s="267"/>
      <c r="AD1369" s="261"/>
      <c r="AE1369" s="261"/>
      <c r="AF1369" s="257"/>
      <c r="AG1369" s="257"/>
    </row>
    <row r="1370">
      <c r="A1370" s="284"/>
      <c r="B1370" s="251"/>
      <c r="C1370" s="251"/>
      <c r="D1370" s="261"/>
      <c r="E1370" s="261"/>
      <c r="F1370" s="261"/>
      <c r="G1370" s="261"/>
      <c r="H1370" s="261"/>
      <c r="I1370" s="261"/>
      <c r="J1370" s="261"/>
      <c r="K1370" s="262"/>
      <c r="L1370" s="261"/>
      <c r="M1370" s="262"/>
      <c r="N1370" s="262"/>
      <c r="O1370" s="261"/>
      <c r="P1370" s="262"/>
      <c r="Q1370" s="262"/>
      <c r="R1370" s="261"/>
      <c r="S1370" s="263"/>
      <c r="T1370" s="261"/>
      <c r="U1370" s="269"/>
      <c r="V1370" s="285"/>
      <c r="W1370" s="286"/>
      <c r="X1370" s="267"/>
      <c r="Y1370" s="267"/>
      <c r="Z1370" s="267"/>
      <c r="AA1370" s="267"/>
      <c r="AB1370" s="267"/>
      <c r="AC1370" s="267"/>
      <c r="AD1370" s="261"/>
      <c r="AE1370" s="261"/>
      <c r="AF1370" s="257"/>
      <c r="AG1370" s="257"/>
    </row>
    <row r="1371">
      <c r="A1371" s="284"/>
      <c r="B1371" s="251"/>
      <c r="C1371" s="251"/>
      <c r="D1371" s="261"/>
      <c r="E1371" s="261"/>
      <c r="F1371" s="261"/>
      <c r="G1371" s="261"/>
      <c r="H1371" s="261"/>
      <c r="I1371" s="261"/>
      <c r="J1371" s="261"/>
      <c r="K1371" s="262"/>
      <c r="L1371" s="261"/>
      <c r="M1371" s="262"/>
      <c r="N1371" s="262"/>
      <c r="O1371" s="261"/>
      <c r="P1371" s="262"/>
      <c r="Q1371" s="262"/>
      <c r="R1371" s="261"/>
      <c r="S1371" s="263"/>
      <c r="T1371" s="261"/>
      <c r="U1371" s="269"/>
      <c r="V1371" s="285"/>
      <c r="W1371" s="286"/>
      <c r="X1371" s="267"/>
      <c r="Y1371" s="267"/>
      <c r="Z1371" s="267"/>
      <c r="AA1371" s="267"/>
      <c r="AB1371" s="267"/>
      <c r="AC1371" s="267"/>
      <c r="AD1371" s="261"/>
      <c r="AE1371" s="261"/>
      <c r="AF1371" s="257"/>
      <c r="AG1371" s="257"/>
    </row>
    <row r="1372">
      <c r="A1372" s="284"/>
      <c r="B1372" s="251"/>
      <c r="C1372" s="251"/>
      <c r="D1372" s="261"/>
      <c r="E1372" s="261"/>
      <c r="F1372" s="261"/>
      <c r="G1372" s="261"/>
      <c r="H1372" s="261"/>
      <c r="I1372" s="261"/>
      <c r="J1372" s="261"/>
      <c r="K1372" s="262"/>
      <c r="L1372" s="261"/>
      <c r="M1372" s="262"/>
      <c r="N1372" s="262"/>
      <c r="O1372" s="261"/>
      <c r="P1372" s="262"/>
      <c r="Q1372" s="262"/>
      <c r="R1372" s="261"/>
      <c r="S1372" s="263"/>
      <c r="T1372" s="261"/>
      <c r="U1372" s="269"/>
      <c r="V1372" s="285"/>
      <c r="W1372" s="286"/>
      <c r="X1372" s="267"/>
      <c r="Y1372" s="267"/>
      <c r="Z1372" s="267"/>
      <c r="AA1372" s="267"/>
      <c r="AB1372" s="267"/>
      <c r="AC1372" s="267"/>
      <c r="AD1372" s="261"/>
      <c r="AE1372" s="261"/>
      <c r="AF1372" s="257"/>
      <c r="AG1372" s="257"/>
    </row>
    <row r="1373">
      <c r="A1373" s="284"/>
      <c r="B1373" s="251"/>
      <c r="C1373" s="251"/>
      <c r="D1373" s="261"/>
      <c r="E1373" s="261"/>
      <c r="F1373" s="261"/>
      <c r="G1373" s="261"/>
      <c r="H1373" s="261"/>
      <c r="I1373" s="261"/>
      <c r="J1373" s="261"/>
      <c r="K1373" s="262"/>
      <c r="L1373" s="261"/>
      <c r="M1373" s="262"/>
      <c r="N1373" s="262"/>
      <c r="O1373" s="261"/>
      <c r="P1373" s="262"/>
      <c r="Q1373" s="262"/>
      <c r="R1373" s="261"/>
      <c r="S1373" s="263"/>
      <c r="T1373" s="261"/>
      <c r="U1373" s="269"/>
      <c r="V1373" s="285"/>
      <c r="W1373" s="286"/>
      <c r="X1373" s="267"/>
      <c r="Y1373" s="267"/>
      <c r="Z1373" s="267"/>
      <c r="AA1373" s="267"/>
      <c r="AB1373" s="267"/>
      <c r="AC1373" s="267"/>
      <c r="AD1373" s="261"/>
      <c r="AE1373" s="261"/>
      <c r="AF1373" s="257"/>
      <c r="AG1373" s="257"/>
    </row>
    <row r="1374">
      <c r="A1374" s="284"/>
      <c r="B1374" s="251"/>
      <c r="C1374" s="251"/>
      <c r="D1374" s="261"/>
      <c r="E1374" s="261"/>
      <c r="F1374" s="261"/>
      <c r="G1374" s="261"/>
      <c r="H1374" s="261"/>
      <c r="I1374" s="261"/>
      <c r="J1374" s="261"/>
      <c r="K1374" s="262"/>
      <c r="L1374" s="261"/>
      <c r="M1374" s="262"/>
      <c r="N1374" s="262"/>
      <c r="O1374" s="261"/>
      <c r="P1374" s="262"/>
      <c r="Q1374" s="262"/>
      <c r="R1374" s="261"/>
      <c r="S1374" s="263"/>
      <c r="T1374" s="261"/>
      <c r="U1374" s="269"/>
      <c r="V1374" s="285"/>
      <c r="W1374" s="286"/>
      <c r="X1374" s="267"/>
      <c r="Y1374" s="267"/>
      <c r="Z1374" s="267"/>
      <c r="AA1374" s="267"/>
      <c r="AB1374" s="267"/>
      <c r="AC1374" s="267"/>
      <c r="AD1374" s="261"/>
      <c r="AE1374" s="261"/>
      <c r="AF1374" s="257"/>
      <c r="AG1374" s="257"/>
    </row>
    <row r="1375">
      <c r="A1375" s="284"/>
      <c r="B1375" s="251"/>
      <c r="C1375" s="251"/>
      <c r="D1375" s="261"/>
      <c r="E1375" s="261"/>
      <c r="F1375" s="261"/>
      <c r="G1375" s="261"/>
      <c r="H1375" s="261"/>
      <c r="I1375" s="261"/>
      <c r="J1375" s="261"/>
      <c r="K1375" s="262"/>
      <c r="L1375" s="261"/>
      <c r="M1375" s="262"/>
      <c r="N1375" s="262"/>
      <c r="O1375" s="261"/>
      <c r="P1375" s="262"/>
      <c r="Q1375" s="262"/>
      <c r="R1375" s="261"/>
      <c r="S1375" s="263"/>
      <c r="T1375" s="261"/>
      <c r="U1375" s="269"/>
      <c r="V1375" s="285"/>
      <c r="W1375" s="286"/>
      <c r="X1375" s="267"/>
      <c r="Y1375" s="267"/>
      <c r="Z1375" s="267"/>
      <c r="AA1375" s="267"/>
      <c r="AB1375" s="267"/>
      <c r="AC1375" s="267"/>
      <c r="AD1375" s="261"/>
      <c r="AE1375" s="261"/>
      <c r="AF1375" s="257"/>
      <c r="AG1375" s="257"/>
    </row>
    <row r="1376">
      <c r="A1376" s="284"/>
      <c r="B1376" s="251"/>
      <c r="C1376" s="251"/>
      <c r="D1376" s="261"/>
      <c r="E1376" s="261"/>
      <c r="F1376" s="261"/>
      <c r="G1376" s="261"/>
      <c r="H1376" s="261"/>
      <c r="I1376" s="261"/>
      <c r="J1376" s="261"/>
      <c r="K1376" s="262"/>
      <c r="L1376" s="261"/>
      <c r="M1376" s="262"/>
      <c r="N1376" s="262"/>
      <c r="O1376" s="261"/>
      <c r="P1376" s="262"/>
      <c r="Q1376" s="262"/>
      <c r="R1376" s="261"/>
      <c r="S1376" s="263"/>
      <c r="T1376" s="261"/>
      <c r="U1376" s="269"/>
      <c r="V1376" s="285"/>
      <c r="W1376" s="286"/>
      <c r="X1376" s="267"/>
      <c r="Y1376" s="267"/>
      <c r="Z1376" s="267"/>
      <c r="AA1376" s="267"/>
      <c r="AB1376" s="267"/>
      <c r="AC1376" s="267"/>
      <c r="AD1376" s="261"/>
      <c r="AE1376" s="261"/>
      <c r="AF1376" s="257"/>
      <c r="AG1376" s="257"/>
    </row>
    <row r="1377">
      <c r="A1377" s="284"/>
      <c r="B1377" s="251"/>
      <c r="C1377" s="251"/>
      <c r="D1377" s="261"/>
      <c r="E1377" s="261"/>
      <c r="F1377" s="261"/>
      <c r="G1377" s="261"/>
      <c r="H1377" s="261"/>
      <c r="I1377" s="261"/>
      <c r="J1377" s="261"/>
      <c r="K1377" s="262"/>
      <c r="L1377" s="261"/>
      <c r="M1377" s="262"/>
      <c r="N1377" s="262"/>
      <c r="O1377" s="261"/>
      <c r="P1377" s="262"/>
      <c r="Q1377" s="262"/>
      <c r="R1377" s="261"/>
      <c r="S1377" s="263"/>
      <c r="T1377" s="261"/>
      <c r="U1377" s="269"/>
      <c r="V1377" s="285"/>
      <c r="W1377" s="286"/>
      <c r="X1377" s="267"/>
      <c r="Y1377" s="267"/>
      <c r="Z1377" s="267"/>
      <c r="AA1377" s="267"/>
      <c r="AB1377" s="267"/>
      <c r="AC1377" s="267"/>
      <c r="AD1377" s="261"/>
      <c r="AE1377" s="261"/>
      <c r="AF1377" s="257"/>
      <c r="AG1377" s="257"/>
    </row>
    <row r="1378">
      <c r="A1378" s="284"/>
      <c r="B1378" s="251"/>
      <c r="C1378" s="251"/>
      <c r="D1378" s="261"/>
      <c r="E1378" s="261"/>
      <c r="F1378" s="261"/>
      <c r="G1378" s="261"/>
      <c r="H1378" s="261"/>
      <c r="I1378" s="261"/>
      <c r="J1378" s="261"/>
      <c r="K1378" s="262"/>
      <c r="L1378" s="261"/>
      <c r="M1378" s="262"/>
      <c r="N1378" s="262"/>
      <c r="O1378" s="261"/>
      <c r="P1378" s="262"/>
      <c r="Q1378" s="262"/>
      <c r="R1378" s="261"/>
      <c r="S1378" s="263"/>
      <c r="T1378" s="261"/>
      <c r="U1378" s="269"/>
      <c r="V1378" s="285"/>
      <c r="W1378" s="286"/>
      <c r="X1378" s="267"/>
      <c r="Y1378" s="267"/>
      <c r="Z1378" s="267"/>
      <c r="AA1378" s="267"/>
      <c r="AB1378" s="267"/>
      <c r="AC1378" s="267"/>
      <c r="AD1378" s="261"/>
      <c r="AE1378" s="261"/>
      <c r="AF1378" s="257"/>
      <c r="AG1378" s="257"/>
    </row>
    <row r="1379">
      <c r="A1379" s="284"/>
      <c r="B1379" s="251"/>
      <c r="C1379" s="251"/>
      <c r="D1379" s="261"/>
      <c r="E1379" s="261"/>
      <c r="F1379" s="261"/>
      <c r="G1379" s="261"/>
      <c r="H1379" s="261"/>
      <c r="I1379" s="261"/>
      <c r="J1379" s="261"/>
      <c r="K1379" s="262"/>
      <c r="L1379" s="261"/>
      <c r="M1379" s="262"/>
      <c r="N1379" s="262"/>
      <c r="O1379" s="261"/>
      <c r="P1379" s="262"/>
      <c r="Q1379" s="262"/>
      <c r="R1379" s="261"/>
      <c r="S1379" s="263"/>
      <c r="T1379" s="261"/>
      <c r="U1379" s="269"/>
      <c r="V1379" s="285"/>
      <c r="W1379" s="286"/>
      <c r="X1379" s="267"/>
      <c r="Y1379" s="267"/>
      <c r="Z1379" s="267"/>
      <c r="AA1379" s="267"/>
      <c r="AB1379" s="267"/>
      <c r="AC1379" s="267"/>
      <c r="AD1379" s="261"/>
      <c r="AE1379" s="261"/>
      <c r="AF1379" s="257"/>
      <c r="AG1379" s="257"/>
    </row>
    <row r="1380">
      <c r="A1380" s="284"/>
      <c r="B1380" s="251"/>
      <c r="C1380" s="251"/>
      <c r="D1380" s="261"/>
      <c r="E1380" s="261"/>
      <c r="F1380" s="261"/>
      <c r="G1380" s="261"/>
      <c r="H1380" s="261"/>
      <c r="I1380" s="261"/>
      <c r="J1380" s="261"/>
      <c r="K1380" s="262"/>
      <c r="L1380" s="261"/>
      <c r="M1380" s="262"/>
      <c r="N1380" s="262"/>
      <c r="O1380" s="261"/>
      <c r="P1380" s="262"/>
      <c r="Q1380" s="262"/>
      <c r="R1380" s="261"/>
      <c r="S1380" s="263"/>
      <c r="T1380" s="261"/>
      <c r="U1380" s="269"/>
      <c r="V1380" s="285"/>
      <c r="W1380" s="286"/>
      <c r="X1380" s="267"/>
      <c r="Y1380" s="267"/>
      <c r="Z1380" s="267"/>
      <c r="AA1380" s="267"/>
      <c r="AB1380" s="267"/>
      <c r="AC1380" s="267"/>
      <c r="AD1380" s="261"/>
      <c r="AE1380" s="261"/>
      <c r="AF1380" s="257"/>
      <c r="AG1380" s="257"/>
    </row>
    <row r="1381">
      <c r="A1381" s="284"/>
      <c r="B1381" s="251"/>
      <c r="C1381" s="251"/>
      <c r="D1381" s="261"/>
      <c r="E1381" s="261"/>
      <c r="F1381" s="261"/>
      <c r="G1381" s="261"/>
      <c r="H1381" s="261"/>
      <c r="I1381" s="261"/>
      <c r="J1381" s="261"/>
      <c r="K1381" s="262"/>
      <c r="L1381" s="261"/>
      <c r="M1381" s="262"/>
      <c r="N1381" s="262"/>
      <c r="O1381" s="261"/>
      <c r="P1381" s="262"/>
      <c r="Q1381" s="262"/>
      <c r="R1381" s="261"/>
      <c r="S1381" s="263"/>
      <c r="T1381" s="261"/>
      <c r="U1381" s="269"/>
      <c r="V1381" s="285"/>
      <c r="W1381" s="286"/>
      <c r="X1381" s="267"/>
      <c r="Y1381" s="267"/>
      <c r="Z1381" s="267"/>
      <c r="AA1381" s="267"/>
      <c r="AB1381" s="267"/>
      <c r="AC1381" s="267"/>
      <c r="AD1381" s="261"/>
      <c r="AE1381" s="261"/>
      <c r="AF1381" s="257"/>
      <c r="AG1381" s="257"/>
    </row>
    <row r="1382">
      <c r="A1382" s="284"/>
      <c r="B1382" s="251"/>
      <c r="C1382" s="251"/>
      <c r="D1382" s="261"/>
      <c r="E1382" s="261"/>
      <c r="F1382" s="261"/>
      <c r="G1382" s="261"/>
      <c r="H1382" s="261"/>
      <c r="I1382" s="261"/>
      <c r="J1382" s="261"/>
      <c r="K1382" s="262"/>
      <c r="L1382" s="261"/>
      <c r="M1382" s="262"/>
      <c r="N1382" s="262"/>
      <c r="O1382" s="261"/>
      <c r="P1382" s="262"/>
      <c r="Q1382" s="262"/>
      <c r="R1382" s="261"/>
      <c r="S1382" s="263"/>
      <c r="T1382" s="261"/>
      <c r="U1382" s="269"/>
      <c r="V1382" s="285"/>
      <c r="W1382" s="286"/>
      <c r="X1382" s="267"/>
      <c r="Y1382" s="267"/>
      <c r="Z1382" s="267"/>
      <c r="AA1382" s="267"/>
      <c r="AB1382" s="267"/>
      <c r="AC1382" s="267"/>
      <c r="AD1382" s="261"/>
      <c r="AE1382" s="261"/>
      <c r="AF1382" s="257"/>
      <c r="AG1382" s="257"/>
    </row>
    <row r="1383">
      <c r="A1383" s="284"/>
      <c r="B1383" s="251"/>
      <c r="C1383" s="251"/>
      <c r="D1383" s="261"/>
      <c r="E1383" s="261"/>
      <c r="F1383" s="261"/>
      <c r="G1383" s="261"/>
      <c r="H1383" s="261"/>
      <c r="I1383" s="261"/>
      <c r="J1383" s="261"/>
      <c r="K1383" s="262"/>
      <c r="L1383" s="261"/>
      <c r="M1383" s="262"/>
      <c r="N1383" s="262"/>
      <c r="O1383" s="261"/>
      <c r="P1383" s="262"/>
      <c r="Q1383" s="262"/>
      <c r="R1383" s="261"/>
      <c r="S1383" s="263"/>
      <c r="T1383" s="261"/>
      <c r="U1383" s="269"/>
      <c r="V1383" s="285"/>
      <c r="W1383" s="286"/>
      <c r="X1383" s="267"/>
      <c r="Y1383" s="267"/>
      <c r="Z1383" s="267"/>
      <c r="AA1383" s="267"/>
      <c r="AB1383" s="267"/>
      <c r="AC1383" s="267"/>
      <c r="AD1383" s="261"/>
      <c r="AE1383" s="261"/>
      <c r="AF1383" s="257"/>
      <c r="AG1383" s="257"/>
    </row>
    <row r="1384">
      <c r="A1384" s="284"/>
      <c r="B1384" s="251"/>
      <c r="C1384" s="251"/>
      <c r="D1384" s="261"/>
      <c r="E1384" s="261"/>
      <c r="F1384" s="261"/>
      <c r="G1384" s="261"/>
      <c r="H1384" s="261"/>
      <c r="I1384" s="261"/>
      <c r="J1384" s="261"/>
      <c r="K1384" s="262"/>
      <c r="L1384" s="261"/>
      <c r="M1384" s="262"/>
      <c r="N1384" s="262"/>
      <c r="O1384" s="261"/>
      <c r="P1384" s="262"/>
      <c r="Q1384" s="262"/>
      <c r="R1384" s="261"/>
      <c r="S1384" s="263"/>
      <c r="T1384" s="261"/>
      <c r="U1384" s="269"/>
      <c r="V1384" s="285"/>
      <c r="W1384" s="286"/>
      <c r="X1384" s="267"/>
      <c r="Y1384" s="267"/>
      <c r="Z1384" s="267"/>
      <c r="AA1384" s="267"/>
      <c r="AB1384" s="267"/>
      <c r="AC1384" s="267"/>
      <c r="AD1384" s="261"/>
      <c r="AE1384" s="261"/>
      <c r="AF1384" s="257"/>
      <c r="AG1384" s="257"/>
    </row>
    <row r="1385">
      <c r="A1385" s="284"/>
      <c r="B1385" s="251"/>
      <c r="C1385" s="251"/>
      <c r="D1385" s="261"/>
      <c r="E1385" s="261"/>
      <c r="F1385" s="261"/>
      <c r="G1385" s="261"/>
      <c r="H1385" s="261"/>
      <c r="I1385" s="261"/>
      <c r="J1385" s="261"/>
      <c r="K1385" s="262"/>
      <c r="L1385" s="261"/>
      <c r="M1385" s="262"/>
      <c r="N1385" s="262"/>
      <c r="O1385" s="261"/>
      <c r="P1385" s="262"/>
      <c r="Q1385" s="262"/>
      <c r="R1385" s="261"/>
      <c r="S1385" s="263"/>
      <c r="T1385" s="261"/>
      <c r="U1385" s="269"/>
      <c r="V1385" s="285"/>
      <c r="W1385" s="286"/>
      <c r="X1385" s="267"/>
      <c r="Y1385" s="267"/>
      <c r="Z1385" s="267"/>
      <c r="AA1385" s="267"/>
      <c r="AB1385" s="267"/>
      <c r="AC1385" s="267"/>
      <c r="AD1385" s="261"/>
      <c r="AE1385" s="261"/>
      <c r="AF1385" s="257"/>
      <c r="AG1385" s="257"/>
    </row>
    <row r="1386">
      <c r="A1386" s="284"/>
      <c r="B1386" s="251"/>
      <c r="C1386" s="251"/>
      <c r="D1386" s="261"/>
      <c r="E1386" s="261"/>
      <c r="F1386" s="261"/>
      <c r="G1386" s="261"/>
      <c r="H1386" s="261"/>
      <c r="I1386" s="261"/>
      <c r="J1386" s="261"/>
      <c r="K1386" s="262"/>
      <c r="L1386" s="261"/>
      <c r="M1386" s="262"/>
      <c r="N1386" s="262"/>
      <c r="O1386" s="261"/>
      <c r="P1386" s="262"/>
      <c r="Q1386" s="262"/>
      <c r="R1386" s="261"/>
      <c r="S1386" s="263"/>
      <c r="T1386" s="261"/>
      <c r="U1386" s="269"/>
      <c r="V1386" s="285"/>
      <c r="W1386" s="286"/>
      <c r="X1386" s="267"/>
      <c r="Y1386" s="267"/>
      <c r="Z1386" s="267"/>
      <c r="AA1386" s="267"/>
      <c r="AB1386" s="267"/>
      <c r="AC1386" s="267"/>
      <c r="AD1386" s="261"/>
      <c r="AE1386" s="261"/>
      <c r="AF1386" s="257"/>
      <c r="AG1386" s="257"/>
    </row>
    <row r="1387">
      <c r="A1387" s="284"/>
      <c r="B1387" s="251"/>
      <c r="C1387" s="251"/>
      <c r="D1387" s="261"/>
      <c r="E1387" s="261"/>
      <c r="F1387" s="261"/>
      <c r="G1387" s="261"/>
      <c r="H1387" s="261"/>
      <c r="I1387" s="261"/>
      <c r="J1387" s="261"/>
      <c r="K1387" s="262"/>
      <c r="L1387" s="261"/>
      <c r="M1387" s="262"/>
      <c r="N1387" s="262"/>
      <c r="O1387" s="261"/>
      <c r="P1387" s="262"/>
      <c r="Q1387" s="262"/>
      <c r="R1387" s="261"/>
      <c r="S1387" s="263"/>
      <c r="T1387" s="261"/>
      <c r="U1387" s="269"/>
      <c r="V1387" s="285"/>
      <c r="W1387" s="286"/>
      <c r="X1387" s="267"/>
      <c r="Y1387" s="267"/>
      <c r="Z1387" s="267"/>
      <c r="AA1387" s="267"/>
      <c r="AB1387" s="267"/>
      <c r="AC1387" s="267"/>
      <c r="AD1387" s="261"/>
      <c r="AE1387" s="261"/>
      <c r="AF1387" s="257"/>
      <c r="AG1387" s="257"/>
    </row>
    <row r="1388">
      <c r="A1388" s="284"/>
      <c r="B1388" s="251"/>
      <c r="C1388" s="251"/>
      <c r="D1388" s="261"/>
      <c r="E1388" s="261"/>
      <c r="F1388" s="261"/>
      <c r="G1388" s="261"/>
      <c r="H1388" s="261"/>
      <c r="I1388" s="261"/>
      <c r="J1388" s="261"/>
      <c r="K1388" s="262"/>
      <c r="L1388" s="261"/>
      <c r="M1388" s="262"/>
      <c r="N1388" s="262"/>
      <c r="O1388" s="261"/>
      <c r="P1388" s="262"/>
      <c r="Q1388" s="262"/>
      <c r="R1388" s="261"/>
      <c r="S1388" s="263"/>
      <c r="T1388" s="261"/>
      <c r="U1388" s="269"/>
      <c r="V1388" s="285"/>
      <c r="W1388" s="286"/>
      <c r="X1388" s="267"/>
      <c r="Y1388" s="267"/>
      <c r="Z1388" s="267"/>
      <c r="AA1388" s="267"/>
      <c r="AB1388" s="267"/>
      <c r="AC1388" s="267"/>
      <c r="AD1388" s="261"/>
      <c r="AE1388" s="261"/>
      <c r="AF1388" s="257"/>
      <c r="AG1388" s="257"/>
    </row>
    <row r="1389">
      <c r="A1389" s="284"/>
      <c r="B1389" s="251"/>
      <c r="C1389" s="251"/>
      <c r="D1389" s="261"/>
      <c r="E1389" s="261"/>
      <c r="F1389" s="261"/>
      <c r="G1389" s="261"/>
      <c r="H1389" s="261"/>
      <c r="I1389" s="261"/>
      <c r="J1389" s="261"/>
      <c r="K1389" s="262"/>
      <c r="L1389" s="261"/>
      <c r="M1389" s="262"/>
      <c r="N1389" s="262"/>
      <c r="O1389" s="261"/>
      <c r="P1389" s="262"/>
      <c r="Q1389" s="262"/>
      <c r="R1389" s="261"/>
      <c r="S1389" s="263"/>
      <c r="T1389" s="261"/>
      <c r="U1389" s="269"/>
      <c r="V1389" s="285"/>
      <c r="W1389" s="286"/>
      <c r="X1389" s="267"/>
      <c r="Y1389" s="267"/>
      <c r="Z1389" s="267"/>
      <c r="AA1389" s="267"/>
      <c r="AB1389" s="267"/>
      <c r="AC1389" s="267"/>
      <c r="AD1389" s="261"/>
      <c r="AE1389" s="261"/>
      <c r="AF1389" s="257"/>
      <c r="AG1389" s="257"/>
    </row>
    <row r="1390">
      <c r="A1390" s="284"/>
      <c r="B1390" s="251"/>
      <c r="C1390" s="251"/>
      <c r="D1390" s="261"/>
      <c r="E1390" s="261"/>
      <c r="F1390" s="261"/>
      <c r="G1390" s="261"/>
      <c r="H1390" s="261"/>
      <c r="I1390" s="261"/>
      <c r="J1390" s="261"/>
      <c r="K1390" s="262"/>
      <c r="L1390" s="261"/>
      <c r="M1390" s="262"/>
      <c r="N1390" s="262"/>
      <c r="O1390" s="261"/>
      <c r="P1390" s="262"/>
      <c r="Q1390" s="262"/>
      <c r="R1390" s="261"/>
      <c r="S1390" s="263"/>
      <c r="T1390" s="261"/>
      <c r="U1390" s="269"/>
      <c r="V1390" s="285"/>
      <c r="W1390" s="286"/>
      <c r="X1390" s="267"/>
      <c r="Y1390" s="267"/>
      <c r="Z1390" s="267"/>
      <c r="AA1390" s="267"/>
      <c r="AB1390" s="267"/>
      <c r="AC1390" s="267"/>
      <c r="AD1390" s="261"/>
      <c r="AE1390" s="261"/>
      <c r="AF1390" s="257"/>
      <c r="AG1390" s="257"/>
    </row>
    <row r="1391">
      <c r="A1391" s="284"/>
      <c r="B1391" s="251"/>
      <c r="C1391" s="251"/>
      <c r="D1391" s="261"/>
      <c r="E1391" s="261"/>
      <c r="F1391" s="261"/>
      <c r="G1391" s="261"/>
      <c r="H1391" s="261"/>
      <c r="I1391" s="261"/>
      <c r="J1391" s="261"/>
      <c r="K1391" s="262"/>
      <c r="L1391" s="261"/>
      <c r="M1391" s="262"/>
      <c r="N1391" s="262"/>
      <c r="O1391" s="261"/>
      <c r="P1391" s="262"/>
      <c r="Q1391" s="262"/>
      <c r="R1391" s="261"/>
      <c r="S1391" s="263"/>
      <c r="T1391" s="261"/>
      <c r="U1391" s="269"/>
      <c r="V1391" s="285"/>
      <c r="W1391" s="286"/>
      <c r="X1391" s="267"/>
      <c r="Y1391" s="267"/>
      <c r="Z1391" s="267"/>
      <c r="AA1391" s="267"/>
      <c r="AB1391" s="267"/>
      <c r="AC1391" s="267"/>
      <c r="AD1391" s="261"/>
      <c r="AE1391" s="261"/>
      <c r="AF1391" s="257"/>
      <c r="AG1391" s="257"/>
    </row>
    <row r="1392">
      <c r="A1392" s="284"/>
      <c r="B1392" s="251"/>
      <c r="C1392" s="251"/>
      <c r="D1392" s="261"/>
      <c r="E1392" s="261"/>
      <c r="F1392" s="261"/>
      <c r="G1392" s="261"/>
      <c r="H1392" s="261"/>
      <c r="I1392" s="261"/>
      <c r="J1392" s="261"/>
      <c r="K1392" s="262"/>
      <c r="L1392" s="261"/>
      <c r="M1392" s="262"/>
      <c r="N1392" s="262"/>
      <c r="O1392" s="261"/>
      <c r="P1392" s="262"/>
      <c r="Q1392" s="262"/>
      <c r="R1392" s="261"/>
      <c r="S1392" s="263"/>
      <c r="T1392" s="261"/>
      <c r="U1392" s="269"/>
      <c r="V1392" s="285"/>
      <c r="W1392" s="286"/>
      <c r="X1392" s="267"/>
      <c r="Y1392" s="267"/>
      <c r="Z1392" s="267"/>
      <c r="AA1392" s="267"/>
      <c r="AB1392" s="267"/>
      <c r="AC1392" s="267"/>
      <c r="AD1392" s="261"/>
      <c r="AE1392" s="261"/>
      <c r="AF1392" s="257"/>
      <c r="AG1392" s="257"/>
    </row>
    <row r="1393">
      <c r="A1393" s="284"/>
      <c r="B1393" s="251"/>
      <c r="C1393" s="251"/>
      <c r="D1393" s="261"/>
      <c r="E1393" s="261"/>
      <c r="F1393" s="261"/>
      <c r="G1393" s="261"/>
      <c r="H1393" s="261"/>
      <c r="I1393" s="261"/>
      <c r="J1393" s="261"/>
      <c r="K1393" s="262"/>
      <c r="L1393" s="261"/>
      <c r="M1393" s="262"/>
      <c r="N1393" s="262"/>
      <c r="O1393" s="261"/>
      <c r="P1393" s="262"/>
      <c r="Q1393" s="262"/>
      <c r="R1393" s="261"/>
      <c r="S1393" s="263"/>
      <c r="T1393" s="261"/>
      <c r="U1393" s="269"/>
      <c r="V1393" s="285"/>
      <c r="W1393" s="286"/>
      <c r="X1393" s="267"/>
      <c r="Y1393" s="267"/>
      <c r="Z1393" s="267"/>
      <c r="AA1393" s="267"/>
      <c r="AB1393" s="267"/>
      <c r="AC1393" s="267"/>
      <c r="AD1393" s="261"/>
      <c r="AE1393" s="261"/>
      <c r="AF1393" s="257"/>
      <c r="AG1393" s="257"/>
    </row>
    <row r="1394">
      <c r="A1394" s="284"/>
      <c r="B1394" s="251"/>
      <c r="C1394" s="251"/>
      <c r="D1394" s="261"/>
      <c r="E1394" s="261"/>
      <c r="F1394" s="261"/>
      <c r="G1394" s="261"/>
      <c r="H1394" s="261"/>
      <c r="I1394" s="261"/>
      <c r="J1394" s="261"/>
      <c r="K1394" s="262"/>
      <c r="L1394" s="261"/>
      <c r="M1394" s="262"/>
      <c r="N1394" s="262"/>
      <c r="O1394" s="261"/>
      <c r="P1394" s="262"/>
      <c r="Q1394" s="262"/>
      <c r="R1394" s="261"/>
      <c r="S1394" s="263"/>
      <c r="T1394" s="261"/>
      <c r="U1394" s="269"/>
      <c r="V1394" s="285"/>
      <c r="W1394" s="286"/>
      <c r="X1394" s="267"/>
      <c r="Y1394" s="267"/>
      <c r="Z1394" s="267"/>
      <c r="AA1394" s="267"/>
      <c r="AB1394" s="267"/>
      <c r="AC1394" s="267"/>
      <c r="AD1394" s="261"/>
      <c r="AE1394" s="261"/>
      <c r="AF1394" s="257"/>
      <c r="AG1394" s="257"/>
    </row>
    <row r="1395">
      <c r="A1395" s="284"/>
      <c r="B1395" s="251"/>
      <c r="C1395" s="251"/>
      <c r="D1395" s="261"/>
      <c r="E1395" s="261"/>
      <c r="F1395" s="261"/>
      <c r="G1395" s="261"/>
      <c r="H1395" s="261"/>
      <c r="I1395" s="261"/>
      <c r="J1395" s="261"/>
      <c r="K1395" s="262"/>
      <c r="L1395" s="261"/>
      <c r="M1395" s="262"/>
      <c r="N1395" s="262"/>
      <c r="O1395" s="261"/>
      <c r="P1395" s="262"/>
      <c r="Q1395" s="262"/>
      <c r="R1395" s="261"/>
      <c r="S1395" s="263"/>
      <c r="T1395" s="261"/>
      <c r="U1395" s="269"/>
      <c r="V1395" s="285"/>
      <c r="W1395" s="286"/>
      <c r="X1395" s="267"/>
      <c r="Y1395" s="267"/>
      <c r="Z1395" s="267"/>
      <c r="AA1395" s="267"/>
      <c r="AB1395" s="267"/>
      <c r="AC1395" s="267"/>
      <c r="AD1395" s="261"/>
      <c r="AE1395" s="261"/>
      <c r="AF1395" s="257"/>
      <c r="AG1395" s="257"/>
    </row>
    <row r="1396">
      <c r="A1396" s="284"/>
      <c r="B1396" s="251"/>
      <c r="C1396" s="251"/>
      <c r="D1396" s="261"/>
      <c r="E1396" s="261"/>
      <c r="F1396" s="261"/>
      <c r="G1396" s="261"/>
      <c r="H1396" s="261"/>
      <c r="I1396" s="261"/>
      <c r="J1396" s="261"/>
      <c r="K1396" s="262"/>
      <c r="L1396" s="261"/>
      <c r="M1396" s="262"/>
      <c r="N1396" s="262"/>
      <c r="O1396" s="261"/>
      <c r="P1396" s="262"/>
      <c r="Q1396" s="262"/>
      <c r="R1396" s="261"/>
      <c r="S1396" s="263"/>
      <c r="T1396" s="261"/>
      <c r="U1396" s="269"/>
      <c r="V1396" s="285"/>
      <c r="W1396" s="286"/>
      <c r="X1396" s="267"/>
      <c r="Y1396" s="267"/>
      <c r="Z1396" s="267"/>
      <c r="AA1396" s="267"/>
      <c r="AB1396" s="267"/>
      <c r="AC1396" s="267"/>
      <c r="AD1396" s="261"/>
      <c r="AE1396" s="261"/>
      <c r="AF1396" s="257"/>
      <c r="AG1396" s="257"/>
    </row>
    <row r="1397">
      <c r="A1397" s="284"/>
      <c r="B1397" s="251"/>
      <c r="C1397" s="251"/>
      <c r="D1397" s="261"/>
      <c r="E1397" s="261"/>
      <c r="F1397" s="261"/>
      <c r="G1397" s="261"/>
      <c r="H1397" s="261"/>
      <c r="I1397" s="261"/>
      <c r="J1397" s="261"/>
      <c r="K1397" s="262"/>
      <c r="L1397" s="261"/>
      <c r="M1397" s="262"/>
      <c r="N1397" s="262"/>
      <c r="O1397" s="261"/>
      <c r="P1397" s="262"/>
      <c r="Q1397" s="262"/>
      <c r="R1397" s="261"/>
      <c r="S1397" s="263"/>
      <c r="T1397" s="261"/>
      <c r="U1397" s="269"/>
      <c r="V1397" s="285"/>
      <c r="W1397" s="286"/>
      <c r="X1397" s="267"/>
      <c r="Y1397" s="267"/>
      <c r="Z1397" s="267"/>
      <c r="AA1397" s="267"/>
      <c r="AB1397" s="267"/>
      <c r="AC1397" s="267"/>
      <c r="AD1397" s="261"/>
      <c r="AE1397" s="261"/>
      <c r="AF1397" s="257"/>
      <c r="AG1397" s="257"/>
    </row>
    <row r="1398">
      <c r="A1398" s="284"/>
      <c r="B1398" s="251"/>
      <c r="C1398" s="251"/>
      <c r="D1398" s="261"/>
      <c r="E1398" s="261"/>
      <c r="F1398" s="261"/>
      <c r="G1398" s="261"/>
      <c r="H1398" s="261"/>
      <c r="I1398" s="261"/>
      <c r="J1398" s="261"/>
      <c r="K1398" s="262"/>
      <c r="L1398" s="261"/>
      <c r="M1398" s="262"/>
      <c r="N1398" s="262"/>
      <c r="O1398" s="261"/>
      <c r="P1398" s="262"/>
      <c r="Q1398" s="262"/>
      <c r="R1398" s="261"/>
      <c r="S1398" s="263"/>
      <c r="T1398" s="261"/>
      <c r="U1398" s="269"/>
      <c r="V1398" s="285"/>
      <c r="W1398" s="286"/>
      <c r="X1398" s="267"/>
      <c r="Y1398" s="267"/>
      <c r="Z1398" s="267"/>
      <c r="AA1398" s="267"/>
      <c r="AB1398" s="267"/>
      <c r="AC1398" s="267"/>
      <c r="AD1398" s="261"/>
      <c r="AE1398" s="261"/>
      <c r="AF1398" s="257"/>
      <c r="AG1398" s="257"/>
    </row>
    <row r="1399">
      <c r="A1399" s="284"/>
      <c r="B1399" s="251"/>
      <c r="C1399" s="251"/>
      <c r="D1399" s="261"/>
      <c r="E1399" s="261"/>
      <c r="F1399" s="261"/>
      <c r="G1399" s="261"/>
      <c r="H1399" s="261"/>
      <c r="I1399" s="261"/>
      <c r="J1399" s="261"/>
      <c r="K1399" s="262"/>
      <c r="L1399" s="261"/>
      <c r="M1399" s="262"/>
      <c r="N1399" s="262"/>
      <c r="O1399" s="261"/>
      <c r="P1399" s="262"/>
      <c r="Q1399" s="262"/>
      <c r="R1399" s="261"/>
      <c r="S1399" s="263"/>
      <c r="T1399" s="261"/>
      <c r="U1399" s="269"/>
      <c r="V1399" s="285"/>
      <c r="W1399" s="286"/>
      <c r="X1399" s="267"/>
      <c r="Y1399" s="267"/>
      <c r="Z1399" s="267"/>
      <c r="AA1399" s="267"/>
      <c r="AB1399" s="267"/>
      <c r="AC1399" s="267"/>
      <c r="AD1399" s="261"/>
      <c r="AE1399" s="261"/>
      <c r="AF1399" s="257"/>
      <c r="AG1399" s="257"/>
    </row>
    <row r="1400">
      <c r="A1400" s="284"/>
      <c r="B1400" s="251"/>
      <c r="C1400" s="251"/>
      <c r="D1400" s="261"/>
      <c r="E1400" s="261"/>
      <c r="F1400" s="261"/>
      <c r="G1400" s="261"/>
      <c r="H1400" s="261"/>
      <c r="I1400" s="261"/>
      <c r="J1400" s="261"/>
      <c r="K1400" s="262"/>
      <c r="L1400" s="261"/>
      <c r="M1400" s="262"/>
      <c r="N1400" s="262"/>
      <c r="O1400" s="261"/>
      <c r="P1400" s="262"/>
      <c r="Q1400" s="262"/>
      <c r="R1400" s="261"/>
      <c r="S1400" s="263"/>
      <c r="T1400" s="261"/>
      <c r="U1400" s="269"/>
      <c r="V1400" s="285"/>
      <c r="W1400" s="286"/>
      <c r="X1400" s="267"/>
      <c r="Y1400" s="267"/>
      <c r="Z1400" s="267"/>
      <c r="AA1400" s="267"/>
      <c r="AB1400" s="267"/>
      <c r="AC1400" s="267"/>
      <c r="AD1400" s="261"/>
      <c r="AE1400" s="261"/>
      <c r="AF1400" s="257"/>
      <c r="AG1400" s="257"/>
    </row>
    <row r="1401">
      <c r="A1401" s="284"/>
      <c r="B1401" s="251"/>
      <c r="C1401" s="251"/>
      <c r="D1401" s="261"/>
      <c r="E1401" s="261"/>
      <c r="F1401" s="261"/>
      <c r="G1401" s="261"/>
      <c r="H1401" s="261"/>
      <c r="I1401" s="261"/>
      <c r="J1401" s="261"/>
      <c r="K1401" s="262"/>
      <c r="L1401" s="261"/>
      <c r="M1401" s="262"/>
      <c r="N1401" s="262"/>
      <c r="O1401" s="261"/>
      <c r="P1401" s="262"/>
      <c r="Q1401" s="262"/>
      <c r="R1401" s="261"/>
      <c r="S1401" s="263"/>
      <c r="T1401" s="261"/>
      <c r="U1401" s="269"/>
      <c r="V1401" s="285"/>
      <c r="W1401" s="286"/>
      <c r="X1401" s="267"/>
      <c r="Y1401" s="267"/>
      <c r="Z1401" s="267"/>
      <c r="AA1401" s="267"/>
      <c r="AB1401" s="267"/>
      <c r="AC1401" s="267"/>
      <c r="AD1401" s="261"/>
      <c r="AE1401" s="261"/>
      <c r="AF1401" s="257"/>
      <c r="AG1401" s="257"/>
    </row>
    <row r="1402">
      <c r="A1402" s="284"/>
      <c r="B1402" s="251"/>
      <c r="C1402" s="251"/>
      <c r="D1402" s="261"/>
      <c r="E1402" s="261"/>
      <c r="F1402" s="261"/>
      <c r="G1402" s="261"/>
      <c r="H1402" s="261"/>
      <c r="I1402" s="261"/>
      <c r="J1402" s="261"/>
      <c r="K1402" s="262"/>
      <c r="L1402" s="261"/>
      <c r="M1402" s="262"/>
      <c r="N1402" s="262"/>
      <c r="O1402" s="261"/>
      <c r="P1402" s="262"/>
      <c r="Q1402" s="262"/>
      <c r="R1402" s="261"/>
      <c r="S1402" s="263"/>
      <c r="T1402" s="261"/>
      <c r="U1402" s="269"/>
      <c r="V1402" s="285"/>
      <c r="W1402" s="286"/>
      <c r="X1402" s="267"/>
      <c r="Y1402" s="267"/>
      <c r="Z1402" s="267"/>
      <c r="AA1402" s="267"/>
      <c r="AB1402" s="267"/>
      <c r="AC1402" s="267"/>
      <c r="AD1402" s="261"/>
      <c r="AE1402" s="261"/>
      <c r="AF1402" s="257"/>
      <c r="AG1402" s="257"/>
    </row>
    <row r="1403">
      <c r="A1403" s="284"/>
      <c r="B1403" s="251"/>
      <c r="C1403" s="251"/>
      <c r="D1403" s="261"/>
      <c r="E1403" s="261"/>
      <c r="F1403" s="261"/>
      <c r="G1403" s="261"/>
      <c r="H1403" s="261"/>
      <c r="I1403" s="261"/>
      <c r="J1403" s="261"/>
      <c r="K1403" s="262"/>
      <c r="L1403" s="261"/>
      <c r="M1403" s="262"/>
      <c r="N1403" s="262"/>
      <c r="O1403" s="261"/>
      <c r="P1403" s="262"/>
      <c r="Q1403" s="262"/>
      <c r="R1403" s="261"/>
      <c r="S1403" s="263"/>
      <c r="T1403" s="261"/>
      <c r="U1403" s="269"/>
      <c r="V1403" s="285"/>
      <c r="W1403" s="286"/>
      <c r="X1403" s="267"/>
      <c r="Y1403" s="267"/>
      <c r="Z1403" s="267"/>
      <c r="AA1403" s="267"/>
      <c r="AB1403" s="267"/>
      <c r="AC1403" s="267"/>
      <c r="AD1403" s="261"/>
      <c r="AE1403" s="261"/>
      <c r="AF1403" s="257"/>
      <c r="AG1403" s="257"/>
    </row>
    <row r="1404">
      <c r="A1404" s="284"/>
      <c r="B1404" s="251"/>
      <c r="C1404" s="251"/>
      <c r="D1404" s="261"/>
      <c r="E1404" s="261"/>
      <c r="F1404" s="261"/>
      <c r="G1404" s="261"/>
      <c r="H1404" s="261"/>
      <c r="I1404" s="261"/>
      <c r="J1404" s="261"/>
      <c r="K1404" s="262"/>
      <c r="L1404" s="261"/>
      <c r="M1404" s="262"/>
      <c r="N1404" s="262"/>
      <c r="O1404" s="261"/>
      <c r="P1404" s="262"/>
      <c r="Q1404" s="262"/>
      <c r="R1404" s="261"/>
      <c r="S1404" s="263"/>
      <c r="T1404" s="261"/>
      <c r="U1404" s="269"/>
      <c r="V1404" s="285"/>
      <c r="W1404" s="286"/>
      <c r="X1404" s="267"/>
      <c r="Y1404" s="267"/>
      <c r="Z1404" s="267"/>
      <c r="AA1404" s="267"/>
      <c r="AB1404" s="267"/>
      <c r="AC1404" s="267"/>
      <c r="AD1404" s="261"/>
      <c r="AE1404" s="261"/>
      <c r="AF1404" s="257"/>
      <c r="AG1404" s="257"/>
    </row>
    <row r="1405">
      <c r="A1405" s="284"/>
      <c r="B1405" s="251"/>
      <c r="C1405" s="251"/>
      <c r="D1405" s="261"/>
      <c r="E1405" s="261"/>
      <c r="F1405" s="261"/>
      <c r="G1405" s="261"/>
      <c r="H1405" s="261"/>
      <c r="I1405" s="261"/>
      <c r="J1405" s="261"/>
      <c r="K1405" s="262"/>
      <c r="L1405" s="261"/>
      <c r="M1405" s="262"/>
      <c r="N1405" s="262"/>
      <c r="O1405" s="261"/>
      <c r="P1405" s="262"/>
      <c r="Q1405" s="262"/>
      <c r="R1405" s="261"/>
      <c r="S1405" s="263"/>
      <c r="T1405" s="261"/>
      <c r="U1405" s="269"/>
      <c r="V1405" s="285"/>
      <c r="W1405" s="286"/>
      <c r="X1405" s="267"/>
      <c r="Y1405" s="267"/>
      <c r="Z1405" s="267"/>
      <c r="AA1405" s="267"/>
      <c r="AB1405" s="267"/>
      <c r="AC1405" s="267"/>
      <c r="AD1405" s="261"/>
      <c r="AE1405" s="261"/>
      <c r="AF1405" s="257"/>
      <c r="AG1405" s="257"/>
    </row>
    <row r="1406">
      <c r="A1406" s="284"/>
      <c r="B1406" s="251"/>
      <c r="C1406" s="251"/>
      <c r="D1406" s="261"/>
      <c r="E1406" s="261"/>
      <c r="F1406" s="261"/>
      <c r="G1406" s="261"/>
      <c r="H1406" s="261"/>
      <c r="I1406" s="261"/>
      <c r="J1406" s="261"/>
      <c r="K1406" s="262"/>
      <c r="L1406" s="261"/>
      <c r="M1406" s="262"/>
      <c r="N1406" s="262"/>
      <c r="O1406" s="261"/>
      <c r="P1406" s="262"/>
      <c r="Q1406" s="262"/>
      <c r="R1406" s="261"/>
      <c r="S1406" s="263"/>
      <c r="T1406" s="261"/>
      <c r="U1406" s="269"/>
      <c r="V1406" s="285"/>
      <c r="W1406" s="286"/>
      <c r="X1406" s="267"/>
      <c r="Y1406" s="267"/>
      <c r="Z1406" s="267"/>
      <c r="AA1406" s="267"/>
      <c r="AB1406" s="267"/>
      <c r="AC1406" s="267"/>
      <c r="AD1406" s="261"/>
      <c r="AE1406" s="261"/>
      <c r="AF1406" s="257"/>
      <c r="AG1406" s="257"/>
    </row>
    <row r="1407">
      <c r="A1407" s="284"/>
      <c r="B1407" s="251"/>
      <c r="C1407" s="251"/>
      <c r="D1407" s="261"/>
      <c r="E1407" s="261"/>
      <c r="F1407" s="261"/>
      <c r="G1407" s="261"/>
      <c r="H1407" s="261"/>
      <c r="I1407" s="261"/>
      <c r="J1407" s="261"/>
      <c r="K1407" s="262"/>
      <c r="L1407" s="261"/>
      <c r="M1407" s="262"/>
      <c r="N1407" s="262"/>
      <c r="O1407" s="261"/>
      <c r="P1407" s="262"/>
      <c r="Q1407" s="262"/>
      <c r="R1407" s="261"/>
      <c r="S1407" s="263"/>
      <c r="T1407" s="261"/>
      <c r="U1407" s="269"/>
      <c r="V1407" s="285"/>
      <c r="W1407" s="286"/>
      <c r="X1407" s="267"/>
      <c r="Y1407" s="267"/>
      <c r="Z1407" s="267"/>
      <c r="AA1407" s="267"/>
      <c r="AB1407" s="267"/>
      <c r="AC1407" s="267"/>
      <c r="AD1407" s="261"/>
      <c r="AE1407" s="261"/>
      <c r="AF1407" s="257"/>
      <c r="AG1407" s="257"/>
    </row>
    <row r="1408">
      <c r="A1408" s="284"/>
      <c r="B1408" s="251"/>
      <c r="C1408" s="251"/>
      <c r="D1408" s="261"/>
      <c r="E1408" s="261"/>
      <c r="F1408" s="261"/>
      <c r="G1408" s="261"/>
      <c r="H1408" s="261"/>
      <c r="I1408" s="261"/>
      <c r="J1408" s="261"/>
      <c r="K1408" s="262"/>
      <c r="L1408" s="261"/>
      <c r="M1408" s="262"/>
      <c r="N1408" s="262"/>
      <c r="O1408" s="261"/>
      <c r="P1408" s="262"/>
      <c r="Q1408" s="262"/>
      <c r="R1408" s="261"/>
      <c r="S1408" s="263"/>
      <c r="T1408" s="261"/>
      <c r="U1408" s="269"/>
      <c r="V1408" s="285"/>
      <c r="W1408" s="286"/>
      <c r="X1408" s="267"/>
      <c r="Y1408" s="267"/>
      <c r="Z1408" s="267"/>
      <c r="AA1408" s="267"/>
      <c r="AB1408" s="267"/>
      <c r="AC1408" s="267"/>
      <c r="AD1408" s="261"/>
      <c r="AE1408" s="261"/>
      <c r="AF1408" s="257"/>
      <c r="AG1408" s="257"/>
    </row>
    <row r="1409">
      <c r="A1409" s="284"/>
      <c r="B1409" s="251"/>
      <c r="C1409" s="251"/>
      <c r="D1409" s="261"/>
      <c r="E1409" s="261"/>
      <c r="F1409" s="261"/>
      <c r="G1409" s="261"/>
      <c r="H1409" s="261"/>
      <c r="I1409" s="261"/>
      <c r="J1409" s="261"/>
      <c r="K1409" s="262"/>
      <c r="L1409" s="261"/>
      <c r="M1409" s="262"/>
      <c r="N1409" s="262"/>
      <c r="O1409" s="261"/>
      <c r="P1409" s="262"/>
      <c r="Q1409" s="262"/>
      <c r="R1409" s="261"/>
      <c r="S1409" s="263"/>
      <c r="T1409" s="261"/>
      <c r="U1409" s="269"/>
      <c r="V1409" s="285"/>
      <c r="W1409" s="286"/>
      <c r="X1409" s="267"/>
      <c r="Y1409" s="267"/>
      <c r="Z1409" s="267"/>
      <c r="AA1409" s="267"/>
      <c r="AB1409" s="267"/>
      <c r="AC1409" s="267"/>
      <c r="AD1409" s="261"/>
      <c r="AE1409" s="261"/>
      <c r="AF1409" s="257"/>
      <c r="AG1409" s="257"/>
    </row>
    <row r="1410">
      <c r="A1410" s="284"/>
      <c r="B1410" s="251"/>
      <c r="C1410" s="251"/>
      <c r="D1410" s="261"/>
      <c r="E1410" s="261"/>
      <c r="F1410" s="261"/>
      <c r="G1410" s="261"/>
      <c r="H1410" s="261"/>
      <c r="I1410" s="261"/>
      <c r="J1410" s="261"/>
      <c r="K1410" s="262"/>
      <c r="L1410" s="261"/>
      <c r="M1410" s="262"/>
      <c r="N1410" s="262"/>
      <c r="O1410" s="261"/>
      <c r="P1410" s="262"/>
      <c r="Q1410" s="262"/>
      <c r="R1410" s="261"/>
      <c r="S1410" s="263"/>
      <c r="T1410" s="261"/>
      <c r="U1410" s="269"/>
      <c r="V1410" s="285"/>
      <c r="W1410" s="286"/>
      <c r="X1410" s="267"/>
      <c r="Y1410" s="267"/>
      <c r="Z1410" s="267"/>
      <c r="AA1410" s="267"/>
      <c r="AB1410" s="267"/>
      <c r="AC1410" s="267"/>
      <c r="AD1410" s="261"/>
      <c r="AE1410" s="261"/>
      <c r="AF1410" s="257"/>
      <c r="AG1410" s="257"/>
    </row>
    <row r="1411">
      <c r="A1411" s="284"/>
      <c r="B1411" s="251"/>
      <c r="C1411" s="251"/>
      <c r="D1411" s="261"/>
      <c r="E1411" s="261"/>
      <c r="F1411" s="261"/>
      <c r="G1411" s="261"/>
      <c r="H1411" s="261"/>
      <c r="I1411" s="261"/>
      <c r="J1411" s="261"/>
      <c r="K1411" s="262"/>
      <c r="L1411" s="261"/>
      <c r="M1411" s="262"/>
      <c r="N1411" s="262"/>
      <c r="O1411" s="261"/>
      <c r="P1411" s="262"/>
      <c r="Q1411" s="262"/>
      <c r="R1411" s="261"/>
      <c r="S1411" s="263"/>
      <c r="T1411" s="261"/>
      <c r="U1411" s="269"/>
      <c r="V1411" s="285"/>
      <c r="W1411" s="286"/>
      <c r="X1411" s="267"/>
      <c r="Y1411" s="267"/>
      <c r="Z1411" s="267"/>
      <c r="AA1411" s="267"/>
      <c r="AB1411" s="267"/>
      <c r="AC1411" s="267"/>
      <c r="AD1411" s="261"/>
      <c r="AE1411" s="261"/>
      <c r="AF1411" s="257"/>
      <c r="AG1411" s="257"/>
    </row>
    <row r="1412">
      <c r="A1412" s="284"/>
      <c r="B1412" s="251"/>
      <c r="C1412" s="251"/>
      <c r="D1412" s="261"/>
      <c r="E1412" s="261"/>
      <c r="F1412" s="261"/>
      <c r="G1412" s="261"/>
      <c r="H1412" s="261"/>
      <c r="I1412" s="261"/>
      <c r="J1412" s="261"/>
      <c r="K1412" s="262"/>
      <c r="L1412" s="261"/>
      <c r="M1412" s="262"/>
      <c r="N1412" s="262"/>
      <c r="O1412" s="261"/>
      <c r="P1412" s="262"/>
      <c r="Q1412" s="262"/>
      <c r="R1412" s="261"/>
      <c r="S1412" s="263"/>
      <c r="T1412" s="261"/>
      <c r="U1412" s="269"/>
      <c r="V1412" s="285"/>
      <c r="W1412" s="286"/>
      <c r="X1412" s="267"/>
      <c r="Y1412" s="267"/>
      <c r="Z1412" s="267"/>
      <c r="AA1412" s="267"/>
      <c r="AB1412" s="267"/>
      <c r="AC1412" s="267"/>
      <c r="AD1412" s="261"/>
      <c r="AE1412" s="261"/>
      <c r="AF1412" s="257"/>
      <c r="AG1412" s="257"/>
    </row>
    <row r="1413">
      <c r="A1413" s="284"/>
      <c r="B1413" s="251"/>
      <c r="C1413" s="251"/>
      <c r="D1413" s="261"/>
      <c r="E1413" s="261"/>
      <c r="F1413" s="261"/>
      <c r="G1413" s="261"/>
      <c r="H1413" s="261"/>
      <c r="I1413" s="261"/>
      <c r="J1413" s="261"/>
      <c r="K1413" s="262"/>
      <c r="L1413" s="261"/>
      <c r="M1413" s="262"/>
      <c r="N1413" s="262"/>
      <c r="O1413" s="261"/>
      <c r="P1413" s="262"/>
      <c r="Q1413" s="262"/>
      <c r="R1413" s="261"/>
      <c r="S1413" s="263"/>
      <c r="T1413" s="261"/>
      <c r="U1413" s="269"/>
      <c r="V1413" s="285"/>
      <c r="W1413" s="286"/>
      <c r="X1413" s="267"/>
      <c r="Y1413" s="267"/>
      <c r="Z1413" s="267"/>
      <c r="AA1413" s="267"/>
      <c r="AB1413" s="267"/>
      <c r="AC1413" s="267"/>
      <c r="AD1413" s="261"/>
      <c r="AE1413" s="261"/>
      <c r="AF1413" s="257"/>
      <c r="AG1413" s="257"/>
    </row>
    <row r="1414">
      <c r="A1414" s="284"/>
      <c r="B1414" s="251"/>
      <c r="C1414" s="251"/>
      <c r="D1414" s="261"/>
      <c r="E1414" s="261"/>
      <c r="F1414" s="261"/>
      <c r="G1414" s="261"/>
      <c r="H1414" s="261"/>
      <c r="I1414" s="261"/>
      <c r="J1414" s="261"/>
      <c r="K1414" s="262"/>
      <c r="L1414" s="261"/>
      <c r="M1414" s="262"/>
      <c r="N1414" s="262"/>
      <c r="O1414" s="261"/>
      <c r="P1414" s="262"/>
      <c r="Q1414" s="262"/>
      <c r="R1414" s="261"/>
      <c r="S1414" s="263"/>
      <c r="T1414" s="261"/>
      <c r="U1414" s="269"/>
      <c r="V1414" s="285"/>
      <c r="W1414" s="286"/>
      <c r="X1414" s="267"/>
      <c r="Y1414" s="267"/>
      <c r="Z1414" s="267"/>
      <c r="AA1414" s="267"/>
      <c r="AB1414" s="267"/>
      <c r="AC1414" s="267"/>
      <c r="AD1414" s="261"/>
      <c r="AE1414" s="261"/>
      <c r="AF1414" s="257"/>
      <c r="AG1414" s="257"/>
    </row>
    <row r="1415">
      <c r="A1415" s="284"/>
      <c r="B1415" s="251"/>
      <c r="C1415" s="251"/>
      <c r="D1415" s="261"/>
      <c r="E1415" s="261"/>
      <c r="F1415" s="261"/>
      <c r="G1415" s="261"/>
      <c r="H1415" s="261"/>
      <c r="I1415" s="261"/>
      <c r="J1415" s="261"/>
      <c r="K1415" s="262"/>
      <c r="L1415" s="261"/>
      <c r="M1415" s="262"/>
      <c r="N1415" s="262"/>
      <c r="O1415" s="261"/>
      <c r="P1415" s="262"/>
      <c r="Q1415" s="262"/>
      <c r="R1415" s="261"/>
      <c r="S1415" s="263"/>
      <c r="T1415" s="261"/>
      <c r="U1415" s="269"/>
      <c r="V1415" s="285"/>
      <c r="W1415" s="286"/>
      <c r="X1415" s="267"/>
      <c r="Y1415" s="267"/>
      <c r="Z1415" s="267"/>
      <c r="AA1415" s="267"/>
      <c r="AB1415" s="267"/>
      <c r="AC1415" s="267"/>
      <c r="AD1415" s="261"/>
      <c r="AE1415" s="261"/>
      <c r="AF1415" s="257"/>
      <c r="AG1415" s="257"/>
    </row>
    <row r="1416">
      <c r="A1416" s="284"/>
      <c r="B1416" s="251"/>
      <c r="C1416" s="251"/>
      <c r="D1416" s="261"/>
      <c r="E1416" s="261"/>
      <c r="F1416" s="261"/>
      <c r="G1416" s="261"/>
      <c r="H1416" s="261"/>
      <c r="I1416" s="261"/>
      <c r="J1416" s="261"/>
      <c r="K1416" s="262"/>
      <c r="L1416" s="261"/>
      <c r="M1416" s="262"/>
      <c r="N1416" s="262"/>
      <c r="O1416" s="261"/>
      <c r="P1416" s="262"/>
      <c r="Q1416" s="262"/>
      <c r="R1416" s="261"/>
      <c r="S1416" s="263"/>
      <c r="T1416" s="261"/>
      <c r="U1416" s="269"/>
      <c r="V1416" s="285"/>
      <c r="W1416" s="286"/>
      <c r="X1416" s="267"/>
      <c r="Y1416" s="267"/>
      <c r="Z1416" s="267"/>
      <c r="AA1416" s="267"/>
      <c r="AB1416" s="267"/>
      <c r="AC1416" s="267"/>
      <c r="AD1416" s="261"/>
      <c r="AE1416" s="261"/>
      <c r="AF1416" s="257"/>
      <c r="AG1416" s="257"/>
    </row>
    <row r="1417">
      <c r="A1417" s="284"/>
      <c r="B1417" s="251"/>
      <c r="C1417" s="251"/>
      <c r="D1417" s="261"/>
      <c r="E1417" s="261"/>
      <c r="F1417" s="261"/>
      <c r="G1417" s="261"/>
      <c r="H1417" s="261"/>
      <c r="I1417" s="261"/>
      <c r="J1417" s="261"/>
      <c r="K1417" s="262"/>
      <c r="L1417" s="261"/>
      <c r="M1417" s="262"/>
      <c r="N1417" s="262"/>
      <c r="O1417" s="261"/>
      <c r="P1417" s="262"/>
      <c r="Q1417" s="262"/>
      <c r="R1417" s="261"/>
      <c r="S1417" s="263"/>
      <c r="T1417" s="261"/>
      <c r="U1417" s="269"/>
      <c r="V1417" s="285"/>
      <c r="W1417" s="286"/>
      <c r="X1417" s="267"/>
      <c r="Y1417" s="267"/>
      <c r="Z1417" s="267"/>
      <c r="AA1417" s="267"/>
      <c r="AB1417" s="267"/>
      <c r="AC1417" s="267"/>
      <c r="AD1417" s="261"/>
      <c r="AE1417" s="261"/>
      <c r="AF1417" s="257"/>
      <c r="AG1417" s="257"/>
    </row>
    <row r="1418">
      <c r="A1418" s="284"/>
      <c r="B1418" s="251"/>
      <c r="C1418" s="251"/>
      <c r="D1418" s="261"/>
      <c r="E1418" s="261"/>
      <c r="F1418" s="261"/>
      <c r="G1418" s="261"/>
      <c r="H1418" s="261"/>
      <c r="I1418" s="261"/>
      <c r="J1418" s="261"/>
      <c r="K1418" s="262"/>
      <c r="L1418" s="261"/>
      <c r="M1418" s="262"/>
      <c r="N1418" s="262"/>
      <c r="O1418" s="261"/>
      <c r="P1418" s="262"/>
      <c r="Q1418" s="262"/>
      <c r="R1418" s="261"/>
      <c r="S1418" s="263"/>
      <c r="T1418" s="261"/>
      <c r="U1418" s="269"/>
      <c r="V1418" s="285"/>
      <c r="W1418" s="286"/>
      <c r="X1418" s="267"/>
      <c r="Y1418" s="267"/>
      <c r="Z1418" s="267"/>
      <c r="AA1418" s="267"/>
      <c r="AB1418" s="267"/>
      <c r="AC1418" s="267"/>
      <c r="AD1418" s="261"/>
      <c r="AE1418" s="261"/>
      <c r="AF1418" s="257"/>
      <c r="AG1418" s="257"/>
    </row>
    <row r="1419">
      <c r="A1419" s="284"/>
      <c r="B1419" s="251"/>
      <c r="C1419" s="251"/>
      <c r="D1419" s="261"/>
      <c r="E1419" s="261"/>
      <c r="F1419" s="261"/>
      <c r="G1419" s="261"/>
      <c r="H1419" s="261"/>
      <c r="I1419" s="261"/>
      <c r="J1419" s="261"/>
      <c r="K1419" s="262"/>
      <c r="L1419" s="261"/>
      <c r="M1419" s="262"/>
      <c r="N1419" s="262"/>
      <c r="O1419" s="261"/>
      <c r="P1419" s="262"/>
      <c r="Q1419" s="262"/>
      <c r="R1419" s="261"/>
      <c r="S1419" s="263"/>
      <c r="T1419" s="261"/>
      <c r="U1419" s="269"/>
      <c r="V1419" s="285"/>
      <c r="W1419" s="286"/>
      <c r="X1419" s="267"/>
      <c r="Y1419" s="267"/>
      <c r="Z1419" s="267"/>
      <c r="AA1419" s="267"/>
      <c r="AB1419" s="267"/>
      <c r="AC1419" s="267"/>
      <c r="AD1419" s="261"/>
      <c r="AE1419" s="261"/>
      <c r="AF1419" s="257"/>
      <c r="AG1419" s="257"/>
    </row>
    <row r="1420">
      <c r="A1420" s="284"/>
      <c r="B1420" s="251"/>
      <c r="C1420" s="251"/>
      <c r="D1420" s="261"/>
      <c r="E1420" s="261"/>
      <c r="F1420" s="261"/>
      <c r="G1420" s="261"/>
      <c r="H1420" s="261"/>
      <c r="I1420" s="261"/>
      <c r="J1420" s="261"/>
      <c r="K1420" s="262"/>
      <c r="L1420" s="261"/>
      <c r="M1420" s="262"/>
      <c r="N1420" s="262"/>
      <c r="O1420" s="261"/>
      <c r="P1420" s="262"/>
      <c r="Q1420" s="262"/>
      <c r="R1420" s="261"/>
      <c r="S1420" s="263"/>
      <c r="T1420" s="261"/>
      <c r="U1420" s="269"/>
      <c r="V1420" s="285"/>
      <c r="W1420" s="286"/>
      <c r="X1420" s="267"/>
      <c r="Y1420" s="267"/>
      <c r="Z1420" s="267"/>
      <c r="AA1420" s="267"/>
      <c r="AB1420" s="267"/>
      <c r="AC1420" s="267"/>
      <c r="AD1420" s="261"/>
      <c r="AE1420" s="261"/>
      <c r="AF1420" s="257"/>
      <c r="AG1420" s="257"/>
    </row>
    <row r="1421">
      <c r="A1421" s="284"/>
      <c r="B1421" s="251"/>
      <c r="C1421" s="251"/>
      <c r="D1421" s="261"/>
      <c r="E1421" s="261"/>
      <c r="F1421" s="261"/>
      <c r="G1421" s="261"/>
      <c r="H1421" s="261"/>
      <c r="I1421" s="261"/>
      <c r="J1421" s="261"/>
      <c r="K1421" s="262"/>
      <c r="L1421" s="261"/>
      <c r="M1421" s="262"/>
      <c r="N1421" s="262"/>
      <c r="O1421" s="261"/>
      <c r="P1421" s="262"/>
      <c r="Q1421" s="262"/>
      <c r="R1421" s="261"/>
      <c r="S1421" s="263"/>
      <c r="T1421" s="261"/>
      <c r="U1421" s="269"/>
      <c r="V1421" s="285"/>
      <c r="W1421" s="286"/>
      <c r="X1421" s="267"/>
      <c r="Y1421" s="267"/>
      <c r="Z1421" s="267"/>
      <c r="AA1421" s="267"/>
      <c r="AB1421" s="267"/>
      <c r="AC1421" s="267"/>
      <c r="AD1421" s="261"/>
      <c r="AE1421" s="261"/>
      <c r="AF1421" s="257"/>
      <c r="AG1421" s="257"/>
    </row>
    <row r="1422">
      <c r="A1422" s="284"/>
      <c r="B1422" s="251"/>
      <c r="C1422" s="251"/>
      <c r="D1422" s="261"/>
      <c r="E1422" s="261"/>
      <c r="F1422" s="261"/>
      <c r="G1422" s="261"/>
      <c r="H1422" s="261"/>
      <c r="I1422" s="261"/>
      <c r="J1422" s="261"/>
      <c r="K1422" s="262"/>
      <c r="L1422" s="261"/>
      <c r="M1422" s="262"/>
      <c r="N1422" s="262"/>
      <c r="O1422" s="261"/>
      <c r="P1422" s="262"/>
      <c r="Q1422" s="262"/>
      <c r="R1422" s="261"/>
      <c r="S1422" s="263"/>
      <c r="T1422" s="261"/>
      <c r="U1422" s="269"/>
      <c r="V1422" s="285"/>
      <c r="W1422" s="286"/>
      <c r="X1422" s="267"/>
      <c r="Y1422" s="267"/>
      <c r="Z1422" s="267"/>
      <c r="AA1422" s="267"/>
      <c r="AB1422" s="267"/>
      <c r="AC1422" s="267"/>
      <c r="AD1422" s="261"/>
      <c r="AE1422" s="261"/>
      <c r="AF1422" s="257"/>
      <c r="AG1422" s="257"/>
    </row>
    <row r="1423">
      <c r="A1423" s="284"/>
      <c r="B1423" s="251"/>
      <c r="C1423" s="251"/>
      <c r="D1423" s="261"/>
      <c r="E1423" s="261"/>
      <c r="F1423" s="261"/>
      <c r="G1423" s="261"/>
      <c r="H1423" s="261"/>
      <c r="I1423" s="261"/>
      <c r="J1423" s="261"/>
      <c r="K1423" s="262"/>
      <c r="L1423" s="261"/>
      <c r="M1423" s="262"/>
      <c r="N1423" s="262"/>
      <c r="O1423" s="261"/>
      <c r="P1423" s="262"/>
      <c r="Q1423" s="262"/>
      <c r="R1423" s="261"/>
      <c r="S1423" s="263"/>
      <c r="T1423" s="261"/>
      <c r="U1423" s="269"/>
      <c r="V1423" s="285"/>
      <c r="W1423" s="286"/>
      <c r="X1423" s="267"/>
      <c r="Y1423" s="267"/>
      <c r="Z1423" s="267"/>
      <c r="AA1423" s="267"/>
      <c r="AB1423" s="267"/>
      <c r="AC1423" s="267"/>
      <c r="AD1423" s="261"/>
      <c r="AE1423" s="261"/>
      <c r="AF1423" s="257"/>
      <c r="AG1423" s="257"/>
    </row>
    <row r="1424">
      <c r="A1424" s="284"/>
      <c r="B1424" s="251"/>
      <c r="C1424" s="251"/>
      <c r="D1424" s="261"/>
      <c r="E1424" s="261"/>
      <c r="F1424" s="261"/>
      <c r="G1424" s="261"/>
      <c r="H1424" s="261"/>
      <c r="I1424" s="261"/>
      <c r="J1424" s="261"/>
      <c r="K1424" s="262"/>
      <c r="L1424" s="261"/>
      <c r="M1424" s="262"/>
      <c r="N1424" s="262"/>
      <c r="O1424" s="261"/>
      <c r="P1424" s="262"/>
      <c r="Q1424" s="262"/>
      <c r="R1424" s="261"/>
      <c r="S1424" s="263"/>
      <c r="T1424" s="261"/>
      <c r="U1424" s="269"/>
      <c r="V1424" s="285"/>
      <c r="W1424" s="286"/>
      <c r="X1424" s="267"/>
      <c r="Y1424" s="267"/>
      <c r="Z1424" s="267"/>
      <c r="AA1424" s="267"/>
      <c r="AB1424" s="267"/>
      <c r="AC1424" s="267"/>
      <c r="AD1424" s="261"/>
      <c r="AE1424" s="261"/>
      <c r="AF1424" s="257"/>
      <c r="AG1424" s="257"/>
    </row>
    <row r="1425">
      <c r="A1425" s="284"/>
      <c r="B1425" s="251"/>
      <c r="C1425" s="251"/>
      <c r="D1425" s="261"/>
      <c r="E1425" s="261"/>
      <c r="F1425" s="261"/>
      <c r="G1425" s="261"/>
      <c r="H1425" s="261"/>
      <c r="I1425" s="261"/>
      <c r="J1425" s="261"/>
      <c r="K1425" s="262"/>
      <c r="L1425" s="261"/>
      <c r="M1425" s="262"/>
      <c r="N1425" s="262"/>
      <c r="O1425" s="261"/>
      <c r="P1425" s="262"/>
      <c r="Q1425" s="262"/>
      <c r="R1425" s="261"/>
      <c r="S1425" s="263"/>
      <c r="T1425" s="261"/>
      <c r="U1425" s="269"/>
      <c r="V1425" s="285"/>
      <c r="W1425" s="286"/>
      <c r="X1425" s="267"/>
      <c r="Y1425" s="267"/>
      <c r="Z1425" s="267"/>
      <c r="AA1425" s="267"/>
      <c r="AB1425" s="267"/>
      <c r="AC1425" s="267"/>
      <c r="AD1425" s="261"/>
      <c r="AE1425" s="261"/>
      <c r="AF1425" s="257"/>
      <c r="AG1425" s="257"/>
    </row>
    <row r="1426">
      <c r="A1426" s="284"/>
      <c r="B1426" s="251"/>
      <c r="C1426" s="251"/>
      <c r="D1426" s="261"/>
      <c r="E1426" s="261"/>
      <c r="F1426" s="261"/>
      <c r="G1426" s="261"/>
      <c r="H1426" s="261"/>
      <c r="I1426" s="261"/>
      <c r="J1426" s="261"/>
      <c r="K1426" s="262"/>
      <c r="L1426" s="261"/>
      <c r="M1426" s="262"/>
      <c r="N1426" s="262"/>
      <c r="O1426" s="261"/>
      <c r="P1426" s="262"/>
      <c r="Q1426" s="262"/>
      <c r="R1426" s="261"/>
      <c r="S1426" s="263"/>
      <c r="T1426" s="261"/>
      <c r="U1426" s="269"/>
      <c r="V1426" s="285"/>
      <c r="W1426" s="286"/>
      <c r="X1426" s="267"/>
      <c r="Y1426" s="267"/>
      <c r="Z1426" s="267"/>
      <c r="AA1426" s="267"/>
      <c r="AB1426" s="267"/>
      <c r="AC1426" s="267"/>
      <c r="AD1426" s="261"/>
      <c r="AE1426" s="261"/>
      <c r="AF1426" s="257"/>
      <c r="AG1426" s="257"/>
    </row>
    <row r="1427">
      <c r="A1427" s="284"/>
      <c r="B1427" s="251"/>
      <c r="C1427" s="251"/>
      <c r="D1427" s="261"/>
      <c r="E1427" s="261"/>
      <c r="F1427" s="261"/>
      <c r="G1427" s="261"/>
      <c r="H1427" s="261"/>
      <c r="I1427" s="261"/>
      <c r="J1427" s="261"/>
      <c r="K1427" s="262"/>
      <c r="L1427" s="261"/>
      <c r="M1427" s="262"/>
      <c r="N1427" s="262"/>
      <c r="O1427" s="261"/>
      <c r="P1427" s="262"/>
      <c r="Q1427" s="262"/>
      <c r="R1427" s="261"/>
      <c r="S1427" s="263"/>
      <c r="T1427" s="261"/>
      <c r="U1427" s="269"/>
      <c r="V1427" s="285"/>
      <c r="W1427" s="286"/>
      <c r="X1427" s="267"/>
      <c r="Y1427" s="267"/>
      <c r="Z1427" s="267"/>
      <c r="AA1427" s="267"/>
      <c r="AB1427" s="267"/>
      <c r="AC1427" s="267"/>
      <c r="AD1427" s="261"/>
      <c r="AE1427" s="261"/>
      <c r="AF1427" s="257"/>
      <c r="AG1427" s="257"/>
    </row>
    <row r="1428">
      <c r="A1428" s="284"/>
      <c r="B1428" s="251"/>
      <c r="C1428" s="251"/>
      <c r="D1428" s="261"/>
      <c r="E1428" s="261"/>
      <c r="F1428" s="261"/>
      <c r="G1428" s="261"/>
      <c r="H1428" s="261"/>
      <c r="I1428" s="261"/>
      <c r="J1428" s="261"/>
      <c r="K1428" s="262"/>
      <c r="L1428" s="261"/>
      <c r="M1428" s="262"/>
      <c r="N1428" s="262"/>
      <c r="O1428" s="261"/>
      <c r="P1428" s="262"/>
      <c r="Q1428" s="262"/>
      <c r="R1428" s="261"/>
      <c r="S1428" s="263"/>
      <c r="T1428" s="261"/>
      <c r="U1428" s="269"/>
      <c r="V1428" s="285"/>
      <c r="W1428" s="286"/>
      <c r="X1428" s="267"/>
      <c r="Y1428" s="267"/>
      <c r="Z1428" s="267"/>
      <c r="AA1428" s="267"/>
      <c r="AB1428" s="267"/>
      <c r="AC1428" s="267"/>
      <c r="AD1428" s="261"/>
      <c r="AE1428" s="261"/>
      <c r="AF1428" s="257"/>
      <c r="AG1428" s="257"/>
    </row>
    <row r="1429">
      <c r="A1429" s="284"/>
      <c r="B1429" s="251"/>
      <c r="C1429" s="251"/>
      <c r="D1429" s="261"/>
      <c r="E1429" s="261"/>
      <c r="F1429" s="261"/>
      <c r="G1429" s="261"/>
      <c r="H1429" s="261"/>
      <c r="I1429" s="261"/>
      <c r="J1429" s="261"/>
      <c r="K1429" s="262"/>
      <c r="L1429" s="261"/>
      <c r="M1429" s="262"/>
      <c r="N1429" s="262"/>
      <c r="O1429" s="261"/>
      <c r="P1429" s="262"/>
      <c r="Q1429" s="262"/>
      <c r="R1429" s="261"/>
      <c r="S1429" s="263"/>
      <c r="T1429" s="261"/>
      <c r="U1429" s="269"/>
      <c r="V1429" s="285"/>
      <c r="W1429" s="286"/>
      <c r="X1429" s="267"/>
      <c r="Y1429" s="267"/>
      <c r="Z1429" s="267"/>
      <c r="AA1429" s="267"/>
      <c r="AB1429" s="267"/>
      <c r="AC1429" s="267"/>
      <c r="AD1429" s="261"/>
      <c r="AE1429" s="261"/>
      <c r="AF1429" s="257"/>
      <c r="AG1429" s="257"/>
    </row>
    <row r="1430">
      <c r="A1430" s="284"/>
      <c r="B1430" s="251"/>
      <c r="C1430" s="251"/>
      <c r="D1430" s="261"/>
      <c r="E1430" s="261"/>
      <c r="F1430" s="261"/>
      <c r="G1430" s="261"/>
      <c r="H1430" s="261"/>
      <c r="I1430" s="261"/>
      <c r="J1430" s="261"/>
      <c r="K1430" s="262"/>
      <c r="L1430" s="261"/>
      <c r="M1430" s="262"/>
      <c r="N1430" s="262"/>
      <c r="O1430" s="261"/>
      <c r="P1430" s="262"/>
      <c r="Q1430" s="262"/>
      <c r="R1430" s="261"/>
      <c r="S1430" s="263"/>
      <c r="T1430" s="261"/>
      <c r="U1430" s="269"/>
      <c r="V1430" s="285"/>
      <c r="W1430" s="286"/>
      <c r="X1430" s="267"/>
      <c r="Y1430" s="267"/>
      <c r="Z1430" s="267"/>
      <c r="AA1430" s="267"/>
      <c r="AB1430" s="267"/>
      <c r="AC1430" s="267"/>
      <c r="AD1430" s="261"/>
      <c r="AE1430" s="261"/>
      <c r="AF1430" s="257"/>
      <c r="AG1430" s="257"/>
    </row>
    <row r="1431">
      <c r="A1431" s="284"/>
      <c r="B1431" s="251"/>
      <c r="C1431" s="251"/>
      <c r="D1431" s="261"/>
      <c r="E1431" s="261"/>
      <c r="F1431" s="261"/>
      <c r="G1431" s="261"/>
      <c r="H1431" s="261"/>
      <c r="I1431" s="261"/>
      <c r="J1431" s="261"/>
      <c r="K1431" s="262"/>
      <c r="L1431" s="261"/>
      <c r="M1431" s="262"/>
      <c r="N1431" s="262"/>
      <c r="O1431" s="261"/>
      <c r="P1431" s="262"/>
      <c r="Q1431" s="262"/>
      <c r="R1431" s="261"/>
      <c r="S1431" s="263"/>
      <c r="T1431" s="261"/>
      <c r="U1431" s="269"/>
      <c r="V1431" s="285"/>
      <c r="W1431" s="286"/>
      <c r="X1431" s="267"/>
      <c r="Y1431" s="267"/>
      <c r="Z1431" s="267"/>
      <c r="AA1431" s="267"/>
      <c r="AB1431" s="267"/>
      <c r="AC1431" s="267"/>
      <c r="AD1431" s="261"/>
      <c r="AE1431" s="261"/>
      <c r="AF1431" s="257"/>
      <c r="AG1431" s="257"/>
    </row>
    <row r="1432">
      <c r="A1432" s="284"/>
      <c r="B1432" s="251"/>
      <c r="C1432" s="251"/>
      <c r="D1432" s="261"/>
      <c r="E1432" s="261"/>
      <c r="F1432" s="261"/>
      <c r="G1432" s="261"/>
      <c r="H1432" s="261"/>
      <c r="I1432" s="261"/>
      <c r="J1432" s="261"/>
      <c r="K1432" s="262"/>
      <c r="L1432" s="261"/>
      <c r="M1432" s="262"/>
      <c r="N1432" s="262"/>
      <c r="O1432" s="261"/>
      <c r="P1432" s="262"/>
      <c r="Q1432" s="262"/>
      <c r="R1432" s="261"/>
      <c r="S1432" s="263"/>
      <c r="T1432" s="261"/>
      <c r="U1432" s="269"/>
      <c r="V1432" s="285"/>
      <c r="W1432" s="286"/>
      <c r="X1432" s="267"/>
      <c r="Y1432" s="267"/>
      <c r="Z1432" s="267"/>
      <c r="AA1432" s="267"/>
      <c r="AB1432" s="267"/>
      <c r="AC1432" s="267"/>
      <c r="AD1432" s="261"/>
      <c r="AE1432" s="261"/>
      <c r="AF1432" s="257"/>
      <c r="AG1432" s="257"/>
    </row>
    <row r="1433">
      <c r="A1433" s="284"/>
      <c r="B1433" s="251"/>
      <c r="C1433" s="251"/>
      <c r="D1433" s="261"/>
      <c r="E1433" s="261"/>
      <c r="F1433" s="261"/>
      <c r="G1433" s="261"/>
      <c r="H1433" s="261"/>
      <c r="I1433" s="261"/>
      <c r="J1433" s="261"/>
      <c r="K1433" s="262"/>
      <c r="L1433" s="261"/>
      <c r="M1433" s="262"/>
      <c r="N1433" s="262"/>
      <c r="O1433" s="261"/>
      <c r="P1433" s="262"/>
      <c r="Q1433" s="262"/>
      <c r="R1433" s="261"/>
      <c r="S1433" s="263"/>
      <c r="T1433" s="261"/>
      <c r="U1433" s="269"/>
      <c r="V1433" s="285"/>
      <c r="W1433" s="286"/>
      <c r="X1433" s="267"/>
      <c r="Y1433" s="267"/>
      <c r="Z1433" s="267"/>
      <c r="AA1433" s="267"/>
      <c r="AB1433" s="267"/>
      <c r="AC1433" s="267"/>
      <c r="AD1433" s="261"/>
      <c r="AE1433" s="261"/>
      <c r="AF1433" s="257"/>
      <c r="AG1433" s="257"/>
    </row>
    <row r="1434">
      <c r="A1434" s="284"/>
      <c r="B1434" s="251"/>
      <c r="C1434" s="251"/>
      <c r="D1434" s="261"/>
      <c r="E1434" s="261"/>
      <c r="F1434" s="261"/>
      <c r="G1434" s="261"/>
      <c r="H1434" s="261"/>
      <c r="I1434" s="261"/>
      <c r="J1434" s="261"/>
      <c r="K1434" s="262"/>
      <c r="L1434" s="261"/>
      <c r="M1434" s="262"/>
      <c r="N1434" s="262"/>
      <c r="O1434" s="261"/>
      <c r="P1434" s="262"/>
      <c r="Q1434" s="262"/>
      <c r="R1434" s="261"/>
      <c r="S1434" s="263"/>
      <c r="T1434" s="261"/>
      <c r="U1434" s="269"/>
      <c r="V1434" s="285"/>
      <c r="W1434" s="286"/>
      <c r="X1434" s="267"/>
      <c r="Y1434" s="267"/>
      <c r="Z1434" s="267"/>
      <c r="AA1434" s="267"/>
      <c r="AB1434" s="267"/>
      <c r="AC1434" s="267"/>
      <c r="AD1434" s="261"/>
      <c r="AE1434" s="261"/>
      <c r="AF1434" s="257"/>
      <c r="AG1434" s="257"/>
    </row>
    <row r="1435">
      <c r="A1435" s="284"/>
      <c r="B1435" s="251"/>
      <c r="C1435" s="251"/>
      <c r="D1435" s="261"/>
      <c r="E1435" s="261"/>
      <c r="F1435" s="261"/>
      <c r="G1435" s="261"/>
      <c r="H1435" s="261"/>
      <c r="I1435" s="261"/>
      <c r="J1435" s="261"/>
      <c r="K1435" s="262"/>
      <c r="L1435" s="261"/>
      <c r="M1435" s="262"/>
      <c r="N1435" s="262"/>
      <c r="O1435" s="261"/>
      <c r="P1435" s="262"/>
      <c r="Q1435" s="262"/>
      <c r="R1435" s="261"/>
      <c r="S1435" s="263"/>
      <c r="T1435" s="261"/>
      <c r="U1435" s="269"/>
      <c r="V1435" s="285"/>
      <c r="W1435" s="286"/>
      <c r="X1435" s="267"/>
      <c r="Y1435" s="267"/>
      <c r="Z1435" s="267"/>
      <c r="AA1435" s="267"/>
      <c r="AB1435" s="267"/>
      <c r="AC1435" s="267"/>
      <c r="AD1435" s="261"/>
      <c r="AE1435" s="261"/>
      <c r="AF1435" s="257"/>
      <c r="AG1435" s="257"/>
    </row>
    <row r="1436">
      <c r="A1436" s="284"/>
      <c r="B1436" s="251"/>
      <c r="C1436" s="251"/>
      <c r="D1436" s="261"/>
      <c r="E1436" s="261"/>
      <c r="F1436" s="261"/>
      <c r="G1436" s="261"/>
      <c r="H1436" s="261"/>
      <c r="I1436" s="261"/>
      <c r="J1436" s="261"/>
      <c r="K1436" s="262"/>
      <c r="L1436" s="261"/>
      <c r="M1436" s="262"/>
      <c r="N1436" s="262"/>
      <c r="O1436" s="261"/>
      <c r="P1436" s="262"/>
      <c r="Q1436" s="262"/>
      <c r="R1436" s="261"/>
      <c r="S1436" s="263"/>
      <c r="T1436" s="261"/>
      <c r="U1436" s="269"/>
      <c r="V1436" s="285"/>
      <c r="W1436" s="286"/>
      <c r="X1436" s="267"/>
      <c r="Y1436" s="267"/>
      <c r="Z1436" s="267"/>
      <c r="AA1436" s="267"/>
      <c r="AB1436" s="267"/>
      <c r="AC1436" s="267"/>
      <c r="AD1436" s="261"/>
      <c r="AE1436" s="261"/>
      <c r="AF1436" s="257"/>
      <c r="AG1436" s="257"/>
    </row>
    <row r="1437">
      <c r="A1437" s="284"/>
      <c r="B1437" s="251"/>
      <c r="C1437" s="251"/>
      <c r="D1437" s="261"/>
      <c r="E1437" s="261"/>
      <c r="F1437" s="261"/>
      <c r="G1437" s="261"/>
      <c r="H1437" s="261"/>
      <c r="I1437" s="261"/>
      <c r="J1437" s="261"/>
      <c r="K1437" s="262"/>
      <c r="L1437" s="261"/>
      <c r="M1437" s="262"/>
      <c r="N1437" s="262"/>
      <c r="O1437" s="261"/>
      <c r="P1437" s="262"/>
      <c r="Q1437" s="262"/>
      <c r="R1437" s="261"/>
      <c r="S1437" s="263"/>
      <c r="T1437" s="261"/>
      <c r="U1437" s="269"/>
      <c r="V1437" s="285"/>
      <c r="W1437" s="286"/>
      <c r="X1437" s="267"/>
      <c r="Y1437" s="267"/>
      <c r="Z1437" s="267"/>
      <c r="AA1437" s="267"/>
      <c r="AB1437" s="267"/>
      <c r="AC1437" s="267"/>
      <c r="AD1437" s="261"/>
      <c r="AE1437" s="261"/>
      <c r="AF1437" s="257"/>
      <c r="AG1437" s="257"/>
    </row>
    <row r="1438">
      <c r="A1438" s="284"/>
      <c r="B1438" s="251"/>
      <c r="C1438" s="251"/>
      <c r="D1438" s="261"/>
      <c r="E1438" s="261"/>
      <c r="F1438" s="261"/>
      <c r="G1438" s="261"/>
      <c r="H1438" s="261"/>
      <c r="I1438" s="261"/>
      <c r="J1438" s="261"/>
      <c r="K1438" s="262"/>
      <c r="L1438" s="261"/>
      <c r="M1438" s="262"/>
      <c r="N1438" s="262"/>
      <c r="O1438" s="261"/>
      <c r="P1438" s="262"/>
      <c r="Q1438" s="262"/>
      <c r="R1438" s="261"/>
      <c r="S1438" s="263"/>
      <c r="T1438" s="261"/>
      <c r="U1438" s="269"/>
      <c r="V1438" s="285"/>
      <c r="W1438" s="286"/>
      <c r="X1438" s="267"/>
      <c r="Y1438" s="267"/>
      <c r="Z1438" s="267"/>
      <c r="AA1438" s="267"/>
      <c r="AB1438" s="267"/>
      <c r="AC1438" s="267"/>
      <c r="AD1438" s="261"/>
      <c r="AE1438" s="261"/>
      <c r="AF1438" s="257"/>
      <c r="AG1438" s="257"/>
    </row>
    <row r="1439">
      <c r="A1439" s="284"/>
      <c r="B1439" s="251"/>
      <c r="C1439" s="251"/>
      <c r="D1439" s="261"/>
      <c r="E1439" s="261"/>
      <c r="F1439" s="261"/>
      <c r="G1439" s="261"/>
      <c r="H1439" s="261"/>
      <c r="I1439" s="261"/>
      <c r="J1439" s="261"/>
      <c r="K1439" s="262"/>
      <c r="L1439" s="261"/>
      <c r="M1439" s="262"/>
      <c r="N1439" s="262"/>
      <c r="O1439" s="261"/>
      <c r="P1439" s="262"/>
      <c r="Q1439" s="262"/>
      <c r="R1439" s="261"/>
      <c r="S1439" s="263"/>
      <c r="T1439" s="261"/>
      <c r="U1439" s="269"/>
      <c r="V1439" s="285"/>
      <c r="W1439" s="286"/>
      <c r="X1439" s="267"/>
      <c r="Y1439" s="267"/>
      <c r="Z1439" s="267"/>
      <c r="AA1439" s="267"/>
      <c r="AB1439" s="267"/>
      <c r="AC1439" s="267"/>
      <c r="AD1439" s="261"/>
      <c r="AE1439" s="261"/>
      <c r="AF1439" s="257"/>
      <c r="AG1439" s="257"/>
    </row>
    <row r="1440">
      <c r="A1440" s="284"/>
      <c r="B1440" s="251"/>
      <c r="C1440" s="251"/>
      <c r="D1440" s="261"/>
      <c r="E1440" s="261"/>
      <c r="F1440" s="261"/>
      <c r="G1440" s="261"/>
      <c r="H1440" s="261"/>
      <c r="I1440" s="261"/>
      <c r="J1440" s="261"/>
      <c r="K1440" s="262"/>
      <c r="L1440" s="261"/>
      <c r="M1440" s="262"/>
      <c r="N1440" s="262"/>
      <c r="O1440" s="261"/>
      <c r="P1440" s="262"/>
      <c r="Q1440" s="262"/>
      <c r="R1440" s="261"/>
      <c r="S1440" s="263"/>
      <c r="T1440" s="261"/>
      <c r="U1440" s="269"/>
      <c r="V1440" s="285"/>
      <c r="W1440" s="286"/>
      <c r="X1440" s="267"/>
      <c r="Y1440" s="267"/>
      <c r="Z1440" s="267"/>
      <c r="AA1440" s="267"/>
      <c r="AB1440" s="267"/>
      <c r="AC1440" s="267"/>
      <c r="AD1440" s="261"/>
      <c r="AE1440" s="261"/>
      <c r="AF1440" s="257"/>
      <c r="AG1440" s="257"/>
    </row>
    <row r="1441">
      <c r="A1441" s="284"/>
      <c r="B1441" s="251"/>
      <c r="C1441" s="251"/>
      <c r="D1441" s="261"/>
      <c r="E1441" s="261"/>
      <c r="F1441" s="261"/>
      <c r="G1441" s="261"/>
      <c r="H1441" s="261"/>
      <c r="I1441" s="261"/>
      <c r="J1441" s="261"/>
      <c r="K1441" s="262"/>
      <c r="L1441" s="261"/>
      <c r="M1441" s="262"/>
      <c r="N1441" s="262"/>
      <c r="O1441" s="261"/>
      <c r="P1441" s="262"/>
      <c r="Q1441" s="262"/>
      <c r="R1441" s="261"/>
      <c r="S1441" s="263"/>
      <c r="T1441" s="261"/>
      <c r="U1441" s="269"/>
      <c r="V1441" s="285"/>
      <c r="W1441" s="286"/>
      <c r="X1441" s="267"/>
      <c r="Y1441" s="267"/>
      <c r="Z1441" s="267"/>
      <c r="AA1441" s="267"/>
      <c r="AB1441" s="267"/>
      <c r="AC1441" s="267"/>
      <c r="AD1441" s="261"/>
      <c r="AE1441" s="261"/>
      <c r="AF1441" s="257"/>
      <c r="AG1441" s="257"/>
    </row>
    <row r="1442">
      <c r="A1442" s="284"/>
      <c r="B1442" s="251"/>
      <c r="C1442" s="251"/>
      <c r="D1442" s="261"/>
      <c r="E1442" s="261"/>
      <c r="F1442" s="261"/>
      <c r="G1442" s="261"/>
      <c r="H1442" s="261"/>
      <c r="I1442" s="261"/>
      <c r="J1442" s="261"/>
      <c r="K1442" s="262"/>
      <c r="L1442" s="261"/>
      <c r="M1442" s="262"/>
      <c r="N1442" s="262"/>
      <c r="O1442" s="261"/>
      <c r="P1442" s="262"/>
      <c r="Q1442" s="262"/>
      <c r="R1442" s="261"/>
      <c r="S1442" s="263"/>
      <c r="T1442" s="261"/>
      <c r="U1442" s="269"/>
      <c r="V1442" s="285"/>
      <c r="W1442" s="286"/>
      <c r="X1442" s="267"/>
      <c r="Y1442" s="267"/>
      <c r="Z1442" s="267"/>
      <c r="AA1442" s="267"/>
      <c r="AB1442" s="267"/>
      <c r="AC1442" s="267"/>
      <c r="AD1442" s="261"/>
      <c r="AE1442" s="261"/>
      <c r="AF1442" s="257"/>
      <c r="AG1442" s="257"/>
    </row>
    <row r="1443">
      <c r="A1443" s="284"/>
      <c r="B1443" s="251"/>
      <c r="C1443" s="251"/>
      <c r="D1443" s="261"/>
      <c r="E1443" s="261"/>
      <c r="F1443" s="261"/>
      <c r="G1443" s="261"/>
      <c r="H1443" s="261"/>
      <c r="I1443" s="261"/>
      <c r="J1443" s="261"/>
      <c r="K1443" s="262"/>
      <c r="L1443" s="261"/>
      <c r="M1443" s="262"/>
      <c r="N1443" s="262"/>
      <c r="O1443" s="261"/>
      <c r="P1443" s="262"/>
      <c r="Q1443" s="262"/>
      <c r="R1443" s="261"/>
      <c r="S1443" s="263"/>
      <c r="T1443" s="261"/>
      <c r="U1443" s="269"/>
      <c r="V1443" s="285"/>
      <c r="W1443" s="286"/>
      <c r="X1443" s="267"/>
      <c r="Y1443" s="267"/>
      <c r="Z1443" s="267"/>
      <c r="AA1443" s="267"/>
      <c r="AB1443" s="267"/>
      <c r="AC1443" s="267"/>
      <c r="AD1443" s="261"/>
      <c r="AE1443" s="261"/>
      <c r="AF1443" s="257"/>
      <c r="AG1443" s="257"/>
    </row>
    <row r="1444">
      <c r="A1444" s="284"/>
      <c r="B1444" s="251"/>
      <c r="C1444" s="251"/>
      <c r="D1444" s="261"/>
      <c r="E1444" s="261"/>
      <c r="F1444" s="261"/>
      <c r="G1444" s="261"/>
      <c r="H1444" s="261"/>
      <c r="I1444" s="261"/>
      <c r="J1444" s="261"/>
      <c r="K1444" s="262"/>
      <c r="L1444" s="261"/>
      <c r="M1444" s="262"/>
      <c r="N1444" s="262"/>
      <c r="O1444" s="261"/>
      <c r="P1444" s="262"/>
      <c r="Q1444" s="262"/>
      <c r="R1444" s="261"/>
      <c r="S1444" s="263"/>
      <c r="T1444" s="261"/>
      <c r="U1444" s="269"/>
      <c r="V1444" s="285"/>
      <c r="W1444" s="286"/>
      <c r="X1444" s="267"/>
      <c r="Y1444" s="267"/>
      <c r="Z1444" s="267"/>
      <c r="AA1444" s="267"/>
      <c r="AB1444" s="267"/>
      <c r="AC1444" s="267"/>
      <c r="AD1444" s="261"/>
      <c r="AE1444" s="261"/>
      <c r="AF1444" s="257"/>
      <c r="AG1444" s="257"/>
    </row>
    <row r="1445">
      <c r="A1445" s="284"/>
      <c r="B1445" s="251"/>
      <c r="C1445" s="251"/>
      <c r="D1445" s="261"/>
      <c r="E1445" s="261"/>
      <c r="F1445" s="261"/>
      <c r="G1445" s="261"/>
      <c r="H1445" s="261"/>
      <c r="I1445" s="261"/>
      <c r="J1445" s="261"/>
      <c r="K1445" s="262"/>
      <c r="L1445" s="261"/>
      <c r="M1445" s="262"/>
      <c r="N1445" s="262"/>
      <c r="O1445" s="261"/>
      <c r="P1445" s="262"/>
      <c r="Q1445" s="262"/>
      <c r="R1445" s="261"/>
      <c r="S1445" s="263"/>
      <c r="T1445" s="261"/>
      <c r="U1445" s="269"/>
      <c r="V1445" s="285"/>
      <c r="W1445" s="286"/>
      <c r="X1445" s="267"/>
      <c r="Y1445" s="267"/>
      <c r="Z1445" s="267"/>
      <c r="AA1445" s="267"/>
      <c r="AB1445" s="267"/>
      <c r="AC1445" s="267"/>
      <c r="AD1445" s="261"/>
      <c r="AE1445" s="261"/>
      <c r="AF1445" s="257"/>
      <c r="AG1445" s="257"/>
    </row>
    <row r="1446">
      <c r="A1446" s="284"/>
      <c r="B1446" s="251"/>
      <c r="C1446" s="251"/>
      <c r="D1446" s="261"/>
      <c r="E1446" s="261"/>
      <c r="F1446" s="261"/>
      <c r="G1446" s="261"/>
      <c r="H1446" s="261"/>
      <c r="I1446" s="261"/>
      <c r="J1446" s="261"/>
      <c r="K1446" s="262"/>
      <c r="L1446" s="261"/>
      <c r="M1446" s="262"/>
      <c r="N1446" s="262"/>
      <c r="O1446" s="261"/>
      <c r="P1446" s="262"/>
      <c r="Q1446" s="262"/>
      <c r="R1446" s="261"/>
      <c r="S1446" s="263"/>
      <c r="T1446" s="261"/>
      <c r="U1446" s="269"/>
      <c r="V1446" s="285"/>
      <c r="W1446" s="286"/>
      <c r="X1446" s="267"/>
      <c r="Y1446" s="267"/>
      <c r="Z1446" s="267"/>
      <c r="AA1446" s="267"/>
      <c r="AB1446" s="267"/>
      <c r="AC1446" s="267"/>
      <c r="AD1446" s="261"/>
      <c r="AE1446" s="261"/>
      <c r="AF1446" s="257"/>
      <c r="AG1446" s="257"/>
    </row>
    <row r="1447">
      <c r="A1447" s="284"/>
      <c r="B1447" s="251"/>
      <c r="C1447" s="251"/>
      <c r="D1447" s="261"/>
      <c r="E1447" s="261"/>
      <c r="F1447" s="261"/>
      <c r="G1447" s="261"/>
      <c r="H1447" s="261"/>
      <c r="I1447" s="261"/>
      <c r="J1447" s="261"/>
      <c r="K1447" s="262"/>
      <c r="L1447" s="261"/>
      <c r="M1447" s="262"/>
      <c r="N1447" s="262"/>
      <c r="O1447" s="261"/>
      <c r="P1447" s="262"/>
      <c r="Q1447" s="262"/>
      <c r="R1447" s="261"/>
      <c r="S1447" s="263"/>
      <c r="T1447" s="261"/>
      <c r="U1447" s="269"/>
      <c r="V1447" s="285"/>
      <c r="W1447" s="286"/>
      <c r="X1447" s="267"/>
      <c r="Y1447" s="267"/>
      <c r="Z1447" s="267"/>
      <c r="AA1447" s="267"/>
      <c r="AB1447" s="267"/>
      <c r="AC1447" s="267"/>
      <c r="AD1447" s="261"/>
      <c r="AE1447" s="261"/>
      <c r="AF1447" s="257"/>
      <c r="AG1447" s="257"/>
    </row>
    <row r="1448">
      <c r="A1448" s="284"/>
      <c r="B1448" s="251"/>
      <c r="C1448" s="251"/>
      <c r="D1448" s="261"/>
      <c r="E1448" s="261"/>
      <c r="F1448" s="261"/>
      <c r="G1448" s="261"/>
      <c r="H1448" s="261"/>
      <c r="I1448" s="261"/>
      <c r="J1448" s="261"/>
      <c r="K1448" s="262"/>
      <c r="L1448" s="261"/>
      <c r="M1448" s="262"/>
      <c r="N1448" s="262"/>
      <c r="O1448" s="261"/>
      <c r="P1448" s="262"/>
      <c r="Q1448" s="262"/>
      <c r="R1448" s="261"/>
      <c r="S1448" s="263"/>
      <c r="T1448" s="261"/>
      <c r="U1448" s="269"/>
      <c r="V1448" s="285"/>
      <c r="W1448" s="286"/>
      <c r="X1448" s="267"/>
      <c r="Y1448" s="267"/>
      <c r="Z1448" s="267"/>
      <c r="AA1448" s="267"/>
      <c r="AB1448" s="267"/>
      <c r="AC1448" s="267"/>
      <c r="AD1448" s="261"/>
      <c r="AE1448" s="261"/>
      <c r="AF1448" s="257"/>
      <c r="AG1448" s="257"/>
    </row>
    <row r="1449">
      <c r="A1449" s="284"/>
      <c r="B1449" s="251"/>
      <c r="C1449" s="251"/>
      <c r="D1449" s="261"/>
      <c r="E1449" s="261"/>
      <c r="F1449" s="261"/>
      <c r="G1449" s="261"/>
      <c r="H1449" s="261"/>
      <c r="I1449" s="261"/>
      <c r="J1449" s="261"/>
      <c r="K1449" s="262"/>
      <c r="L1449" s="261"/>
      <c r="M1449" s="262"/>
      <c r="N1449" s="262"/>
      <c r="O1449" s="261"/>
      <c r="P1449" s="262"/>
      <c r="Q1449" s="262"/>
      <c r="R1449" s="261"/>
      <c r="S1449" s="263"/>
      <c r="T1449" s="261"/>
      <c r="U1449" s="269"/>
      <c r="V1449" s="285"/>
      <c r="W1449" s="286"/>
      <c r="X1449" s="267"/>
      <c r="Y1449" s="267"/>
      <c r="Z1449" s="267"/>
      <c r="AA1449" s="267"/>
      <c r="AB1449" s="267"/>
      <c r="AC1449" s="267"/>
      <c r="AD1449" s="261"/>
      <c r="AE1449" s="261"/>
      <c r="AF1449" s="257"/>
      <c r="AG1449" s="257"/>
    </row>
    <row r="1450">
      <c r="A1450" s="284"/>
      <c r="B1450" s="251"/>
      <c r="C1450" s="251"/>
      <c r="D1450" s="261"/>
      <c r="E1450" s="261"/>
      <c r="F1450" s="261"/>
      <c r="G1450" s="261"/>
      <c r="H1450" s="261"/>
      <c r="I1450" s="261"/>
      <c r="J1450" s="261"/>
      <c r="K1450" s="262"/>
      <c r="L1450" s="261"/>
      <c r="M1450" s="262"/>
      <c r="N1450" s="262"/>
      <c r="O1450" s="261"/>
      <c r="P1450" s="262"/>
      <c r="Q1450" s="262"/>
      <c r="R1450" s="261"/>
      <c r="S1450" s="263"/>
      <c r="T1450" s="261"/>
      <c r="U1450" s="269"/>
      <c r="V1450" s="285"/>
      <c r="W1450" s="286"/>
      <c r="X1450" s="267"/>
      <c r="Y1450" s="267"/>
      <c r="Z1450" s="267"/>
      <c r="AA1450" s="267"/>
      <c r="AB1450" s="267"/>
      <c r="AC1450" s="267"/>
      <c r="AD1450" s="261"/>
      <c r="AE1450" s="261"/>
      <c r="AF1450" s="257"/>
      <c r="AG1450" s="257"/>
    </row>
    <row r="1451">
      <c r="A1451" s="284"/>
      <c r="B1451" s="251"/>
      <c r="C1451" s="251"/>
      <c r="D1451" s="261"/>
      <c r="E1451" s="261"/>
      <c r="F1451" s="261"/>
      <c r="G1451" s="261"/>
      <c r="H1451" s="261"/>
      <c r="I1451" s="261"/>
      <c r="J1451" s="261"/>
      <c r="K1451" s="262"/>
      <c r="L1451" s="261"/>
      <c r="M1451" s="262"/>
      <c r="N1451" s="262"/>
      <c r="O1451" s="261"/>
      <c r="P1451" s="262"/>
      <c r="Q1451" s="262"/>
      <c r="R1451" s="261"/>
      <c r="S1451" s="263"/>
      <c r="T1451" s="261"/>
      <c r="U1451" s="269"/>
      <c r="V1451" s="285"/>
      <c r="W1451" s="286"/>
      <c r="X1451" s="267"/>
      <c r="Y1451" s="267"/>
      <c r="Z1451" s="267"/>
      <c r="AA1451" s="267"/>
      <c r="AB1451" s="267"/>
      <c r="AC1451" s="267"/>
      <c r="AD1451" s="261"/>
      <c r="AE1451" s="261"/>
      <c r="AF1451" s="257"/>
      <c r="AG1451" s="257"/>
    </row>
    <row r="1452">
      <c r="A1452" s="284"/>
      <c r="B1452" s="251"/>
      <c r="C1452" s="251"/>
      <c r="D1452" s="261"/>
      <c r="E1452" s="261"/>
      <c r="F1452" s="261"/>
      <c r="G1452" s="261"/>
      <c r="H1452" s="261"/>
      <c r="I1452" s="261"/>
      <c r="J1452" s="261"/>
      <c r="K1452" s="262"/>
      <c r="L1452" s="261"/>
      <c r="M1452" s="262"/>
      <c r="N1452" s="262"/>
      <c r="O1452" s="261"/>
      <c r="P1452" s="262"/>
      <c r="Q1452" s="262"/>
      <c r="R1452" s="261"/>
      <c r="S1452" s="263"/>
      <c r="T1452" s="261"/>
      <c r="U1452" s="269"/>
      <c r="V1452" s="285"/>
      <c r="W1452" s="286"/>
      <c r="X1452" s="267"/>
      <c r="Y1452" s="267"/>
      <c r="Z1452" s="267"/>
      <c r="AA1452" s="267"/>
      <c r="AB1452" s="267"/>
      <c r="AC1452" s="267"/>
      <c r="AD1452" s="261"/>
      <c r="AE1452" s="261"/>
      <c r="AF1452" s="257"/>
      <c r="AG1452" s="257"/>
    </row>
    <row r="1453">
      <c r="A1453" s="284"/>
      <c r="B1453" s="251"/>
      <c r="C1453" s="251"/>
      <c r="D1453" s="261"/>
      <c r="E1453" s="261"/>
      <c r="F1453" s="261"/>
      <c r="G1453" s="261"/>
      <c r="H1453" s="261"/>
      <c r="I1453" s="261"/>
      <c r="J1453" s="261"/>
      <c r="K1453" s="262"/>
      <c r="L1453" s="261"/>
      <c r="M1453" s="262"/>
      <c r="N1453" s="262"/>
      <c r="O1453" s="261"/>
      <c r="P1453" s="262"/>
      <c r="Q1453" s="262"/>
      <c r="R1453" s="261"/>
      <c r="S1453" s="263"/>
      <c r="T1453" s="261"/>
      <c r="U1453" s="269"/>
      <c r="V1453" s="285"/>
      <c r="W1453" s="286"/>
      <c r="X1453" s="267"/>
      <c r="Y1453" s="267"/>
      <c r="Z1453" s="267"/>
      <c r="AA1453" s="267"/>
      <c r="AB1453" s="267"/>
      <c r="AC1453" s="267"/>
      <c r="AD1453" s="261"/>
      <c r="AE1453" s="261"/>
      <c r="AF1453" s="257"/>
      <c r="AG1453" s="257"/>
    </row>
    <row r="1454">
      <c r="A1454" s="284"/>
      <c r="B1454" s="251"/>
      <c r="C1454" s="251"/>
      <c r="D1454" s="261"/>
      <c r="E1454" s="261"/>
      <c r="F1454" s="261"/>
      <c r="G1454" s="261"/>
      <c r="H1454" s="261"/>
      <c r="I1454" s="261"/>
      <c r="J1454" s="261"/>
      <c r="K1454" s="262"/>
      <c r="L1454" s="261"/>
      <c r="M1454" s="262"/>
      <c r="N1454" s="262"/>
      <c r="O1454" s="261"/>
      <c r="P1454" s="262"/>
      <c r="Q1454" s="262"/>
      <c r="R1454" s="261"/>
      <c r="S1454" s="263"/>
      <c r="T1454" s="261"/>
      <c r="U1454" s="269"/>
      <c r="V1454" s="285"/>
      <c r="W1454" s="286"/>
      <c r="X1454" s="267"/>
      <c r="Y1454" s="267"/>
      <c r="Z1454" s="267"/>
      <c r="AA1454" s="267"/>
      <c r="AB1454" s="267"/>
      <c r="AC1454" s="267"/>
      <c r="AD1454" s="261"/>
      <c r="AE1454" s="261"/>
      <c r="AF1454" s="257"/>
      <c r="AG1454" s="257"/>
    </row>
    <row r="1455">
      <c r="A1455" s="284"/>
      <c r="B1455" s="251"/>
      <c r="C1455" s="251"/>
      <c r="D1455" s="261"/>
      <c r="E1455" s="261"/>
      <c r="F1455" s="261"/>
      <c r="G1455" s="261"/>
      <c r="H1455" s="261"/>
      <c r="I1455" s="261"/>
      <c r="J1455" s="261"/>
      <c r="K1455" s="262"/>
      <c r="L1455" s="261"/>
      <c r="M1455" s="262"/>
      <c r="N1455" s="262"/>
      <c r="O1455" s="261"/>
      <c r="P1455" s="262"/>
      <c r="Q1455" s="262"/>
      <c r="R1455" s="261"/>
      <c r="S1455" s="263"/>
      <c r="T1455" s="261"/>
      <c r="U1455" s="269"/>
      <c r="V1455" s="285"/>
      <c r="W1455" s="286"/>
      <c r="X1455" s="267"/>
      <c r="Y1455" s="267"/>
      <c r="Z1455" s="267"/>
      <c r="AA1455" s="267"/>
      <c r="AB1455" s="267"/>
      <c r="AC1455" s="267"/>
      <c r="AD1455" s="261"/>
      <c r="AE1455" s="261"/>
      <c r="AF1455" s="257"/>
      <c r="AG1455" s="257"/>
    </row>
    <row r="1456">
      <c r="A1456" s="284"/>
      <c r="B1456" s="251"/>
      <c r="C1456" s="251"/>
      <c r="D1456" s="261"/>
      <c r="E1456" s="261"/>
      <c r="F1456" s="261"/>
      <c r="G1456" s="261"/>
      <c r="H1456" s="261"/>
      <c r="I1456" s="261"/>
      <c r="J1456" s="261"/>
      <c r="K1456" s="262"/>
      <c r="L1456" s="261"/>
      <c r="M1456" s="262"/>
      <c r="N1456" s="262"/>
      <c r="O1456" s="261"/>
      <c r="P1456" s="262"/>
      <c r="Q1456" s="262"/>
      <c r="R1456" s="261"/>
      <c r="S1456" s="263"/>
      <c r="T1456" s="261"/>
      <c r="U1456" s="269"/>
      <c r="V1456" s="285"/>
      <c r="W1456" s="286"/>
      <c r="X1456" s="267"/>
      <c r="Y1456" s="267"/>
      <c r="Z1456" s="267"/>
      <c r="AA1456" s="267"/>
      <c r="AB1456" s="267"/>
      <c r="AC1456" s="267"/>
      <c r="AD1456" s="261"/>
      <c r="AE1456" s="261"/>
      <c r="AF1456" s="257"/>
      <c r="AG1456" s="257"/>
    </row>
    <row r="1457">
      <c r="A1457" s="284"/>
      <c r="B1457" s="251"/>
      <c r="C1457" s="251"/>
      <c r="D1457" s="261"/>
      <c r="E1457" s="261"/>
      <c r="F1457" s="261"/>
      <c r="G1457" s="261"/>
      <c r="H1457" s="261"/>
      <c r="I1457" s="261"/>
      <c r="J1457" s="261"/>
      <c r="K1457" s="262"/>
      <c r="L1457" s="261"/>
      <c r="M1457" s="262"/>
      <c r="N1457" s="262"/>
      <c r="O1457" s="261"/>
      <c r="P1457" s="262"/>
      <c r="Q1457" s="262"/>
      <c r="R1457" s="261"/>
      <c r="S1457" s="263"/>
      <c r="T1457" s="261"/>
      <c r="U1457" s="269"/>
      <c r="V1457" s="285"/>
      <c r="W1457" s="286"/>
      <c r="X1457" s="267"/>
      <c r="Y1457" s="267"/>
      <c r="Z1457" s="267"/>
      <c r="AA1457" s="267"/>
      <c r="AB1457" s="267"/>
      <c r="AC1457" s="267"/>
      <c r="AD1457" s="261"/>
      <c r="AE1457" s="261"/>
      <c r="AF1457" s="257"/>
      <c r="AG1457" s="257"/>
    </row>
    <row r="1458">
      <c r="A1458" s="284"/>
      <c r="B1458" s="251"/>
      <c r="C1458" s="251"/>
      <c r="D1458" s="261"/>
      <c r="E1458" s="261"/>
      <c r="F1458" s="261"/>
      <c r="G1458" s="261"/>
      <c r="H1458" s="261"/>
      <c r="I1458" s="261"/>
      <c r="J1458" s="261"/>
      <c r="K1458" s="262"/>
      <c r="L1458" s="261"/>
      <c r="M1458" s="262"/>
      <c r="N1458" s="262"/>
      <c r="O1458" s="261"/>
      <c r="P1458" s="262"/>
      <c r="Q1458" s="262"/>
      <c r="R1458" s="261"/>
      <c r="S1458" s="263"/>
      <c r="T1458" s="261"/>
      <c r="U1458" s="269"/>
      <c r="V1458" s="285"/>
      <c r="W1458" s="286"/>
      <c r="X1458" s="267"/>
      <c r="Y1458" s="267"/>
      <c r="Z1458" s="267"/>
      <c r="AA1458" s="267"/>
      <c r="AB1458" s="267"/>
      <c r="AC1458" s="267"/>
      <c r="AD1458" s="261"/>
      <c r="AE1458" s="261"/>
      <c r="AF1458" s="257"/>
      <c r="AG1458" s="257"/>
    </row>
    <row r="1459">
      <c r="A1459" s="284"/>
      <c r="B1459" s="251"/>
      <c r="C1459" s="251"/>
      <c r="D1459" s="261"/>
      <c r="E1459" s="261"/>
      <c r="F1459" s="261"/>
      <c r="G1459" s="261"/>
      <c r="H1459" s="261"/>
      <c r="I1459" s="261"/>
      <c r="J1459" s="261"/>
      <c r="K1459" s="262"/>
      <c r="L1459" s="261"/>
      <c r="M1459" s="262"/>
      <c r="N1459" s="262"/>
      <c r="O1459" s="261"/>
      <c r="P1459" s="262"/>
      <c r="Q1459" s="262"/>
      <c r="R1459" s="261"/>
      <c r="S1459" s="263"/>
      <c r="T1459" s="261"/>
      <c r="U1459" s="269"/>
      <c r="V1459" s="285"/>
      <c r="W1459" s="286"/>
      <c r="X1459" s="267"/>
      <c r="Y1459" s="267"/>
      <c r="Z1459" s="267"/>
      <c r="AA1459" s="267"/>
      <c r="AB1459" s="267"/>
      <c r="AC1459" s="267"/>
      <c r="AD1459" s="261"/>
      <c r="AE1459" s="261"/>
      <c r="AF1459" s="257"/>
      <c r="AG1459" s="257"/>
    </row>
    <row r="1460">
      <c r="A1460" s="284"/>
      <c r="B1460" s="251"/>
      <c r="C1460" s="251"/>
      <c r="D1460" s="261"/>
      <c r="E1460" s="261"/>
      <c r="F1460" s="261"/>
      <c r="G1460" s="261"/>
      <c r="H1460" s="261"/>
      <c r="I1460" s="261"/>
      <c r="J1460" s="261"/>
      <c r="K1460" s="262"/>
      <c r="L1460" s="261"/>
      <c r="M1460" s="262"/>
      <c r="N1460" s="262"/>
      <c r="O1460" s="261"/>
      <c r="P1460" s="262"/>
      <c r="Q1460" s="262"/>
      <c r="R1460" s="261"/>
      <c r="S1460" s="263"/>
      <c r="T1460" s="261"/>
      <c r="U1460" s="269"/>
      <c r="V1460" s="285"/>
      <c r="W1460" s="286"/>
      <c r="X1460" s="267"/>
      <c r="Y1460" s="267"/>
      <c r="Z1460" s="267"/>
      <c r="AA1460" s="267"/>
      <c r="AB1460" s="267"/>
      <c r="AC1460" s="267"/>
      <c r="AD1460" s="261"/>
      <c r="AE1460" s="261"/>
      <c r="AF1460" s="257"/>
      <c r="AG1460" s="257"/>
    </row>
    <row r="1461">
      <c r="A1461" s="284"/>
      <c r="B1461" s="251"/>
      <c r="C1461" s="251"/>
      <c r="D1461" s="261"/>
      <c r="E1461" s="261"/>
      <c r="F1461" s="261"/>
      <c r="G1461" s="261"/>
      <c r="H1461" s="261"/>
      <c r="I1461" s="261"/>
      <c r="J1461" s="261"/>
      <c r="K1461" s="262"/>
      <c r="L1461" s="261"/>
      <c r="M1461" s="262"/>
      <c r="N1461" s="262"/>
      <c r="O1461" s="261"/>
      <c r="P1461" s="262"/>
      <c r="Q1461" s="262"/>
      <c r="R1461" s="261"/>
      <c r="S1461" s="263"/>
      <c r="T1461" s="261"/>
      <c r="U1461" s="269"/>
      <c r="V1461" s="285"/>
      <c r="W1461" s="286"/>
      <c r="X1461" s="267"/>
      <c r="Y1461" s="267"/>
      <c r="Z1461" s="267"/>
      <c r="AA1461" s="267"/>
      <c r="AB1461" s="267"/>
      <c r="AC1461" s="267"/>
      <c r="AD1461" s="261"/>
      <c r="AE1461" s="261"/>
      <c r="AF1461" s="257"/>
      <c r="AG1461" s="257"/>
    </row>
    <row r="1462">
      <c r="A1462" s="284"/>
      <c r="B1462" s="251"/>
      <c r="C1462" s="251"/>
      <c r="D1462" s="261"/>
      <c r="E1462" s="261"/>
      <c r="F1462" s="261"/>
      <c r="G1462" s="261"/>
      <c r="H1462" s="261"/>
      <c r="I1462" s="261"/>
      <c r="J1462" s="261"/>
      <c r="K1462" s="262"/>
      <c r="L1462" s="261"/>
      <c r="M1462" s="262"/>
      <c r="N1462" s="262"/>
      <c r="O1462" s="261"/>
      <c r="P1462" s="262"/>
      <c r="Q1462" s="262"/>
      <c r="R1462" s="261"/>
      <c r="S1462" s="263"/>
      <c r="T1462" s="261"/>
      <c r="U1462" s="269"/>
      <c r="V1462" s="285"/>
      <c r="W1462" s="286"/>
      <c r="X1462" s="267"/>
      <c r="Y1462" s="267"/>
      <c r="Z1462" s="267"/>
      <c r="AA1462" s="267"/>
      <c r="AB1462" s="267"/>
      <c r="AC1462" s="267"/>
      <c r="AD1462" s="261"/>
      <c r="AE1462" s="261"/>
      <c r="AF1462" s="257"/>
      <c r="AG1462" s="257"/>
    </row>
    <row r="1463">
      <c r="A1463" s="284"/>
      <c r="B1463" s="251"/>
      <c r="C1463" s="251"/>
      <c r="D1463" s="261"/>
      <c r="E1463" s="261"/>
      <c r="F1463" s="261"/>
      <c r="G1463" s="261"/>
      <c r="H1463" s="261"/>
      <c r="I1463" s="261"/>
      <c r="J1463" s="261"/>
      <c r="K1463" s="262"/>
      <c r="L1463" s="261"/>
      <c r="M1463" s="262"/>
      <c r="N1463" s="262"/>
      <c r="O1463" s="261"/>
      <c r="P1463" s="262"/>
      <c r="Q1463" s="262"/>
      <c r="R1463" s="261"/>
      <c r="S1463" s="263"/>
      <c r="T1463" s="261"/>
      <c r="U1463" s="269"/>
      <c r="V1463" s="285"/>
      <c r="W1463" s="286"/>
      <c r="X1463" s="267"/>
      <c r="Y1463" s="267"/>
      <c r="Z1463" s="267"/>
      <c r="AA1463" s="267"/>
      <c r="AB1463" s="267"/>
      <c r="AC1463" s="267"/>
      <c r="AD1463" s="261"/>
      <c r="AE1463" s="261"/>
      <c r="AF1463" s="257"/>
      <c r="AG1463" s="257"/>
    </row>
    <row r="1464">
      <c r="A1464" s="284"/>
      <c r="B1464" s="251"/>
      <c r="C1464" s="251"/>
      <c r="D1464" s="261"/>
      <c r="E1464" s="261"/>
      <c r="F1464" s="261"/>
      <c r="G1464" s="261"/>
      <c r="H1464" s="261"/>
      <c r="I1464" s="261"/>
      <c r="J1464" s="261"/>
      <c r="K1464" s="262"/>
      <c r="L1464" s="261"/>
      <c r="M1464" s="262"/>
      <c r="N1464" s="262"/>
      <c r="O1464" s="261"/>
      <c r="P1464" s="262"/>
      <c r="Q1464" s="262"/>
      <c r="R1464" s="261"/>
      <c r="S1464" s="263"/>
      <c r="T1464" s="261"/>
      <c r="U1464" s="269"/>
      <c r="V1464" s="285"/>
      <c r="W1464" s="286"/>
      <c r="X1464" s="267"/>
      <c r="Y1464" s="267"/>
      <c r="Z1464" s="267"/>
      <c r="AA1464" s="267"/>
      <c r="AB1464" s="267"/>
      <c r="AC1464" s="267"/>
      <c r="AD1464" s="261"/>
      <c r="AE1464" s="261"/>
      <c r="AF1464" s="257"/>
      <c r="AG1464" s="257"/>
    </row>
    <row r="1465">
      <c r="A1465" s="284"/>
      <c r="B1465" s="251"/>
      <c r="C1465" s="251"/>
      <c r="D1465" s="261"/>
      <c r="E1465" s="261"/>
      <c r="F1465" s="261"/>
      <c r="G1465" s="261"/>
      <c r="H1465" s="261"/>
      <c r="I1465" s="261"/>
      <c r="J1465" s="261"/>
      <c r="K1465" s="262"/>
      <c r="L1465" s="261"/>
      <c r="M1465" s="262"/>
      <c r="N1465" s="262"/>
      <c r="O1465" s="261"/>
      <c r="P1465" s="262"/>
      <c r="Q1465" s="262"/>
      <c r="R1465" s="261"/>
      <c r="S1465" s="263"/>
      <c r="T1465" s="261"/>
      <c r="U1465" s="269"/>
      <c r="V1465" s="285"/>
      <c r="W1465" s="286"/>
      <c r="X1465" s="267"/>
      <c r="Y1465" s="267"/>
      <c r="Z1465" s="267"/>
      <c r="AA1465" s="267"/>
      <c r="AB1465" s="267"/>
      <c r="AC1465" s="267"/>
      <c r="AD1465" s="261"/>
      <c r="AE1465" s="261"/>
      <c r="AF1465" s="257"/>
      <c r="AG1465" s="257"/>
    </row>
    <row r="1466">
      <c r="A1466" s="284"/>
      <c r="B1466" s="251"/>
      <c r="C1466" s="251"/>
      <c r="D1466" s="261"/>
      <c r="E1466" s="261"/>
      <c r="F1466" s="261"/>
      <c r="G1466" s="261"/>
      <c r="H1466" s="261"/>
      <c r="I1466" s="261"/>
      <c r="J1466" s="261"/>
      <c r="K1466" s="262"/>
      <c r="L1466" s="261"/>
      <c r="M1466" s="262"/>
      <c r="N1466" s="262"/>
      <c r="O1466" s="261"/>
      <c r="P1466" s="262"/>
      <c r="Q1466" s="262"/>
      <c r="R1466" s="261"/>
      <c r="S1466" s="263"/>
      <c r="T1466" s="261"/>
      <c r="U1466" s="269"/>
      <c r="V1466" s="285"/>
      <c r="W1466" s="286"/>
      <c r="X1466" s="267"/>
      <c r="Y1466" s="267"/>
      <c r="Z1466" s="267"/>
      <c r="AA1466" s="267"/>
      <c r="AB1466" s="267"/>
      <c r="AC1466" s="267"/>
      <c r="AD1466" s="261"/>
      <c r="AE1466" s="261"/>
      <c r="AF1466" s="257"/>
      <c r="AG1466" s="257"/>
    </row>
    <row r="1467">
      <c r="A1467" s="284"/>
      <c r="B1467" s="251"/>
      <c r="C1467" s="251"/>
      <c r="D1467" s="261"/>
      <c r="E1467" s="261"/>
      <c r="F1467" s="261"/>
      <c r="G1467" s="261"/>
      <c r="H1467" s="261"/>
      <c r="I1467" s="261"/>
      <c r="J1467" s="261"/>
      <c r="K1467" s="262"/>
      <c r="L1467" s="261"/>
      <c r="M1467" s="262"/>
      <c r="N1467" s="262"/>
      <c r="O1467" s="261"/>
      <c r="P1467" s="262"/>
      <c r="Q1467" s="262"/>
      <c r="R1467" s="261"/>
      <c r="S1467" s="263"/>
      <c r="T1467" s="261"/>
      <c r="U1467" s="269"/>
      <c r="V1467" s="285"/>
      <c r="W1467" s="286"/>
      <c r="X1467" s="267"/>
      <c r="Y1467" s="267"/>
      <c r="Z1467" s="267"/>
      <c r="AA1467" s="267"/>
      <c r="AB1467" s="267"/>
      <c r="AC1467" s="267"/>
      <c r="AD1467" s="261"/>
      <c r="AE1467" s="261"/>
      <c r="AF1467" s="257"/>
      <c r="AG1467" s="257"/>
    </row>
    <row r="1468">
      <c r="A1468" s="284"/>
      <c r="B1468" s="251"/>
      <c r="C1468" s="251"/>
      <c r="D1468" s="261"/>
      <c r="E1468" s="261"/>
      <c r="F1468" s="261"/>
      <c r="G1468" s="261"/>
      <c r="H1468" s="261"/>
      <c r="I1468" s="261"/>
      <c r="J1468" s="261"/>
      <c r="K1468" s="262"/>
      <c r="L1468" s="261"/>
      <c r="M1468" s="262"/>
      <c r="N1468" s="262"/>
      <c r="O1468" s="261"/>
      <c r="P1468" s="262"/>
      <c r="Q1468" s="262"/>
      <c r="R1468" s="261"/>
      <c r="S1468" s="263"/>
      <c r="T1468" s="261"/>
      <c r="U1468" s="269"/>
      <c r="V1468" s="285"/>
      <c r="W1468" s="286"/>
      <c r="X1468" s="267"/>
      <c r="Y1468" s="267"/>
      <c r="Z1468" s="267"/>
      <c r="AA1468" s="267"/>
      <c r="AB1468" s="267"/>
      <c r="AC1468" s="267"/>
      <c r="AD1468" s="261"/>
      <c r="AE1468" s="261"/>
      <c r="AF1468" s="257"/>
      <c r="AG1468" s="257"/>
    </row>
    <row r="1469">
      <c r="A1469" s="284"/>
      <c r="B1469" s="251"/>
      <c r="C1469" s="251"/>
      <c r="D1469" s="261"/>
      <c r="E1469" s="261"/>
      <c r="F1469" s="261"/>
      <c r="G1469" s="261"/>
      <c r="H1469" s="261"/>
      <c r="I1469" s="261"/>
      <c r="J1469" s="261"/>
      <c r="K1469" s="262"/>
      <c r="L1469" s="261"/>
      <c r="M1469" s="262"/>
      <c r="N1469" s="262"/>
      <c r="O1469" s="261"/>
      <c r="P1469" s="262"/>
      <c r="Q1469" s="262"/>
      <c r="R1469" s="261"/>
      <c r="S1469" s="263"/>
      <c r="T1469" s="261"/>
      <c r="U1469" s="269"/>
      <c r="V1469" s="285"/>
      <c r="W1469" s="286"/>
      <c r="X1469" s="267"/>
      <c r="Y1469" s="267"/>
      <c r="Z1469" s="267"/>
      <c r="AA1469" s="267"/>
      <c r="AB1469" s="267"/>
      <c r="AC1469" s="267"/>
      <c r="AD1469" s="261"/>
      <c r="AE1469" s="261"/>
      <c r="AF1469" s="257"/>
      <c r="AG1469" s="257"/>
    </row>
    <row r="1470">
      <c r="A1470" s="284"/>
      <c r="B1470" s="251"/>
      <c r="C1470" s="251"/>
      <c r="D1470" s="261"/>
      <c r="E1470" s="261"/>
      <c r="F1470" s="261"/>
      <c r="G1470" s="261"/>
      <c r="H1470" s="261"/>
      <c r="I1470" s="261"/>
      <c r="J1470" s="261"/>
      <c r="K1470" s="262"/>
      <c r="L1470" s="261"/>
      <c r="M1470" s="262"/>
      <c r="N1470" s="262"/>
      <c r="O1470" s="261"/>
      <c r="P1470" s="262"/>
      <c r="Q1470" s="262"/>
      <c r="R1470" s="261"/>
      <c r="S1470" s="263"/>
      <c r="T1470" s="261"/>
      <c r="U1470" s="269"/>
      <c r="V1470" s="285"/>
      <c r="W1470" s="286"/>
      <c r="X1470" s="267"/>
      <c r="Y1470" s="267"/>
      <c r="Z1470" s="267"/>
      <c r="AA1470" s="267"/>
      <c r="AB1470" s="267"/>
      <c r="AC1470" s="267"/>
      <c r="AD1470" s="261"/>
      <c r="AE1470" s="261"/>
      <c r="AF1470" s="257"/>
      <c r="AG1470" s="257"/>
    </row>
    <row r="1471">
      <c r="A1471" s="284"/>
      <c r="B1471" s="251"/>
      <c r="C1471" s="251"/>
      <c r="D1471" s="261"/>
      <c r="E1471" s="261"/>
      <c r="F1471" s="261"/>
      <c r="G1471" s="261"/>
      <c r="H1471" s="261"/>
      <c r="I1471" s="261"/>
      <c r="J1471" s="261"/>
      <c r="K1471" s="262"/>
      <c r="L1471" s="261"/>
      <c r="M1471" s="262"/>
      <c r="N1471" s="262"/>
      <c r="O1471" s="261"/>
      <c r="P1471" s="262"/>
      <c r="Q1471" s="262"/>
      <c r="R1471" s="261"/>
      <c r="S1471" s="263"/>
      <c r="T1471" s="261"/>
      <c r="U1471" s="269"/>
      <c r="V1471" s="285"/>
      <c r="W1471" s="286"/>
      <c r="X1471" s="267"/>
      <c r="Y1471" s="267"/>
      <c r="Z1471" s="267"/>
      <c r="AA1471" s="267"/>
      <c r="AB1471" s="267"/>
      <c r="AC1471" s="267"/>
      <c r="AD1471" s="261"/>
      <c r="AE1471" s="261"/>
      <c r="AF1471" s="257"/>
      <c r="AG1471" s="257"/>
    </row>
    <row r="1472">
      <c r="A1472" s="284"/>
      <c r="B1472" s="251"/>
      <c r="C1472" s="251"/>
      <c r="D1472" s="261"/>
      <c r="E1472" s="261"/>
      <c r="F1472" s="261"/>
      <c r="G1472" s="261"/>
      <c r="H1472" s="261"/>
      <c r="I1472" s="261"/>
      <c r="J1472" s="261"/>
      <c r="K1472" s="262"/>
      <c r="L1472" s="261"/>
      <c r="M1472" s="262"/>
      <c r="N1472" s="262"/>
      <c r="O1472" s="261"/>
      <c r="P1472" s="262"/>
      <c r="Q1472" s="262"/>
      <c r="R1472" s="261"/>
      <c r="S1472" s="263"/>
      <c r="T1472" s="261"/>
      <c r="U1472" s="269"/>
      <c r="V1472" s="285"/>
      <c r="W1472" s="286"/>
      <c r="X1472" s="267"/>
      <c r="Y1472" s="267"/>
      <c r="Z1472" s="267"/>
      <c r="AA1472" s="267"/>
      <c r="AB1472" s="267"/>
      <c r="AC1472" s="267"/>
      <c r="AD1472" s="261"/>
      <c r="AE1472" s="261"/>
      <c r="AF1472" s="257"/>
      <c r="AG1472" s="257"/>
    </row>
    <row r="1473">
      <c r="A1473" s="284"/>
      <c r="B1473" s="251"/>
      <c r="C1473" s="251"/>
      <c r="D1473" s="261"/>
      <c r="E1473" s="261"/>
      <c r="F1473" s="261"/>
      <c r="G1473" s="261"/>
      <c r="H1473" s="261"/>
      <c r="I1473" s="261"/>
      <c r="J1473" s="261"/>
      <c r="K1473" s="262"/>
      <c r="L1473" s="261"/>
      <c r="M1473" s="262"/>
      <c r="N1473" s="262"/>
      <c r="O1473" s="261"/>
      <c r="P1473" s="262"/>
      <c r="Q1473" s="262"/>
      <c r="R1473" s="261"/>
      <c r="S1473" s="263"/>
      <c r="T1473" s="261"/>
      <c r="U1473" s="269"/>
      <c r="V1473" s="285"/>
      <c r="W1473" s="286"/>
      <c r="X1473" s="267"/>
      <c r="Y1473" s="267"/>
      <c r="Z1473" s="267"/>
      <c r="AA1473" s="267"/>
      <c r="AB1473" s="267"/>
      <c r="AC1473" s="267"/>
      <c r="AD1473" s="261"/>
      <c r="AE1473" s="261"/>
      <c r="AF1473" s="257"/>
      <c r="AG1473" s="257"/>
    </row>
    <row r="1474">
      <c r="A1474" s="284"/>
      <c r="B1474" s="251"/>
      <c r="C1474" s="251"/>
      <c r="D1474" s="261"/>
      <c r="E1474" s="261"/>
      <c r="F1474" s="261"/>
      <c r="G1474" s="261"/>
      <c r="H1474" s="261"/>
      <c r="I1474" s="261"/>
      <c r="J1474" s="261"/>
      <c r="K1474" s="262"/>
      <c r="L1474" s="261"/>
      <c r="M1474" s="262"/>
      <c r="N1474" s="262"/>
      <c r="O1474" s="261"/>
      <c r="P1474" s="262"/>
      <c r="Q1474" s="262"/>
      <c r="R1474" s="261"/>
      <c r="S1474" s="263"/>
      <c r="T1474" s="261"/>
      <c r="U1474" s="269"/>
      <c r="V1474" s="285"/>
      <c r="W1474" s="286"/>
      <c r="X1474" s="267"/>
      <c r="Y1474" s="267"/>
      <c r="Z1474" s="267"/>
      <c r="AA1474" s="267"/>
      <c r="AB1474" s="267"/>
      <c r="AC1474" s="267"/>
      <c r="AD1474" s="261"/>
      <c r="AE1474" s="261"/>
      <c r="AF1474" s="257"/>
      <c r="AG1474" s="257"/>
    </row>
    <row r="1475">
      <c r="A1475" s="284"/>
      <c r="B1475" s="251"/>
      <c r="C1475" s="251"/>
      <c r="D1475" s="261"/>
      <c r="E1475" s="261"/>
      <c r="F1475" s="261"/>
      <c r="G1475" s="261"/>
      <c r="H1475" s="261"/>
      <c r="I1475" s="261"/>
      <c r="J1475" s="261"/>
      <c r="K1475" s="262"/>
      <c r="L1475" s="261"/>
      <c r="M1475" s="262"/>
      <c r="N1475" s="262"/>
      <c r="O1475" s="261"/>
      <c r="P1475" s="262"/>
      <c r="Q1475" s="262"/>
      <c r="R1475" s="261"/>
      <c r="S1475" s="263"/>
      <c r="T1475" s="261"/>
      <c r="U1475" s="269"/>
      <c r="V1475" s="285"/>
      <c r="W1475" s="286"/>
      <c r="X1475" s="267"/>
      <c r="Y1475" s="267"/>
      <c r="Z1475" s="267"/>
      <c r="AA1475" s="267"/>
      <c r="AB1475" s="267"/>
      <c r="AC1475" s="267"/>
      <c r="AD1475" s="261"/>
      <c r="AE1475" s="261"/>
      <c r="AF1475" s="257"/>
      <c r="AG1475" s="257"/>
    </row>
    <row r="1476">
      <c r="A1476" s="284"/>
      <c r="B1476" s="251"/>
      <c r="C1476" s="251"/>
      <c r="D1476" s="261"/>
      <c r="E1476" s="261"/>
      <c r="F1476" s="261"/>
      <c r="G1476" s="261"/>
      <c r="H1476" s="261"/>
      <c r="I1476" s="261"/>
      <c r="J1476" s="261"/>
      <c r="K1476" s="262"/>
      <c r="L1476" s="261"/>
      <c r="M1476" s="262"/>
      <c r="N1476" s="262"/>
      <c r="O1476" s="261"/>
      <c r="P1476" s="262"/>
      <c r="Q1476" s="262"/>
      <c r="R1476" s="261"/>
      <c r="S1476" s="263"/>
      <c r="T1476" s="261"/>
      <c r="U1476" s="269"/>
      <c r="V1476" s="285"/>
      <c r="W1476" s="286"/>
      <c r="X1476" s="267"/>
      <c r="Y1476" s="267"/>
      <c r="Z1476" s="267"/>
      <c r="AA1476" s="267"/>
      <c r="AB1476" s="267"/>
      <c r="AC1476" s="267"/>
      <c r="AD1476" s="261"/>
      <c r="AE1476" s="261"/>
      <c r="AF1476" s="257"/>
      <c r="AG1476" s="257"/>
    </row>
    <row r="1477">
      <c r="A1477" s="284"/>
      <c r="B1477" s="251"/>
      <c r="C1477" s="251"/>
      <c r="D1477" s="261"/>
      <c r="E1477" s="261"/>
      <c r="F1477" s="261"/>
      <c r="G1477" s="261"/>
      <c r="H1477" s="261"/>
      <c r="I1477" s="261"/>
      <c r="J1477" s="261"/>
      <c r="K1477" s="262"/>
      <c r="L1477" s="261"/>
      <c r="M1477" s="262"/>
      <c r="N1477" s="262"/>
      <c r="O1477" s="261"/>
      <c r="P1477" s="262"/>
      <c r="Q1477" s="262"/>
      <c r="R1477" s="261"/>
      <c r="S1477" s="263"/>
      <c r="T1477" s="261"/>
      <c r="U1477" s="269"/>
      <c r="V1477" s="285"/>
      <c r="W1477" s="286"/>
      <c r="X1477" s="267"/>
      <c r="Y1477" s="267"/>
      <c r="Z1477" s="267"/>
      <c r="AA1477" s="267"/>
      <c r="AB1477" s="267"/>
      <c r="AC1477" s="267"/>
      <c r="AD1477" s="261"/>
      <c r="AE1477" s="261"/>
      <c r="AF1477" s="257"/>
      <c r="AG1477" s="257"/>
    </row>
    <row r="1478">
      <c r="A1478" s="284"/>
      <c r="B1478" s="251"/>
      <c r="C1478" s="251"/>
      <c r="D1478" s="261"/>
      <c r="E1478" s="261"/>
      <c r="F1478" s="261"/>
      <c r="G1478" s="261"/>
      <c r="H1478" s="261"/>
      <c r="I1478" s="261"/>
      <c r="J1478" s="261"/>
      <c r="K1478" s="262"/>
      <c r="L1478" s="261"/>
      <c r="M1478" s="262"/>
      <c r="N1478" s="262"/>
      <c r="O1478" s="261"/>
      <c r="P1478" s="262"/>
      <c r="Q1478" s="262"/>
      <c r="R1478" s="261"/>
      <c r="S1478" s="263"/>
      <c r="T1478" s="261"/>
      <c r="U1478" s="269"/>
      <c r="V1478" s="285"/>
      <c r="W1478" s="286"/>
      <c r="X1478" s="267"/>
      <c r="Y1478" s="267"/>
      <c r="Z1478" s="267"/>
      <c r="AA1478" s="267"/>
      <c r="AB1478" s="267"/>
      <c r="AC1478" s="267"/>
      <c r="AD1478" s="261"/>
      <c r="AE1478" s="261"/>
      <c r="AF1478" s="257"/>
      <c r="AG1478" s="257"/>
    </row>
    <row r="1479">
      <c r="A1479" s="284"/>
      <c r="B1479" s="251"/>
      <c r="C1479" s="251"/>
      <c r="D1479" s="261"/>
      <c r="E1479" s="261"/>
      <c r="F1479" s="261"/>
      <c r="G1479" s="261"/>
      <c r="H1479" s="261"/>
      <c r="I1479" s="261"/>
      <c r="J1479" s="261"/>
      <c r="K1479" s="262"/>
      <c r="L1479" s="261"/>
      <c r="M1479" s="262"/>
      <c r="N1479" s="262"/>
      <c r="O1479" s="261"/>
      <c r="P1479" s="262"/>
      <c r="Q1479" s="262"/>
      <c r="R1479" s="261"/>
      <c r="S1479" s="263"/>
      <c r="T1479" s="261"/>
      <c r="U1479" s="269"/>
      <c r="V1479" s="285"/>
      <c r="W1479" s="286"/>
      <c r="X1479" s="267"/>
      <c r="Y1479" s="267"/>
      <c r="Z1479" s="267"/>
      <c r="AA1479" s="267"/>
      <c r="AB1479" s="267"/>
      <c r="AC1479" s="267"/>
      <c r="AD1479" s="261"/>
      <c r="AE1479" s="261"/>
      <c r="AF1479" s="257"/>
      <c r="AG1479" s="257"/>
    </row>
    <row r="1480">
      <c r="A1480" s="284"/>
      <c r="B1480" s="251"/>
      <c r="C1480" s="251"/>
      <c r="D1480" s="261"/>
      <c r="E1480" s="261"/>
      <c r="F1480" s="261"/>
      <c r="G1480" s="261"/>
      <c r="H1480" s="261"/>
      <c r="I1480" s="261"/>
      <c r="J1480" s="261"/>
      <c r="K1480" s="262"/>
      <c r="L1480" s="261"/>
      <c r="M1480" s="262"/>
      <c r="N1480" s="262"/>
      <c r="O1480" s="261"/>
      <c r="P1480" s="262"/>
      <c r="Q1480" s="262"/>
      <c r="R1480" s="261"/>
      <c r="S1480" s="263"/>
      <c r="T1480" s="261"/>
      <c r="U1480" s="269"/>
      <c r="V1480" s="285"/>
      <c r="W1480" s="286"/>
      <c r="X1480" s="267"/>
      <c r="Y1480" s="267"/>
      <c r="Z1480" s="267"/>
      <c r="AA1480" s="267"/>
      <c r="AB1480" s="267"/>
      <c r="AC1480" s="267"/>
      <c r="AD1480" s="261"/>
      <c r="AE1480" s="261"/>
      <c r="AF1480" s="257"/>
      <c r="AG1480" s="257"/>
    </row>
    <row r="1481">
      <c r="A1481" s="284"/>
      <c r="B1481" s="251"/>
      <c r="C1481" s="251"/>
      <c r="D1481" s="261"/>
      <c r="E1481" s="261"/>
      <c r="F1481" s="261"/>
      <c r="G1481" s="261"/>
      <c r="H1481" s="261"/>
      <c r="I1481" s="261"/>
      <c r="J1481" s="261"/>
      <c r="K1481" s="262"/>
      <c r="L1481" s="261"/>
      <c r="M1481" s="262"/>
      <c r="N1481" s="262"/>
      <c r="O1481" s="261"/>
      <c r="P1481" s="262"/>
      <c r="Q1481" s="262"/>
      <c r="R1481" s="261"/>
      <c r="S1481" s="263"/>
      <c r="T1481" s="261"/>
      <c r="U1481" s="269"/>
      <c r="V1481" s="285"/>
      <c r="W1481" s="286"/>
      <c r="X1481" s="267"/>
      <c r="Y1481" s="267"/>
      <c r="Z1481" s="267"/>
      <c r="AA1481" s="267"/>
      <c r="AB1481" s="267"/>
      <c r="AC1481" s="267"/>
      <c r="AD1481" s="261"/>
      <c r="AE1481" s="261"/>
      <c r="AF1481" s="257"/>
      <c r="AG1481" s="257"/>
    </row>
    <row r="1482">
      <c r="A1482" s="284"/>
      <c r="B1482" s="251"/>
      <c r="C1482" s="251"/>
      <c r="D1482" s="261"/>
      <c r="E1482" s="261"/>
      <c r="F1482" s="261"/>
      <c r="G1482" s="261"/>
      <c r="H1482" s="261"/>
      <c r="I1482" s="261"/>
      <c r="J1482" s="261"/>
      <c r="K1482" s="262"/>
      <c r="L1482" s="261"/>
      <c r="M1482" s="262"/>
      <c r="N1482" s="262"/>
      <c r="O1482" s="261"/>
      <c r="P1482" s="262"/>
      <c r="Q1482" s="262"/>
      <c r="R1482" s="261"/>
      <c r="S1482" s="263"/>
      <c r="T1482" s="261"/>
      <c r="U1482" s="269"/>
      <c r="V1482" s="285"/>
      <c r="W1482" s="286"/>
      <c r="X1482" s="267"/>
      <c r="Y1482" s="267"/>
      <c r="Z1482" s="267"/>
      <c r="AA1482" s="267"/>
      <c r="AB1482" s="267"/>
      <c r="AC1482" s="267"/>
      <c r="AD1482" s="261"/>
      <c r="AE1482" s="261"/>
      <c r="AF1482" s="257"/>
      <c r="AG1482" s="257"/>
    </row>
    <row r="1483">
      <c r="A1483" s="284"/>
      <c r="B1483" s="251"/>
      <c r="C1483" s="251"/>
      <c r="D1483" s="261"/>
      <c r="E1483" s="261"/>
      <c r="F1483" s="261"/>
      <c r="G1483" s="261"/>
      <c r="H1483" s="261"/>
      <c r="I1483" s="261"/>
      <c r="J1483" s="261"/>
      <c r="K1483" s="262"/>
      <c r="L1483" s="261"/>
      <c r="M1483" s="262"/>
      <c r="N1483" s="262"/>
      <c r="O1483" s="261"/>
      <c r="P1483" s="262"/>
      <c r="Q1483" s="262"/>
      <c r="R1483" s="261"/>
      <c r="S1483" s="263"/>
      <c r="T1483" s="261"/>
      <c r="U1483" s="269"/>
      <c r="V1483" s="285"/>
      <c r="W1483" s="286"/>
      <c r="X1483" s="267"/>
      <c r="Y1483" s="267"/>
      <c r="Z1483" s="267"/>
      <c r="AA1483" s="267"/>
      <c r="AB1483" s="267"/>
      <c r="AC1483" s="267"/>
      <c r="AD1483" s="261"/>
      <c r="AE1483" s="261"/>
      <c r="AF1483" s="257"/>
      <c r="AG1483" s="257"/>
    </row>
    <row r="1484">
      <c r="A1484" s="284"/>
      <c r="B1484" s="251"/>
      <c r="C1484" s="251"/>
      <c r="D1484" s="261"/>
      <c r="E1484" s="261"/>
      <c r="F1484" s="261"/>
      <c r="G1484" s="261"/>
      <c r="H1484" s="261"/>
      <c r="I1484" s="261"/>
      <c r="J1484" s="261"/>
      <c r="K1484" s="262"/>
      <c r="L1484" s="261"/>
      <c r="M1484" s="262"/>
      <c r="N1484" s="262"/>
      <c r="O1484" s="261"/>
      <c r="P1484" s="262"/>
      <c r="Q1484" s="262"/>
      <c r="R1484" s="261"/>
      <c r="S1484" s="263"/>
      <c r="T1484" s="261"/>
      <c r="U1484" s="269"/>
      <c r="V1484" s="285"/>
      <c r="W1484" s="286"/>
      <c r="X1484" s="267"/>
      <c r="Y1484" s="267"/>
      <c r="Z1484" s="267"/>
      <c r="AA1484" s="267"/>
      <c r="AB1484" s="267"/>
      <c r="AC1484" s="267"/>
      <c r="AD1484" s="261"/>
      <c r="AE1484" s="261"/>
      <c r="AF1484" s="257"/>
      <c r="AG1484" s="257"/>
    </row>
    <row r="1485">
      <c r="A1485" s="284"/>
      <c r="B1485" s="251"/>
      <c r="C1485" s="251"/>
      <c r="D1485" s="261"/>
      <c r="E1485" s="261"/>
      <c r="F1485" s="261"/>
      <c r="G1485" s="261"/>
      <c r="H1485" s="261"/>
      <c r="I1485" s="261"/>
      <c r="J1485" s="261"/>
      <c r="K1485" s="262"/>
      <c r="L1485" s="261"/>
      <c r="M1485" s="262"/>
      <c r="N1485" s="262"/>
      <c r="O1485" s="261"/>
      <c r="P1485" s="262"/>
      <c r="Q1485" s="262"/>
      <c r="R1485" s="261"/>
      <c r="S1485" s="263"/>
      <c r="T1485" s="261"/>
      <c r="U1485" s="269"/>
      <c r="V1485" s="285"/>
      <c r="W1485" s="286"/>
      <c r="X1485" s="267"/>
      <c r="Y1485" s="267"/>
      <c r="Z1485" s="267"/>
      <c r="AA1485" s="267"/>
      <c r="AB1485" s="267"/>
      <c r="AC1485" s="267"/>
      <c r="AD1485" s="261"/>
      <c r="AE1485" s="261"/>
      <c r="AF1485" s="257"/>
      <c r="AG1485" s="257"/>
    </row>
    <row r="1486">
      <c r="A1486" s="284"/>
      <c r="B1486" s="251"/>
      <c r="C1486" s="251"/>
      <c r="D1486" s="261"/>
      <c r="E1486" s="261"/>
      <c r="F1486" s="261"/>
      <c r="G1486" s="261"/>
      <c r="H1486" s="261"/>
      <c r="I1486" s="261"/>
      <c r="J1486" s="261"/>
      <c r="K1486" s="262"/>
      <c r="L1486" s="261"/>
      <c r="M1486" s="262"/>
      <c r="N1486" s="262"/>
      <c r="O1486" s="261"/>
      <c r="P1486" s="262"/>
      <c r="Q1486" s="262"/>
      <c r="R1486" s="261"/>
      <c r="S1486" s="263"/>
      <c r="T1486" s="261"/>
      <c r="U1486" s="269"/>
      <c r="V1486" s="285"/>
      <c r="W1486" s="286"/>
      <c r="X1486" s="267"/>
      <c r="Y1486" s="267"/>
      <c r="Z1486" s="267"/>
      <c r="AA1486" s="267"/>
      <c r="AB1486" s="267"/>
      <c r="AC1486" s="267"/>
      <c r="AD1486" s="261"/>
      <c r="AE1486" s="261"/>
      <c r="AF1486" s="257"/>
      <c r="AG1486" s="257"/>
    </row>
    <row r="1487">
      <c r="A1487" s="284"/>
      <c r="B1487" s="251"/>
      <c r="C1487" s="251"/>
      <c r="D1487" s="261"/>
      <c r="E1487" s="261"/>
      <c r="F1487" s="261"/>
      <c r="G1487" s="261"/>
      <c r="H1487" s="261"/>
      <c r="I1487" s="261"/>
      <c r="J1487" s="261"/>
      <c r="K1487" s="262"/>
      <c r="L1487" s="261"/>
      <c r="M1487" s="262"/>
      <c r="N1487" s="262"/>
      <c r="O1487" s="261"/>
      <c r="P1487" s="262"/>
      <c r="Q1487" s="262"/>
      <c r="R1487" s="261"/>
      <c r="S1487" s="263"/>
      <c r="T1487" s="261"/>
      <c r="U1487" s="269"/>
      <c r="V1487" s="285"/>
      <c r="W1487" s="286"/>
      <c r="X1487" s="267"/>
      <c r="Y1487" s="267"/>
      <c r="Z1487" s="267"/>
      <c r="AA1487" s="267"/>
      <c r="AB1487" s="267"/>
      <c r="AC1487" s="267"/>
      <c r="AD1487" s="261"/>
      <c r="AE1487" s="261"/>
      <c r="AF1487" s="257"/>
      <c r="AG1487" s="257"/>
    </row>
    <row r="1488">
      <c r="A1488" s="284"/>
      <c r="B1488" s="251"/>
      <c r="C1488" s="251"/>
      <c r="D1488" s="261"/>
      <c r="E1488" s="261"/>
      <c r="F1488" s="261"/>
      <c r="G1488" s="261"/>
      <c r="H1488" s="261"/>
      <c r="I1488" s="261"/>
      <c r="J1488" s="261"/>
      <c r="K1488" s="262"/>
      <c r="L1488" s="261"/>
      <c r="M1488" s="262"/>
      <c r="N1488" s="262"/>
      <c r="O1488" s="261"/>
      <c r="P1488" s="262"/>
      <c r="Q1488" s="262"/>
      <c r="R1488" s="261"/>
      <c r="S1488" s="263"/>
      <c r="T1488" s="261"/>
      <c r="U1488" s="269"/>
      <c r="V1488" s="285"/>
      <c r="W1488" s="286"/>
      <c r="X1488" s="267"/>
      <c r="Y1488" s="267"/>
      <c r="Z1488" s="267"/>
      <c r="AA1488" s="267"/>
      <c r="AB1488" s="267"/>
      <c r="AC1488" s="267"/>
      <c r="AD1488" s="261"/>
      <c r="AE1488" s="261"/>
      <c r="AF1488" s="257"/>
      <c r="AG1488" s="257"/>
    </row>
    <row r="1489">
      <c r="A1489" s="284"/>
      <c r="B1489" s="251"/>
      <c r="C1489" s="251"/>
      <c r="D1489" s="261"/>
      <c r="E1489" s="261"/>
      <c r="F1489" s="261"/>
      <c r="G1489" s="261"/>
      <c r="H1489" s="261"/>
      <c r="I1489" s="261"/>
      <c r="J1489" s="261"/>
      <c r="K1489" s="262"/>
      <c r="L1489" s="261"/>
      <c r="M1489" s="262"/>
      <c r="N1489" s="262"/>
      <c r="O1489" s="261"/>
      <c r="P1489" s="262"/>
      <c r="Q1489" s="262"/>
      <c r="R1489" s="261"/>
      <c r="S1489" s="263"/>
      <c r="T1489" s="261"/>
      <c r="U1489" s="269"/>
      <c r="V1489" s="285"/>
      <c r="W1489" s="286"/>
      <c r="X1489" s="267"/>
      <c r="Y1489" s="267"/>
      <c r="Z1489" s="267"/>
      <c r="AA1489" s="267"/>
      <c r="AB1489" s="267"/>
      <c r="AC1489" s="267"/>
      <c r="AD1489" s="261"/>
      <c r="AE1489" s="261"/>
      <c r="AF1489" s="257"/>
      <c r="AG1489" s="257"/>
    </row>
    <row r="1490">
      <c r="A1490" s="284"/>
      <c r="B1490" s="251"/>
      <c r="C1490" s="251"/>
      <c r="D1490" s="261"/>
      <c r="E1490" s="261"/>
      <c r="F1490" s="261"/>
      <c r="G1490" s="261"/>
      <c r="H1490" s="261"/>
      <c r="I1490" s="261"/>
      <c r="J1490" s="261"/>
      <c r="K1490" s="262"/>
      <c r="L1490" s="261"/>
      <c r="M1490" s="262"/>
      <c r="N1490" s="262"/>
      <c r="O1490" s="261"/>
      <c r="P1490" s="262"/>
      <c r="Q1490" s="262"/>
      <c r="R1490" s="261"/>
      <c r="S1490" s="263"/>
      <c r="T1490" s="261"/>
      <c r="U1490" s="269"/>
      <c r="V1490" s="285"/>
      <c r="W1490" s="286"/>
      <c r="X1490" s="267"/>
      <c r="Y1490" s="267"/>
      <c r="Z1490" s="267"/>
      <c r="AA1490" s="267"/>
      <c r="AB1490" s="267"/>
      <c r="AC1490" s="267"/>
      <c r="AD1490" s="261"/>
      <c r="AE1490" s="261"/>
      <c r="AF1490" s="257"/>
      <c r="AG1490" s="257"/>
    </row>
    <row r="1491">
      <c r="A1491" s="284"/>
      <c r="B1491" s="251"/>
      <c r="C1491" s="251"/>
      <c r="D1491" s="261"/>
      <c r="E1491" s="261"/>
      <c r="F1491" s="261"/>
      <c r="G1491" s="261"/>
      <c r="H1491" s="261"/>
      <c r="I1491" s="261"/>
      <c r="J1491" s="261"/>
      <c r="K1491" s="262"/>
      <c r="L1491" s="261"/>
      <c r="M1491" s="262"/>
      <c r="N1491" s="262"/>
      <c r="O1491" s="261"/>
      <c r="P1491" s="262"/>
      <c r="Q1491" s="262"/>
      <c r="R1491" s="261"/>
      <c r="S1491" s="263"/>
      <c r="T1491" s="261"/>
      <c r="U1491" s="269"/>
      <c r="V1491" s="285"/>
      <c r="W1491" s="286"/>
      <c r="X1491" s="267"/>
      <c r="Y1491" s="267"/>
      <c r="Z1491" s="267"/>
      <c r="AA1491" s="267"/>
      <c r="AB1491" s="267"/>
      <c r="AC1491" s="267"/>
      <c r="AD1491" s="261"/>
      <c r="AE1491" s="261"/>
      <c r="AF1491" s="257"/>
      <c r="AG1491" s="257"/>
    </row>
    <row r="1492">
      <c r="A1492" s="284"/>
      <c r="B1492" s="251"/>
      <c r="C1492" s="251"/>
      <c r="D1492" s="261"/>
      <c r="E1492" s="261"/>
      <c r="F1492" s="261"/>
      <c r="G1492" s="261"/>
      <c r="H1492" s="261"/>
      <c r="I1492" s="261"/>
      <c r="J1492" s="261"/>
      <c r="K1492" s="262"/>
      <c r="L1492" s="261"/>
      <c r="M1492" s="262"/>
      <c r="N1492" s="262"/>
      <c r="O1492" s="261"/>
      <c r="P1492" s="262"/>
      <c r="Q1492" s="262"/>
      <c r="R1492" s="261"/>
      <c r="S1492" s="263"/>
      <c r="T1492" s="261"/>
      <c r="U1492" s="269"/>
      <c r="V1492" s="285"/>
      <c r="W1492" s="286"/>
      <c r="X1492" s="267"/>
      <c r="Y1492" s="267"/>
      <c r="Z1492" s="267"/>
      <c r="AA1492" s="267"/>
      <c r="AB1492" s="267"/>
      <c r="AC1492" s="267"/>
      <c r="AD1492" s="261"/>
      <c r="AE1492" s="261"/>
      <c r="AF1492" s="257"/>
      <c r="AG1492" s="257"/>
    </row>
    <row r="1493">
      <c r="A1493" s="284"/>
      <c r="B1493" s="251"/>
      <c r="C1493" s="251"/>
      <c r="D1493" s="261"/>
      <c r="E1493" s="261"/>
      <c r="F1493" s="261"/>
      <c r="G1493" s="261"/>
      <c r="H1493" s="261"/>
      <c r="I1493" s="261"/>
      <c r="J1493" s="261"/>
      <c r="K1493" s="262"/>
      <c r="L1493" s="261"/>
      <c r="M1493" s="262"/>
      <c r="N1493" s="262"/>
      <c r="O1493" s="261"/>
      <c r="P1493" s="262"/>
      <c r="Q1493" s="262"/>
      <c r="R1493" s="261"/>
      <c r="S1493" s="263"/>
      <c r="T1493" s="261"/>
      <c r="U1493" s="269"/>
      <c r="V1493" s="285"/>
      <c r="W1493" s="286"/>
      <c r="X1493" s="267"/>
      <c r="Y1493" s="267"/>
      <c r="Z1493" s="267"/>
      <c r="AA1493" s="267"/>
      <c r="AB1493" s="267"/>
      <c r="AC1493" s="267"/>
      <c r="AD1493" s="261"/>
      <c r="AE1493" s="261"/>
      <c r="AF1493" s="257"/>
      <c r="AG1493" s="257"/>
    </row>
    <row r="1494">
      <c r="A1494" s="284"/>
      <c r="B1494" s="251"/>
      <c r="C1494" s="251"/>
      <c r="D1494" s="261"/>
      <c r="E1494" s="261"/>
      <c r="F1494" s="261"/>
      <c r="G1494" s="261"/>
      <c r="H1494" s="261"/>
      <c r="I1494" s="261"/>
      <c r="J1494" s="261"/>
      <c r="K1494" s="262"/>
      <c r="L1494" s="261"/>
      <c r="M1494" s="262"/>
      <c r="N1494" s="262"/>
      <c r="O1494" s="261"/>
      <c r="P1494" s="262"/>
      <c r="Q1494" s="262"/>
      <c r="R1494" s="261"/>
      <c r="S1494" s="263"/>
      <c r="T1494" s="261"/>
      <c r="U1494" s="269"/>
      <c r="V1494" s="285"/>
      <c r="W1494" s="286"/>
      <c r="X1494" s="267"/>
      <c r="Y1494" s="267"/>
      <c r="Z1494" s="267"/>
      <c r="AA1494" s="267"/>
      <c r="AB1494" s="267"/>
      <c r="AC1494" s="267"/>
      <c r="AD1494" s="261"/>
      <c r="AE1494" s="261"/>
      <c r="AF1494" s="257"/>
      <c r="AG1494" s="257"/>
    </row>
    <row r="1495">
      <c r="A1495" s="284"/>
      <c r="B1495" s="251"/>
      <c r="C1495" s="251"/>
      <c r="D1495" s="261"/>
      <c r="E1495" s="261"/>
      <c r="F1495" s="261"/>
      <c r="G1495" s="261"/>
      <c r="H1495" s="261"/>
      <c r="I1495" s="261"/>
      <c r="J1495" s="261"/>
      <c r="K1495" s="262"/>
      <c r="L1495" s="261"/>
      <c r="M1495" s="262"/>
      <c r="N1495" s="262"/>
      <c r="O1495" s="261"/>
      <c r="P1495" s="262"/>
      <c r="Q1495" s="262"/>
      <c r="R1495" s="261"/>
      <c r="S1495" s="263"/>
      <c r="T1495" s="261"/>
      <c r="U1495" s="269"/>
      <c r="V1495" s="285"/>
      <c r="W1495" s="286"/>
      <c r="X1495" s="267"/>
      <c r="Y1495" s="267"/>
      <c r="Z1495" s="267"/>
      <c r="AA1495" s="267"/>
      <c r="AB1495" s="267"/>
      <c r="AC1495" s="267"/>
      <c r="AD1495" s="261"/>
      <c r="AE1495" s="261"/>
      <c r="AF1495" s="257"/>
      <c r="AG1495" s="257"/>
    </row>
    <row r="1496">
      <c r="A1496" s="284"/>
      <c r="B1496" s="251"/>
      <c r="C1496" s="251"/>
      <c r="D1496" s="261"/>
      <c r="E1496" s="261"/>
      <c r="F1496" s="261"/>
      <c r="G1496" s="261"/>
      <c r="H1496" s="261"/>
      <c r="I1496" s="261"/>
      <c r="J1496" s="261"/>
      <c r="K1496" s="262"/>
      <c r="L1496" s="261"/>
      <c r="M1496" s="262"/>
      <c r="N1496" s="262"/>
      <c r="O1496" s="261"/>
      <c r="P1496" s="262"/>
      <c r="Q1496" s="262"/>
      <c r="R1496" s="261"/>
      <c r="S1496" s="263"/>
      <c r="T1496" s="261"/>
      <c r="U1496" s="269"/>
      <c r="V1496" s="285"/>
      <c r="W1496" s="286"/>
      <c r="X1496" s="267"/>
      <c r="Y1496" s="267"/>
      <c r="Z1496" s="267"/>
      <c r="AA1496" s="267"/>
      <c r="AB1496" s="267"/>
      <c r="AC1496" s="267"/>
      <c r="AD1496" s="261"/>
      <c r="AE1496" s="261"/>
      <c r="AF1496" s="257"/>
      <c r="AG1496" s="257"/>
    </row>
    <row r="1497">
      <c r="A1497" s="284"/>
      <c r="B1497" s="251"/>
      <c r="C1497" s="251"/>
      <c r="D1497" s="261"/>
      <c r="E1497" s="261"/>
      <c r="F1497" s="261"/>
      <c r="G1497" s="261"/>
      <c r="H1497" s="261"/>
      <c r="I1497" s="261"/>
      <c r="J1497" s="261"/>
      <c r="K1497" s="262"/>
      <c r="L1497" s="261"/>
      <c r="M1497" s="262"/>
      <c r="N1497" s="262"/>
      <c r="O1497" s="261"/>
      <c r="P1497" s="262"/>
      <c r="Q1497" s="262"/>
      <c r="R1497" s="261"/>
      <c r="S1497" s="263"/>
      <c r="T1497" s="261"/>
      <c r="U1497" s="269"/>
      <c r="V1497" s="285"/>
      <c r="W1497" s="286"/>
      <c r="X1497" s="267"/>
      <c r="Y1497" s="267"/>
      <c r="Z1497" s="267"/>
      <c r="AA1497" s="267"/>
      <c r="AB1497" s="267"/>
      <c r="AC1497" s="267"/>
      <c r="AD1497" s="261"/>
      <c r="AE1497" s="261"/>
      <c r="AF1497" s="257"/>
      <c r="AG1497" s="257"/>
    </row>
    <row r="1498">
      <c r="A1498" s="284"/>
      <c r="B1498" s="251"/>
      <c r="C1498" s="251"/>
      <c r="D1498" s="261"/>
      <c r="E1498" s="261"/>
      <c r="F1498" s="261"/>
      <c r="G1498" s="261"/>
      <c r="H1498" s="261"/>
      <c r="I1498" s="261"/>
      <c r="J1498" s="261"/>
      <c r="K1498" s="262"/>
      <c r="L1498" s="261"/>
      <c r="M1498" s="262"/>
      <c r="N1498" s="262"/>
      <c r="O1498" s="261"/>
      <c r="P1498" s="262"/>
      <c r="Q1498" s="262"/>
      <c r="R1498" s="261"/>
      <c r="S1498" s="263"/>
      <c r="T1498" s="261"/>
      <c r="U1498" s="269"/>
      <c r="V1498" s="285"/>
      <c r="W1498" s="286"/>
      <c r="X1498" s="267"/>
      <c r="Y1498" s="267"/>
      <c r="Z1498" s="267"/>
      <c r="AA1498" s="267"/>
      <c r="AB1498" s="267"/>
      <c r="AC1498" s="267"/>
      <c r="AD1498" s="261"/>
      <c r="AE1498" s="261"/>
      <c r="AF1498" s="257"/>
      <c r="AG1498" s="257"/>
    </row>
    <row r="1499">
      <c r="A1499" s="284"/>
      <c r="B1499" s="251"/>
      <c r="C1499" s="251"/>
      <c r="D1499" s="261"/>
      <c r="E1499" s="261"/>
      <c r="F1499" s="261"/>
      <c r="G1499" s="261"/>
      <c r="H1499" s="261"/>
      <c r="I1499" s="261"/>
      <c r="J1499" s="261"/>
      <c r="K1499" s="262"/>
      <c r="L1499" s="261"/>
      <c r="M1499" s="262"/>
      <c r="N1499" s="262"/>
      <c r="O1499" s="261"/>
      <c r="P1499" s="262"/>
      <c r="Q1499" s="262"/>
      <c r="R1499" s="261"/>
      <c r="S1499" s="263"/>
      <c r="T1499" s="261"/>
      <c r="U1499" s="269"/>
      <c r="V1499" s="285"/>
      <c r="W1499" s="286"/>
      <c r="X1499" s="267"/>
      <c r="Y1499" s="267"/>
      <c r="Z1499" s="267"/>
      <c r="AA1499" s="267"/>
      <c r="AB1499" s="267"/>
      <c r="AC1499" s="267"/>
      <c r="AD1499" s="261"/>
      <c r="AE1499" s="261"/>
      <c r="AF1499" s="257"/>
      <c r="AG1499" s="257"/>
    </row>
    <row r="1500">
      <c r="A1500" s="284"/>
      <c r="B1500" s="251"/>
      <c r="C1500" s="251"/>
      <c r="D1500" s="261"/>
      <c r="E1500" s="261"/>
      <c r="F1500" s="261"/>
      <c r="G1500" s="261"/>
      <c r="H1500" s="261"/>
      <c r="I1500" s="261"/>
      <c r="J1500" s="261"/>
      <c r="K1500" s="262"/>
      <c r="L1500" s="261"/>
      <c r="M1500" s="262"/>
      <c r="N1500" s="262"/>
      <c r="O1500" s="261"/>
      <c r="P1500" s="262"/>
      <c r="Q1500" s="262"/>
      <c r="R1500" s="261"/>
      <c r="S1500" s="263"/>
      <c r="T1500" s="261"/>
      <c r="U1500" s="269"/>
      <c r="V1500" s="285"/>
      <c r="W1500" s="286"/>
      <c r="X1500" s="267"/>
      <c r="Y1500" s="267"/>
      <c r="Z1500" s="267"/>
      <c r="AA1500" s="267"/>
      <c r="AB1500" s="267"/>
      <c r="AC1500" s="267"/>
      <c r="AD1500" s="261"/>
      <c r="AE1500" s="261"/>
      <c r="AF1500" s="257"/>
      <c r="AG1500" s="257"/>
    </row>
    <row r="1501">
      <c r="A1501" s="284"/>
      <c r="B1501" s="251"/>
      <c r="C1501" s="251"/>
      <c r="D1501" s="261"/>
      <c r="E1501" s="261"/>
      <c r="F1501" s="261"/>
      <c r="G1501" s="261"/>
      <c r="H1501" s="261"/>
      <c r="I1501" s="261"/>
      <c r="J1501" s="261"/>
      <c r="K1501" s="262"/>
      <c r="L1501" s="261"/>
      <c r="M1501" s="262"/>
      <c r="N1501" s="262"/>
      <c r="O1501" s="261"/>
      <c r="P1501" s="262"/>
      <c r="Q1501" s="262"/>
      <c r="R1501" s="261"/>
      <c r="S1501" s="263"/>
      <c r="T1501" s="261"/>
      <c r="U1501" s="269"/>
      <c r="V1501" s="285"/>
      <c r="W1501" s="286"/>
      <c r="X1501" s="267"/>
      <c r="Y1501" s="267"/>
      <c r="Z1501" s="267"/>
      <c r="AA1501" s="267"/>
      <c r="AB1501" s="267"/>
      <c r="AC1501" s="267"/>
      <c r="AD1501" s="261"/>
      <c r="AE1501" s="261"/>
      <c r="AF1501" s="257"/>
      <c r="AG1501" s="257"/>
    </row>
    <row r="1502">
      <c r="A1502" s="284"/>
      <c r="B1502" s="251"/>
      <c r="C1502" s="251"/>
      <c r="D1502" s="261"/>
      <c r="E1502" s="261"/>
      <c r="F1502" s="261"/>
      <c r="G1502" s="261"/>
      <c r="H1502" s="261"/>
      <c r="I1502" s="261"/>
      <c r="J1502" s="261"/>
      <c r="K1502" s="262"/>
      <c r="L1502" s="261"/>
      <c r="M1502" s="262"/>
      <c r="N1502" s="262"/>
      <c r="O1502" s="261"/>
      <c r="P1502" s="262"/>
      <c r="Q1502" s="262"/>
      <c r="R1502" s="261"/>
      <c r="S1502" s="263"/>
      <c r="T1502" s="261"/>
      <c r="U1502" s="269"/>
      <c r="V1502" s="285"/>
      <c r="W1502" s="286"/>
      <c r="X1502" s="267"/>
      <c r="Y1502" s="267"/>
      <c r="Z1502" s="267"/>
      <c r="AA1502" s="267"/>
      <c r="AB1502" s="267"/>
      <c r="AC1502" s="267"/>
      <c r="AD1502" s="261"/>
      <c r="AE1502" s="261"/>
      <c r="AF1502" s="257"/>
      <c r="AG1502" s="257"/>
    </row>
    <row r="1503">
      <c r="A1503" s="284"/>
      <c r="B1503" s="251"/>
      <c r="C1503" s="251"/>
      <c r="D1503" s="261"/>
      <c r="E1503" s="261"/>
      <c r="F1503" s="261"/>
      <c r="G1503" s="261"/>
      <c r="H1503" s="261"/>
      <c r="I1503" s="261"/>
      <c r="J1503" s="261"/>
      <c r="K1503" s="262"/>
      <c r="L1503" s="261"/>
      <c r="M1503" s="262"/>
      <c r="N1503" s="262"/>
      <c r="O1503" s="261"/>
      <c r="P1503" s="262"/>
      <c r="Q1503" s="262"/>
      <c r="R1503" s="261"/>
      <c r="S1503" s="263"/>
      <c r="T1503" s="261"/>
      <c r="U1503" s="269"/>
      <c r="V1503" s="285"/>
      <c r="W1503" s="286"/>
      <c r="X1503" s="267"/>
      <c r="Y1503" s="267"/>
      <c r="Z1503" s="267"/>
      <c r="AA1503" s="267"/>
      <c r="AB1503" s="267"/>
      <c r="AC1503" s="267"/>
      <c r="AD1503" s="261"/>
      <c r="AE1503" s="261"/>
      <c r="AF1503" s="257"/>
      <c r="AG1503" s="257"/>
    </row>
    <row r="1504">
      <c r="A1504" s="284"/>
      <c r="B1504" s="251"/>
      <c r="C1504" s="251"/>
      <c r="D1504" s="261"/>
      <c r="E1504" s="261"/>
      <c r="F1504" s="261"/>
      <c r="G1504" s="261"/>
      <c r="H1504" s="261"/>
      <c r="I1504" s="261"/>
      <c r="J1504" s="261"/>
      <c r="K1504" s="262"/>
      <c r="L1504" s="261"/>
      <c r="M1504" s="262"/>
      <c r="N1504" s="262"/>
      <c r="O1504" s="261"/>
      <c r="P1504" s="262"/>
      <c r="Q1504" s="262"/>
      <c r="R1504" s="261"/>
      <c r="S1504" s="263"/>
      <c r="T1504" s="261"/>
      <c r="U1504" s="269"/>
      <c r="V1504" s="285"/>
      <c r="W1504" s="286"/>
      <c r="X1504" s="267"/>
      <c r="Y1504" s="267"/>
      <c r="Z1504" s="267"/>
      <c r="AA1504" s="267"/>
      <c r="AB1504" s="267"/>
      <c r="AC1504" s="267"/>
      <c r="AD1504" s="261"/>
      <c r="AE1504" s="261"/>
      <c r="AF1504" s="257"/>
      <c r="AG1504" s="257"/>
    </row>
    <row r="1505">
      <c r="A1505" s="284"/>
      <c r="B1505" s="251"/>
      <c r="C1505" s="251"/>
      <c r="D1505" s="261"/>
      <c r="E1505" s="261"/>
      <c r="F1505" s="261"/>
      <c r="G1505" s="261"/>
      <c r="H1505" s="261"/>
      <c r="I1505" s="261"/>
      <c r="J1505" s="261"/>
      <c r="K1505" s="262"/>
      <c r="L1505" s="261"/>
      <c r="M1505" s="262"/>
      <c r="N1505" s="262"/>
      <c r="O1505" s="261"/>
      <c r="P1505" s="262"/>
      <c r="Q1505" s="262"/>
      <c r="R1505" s="261"/>
      <c r="S1505" s="263"/>
      <c r="T1505" s="261"/>
      <c r="U1505" s="269"/>
      <c r="V1505" s="285"/>
      <c r="W1505" s="286"/>
      <c r="X1505" s="267"/>
      <c r="Y1505" s="267"/>
      <c r="Z1505" s="267"/>
      <c r="AA1505" s="267"/>
      <c r="AB1505" s="267"/>
      <c r="AC1505" s="267"/>
      <c r="AD1505" s="261"/>
      <c r="AE1505" s="261"/>
      <c r="AF1505" s="257"/>
      <c r="AG1505" s="257"/>
    </row>
    <row r="1506">
      <c r="A1506" s="284"/>
      <c r="B1506" s="251"/>
      <c r="C1506" s="251"/>
      <c r="D1506" s="261"/>
      <c r="E1506" s="261"/>
      <c r="F1506" s="261"/>
      <c r="G1506" s="261"/>
      <c r="H1506" s="261"/>
      <c r="I1506" s="261"/>
      <c r="J1506" s="261"/>
      <c r="K1506" s="262"/>
      <c r="L1506" s="261"/>
      <c r="M1506" s="262"/>
      <c r="N1506" s="262"/>
      <c r="O1506" s="261"/>
      <c r="P1506" s="262"/>
      <c r="Q1506" s="262"/>
      <c r="R1506" s="261"/>
      <c r="S1506" s="263"/>
      <c r="T1506" s="261"/>
      <c r="U1506" s="269"/>
      <c r="V1506" s="285"/>
      <c r="W1506" s="286"/>
      <c r="X1506" s="267"/>
      <c r="Y1506" s="267"/>
      <c r="Z1506" s="267"/>
      <c r="AA1506" s="267"/>
      <c r="AB1506" s="267"/>
      <c r="AC1506" s="267"/>
      <c r="AD1506" s="261"/>
      <c r="AE1506" s="261"/>
      <c r="AF1506" s="257"/>
      <c r="AG1506" s="257"/>
    </row>
    <row r="1507">
      <c r="A1507" s="284"/>
      <c r="B1507" s="251"/>
      <c r="C1507" s="251"/>
      <c r="D1507" s="261"/>
      <c r="E1507" s="261"/>
      <c r="F1507" s="261"/>
      <c r="G1507" s="261"/>
      <c r="H1507" s="261"/>
      <c r="I1507" s="261"/>
      <c r="J1507" s="261"/>
      <c r="K1507" s="262"/>
      <c r="L1507" s="261"/>
      <c r="M1507" s="262"/>
      <c r="N1507" s="262"/>
      <c r="O1507" s="261"/>
      <c r="P1507" s="262"/>
      <c r="Q1507" s="262"/>
      <c r="R1507" s="261"/>
      <c r="S1507" s="263"/>
      <c r="T1507" s="261"/>
      <c r="U1507" s="269"/>
      <c r="V1507" s="285"/>
      <c r="W1507" s="286"/>
      <c r="X1507" s="267"/>
      <c r="Y1507" s="267"/>
      <c r="Z1507" s="267"/>
      <c r="AA1507" s="267"/>
      <c r="AB1507" s="267"/>
      <c r="AC1507" s="267"/>
      <c r="AD1507" s="261"/>
      <c r="AE1507" s="261"/>
      <c r="AF1507" s="257"/>
      <c r="AG1507" s="257"/>
    </row>
    <row r="1508">
      <c r="A1508" s="284"/>
      <c r="B1508" s="251"/>
      <c r="C1508" s="251"/>
      <c r="D1508" s="261"/>
      <c r="E1508" s="261"/>
      <c r="F1508" s="261"/>
      <c r="G1508" s="261"/>
      <c r="H1508" s="261"/>
      <c r="I1508" s="261"/>
      <c r="J1508" s="261"/>
      <c r="K1508" s="262"/>
      <c r="L1508" s="261"/>
      <c r="M1508" s="262"/>
      <c r="N1508" s="262"/>
      <c r="O1508" s="261"/>
      <c r="P1508" s="262"/>
      <c r="Q1508" s="262"/>
      <c r="R1508" s="261"/>
      <c r="S1508" s="263"/>
      <c r="T1508" s="261"/>
      <c r="U1508" s="269"/>
      <c r="V1508" s="285"/>
      <c r="W1508" s="286"/>
      <c r="X1508" s="267"/>
      <c r="Y1508" s="267"/>
      <c r="Z1508" s="267"/>
      <c r="AA1508" s="267"/>
      <c r="AB1508" s="267"/>
      <c r="AC1508" s="267"/>
      <c r="AD1508" s="261"/>
      <c r="AE1508" s="261"/>
      <c r="AF1508" s="257"/>
      <c r="AG1508" s="257"/>
    </row>
    <row r="1509">
      <c r="A1509" s="284"/>
      <c r="B1509" s="251"/>
      <c r="C1509" s="251"/>
      <c r="D1509" s="261"/>
      <c r="E1509" s="261"/>
      <c r="F1509" s="261"/>
      <c r="G1509" s="261"/>
      <c r="H1509" s="261"/>
      <c r="I1509" s="261"/>
      <c r="J1509" s="261"/>
      <c r="K1509" s="262"/>
      <c r="L1509" s="261"/>
      <c r="M1509" s="262"/>
      <c r="N1509" s="262"/>
      <c r="O1509" s="261"/>
      <c r="P1509" s="262"/>
      <c r="Q1509" s="262"/>
      <c r="R1509" s="261"/>
      <c r="S1509" s="263"/>
      <c r="T1509" s="261"/>
      <c r="U1509" s="269"/>
      <c r="V1509" s="285"/>
      <c r="W1509" s="286"/>
      <c r="X1509" s="267"/>
      <c r="Y1509" s="267"/>
      <c r="Z1509" s="267"/>
      <c r="AA1509" s="267"/>
      <c r="AB1509" s="267"/>
      <c r="AC1509" s="267"/>
      <c r="AD1509" s="261"/>
      <c r="AE1509" s="261"/>
      <c r="AF1509" s="257"/>
      <c r="AG1509" s="257"/>
    </row>
    <row r="1510">
      <c r="A1510" s="284"/>
      <c r="B1510" s="251"/>
      <c r="C1510" s="251"/>
      <c r="D1510" s="261"/>
      <c r="E1510" s="261"/>
      <c r="F1510" s="261"/>
      <c r="G1510" s="261"/>
      <c r="H1510" s="261"/>
      <c r="I1510" s="261"/>
      <c r="J1510" s="261"/>
      <c r="K1510" s="262"/>
      <c r="L1510" s="261"/>
      <c r="M1510" s="262"/>
      <c r="N1510" s="262"/>
      <c r="O1510" s="261"/>
      <c r="P1510" s="262"/>
      <c r="Q1510" s="262"/>
      <c r="R1510" s="261"/>
      <c r="S1510" s="263"/>
      <c r="T1510" s="261"/>
      <c r="U1510" s="269"/>
      <c r="V1510" s="285"/>
      <c r="W1510" s="286"/>
      <c r="X1510" s="267"/>
      <c r="Y1510" s="267"/>
      <c r="Z1510" s="267"/>
      <c r="AA1510" s="267"/>
      <c r="AB1510" s="267"/>
      <c r="AC1510" s="267"/>
      <c r="AD1510" s="261"/>
      <c r="AE1510" s="261"/>
      <c r="AF1510" s="257"/>
      <c r="AG1510" s="257"/>
    </row>
    <row r="1511">
      <c r="A1511" s="284"/>
      <c r="B1511" s="251"/>
      <c r="C1511" s="251"/>
      <c r="D1511" s="261"/>
      <c r="E1511" s="261"/>
      <c r="F1511" s="261"/>
      <c r="G1511" s="261"/>
      <c r="H1511" s="261"/>
      <c r="I1511" s="261"/>
      <c r="J1511" s="261"/>
      <c r="K1511" s="262"/>
      <c r="L1511" s="261"/>
      <c r="M1511" s="262"/>
      <c r="N1511" s="262"/>
      <c r="O1511" s="261"/>
      <c r="P1511" s="262"/>
      <c r="Q1511" s="262"/>
      <c r="R1511" s="261"/>
      <c r="S1511" s="263"/>
      <c r="T1511" s="261"/>
      <c r="U1511" s="269"/>
      <c r="V1511" s="285"/>
      <c r="W1511" s="286"/>
      <c r="X1511" s="267"/>
      <c r="Y1511" s="267"/>
      <c r="Z1511" s="267"/>
      <c r="AA1511" s="267"/>
      <c r="AB1511" s="267"/>
      <c r="AC1511" s="267"/>
      <c r="AD1511" s="261"/>
      <c r="AE1511" s="261"/>
      <c r="AF1511" s="257"/>
      <c r="AG1511" s="257"/>
    </row>
    <row r="1512">
      <c r="A1512" s="284"/>
      <c r="B1512" s="251"/>
      <c r="C1512" s="251"/>
      <c r="D1512" s="261"/>
      <c r="E1512" s="261"/>
      <c r="F1512" s="261"/>
      <c r="G1512" s="261"/>
      <c r="H1512" s="261"/>
      <c r="I1512" s="261"/>
      <c r="J1512" s="261"/>
      <c r="K1512" s="262"/>
      <c r="L1512" s="261"/>
      <c r="M1512" s="262"/>
      <c r="N1512" s="262"/>
      <c r="O1512" s="261"/>
      <c r="P1512" s="262"/>
      <c r="Q1512" s="262"/>
      <c r="R1512" s="261"/>
      <c r="S1512" s="263"/>
      <c r="T1512" s="261"/>
      <c r="U1512" s="269"/>
      <c r="V1512" s="285"/>
      <c r="W1512" s="286"/>
      <c r="X1512" s="267"/>
      <c r="Y1512" s="267"/>
      <c r="Z1512" s="267"/>
      <c r="AA1512" s="267"/>
      <c r="AB1512" s="267"/>
      <c r="AC1512" s="267"/>
      <c r="AD1512" s="261"/>
      <c r="AE1512" s="261"/>
      <c r="AF1512" s="257"/>
      <c r="AG1512" s="257"/>
    </row>
    <row r="1513">
      <c r="A1513" s="284"/>
      <c r="B1513" s="251"/>
      <c r="C1513" s="251"/>
      <c r="D1513" s="261"/>
      <c r="E1513" s="261"/>
      <c r="F1513" s="261"/>
      <c r="G1513" s="261"/>
      <c r="H1513" s="261"/>
      <c r="I1513" s="261"/>
      <c r="J1513" s="261"/>
      <c r="K1513" s="262"/>
      <c r="L1513" s="261"/>
      <c r="M1513" s="262"/>
      <c r="N1513" s="262"/>
      <c r="O1513" s="261"/>
      <c r="P1513" s="262"/>
      <c r="Q1513" s="262"/>
      <c r="R1513" s="261"/>
      <c r="S1513" s="263"/>
      <c r="T1513" s="261"/>
      <c r="U1513" s="269"/>
      <c r="V1513" s="285"/>
      <c r="W1513" s="286"/>
      <c r="X1513" s="267"/>
      <c r="Y1513" s="267"/>
      <c r="Z1513" s="267"/>
      <c r="AA1513" s="267"/>
      <c r="AB1513" s="267"/>
      <c r="AC1513" s="267"/>
      <c r="AD1513" s="261"/>
      <c r="AE1513" s="261"/>
      <c r="AF1513" s="257"/>
      <c r="AG1513" s="257"/>
    </row>
    <row r="1514">
      <c r="A1514" s="284"/>
      <c r="B1514" s="251"/>
      <c r="C1514" s="251"/>
      <c r="D1514" s="261"/>
      <c r="E1514" s="261"/>
      <c r="F1514" s="261"/>
      <c r="G1514" s="261"/>
      <c r="H1514" s="261"/>
      <c r="I1514" s="261"/>
      <c r="J1514" s="261"/>
      <c r="K1514" s="262"/>
      <c r="L1514" s="261"/>
      <c r="M1514" s="262"/>
      <c r="N1514" s="262"/>
      <c r="O1514" s="261"/>
      <c r="P1514" s="262"/>
      <c r="Q1514" s="262"/>
      <c r="R1514" s="261"/>
      <c r="S1514" s="263"/>
      <c r="T1514" s="261"/>
      <c r="U1514" s="269"/>
      <c r="V1514" s="285"/>
      <c r="W1514" s="286"/>
      <c r="X1514" s="267"/>
      <c r="Y1514" s="267"/>
      <c r="Z1514" s="267"/>
      <c r="AA1514" s="267"/>
      <c r="AB1514" s="267"/>
      <c r="AC1514" s="267"/>
      <c r="AD1514" s="261"/>
      <c r="AE1514" s="261"/>
      <c r="AF1514" s="257"/>
      <c r="AG1514" s="257"/>
    </row>
    <row r="1515">
      <c r="A1515" s="284"/>
      <c r="B1515" s="251"/>
      <c r="C1515" s="251"/>
      <c r="D1515" s="261"/>
      <c r="E1515" s="261"/>
      <c r="F1515" s="261"/>
      <c r="G1515" s="261"/>
      <c r="H1515" s="261"/>
      <c r="I1515" s="261"/>
      <c r="J1515" s="261"/>
      <c r="K1515" s="262"/>
      <c r="L1515" s="261"/>
      <c r="M1515" s="262"/>
      <c r="N1515" s="262"/>
      <c r="O1515" s="261"/>
      <c r="P1515" s="262"/>
      <c r="Q1515" s="262"/>
      <c r="R1515" s="261"/>
      <c r="S1515" s="263"/>
      <c r="T1515" s="261"/>
      <c r="U1515" s="269"/>
      <c r="V1515" s="285"/>
      <c r="W1515" s="286"/>
      <c r="X1515" s="267"/>
      <c r="Y1515" s="267"/>
      <c r="Z1515" s="267"/>
      <c r="AA1515" s="267"/>
      <c r="AB1515" s="267"/>
      <c r="AC1515" s="267"/>
      <c r="AD1515" s="261"/>
      <c r="AE1515" s="261"/>
      <c r="AF1515" s="257"/>
      <c r="AG1515" s="257"/>
    </row>
    <row r="1516">
      <c r="A1516" s="284"/>
      <c r="B1516" s="251"/>
      <c r="C1516" s="251"/>
      <c r="D1516" s="261"/>
      <c r="E1516" s="261"/>
      <c r="F1516" s="261"/>
      <c r="G1516" s="261"/>
      <c r="H1516" s="261"/>
      <c r="I1516" s="261"/>
      <c r="J1516" s="261"/>
      <c r="K1516" s="262"/>
      <c r="L1516" s="261"/>
      <c r="M1516" s="262"/>
      <c r="N1516" s="262"/>
      <c r="O1516" s="261"/>
      <c r="P1516" s="262"/>
      <c r="Q1516" s="262"/>
      <c r="R1516" s="261"/>
      <c r="S1516" s="263"/>
      <c r="T1516" s="261"/>
      <c r="U1516" s="269"/>
      <c r="V1516" s="285"/>
      <c r="W1516" s="286"/>
      <c r="X1516" s="267"/>
      <c r="Y1516" s="267"/>
      <c r="Z1516" s="267"/>
      <c r="AA1516" s="267"/>
      <c r="AB1516" s="267"/>
      <c r="AC1516" s="267"/>
      <c r="AD1516" s="261"/>
      <c r="AE1516" s="261"/>
      <c r="AF1516" s="257"/>
      <c r="AG1516" s="257"/>
    </row>
    <row r="1517">
      <c r="A1517" s="284"/>
      <c r="B1517" s="251"/>
      <c r="C1517" s="251"/>
      <c r="D1517" s="261"/>
      <c r="E1517" s="261"/>
      <c r="F1517" s="261"/>
      <c r="G1517" s="261"/>
      <c r="H1517" s="261"/>
      <c r="I1517" s="261"/>
      <c r="J1517" s="261"/>
      <c r="K1517" s="262"/>
      <c r="L1517" s="261"/>
      <c r="M1517" s="262"/>
      <c r="N1517" s="262"/>
      <c r="O1517" s="261"/>
      <c r="P1517" s="262"/>
      <c r="Q1517" s="262"/>
      <c r="R1517" s="261"/>
      <c r="S1517" s="263"/>
      <c r="T1517" s="261"/>
      <c r="U1517" s="269"/>
      <c r="V1517" s="285"/>
      <c r="W1517" s="286"/>
      <c r="X1517" s="267"/>
      <c r="Y1517" s="267"/>
      <c r="Z1517" s="267"/>
      <c r="AA1517" s="267"/>
      <c r="AB1517" s="267"/>
      <c r="AC1517" s="267"/>
      <c r="AD1517" s="261"/>
      <c r="AE1517" s="261"/>
      <c r="AF1517" s="257"/>
      <c r="AG1517" s="257"/>
    </row>
    <row r="1518">
      <c r="A1518" s="284"/>
      <c r="B1518" s="251"/>
      <c r="C1518" s="251"/>
      <c r="D1518" s="261"/>
      <c r="E1518" s="261"/>
      <c r="F1518" s="261"/>
      <c r="G1518" s="261"/>
      <c r="H1518" s="261"/>
      <c r="I1518" s="261"/>
      <c r="J1518" s="261"/>
      <c r="K1518" s="262"/>
      <c r="L1518" s="261"/>
      <c r="M1518" s="262"/>
      <c r="N1518" s="262"/>
      <c r="O1518" s="261"/>
      <c r="P1518" s="262"/>
      <c r="Q1518" s="262"/>
      <c r="R1518" s="261"/>
      <c r="S1518" s="263"/>
      <c r="T1518" s="261"/>
      <c r="U1518" s="269"/>
      <c r="V1518" s="285"/>
      <c r="W1518" s="286"/>
      <c r="X1518" s="267"/>
      <c r="Y1518" s="267"/>
      <c r="Z1518" s="267"/>
      <c r="AA1518" s="267"/>
      <c r="AB1518" s="267"/>
      <c r="AC1518" s="267"/>
      <c r="AD1518" s="261"/>
      <c r="AE1518" s="261"/>
      <c r="AF1518" s="257"/>
      <c r="AG1518" s="257"/>
    </row>
    <row r="1519">
      <c r="A1519" s="284"/>
      <c r="B1519" s="251"/>
      <c r="C1519" s="251"/>
      <c r="D1519" s="261"/>
      <c r="E1519" s="261"/>
      <c r="F1519" s="261"/>
      <c r="G1519" s="261"/>
      <c r="H1519" s="261"/>
      <c r="I1519" s="261"/>
      <c r="J1519" s="261"/>
      <c r="K1519" s="262"/>
      <c r="L1519" s="261"/>
      <c r="M1519" s="262"/>
      <c r="N1519" s="262"/>
      <c r="O1519" s="261"/>
      <c r="P1519" s="262"/>
      <c r="Q1519" s="262"/>
      <c r="R1519" s="261"/>
      <c r="S1519" s="263"/>
      <c r="T1519" s="261"/>
      <c r="U1519" s="269"/>
      <c r="V1519" s="285"/>
      <c r="W1519" s="286"/>
      <c r="X1519" s="267"/>
      <c r="Y1519" s="267"/>
      <c r="Z1519" s="267"/>
      <c r="AA1519" s="267"/>
      <c r="AB1519" s="267"/>
      <c r="AC1519" s="267"/>
      <c r="AD1519" s="261"/>
      <c r="AE1519" s="261"/>
      <c r="AF1519" s="257"/>
      <c r="AG1519" s="257"/>
    </row>
    <row r="1520">
      <c r="A1520" s="284"/>
      <c r="B1520" s="251"/>
      <c r="C1520" s="251"/>
      <c r="D1520" s="261"/>
      <c r="E1520" s="261"/>
      <c r="F1520" s="261"/>
      <c r="G1520" s="261"/>
      <c r="H1520" s="261"/>
      <c r="I1520" s="261"/>
      <c r="J1520" s="261"/>
      <c r="K1520" s="262"/>
      <c r="L1520" s="261"/>
      <c r="M1520" s="262"/>
      <c r="N1520" s="262"/>
      <c r="O1520" s="261"/>
      <c r="P1520" s="262"/>
      <c r="Q1520" s="262"/>
      <c r="R1520" s="261"/>
      <c r="S1520" s="263"/>
      <c r="T1520" s="261"/>
      <c r="U1520" s="269"/>
      <c r="V1520" s="285"/>
      <c r="W1520" s="286"/>
      <c r="X1520" s="267"/>
      <c r="Y1520" s="267"/>
      <c r="Z1520" s="267"/>
      <c r="AA1520" s="267"/>
      <c r="AB1520" s="267"/>
      <c r="AC1520" s="267"/>
      <c r="AD1520" s="261"/>
      <c r="AE1520" s="261"/>
      <c r="AF1520" s="257"/>
      <c r="AG1520" s="257"/>
    </row>
    <row r="1521">
      <c r="A1521" s="284"/>
      <c r="B1521" s="251"/>
      <c r="C1521" s="251"/>
      <c r="D1521" s="261"/>
      <c r="E1521" s="261"/>
      <c r="F1521" s="261"/>
      <c r="G1521" s="261"/>
      <c r="H1521" s="261"/>
      <c r="I1521" s="261"/>
      <c r="J1521" s="261"/>
      <c r="K1521" s="262"/>
      <c r="L1521" s="261"/>
      <c r="M1521" s="262"/>
      <c r="N1521" s="262"/>
      <c r="O1521" s="261"/>
      <c r="P1521" s="262"/>
      <c r="Q1521" s="262"/>
      <c r="R1521" s="261"/>
      <c r="S1521" s="263"/>
      <c r="T1521" s="261"/>
      <c r="U1521" s="269"/>
      <c r="V1521" s="285"/>
      <c r="W1521" s="286"/>
      <c r="X1521" s="267"/>
      <c r="Y1521" s="267"/>
      <c r="Z1521" s="267"/>
      <c r="AA1521" s="267"/>
      <c r="AB1521" s="267"/>
      <c r="AC1521" s="267"/>
      <c r="AD1521" s="261"/>
      <c r="AE1521" s="261"/>
      <c r="AF1521" s="257"/>
      <c r="AG1521" s="257"/>
    </row>
    <row r="1522">
      <c r="A1522" s="284"/>
      <c r="B1522" s="251"/>
      <c r="C1522" s="251"/>
      <c r="D1522" s="261"/>
      <c r="E1522" s="261"/>
      <c r="F1522" s="261"/>
      <c r="G1522" s="261"/>
      <c r="H1522" s="261"/>
      <c r="I1522" s="261"/>
      <c r="J1522" s="261"/>
      <c r="K1522" s="262"/>
      <c r="L1522" s="261"/>
      <c r="M1522" s="262"/>
      <c r="N1522" s="262"/>
      <c r="O1522" s="261"/>
      <c r="P1522" s="262"/>
      <c r="Q1522" s="262"/>
      <c r="R1522" s="261"/>
      <c r="S1522" s="263"/>
      <c r="T1522" s="261"/>
      <c r="U1522" s="269"/>
      <c r="V1522" s="285"/>
      <c r="W1522" s="286"/>
      <c r="X1522" s="267"/>
      <c r="Y1522" s="267"/>
      <c r="Z1522" s="267"/>
      <c r="AA1522" s="267"/>
      <c r="AB1522" s="267"/>
      <c r="AC1522" s="267"/>
      <c r="AD1522" s="261"/>
      <c r="AE1522" s="261"/>
      <c r="AF1522" s="257"/>
      <c r="AG1522" s="257"/>
    </row>
    <row r="1523">
      <c r="A1523" s="284"/>
      <c r="B1523" s="251"/>
      <c r="C1523" s="251"/>
      <c r="D1523" s="261"/>
      <c r="E1523" s="261"/>
      <c r="F1523" s="261"/>
      <c r="G1523" s="261"/>
      <c r="H1523" s="261"/>
      <c r="I1523" s="261"/>
      <c r="J1523" s="261"/>
      <c r="K1523" s="262"/>
      <c r="L1523" s="261"/>
      <c r="M1523" s="262"/>
      <c r="N1523" s="262"/>
      <c r="O1523" s="261"/>
      <c r="P1523" s="262"/>
      <c r="Q1523" s="262"/>
      <c r="R1523" s="261"/>
      <c r="S1523" s="263"/>
      <c r="T1523" s="261"/>
      <c r="U1523" s="269"/>
      <c r="V1523" s="285"/>
      <c r="W1523" s="286"/>
      <c r="X1523" s="267"/>
      <c r="Y1523" s="267"/>
      <c r="Z1523" s="267"/>
      <c r="AA1523" s="267"/>
      <c r="AB1523" s="267"/>
      <c r="AC1523" s="267"/>
      <c r="AD1523" s="261"/>
      <c r="AE1523" s="261"/>
      <c r="AF1523" s="257"/>
      <c r="AG1523" s="257"/>
    </row>
    <row r="1524">
      <c r="A1524" s="284"/>
      <c r="B1524" s="251"/>
      <c r="C1524" s="251"/>
      <c r="D1524" s="261"/>
      <c r="E1524" s="261"/>
      <c r="F1524" s="261"/>
      <c r="G1524" s="261"/>
      <c r="H1524" s="261"/>
      <c r="I1524" s="261"/>
      <c r="J1524" s="261"/>
      <c r="K1524" s="262"/>
      <c r="L1524" s="261"/>
      <c r="M1524" s="262"/>
      <c r="N1524" s="262"/>
      <c r="O1524" s="261"/>
      <c r="P1524" s="262"/>
      <c r="Q1524" s="262"/>
      <c r="R1524" s="261"/>
      <c r="S1524" s="263"/>
      <c r="T1524" s="261"/>
      <c r="U1524" s="269"/>
      <c r="V1524" s="285"/>
      <c r="W1524" s="286"/>
      <c r="X1524" s="267"/>
      <c r="Y1524" s="267"/>
      <c r="Z1524" s="267"/>
      <c r="AA1524" s="267"/>
      <c r="AB1524" s="267"/>
      <c r="AC1524" s="267"/>
      <c r="AD1524" s="261"/>
      <c r="AE1524" s="261"/>
      <c r="AF1524" s="257"/>
      <c r="AG1524" s="257"/>
    </row>
    <row r="1525">
      <c r="A1525" s="284"/>
      <c r="B1525" s="251"/>
      <c r="C1525" s="251"/>
      <c r="D1525" s="261"/>
      <c r="E1525" s="261"/>
      <c r="F1525" s="261"/>
      <c r="G1525" s="261"/>
      <c r="H1525" s="261"/>
      <c r="I1525" s="261"/>
      <c r="J1525" s="261"/>
      <c r="K1525" s="262"/>
      <c r="L1525" s="261"/>
      <c r="M1525" s="262"/>
      <c r="N1525" s="262"/>
      <c r="O1525" s="261"/>
      <c r="P1525" s="262"/>
      <c r="Q1525" s="262"/>
      <c r="R1525" s="261"/>
      <c r="S1525" s="263"/>
      <c r="T1525" s="261"/>
      <c r="U1525" s="269"/>
      <c r="V1525" s="285"/>
      <c r="W1525" s="286"/>
      <c r="X1525" s="267"/>
      <c r="Y1525" s="267"/>
      <c r="Z1525" s="267"/>
      <c r="AA1525" s="267"/>
      <c r="AB1525" s="267"/>
      <c r="AC1525" s="267"/>
      <c r="AD1525" s="261"/>
      <c r="AE1525" s="261"/>
      <c r="AF1525" s="257"/>
      <c r="AG1525" s="257"/>
    </row>
    <row r="1526">
      <c r="A1526" s="284"/>
      <c r="B1526" s="251"/>
      <c r="C1526" s="251"/>
      <c r="D1526" s="261"/>
      <c r="E1526" s="261"/>
      <c r="F1526" s="261"/>
      <c r="G1526" s="261"/>
      <c r="H1526" s="261"/>
      <c r="I1526" s="261"/>
      <c r="J1526" s="261"/>
      <c r="K1526" s="262"/>
      <c r="L1526" s="261"/>
      <c r="M1526" s="262"/>
      <c r="N1526" s="262"/>
      <c r="O1526" s="261"/>
      <c r="P1526" s="262"/>
      <c r="Q1526" s="262"/>
      <c r="R1526" s="261"/>
      <c r="S1526" s="263"/>
      <c r="T1526" s="261"/>
      <c r="U1526" s="269"/>
      <c r="V1526" s="285"/>
      <c r="W1526" s="286"/>
      <c r="X1526" s="267"/>
      <c r="Y1526" s="267"/>
      <c r="Z1526" s="267"/>
      <c r="AA1526" s="267"/>
      <c r="AB1526" s="267"/>
      <c r="AC1526" s="267"/>
      <c r="AD1526" s="261"/>
      <c r="AE1526" s="261"/>
      <c r="AF1526" s="257"/>
      <c r="AG1526" s="257"/>
    </row>
    <row r="1527">
      <c r="A1527" s="284"/>
      <c r="B1527" s="251"/>
      <c r="C1527" s="251"/>
      <c r="D1527" s="261"/>
      <c r="E1527" s="261"/>
      <c r="F1527" s="261"/>
      <c r="G1527" s="261"/>
      <c r="H1527" s="261"/>
      <c r="I1527" s="261"/>
      <c r="J1527" s="261"/>
      <c r="K1527" s="262"/>
      <c r="L1527" s="261"/>
      <c r="M1527" s="262"/>
      <c r="N1527" s="262"/>
      <c r="O1527" s="261"/>
      <c r="P1527" s="262"/>
      <c r="Q1527" s="262"/>
      <c r="R1527" s="261"/>
      <c r="S1527" s="263"/>
      <c r="T1527" s="261"/>
      <c r="U1527" s="269"/>
      <c r="V1527" s="285"/>
      <c r="W1527" s="286"/>
      <c r="X1527" s="267"/>
      <c r="Y1527" s="267"/>
      <c r="Z1527" s="267"/>
      <c r="AA1527" s="267"/>
      <c r="AB1527" s="267"/>
      <c r="AC1527" s="267"/>
      <c r="AD1527" s="261"/>
      <c r="AE1527" s="261"/>
      <c r="AF1527" s="257"/>
      <c r="AG1527" s="257"/>
    </row>
    <row r="1528">
      <c r="A1528" s="284"/>
      <c r="B1528" s="251"/>
      <c r="C1528" s="251"/>
      <c r="D1528" s="261"/>
      <c r="E1528" s="261"/>
      <c r="F1528" s="261"/>
      <c r="G1528" s="261"/>
      <c r="H1528" s="261"/>
      <c r="I1528" s="261"/>
      <c r="J1528" s="261"/>
      <c r="K1528" s="262"/>
      <c r="L1528" s="261"/>
      <c r="M1528" s="262"/>
      <c r="N1528" s="262"/>
      <c r="O1528" s="261"/>
      <c r="P1528" s="262"/>
      <c r="Q1528" s="262"/>
      <c r="R1528" s="261"/>
      <c r="S1528" s="263"/>
      <c r="T1528" s="261"/>
      <c r="U1528" s="269"/>
      <c r="V1528" s="285"/>
      <c r="W1528" s="286"/>
      <c r="X1528" s="267"/>
      <c r="Y1528" s="267"/>
      <c r="Z1528" s="267"/>
      <c r="AA1528" s="267"/>
      <c r="AB1528" s="267"/>
      <c r="AC1528" s="267"/>
      <c r="AD1528" s="261"/>
      <c r="AE1528" s="261"/>
      <c r="AF1528" s="257"/>
      <c r="AG1528" s="257"/>
    </row>
    <row r="1529">
      <c r="A1529" s="284"/>
      <c r="B1529" s="251"/>
      <c r="C1529" s="251"/>
      <c r="D1529" s="261"/>
      <c r="E1529" s="261"/>
      <c r="F1529" s="261"/>
      <c r="G1529" s="261"/>
      <c r="H1529" s="261"/>
      <c r="I1529" s="261"/>
      <c r="J1529" s="261"/>
      <c r="K1529" s="262"/>
      <c r="L1529" s="261"/>
      <c r="M1529" s="262"/>
      <c r="N1529" s="262"/>
      <c r="O1529" s="261"/>
      <c r="P1529" s="262"/>
      <c r="Q1529" s="262"/>
      <c r="R1529" s="261"/>
      <c r="S1529" s="263"/>
      <c r="T1529" s="261"/>
      <c r="U1529" s="269"/>
      <c r="V1529" s="285"/>
      <c r="W1529" s="286"/>
      <c r="X1529" s="267"/>
      <c r="Y1529" s="267"/>
      <c r="Z1529" s="267"/>
      <c r="AA1529" s="267"/>
      <c r="AB1529" s="267"/>
      <c r="AC1529" s="267"/>
      <c r="AD1529" s="261"/>
      <c r="AE1529" s="261"/>
      <c r="AF1529" s="257"/>
      <c r="AG1529" s="257"/>
    </row>
    <row r="1530">
      <c r="A1530" s="284"/>
      <c r="B1530" s="251"/>
      <c r="C1530" s="251"/>
      <c r="D1530" s="261"/>
      <c r="E1530" s="261"/>
      <c r="F1530" s="261"/>
      <c r="G1530" s="261"/>
      <c r="H1530" s="261"/>
      <c r="I1530" s="261"/>
      <c r="J1530" s="261"/>
      <c r="K1530" s="262"/>
      <c r="L1530" s="261"/>
      <c r="M1530" s="262"/>
      <c r="N1530" s="262"/>
      <c r="O1530" s="261"/>
      <c r="P1530" s="262"/>
      <c r="Q1530" s="262"/>
      <c r="R1530" s="261"/>
      <c r="S1530" s="263"/>
      <c r="T1530" s="261"/>
      <c r="U1530" s="269"/>
      <c r="V1530" s="285"/>
      <c r="W1530" s="286"/>
      <c r="X1530" s="267"/>
      <c r="Y1530" s="267"/>
      <c r="Z1530" s="267"/>
      <c r="AA1530" s="267"/>
      <c r="AB1530" s="267"/>
      <c r="AC1530" s="267"/>
      <c r="AD1530" s="261"/>
      <c r="AE1530" s="261"/>
      <c r="AF1530" s="257"/>
      <c r="AG1530" s="257"/>
    </row>
    <row r="1531">
      <c r="A1531" s="284"/>
      <c r="B1531" s="251"/>
      <c r="C1531" s="251"/>
      <c r="D1531" s="261"/>
      <c r="E1531" s="261"/>
      <c r="F1531" s="261"/>
      <c r="G1531" s="261"/>
      <c r="H1531" s="261"/>
      <c r="I1531" s="261"/>
      <c r="J1531" s="261"/>
      <c r="K1531" s="262"/>
      <c r="L1531" s="261"/>
      <c r="M1531" s="262"/>
      <c r="N1531" s="262"/>
      <c r="O1531" s="261"/>
      <c r="P1531" s="262"/>
      <c r="Q1531" s="262"/>
      <c r="R1531" s="261"/>
      <c r="S1531" s="263"/>
      <c r="T1531" s="261"/>
      <c r="U1531" s="269"/>
      <c r="V1531" s="285"/>
      <c r="W1531" s="286"/>
      <c r="X1531" s="267"/>
      <c r="Y1531" s="267"/>
      <c r="Z1531" s="267"/>
      <c r="AA1531" s="267"/>
      <c r="AB1531" s="267"/>
      <c r="AC1531" s="267"/>
      <c r="AD1531" s="261"/>
      <c r="AE1531" s="261"/>
      <c r="AF1531" s="257"/>
      <c r="AG1531" s="257"/>
    </row>
    <row r="1532">
      <c r="A1532" s="284"/>
      <c r="B1532" s="251"/>
      <c r="C1532" s="251"/>
      <c r="D1532" s="261"/>
      <c r="E1532" s="261"/>
      <c r="F1532" s="261"/>
      <c r="G1532" s="261"/>
      <c r="H1532" s="261"/>
      <c r="I1532" s="261"/>
      <c r="J1532" s="261"/>
      <c r="K1532" s="262"/>
      <c r="L1532" s="261"/>
      <c r="M1532" s="262"/>
      <c r="N1532" s="262"/>
      <c r="O1532" s="261"/>
      <c r="P1532" s="262"/>
      <c r="Q1532" s="262"/>
      <c r="R1532" s="261"/>
      <c r="S1532" s="263"/>
      <c r="T1532" s="261"/>
      <c r="U1532" s="269"/>
      <c r="V1532" s="285"/>
      <c r="W1532" s="286"/>
      <c r="X1532" s="267"/>
      <c r="Y1532" s="267"/>
      <c r="Z1532" s="267"/>
      <c r="AA1532" s="267"/>
      <c r="AB1532" s="267"/>
      <c r="AC1532" s="267"/>
      <c r="AD1532" s="261"/>
      <c r="AE1532" s="261"/>
      <c r="AF1532" s="257"/>
      <c r="AG1532" s="257"/>
    </row>
    <row r="1533">
      <c r="A1533" s="284"/>
      <c r="B1533" s="251"/>
      <c r="C1533" s="251"/>
      <c r="D1533" s="261"/>
      <c r="E1533" s="261"/>
      <c r="F1533" s="261"/>
      <c r="G1533" s="261"/>
      <c r="H1533" s="261"/>
      <c r="I1533" s="261"/>
      <c r="J1533" s="261"/>
      <c r="K1533" s="262"/>
      <c r="L1533" s="261"/>
      <c r="M1533" s="262"/>
      <c r="N1533" s="262"/>
      <c r="O1533" s="261"/>
      <c r="P1533" s="262"/>
      <c r="Q1533" s="262"/>
      <c r="R1533" s="261"/>
      <c r="S1533" s="263"/>
      <c r="T1533" s="261"/>
      <c r="U1533" s="269"/>
      <c r="V1533" s="285"/>
      <c r="W1533" s="286"/>
      <c r="X1533" s="267"/>
      <c r="Y1533" s="267"/>
      <c r="Z1533" s="267"/>
      <c r="AA1533" s="267"/>
      <c r="AB1533" s="267"/>
      <c r="AC1533" s="267"/>
      <c r="AD1533" s="261"/>
      <c r="AE1533" s="261"/>
      <c r="AF1533" s="257"/>
      <c r="AG1533" s="257"/>
    </row>
    <row r="1534">
      <c r="A1534" s="284"/>
      <c r="B1534" s="251"/>
      <c r="C1534" s="251"/>
      <c r="D1534" s="261"/>
      <c r="E1534" s="261"/>
      <c r="F1534" s="261"/>
      <c r="G1534" s="261"/>
      <c r="H1534" s="261"/>
      <c r="I1534" s="261"/>
      <c r="J1534" s="261"/>
      <c r="K1534" s="262"/>
      <c r="L1534" s="261"/>
      <c r="M1534" s="262"/>
      <c r="N1534" s="262"/>
      <c r="O1534" s="261"/>
      <c r="P1534" s="262"/>
      <c r="Q1534" s="262"/>
      <c r="R1534" s="261"/>
      <c r="S1534" s="263"/>
      <c r="T1534" s="261"/>
      <c r="U1534" s="269"/>
      <c r="V1534" s="285"/>
      <c r="W1534" s="286"/>
      <c r="X1534" s="267"/>
      <c r="Y1534" s="267"/>
      <c r="Z1534" s="267"/>
      <c r="AA1534" s="267"/>
      <c r="AB1534" s="267"/>
      <c r="AC1534" s="267"/>
      <c r="AD1534" s="261"/>
      <c r="AE1534" s="261"/>
      <c r="AF1534" s="257"/>
      <c r="AG1534" s="257"/>
    </row>
    <row r="1535">
      <c r="A1535" s="284"/>
      <c r="B1535" s="251"/>
      <c r="C1535" s="251"/>
      <c r="D1535" s="261"/>
      <c r="E1535" s="261"/>
      <c r="F1535" s="261"/>
      <c r="G1535" s="261"/>
      <c r="H1535" s="261"/>
      <c r="I1535" s="261"/>
      <c r="J1535" s="261"/>
      <c r="K1535" s="262"/>
      <c r="L1535" s="261"/>
      <c r="M1535" s="262"/>
      <c r="N1535" s="262"/>
      <c r="O1535" s="261"/>
      <c r="P1535" s="262"/>
      <c r="Q1535" s="262"/>
      <c r="R1535" s="261"/>
      <c r="S1535" s="263"/>
      <c r="T1535" s="261"/>
      <c r="U1535" s="269"/>
      <c r="V1535" s="285"/>
      <c r="W1535" s="286"/>
      <c r="X1535" s="267"/>
      <c r="Y1535" s="267"/>
      <c r="Z1535" s="267"/>
      <c r="AA1535" s="267"/>
      <c r="AB1535" s="267"/>
      <c r="AC1535" s="267"/>
      <c r="AD1535" s="261"/>
      <c r="AE1535" s="261"/>
      <c r="AF1535" s="257"/>
      <c r="AG1535" s="257"/>
    </row>
    <row r="1536">
      <c r="A1536" s="284"/>
      <c r="B1536" s="251"/>
      <c r="C1536" s="251"/>
      <c r="D1536" s="261"/>
      <c r="E1536" s="261"/>
      <c r="F1536" s="261"/>
      <c r="G1536" s="261"/>
      <c r="H1536" s="261"/>
      <c r="I1536" s="261"/>
      <c r="J1536" s="261"/>
      <c r="K1536" s="262"/>
      <c r="L1536" s="261"/>
      <c r="M1536" s="262"/>
      <c r="N1536" s="262"/>
      <c r="O1536" s="261"/>
      <c r="P1536" s="262"/>
      <c r="Q1536" s="262"/>
      <c r="R1536" s="261"/>
      <c r="S1536" s="263"/>
      <c r="T1536" s="261"/>
      <c r="U1536" s="269"/>
      <c r="V1536" s="285"/>
      <c r="W1536" s="286"/>
      <c r="X1536" s="267"/>
      <c r="Y1536" s="267"/>
      <c r="Z1536" s="267"/>
      <c r="AA1536" s="267"/>
      <c r="AB1536" s="267"/>
      <c r="AC1536" s="267"/>
      <c r="AD1536" s="261"/>
      <c r="AE1536" s="261"/>
      <c r="AF1536" s="257"/>
      <c r="AG1536" s="257"/>
    </row>
    <row r="1537">
      <c r="A1537" s="284"/>
      <c r="B1537" s="251"/>
      <c r="C1537" s="251"/>
      <c r="D1537" s="261"/>
      <c r="E1537" s="261"/>
      <c r="F1537" s="261"/>
      <c r="G1537" s="261"/>
      <c r="H1537" s="261"/>
      <c r="I1537" s="261"/>
      <c r="J1537" s="261"/>
      <c r="K1537" s="262"/>
      <c r="L1537" s="261"/>
      <c r="M1537" s="262"/>
      <c r="N1537" s="262"/>
      <c r="O1537" s="261"/>
      <c r="P1537" s="262"/>
      <c r="Q1537" s="262"/>
      <c r="R1537" s="261"/>
      <c r="S1537" s="263"/>
      <c r="T1537" s="261"/>
      <c r="U1537" s="269"/>
      <c r="V1537" s="285"/>
      <c r="W1537" s="286"/>
      <c r="X1537" s="267"/>
      <c r="Y1537" s="267"/>
      <c r="Z1537" s="267"/>
      <c r="AA1537" s="267"/>
      <c r="AB1537" s="267"/>
      <c r="AC1537" s="267"/>
      <c r="AD1537" s="261"/>
      <c r="AE1537" s="261"/>
      <c r="AF1537" s="257"/>
      <c r="AG1537" s="257"/>
    </row>
    <row r="1538">
      <c r="A1538" s="284"/>
      <c r="B1538" s="251"/>
      <c r="C1538" s="251"/>
      <c r="D1538" s="261"/>
      <c r="E1538" s="261"/>
      <c r="F1538" s="261"/>
      <c r="G1538" s="261"/>
      <c r="H1538" s="261"/>
      <c r="I1538" s="261"/>
      <c r="J1538" s="261"/>
      <c r="K1538" s="262"/>
      <c r="L1538" s="261"/>
      <c r="M1538" s="262"/>
      <c r="N1538" s="262"/>
      <c r="O1538" s="261"/>
      <c r="P1538" s="262"/>
      <c r="Q1538" s="262"/>
      <c r="R1538" s="261"/>
      <c r="S1538" s="263"/>
      <c r="T1538" s="261"/>
      <c r="U1538" s="269"/>
      <c r="V1538" s="285"/>
      <c r="W1538" s="286"/>
      <c r="X1538" s="267"/>
      <c r="Y1538" s="267"/>
      <c r="Z1538" s="267"/>
      <c r="AA1538" s="267"/>
      <c r="AB1538" s="267"/>
      <c r="AC1538" s="267"/>
      <c r="AD1538" s="261"/>
      <c r="AE1538" s="261"/>
      <c r="AF1538" s="257"/>
      <c r="AG1538" s="257"/>
    </row>
    <row r="1539">
      <c r="A1539" s="284"/>
      <c r="B1539" s="251"/>
      <c r="C1539" s="251"/>
      <c r="D1539" s="261"/>
      <c r="E1539" s="261"/>
      <c r="F1539" s="261"/>
      <c r="G1539" s="261"/>
      <c r="H1539" s="261"/>
      <c r="I1539" s="261"/>
      <c r="J1539" s="261"/>
      <c r="K1539" s="262"/>
      <c r="L1539" s="261"/>
      <c r="M1539" s="262"/>
      <c r="N1539" s="262"/>
      <c r="O1539" s="261"/>
      <c r="P1539" s="262"/>
      <c r="Q1539" s="262"/>
      <c r="R1539" s="261"/>
      <c r="S1539" s="263"/>
      <c r="T1539" s="261"/>
      <c r="U1539" s="269"/>
      <c r="V1539" s="285"/>
      <c r="W1539" s="286"/>
      <c r="X1539" s="267"/>
      <c r="Y1539" s="267"/>
      <c r="Z1539" s="267"/>
      <c r="AA1539" s="267"/>
      <c r="AB1539" s="267"/>
      <c r="AC1539" s="267"/>
      <c r="AD1539" s="261"/>
      <c r="AE1539" s="261"/>
      <c r="AF1539" s="257"/>
      <c r="AG1539" s="257"/>
    </row>
    <row r="1540">
      <c r="A1540" s="284"/>
      <c r="B1540" s="251"/>
      <c r="C1540" s="251"/>
      <c r="D1540" s="261"/>
      <c r="E1540" s="261"/>
      <c r="F1540" s="261"/>
      <c r="G1540" s="261"/>
      <c r="H1540" s="261"/>
      <c r="I1540" s="261"/>
      <c r="J1540" s="261"/>
      <c r="K1540" s="262"/>
      <c r="L1540" s="261"/>
      <c r="M1540" s="262"/>
      <c r="N1540" s="262"/>
      <c r="O1540" s="261"/>
      <c r="P1540" s="262"/>
      <c r="Q1540" s="262"/>
      <c r="R1540" s="261"/>
      <c r="S1540" s="263"/>
      <c r="T1540" s="261"/>
      <c r="U1540" s="269"/>
      <c r="V1540" s="285"/>
      <c r="W1540" s="286"/>
      <c r="X1540" s="267"/>
      <c r="Y1540" s="267"/>
      <c r="Z1540" s="267"/>
      <c r="AA1540" s="267"/>
      <c r="AB1540" s="267"/>
      <c r="AC1540" s="267"/>
      <c r="AD1540" s="261"/>
      <c r="AE1540" s="261"/>
      <c r="AF1540" s="257"/>
      <c r="AG1540" s="257"/>
    </row>
    <row r="1541">
      <c r="A1541" s="284"/>
      <c r="B1541" s="251"/>
      <c r="C1541" s="251"/>
      <c r="D1541" s="261"/>
      <c r="E1541" s="261"/>
      <c r="F1541" s="261"/>
      <c r="G1541" s="261"/>
      <c r="H1541" s="261"/>
      <c r="I1541" s="261"/>
      <c r="J1541" s="261"/>
      <c r="K1541" s="262"/>
      <c r="L1541" s="261"/>
      <c r="M1541" s="262"/>
      <c r="N1541" s="262"/>
      <c r="O1541" s="261"/>
      <c r="P1541" s="262"/>
      <c r="Q1541" s="262"/>
      <c r="R1541" s="261"/>
      <c r="S1541" s="263"/>
      <c r="T1541" s="261"/>
      <c r="U1541" s="269"/>
      <c r="V1541" s="285"/>
      <c r="W1541" s="286"/>
      <c r="X1541" s="267"/>
      <c r="Y1541" s="267"/>
      <c r="Z1541" s="267"/>
      <c r="AA1541" s="267"/>
      <c r="AB1541" s="267"/>
      <c r="AC1541" s="267"/>
      <c r="AD1541" s="261"/>
      <c r="AE1541" s="261"/>
      <c r="AF1541" s="257"/>
      <c r="AG1541" s="257"/>
    </row>
    <row r="1542">
      <c r="A1542" s="284"/>
      <c r="B1542" s="251"/>
      <c r="C1542" s="251"/>
      <c r="D1542" s="261"/>
      <c r="E1542" s="261"/>
      <c r="F1542" s="261"/>
      <c r="G1542" s="261"/>
      <c r="H1542" s="261"/>
      <c r="I1542" s="261"/>
      <c r="J1542" s="261"/>
      <c r="K1542" s="262"/>
      <c r="L1542" s="261"/>
      <c r="M1542" s="262"/>
      <c r="N1542" s="262"/>
      <c r="O1542" s="261"/>
      <c r="P1542" s="262"/>
      <c r="Q1542" s="262"/>
      <c r="R1542" s="261"/>
      <c r="S1542" s="263"/>
      <c r="T1542" s="261"/>
      <c r="U1542" s="269"/>
      <c r="V1542" s="285"/>
      <c r="W1542" s="286"/>
      <c r="X1542" s="267"/>
      <c r="Y1542" s="267"/>
      <c r="Z1542" s="267"/>
      <c r="AA1542" s="267"/>
      <c r="AB1542" s="267"/>
      <c r="AC1542" s="267"/>
      <c r="AD1542" s="261"/>
      <c r="AE1542" s="261"/>
      <c r="AF1542" s="257"/>
      <c r="AG1542" s="257"/>
    </row>
    <row r="1543">
      <c r="A1543" s="284"/>
      <c r="B1543" s="251"/>
      <c r="C1543" s="251"/>
      <c r="D1543" s="261"/>
      <c r="E1543" s="261"/>
      <c r="F1543" s="261"/>
      <c r="G1543" s="261"/>
      <c r="H1543" s="261"/>
      <c r="I1543" s="261"/>
      <c r="J1543" s="261"/>
      <c r="K1543" s="262"/>
      <c r="L1543" s="261"/>
      <c r="M1543" s="262"/>
      <c r="N1543" s="262"/>
      <c r="O1543" s="261"/>
      <c r="P1543" s="262"/>
      <c r="Q1543" s="262"/>
      <c r="R1543" s="261"/>
      <c r="S1543" s="263"/>
      <c r="T1543" s="261"/>
      <c r="U1543" s="269"/>
      <c r="V1543" s="285"/>
      <c r="W1543" s="286"/>
      <c r="X1543" s="267"/>
      <c r="Y1543" s="267"/>
      <c r="Z1543" s="267"/>
      <c r="AA1543" s="267"/>
      <c r="AB1543" s="267"/>
      <c r="AC1543" s="267"/>
      <c r="AD1543" s="261"/>
      <c r="AE1543" s="261"/>
      <c r="AF1543" s="257"/>
      <c r="AG1543" s="257"/>
    </row>
    <row r="1544">
      <c r="A1544" s="284"/>
      <c r="B1544" s="251"/>
      <c r="C1544" s="251"/>
      <c r="D1544" s="261"/>
      <c r="E1544" s="261"/>
      <c r="F1544" s="261"/>
      <c r="G1544" s="261"/>
      <c r="H1544" s="261"/>
      <c r="I1544" s="261"/>
      <c r="J1544" s="261"/>
      <c r="K1544" s="262"/>
      <c r="L1544" s="261"/>
      <c r="M1544" s="262"/>
      <c r="N1544" s="262"/>
      <c r="O1544" s="261"/>
      <c r="P1544" s="262"/>
      <c r="Q1544" s="262"/>
      <c r="R1544" s="261"/>
      <c r="S1544" s="263"/>
      <c r="T1544" s="261"/>
      <c r="U1544" s="269"/>
      <c r="V1544" s="285"/>
      <c r="W1544" s="286"/>
      <c r="X1544" s="267"/>
      <c r="Y1544" s="267"/>
      <c r="Z1544" s="267"/>
      <c r="AA1544" s="267"/>
      <c r="AB1544" s="267"/>
      <c r="AC1544" s="267"/>
      <c r="AD1544" s="261"/>
      <c r="AE1544" s="261"/>
      <c r="AF1544" s="257"/>
      <c r="AG1544" s="257"/>
    </row>
    <row r="1545">
      <c r="A1545" s="284"/>
      <c r="B1545" s="251"/>
      <c r="C1545" s="251"/>
      <c r="D1545" s="261"/>
      <c r="E1545" s="261"/>
      <c r="F1545" s="261"/>
      <c r="G1545" s="261"/>
      <c r="H1545" s="261"/>
      <c r="I1545" s="261"/>
      <c r="J1545" s="261"/>
      <c r="K1545" s="262"/>
      <c r="L1545" s="261"/>
      <c r="M1545" s="262"/>
      <c r="N1545" s="262"/>
      <c r="O1545" s="261"/>
      <c r="P1545" s="262"/>
      <c r="Q1545" s="262"/>
      <c r="R1545" s="261"/>
      <c r="S1545" s="263"/>
      <c r="T1545" s="261"/>
      <c r="U1545" s="269"/>
      <c r="V1545" s="285"/>
      <c r="W1545" s="286"/>
      <c r="X1545" s="267"/>
      <c r="Y1545" s="267"/>
      <c r="Z1545" s="267"/>
      <c r="AA1545" s="267"/>
      <c r="AB1545" s="267"/>
      <c r="AC1545" s="267"/>
      <c r="AD1545" s="261"/>
      <c r="AE1545" s="261"/>
      <c r="AF1545" s="257"/>
      <c r="AG1545" s="257"/>
    </row>
    <row r="1546">
      <c r="A1546" s="284"/>
      <c r="B1546" s="251"/>
      <c r="C1546" s="251"/>
      <c r="D1546" s="261"/>
      <c r="E1546" s="261"/>
      <c r="F1546" s="261"/>
      <c r="G1546" s="261"/>
      <c r="H1546" s="261"/>
      <c r="I1546" s="261"/>
      <c r="J1546" s="261"/>
      <c r="K1546" s="262"/>
      <c r="L1546" s="261"/>
      <c r="M1546" s="262"/>
      <c r="N1546" s="262"/>
      <c r="O1546" s="261"/>
      <c r="P1546" s="262"/>
      <c r="Q1546" s="262"/>
      <c r="R1546" s="261"/>
      <c r="S1546" s="263"/>
      <c r="T1546" s="261"/>
      <c r="U1546" s="269"/>
      <c r="V1546" s="285"/>
      <c r="W1546" s="286"/>
      <c r="X1546" s="267"/>
      <c r="Y1546" s="267"/>
      <c r="Z1546" s="267"/>
      <c r="AA1546" s="267"/>
      <c r="AB1546" s="267"/>
      <c r="AC1546" s="267"/>
      <c r="AD1546" s="261"/>
      <c r="AE1546" s="261"/>
      <c r="AF1546" s="257"/>
      <c r="AG1546" s="257"/>
    </row>
    <row r="1547">
      <c r="A1547" s="284"/>
      <c r="B1547" s="251"/>
      <c r="C1547" s="251"/>
      <c r="D1547" s="261"/>
      <c r="E1547" s="261"/>
      <c r="F1547" s="261"/>
      <c r="G1547" s="261"/>
      <c r="H1547" s="261"/>
      <c r="I1547" s="261"/>
      <c r="J1547" s="261"/>
      <c r="K1547" s="262"/>
      <c r="L1547" s="261"/>
      <c r="M1547" s="262"/>
      <c r="N1547" s="262"/>
      <c r="O1547" s="261"/>
      <c r="P1547" s="262"/>
      <c r="Q1547" s="262"/>
      <c r="R1547" s="261"/>
      <c r="S1547" s="263"/>
      <c r="T1547" s="261"/>
      <c r="U1547" s="269"/>
      <c r="V1547" s="285"/>
      <c r="W1547" s="286"/>
      <c r="X1547" s="267"/>
      <c r="Y1547" s="267"/>
      <c r="Z1547" s="267"/>
      <c r="AA1547" s="267"/>
      <c r="AB1547" s="267"/>
      <c r="AC1547" s="267"/>
      <c r="AD1547" s="261"/>
      <c r="AE1547" s="261"/>
      <c r="AF1547" s="257"/>
      <c r="AG1547" s="257"/>
    </row>
    <row r="1548">
      <c r="A1548" s="284"/>
      <c r="B1548" s="251"/>
      <c r="C1548" s="251"/>
      <c r="D1548" s="261"/>
      <c r="E1548" s="261"/>
      <c r="F1548" s="261"/>
      <c r="G1548" s="261"/>
      <c r="H1548" s="261"/>
      <c r="I1548" s="261"/>
      <c r="J1548" s="261"/>
      <c r="K1548" s="262"/>
      <c r="L1548" s="261"/>
      <c r="M1548" s="262"/>
      <c r="N1548" s="262"/>
      <c r="O1548" s="261"/>
      <c r="P1548" s="262"/>
      <c r="Q1548" s="262"/>
      <c r="R1548" s="261"/>
      <c r="S1548" s="263"/>
      <c r="T1548" s="261"/>
      <c r="U1548" s="269"/>
      <c r="V1548" s="285"/>
      <c r="W1548" s="286"/>
      <c r="X1548" s="267"/>
      <c r="Y1548" s="267"/>
      <c r="Z1548" s="267"/>
      <c r="AA1548" s="267"/>
      <c r="AB1548" s="267"/>
      <c r="AC1548" s="267"/>
      <c r="AD1548" s="261"/>
      <c r="AE1548" s="261"/>
      <c r="AF1548" s="257"/>
      <c r="AG1548" s="257"/>
    </row>
    <row r="1549">
      <c r="A1549" s="284"/>
      <c r="B1549" s="251"/>
      <c r="C1549" s="251"/>
      <c r="D1549" s="261"/>
      <c r="E1549" s="261"/>
      <c r="F1549" s="261"/>
      <c r="G1549" s="261"/>
      <c r="H1549" s="261"/>
      <c r="I1549" s="261"/>
      <c r="J1549" s="261"/>
      <c r="K1549" s="262"/>
      <c r="L1549" s="261"/>
      <c r="M1549" s="262"/>
      <c r="N1549" s="262"/>
      <c r="O1549" s="261"/>
      <c r="P1549" s="262"/>
      <c r="Q1549" s="262"/>
      <c r="R1549" s="261"/>
      <c r="S1549" s="263"/>
      <c r="T1549" s="261"/>
      <c r="U1549" s="269"/>
      <c r="V1549" s="285"/>
      <c r="W1549" s="286"/>
      <c r="X1549" s="267"/>
      <c r="Y1549" s="267"/>
      <c r="Z1549" s="267"/>
      <c r="AA1549" s="267"/>
      <c r="AB1549" s="267"/>
      <c r="AC1549" s="267"/>
      <c r="AD1549" s="261"/>
      <c r="AE1549" s="261"/>
      <c r="AF1549" s="257"/>
      <c r="AG1549" s="257"/>
    </row>
    <row r="1550">
      <c r="A1550" s="284"/>
      <c r="B1550" s="251"/>
      <c r="C1550" s="251"/>
      <c r="D1550" s="261"/>
      <c r="E1550" s="261"/>
      <c r="F1550" s="261"/>
      <c r="G1550" s="261"/>
      <c r="H1550" s="261"/>
      <c r="I1550" s="261"/>
      <c r="J1550" s="261"/>
      <c r="K1550" s="262"/>
      <c r="L1550" s="261"/>
      <c r="M1550" s="262"/>
      <c r="N1550" s="262"/>
      <c r="O1550" s="261"/>
      <c r="P1550" s="262"/>
      <c r="Q1550" s="262"/>
      <c r="R1550" s="261"/>
      <c r="S1550" s="263"/>
      <c r="T1550" s="261"/>
      <c r="U1550" s="269"/>
      <c r="V1550" s="285"/>
      <c r="W1550" s="286"/>
      <c r="X1550" s="267"/>
      <c r="Y1550" s="267"/>
      <c r="Z1550" s="267"/>
      <c r="AA1550" s="267"/>
      <c r="AB1550" s="267"/>
      <c r="AC1550" s="267"/>
      <c r="AD1550" s="261"/>
      <c r="AE1550" s="261"/>
      <c r="AF1550" s="257"/>
      <c r="AG1550" s="257"/>
    </row>
    <row r="1551">
      <c r="A1551" s="284"/>
      <c r="B1551" s="251"/>
      <c r="C1551" s="251"/>
      <c r="D1551" s="261"/>
      <c r="E1551" s="261"/>
      <c r="F1551" s="261"/>
      <c r="G1551" s="261"/>
      <c r="H1551" s="261"/>
      <c r="I1551" s="261"/>
      <c r="J1551" s="261"/>
      <c r="K1551" s="262"/>
      <c r="L1551" s="261"/>
      <c r="M1551" s="262"/>
      <c r="N1551" s="262"/>
      <c r="O1551" s="261"/>
      <c r="P1551" s="262"/>
      <c r="Q1551" s="262"/>
      <c r="R1551" s="261"/>
      <c r="S1551" s="263"/>
      <c r="T1551" s="261"/>
      <c r="U1551" s="269"/>
      <c r="V1551" s="285"/>
      <c r="W1551" s="286"/>
      <c r="X1551" s="267"/>
      <c r="Y1551" s="267"/>
      <c r="Z1551" s="267"/>
      <c r="AA1551" s="267"/>
      <c r="AB1551" s="267"/>
      <c r="AC1551" s="267"/>
      <c r="AD1551" s="261"/>
      <c r="AE1551" s="261"/>
      <c r="AF1551" s="257"/>
      <c r="AG1551" s="257"/>
    </row>
    <row r="1552">
      <c r="A1552" s="284"/>
      <c r="B1552" s="251"/>
      <c r="C1552" s="251"/>
      <c r="D1552" s="261"/>
      <c r="E1552" s="261"/>
      <c r="F1552" s="261"/>
      <c r="G1552" s="261"/>
      <c r="H1552" s="261"/>
      <c r="I1552" s="261"/>
      <c r="J1552" s="261"/>
      <c r="K1552" s="262"/>
      <c r="L1552" s="261"/>
      <c r="M1552" s="262"/>
      <c r="N1552" s="262"/>
      <c r="O1552" s="261"/>
      <c r="P1552" s="262"/>
      <c r="Q1552" s="262"/>
      <c r="R1552" s="261"/>
      <c r="S1552" s="263"/>
      <c r="T1552" s="261"/>
      <c r="U1552" s="269"/>
      <c r="V1552" s="285"/>
      <c r="W1552" s="286"/>
      <c r="X1552" s="267"/>
      <c r="Y1552" s="267"/>
      <c r="Z1552" s="267"/>
      <c r="AA1552" s="267"/>
      <c r="AB1552" s="267"/>
      <c r="AC1552" s="267"/>
      <c r="AD1552" s="261"/>
      <c r="AE1552" s="261"/>
      <c r="AF1552" s="257"/>
      <c r="AG1552" s="257"/>
    </row>
    <row r="1553">
      <c r="A1553" s="284"/>
      <c r="B1553" s="251"/>
      <c r="C1553" s="251"/>
      <c r="D1553" s="261"/>
      <c r="E1553" s="261"/>
      <c r="F1553" s="261"/>
      <c r="G1553" s="261"/>
      <c r="H1553" s="261"/>
      <c r="I1553" s="261"/>
      <c r="J1553" s="261"/>
      <c r="K1553" s="262"/>
      <c r="L1553" s="261"/>
      <c r="M1553" s="262"/>
      <c r="N1553" s="262"/>
      <c r="O1553" s="261"/>
      <c r="P1553" s="262"/>
      <c r="Q1553" s="262"/>
      <c r="R1553" s="261"/>
      <c r="S1553" s="263"/>
      <c r="T1553" s="261"/>
      <c r="U1553" s="269"/>
      <c r="V1553" s="285"/>
      <c r="W1553" s="286"/>
      <c r="X1553" s="267"/>
      <c r="Y1553" s="267"/>
      <c r="Z1553" s="267"/>
      <c r="AA1553" s="267"/>
      <c r="AB1553" s="267"/>
      <c r="AC1553" s="267"/>
      <c r="AD1553" s="261"/>
      <c r="AE1553" s="261"/>
      <c r="AF1553" s="257"/>
      <c r="AG1553" s="257"/>
    </row>
    <row r="1554">
      <c r="A1554" s="284"/>
      <c r="B1554" s="251"/>
      <c r="C1554" s="251"/>
      <c r="D1554" s="261"/>
      <c r="E1554" s="261"/>
      <c r="F1554" s="261"/>
      <c r="G1554" s="261"/>
      <c r="H1554" s="261"/>
      <c r="I1554" s="261"/>
      <c r="J1554" s="261"/>
      <c r="K1554" s="262"/>
      <c r="L1554" s="261"/>
      <c r="M1554" s="262"/>
      <c r="N1554" s="262"/>
      <c r="O1554" s="261"/>
      <c r="P1554" s="262"/>
      <c r="Q1554" s="262"/>
      <c r="R1554" s="261"/>
      <c r="S1554" s="263"/>
      <c r="T1554" s="261"/>
      <c r="U1554" s="269"/>
      <c r="V1554" s="285"/>
      <c r="W1554" s="286"/>
      <c r="X1554" s="267"/>
      <c r="Y1554" s="267"/>
      <c r="Z1554" s="267"/>
      <c r="AA1554" s="267"/>
      <c r="AB1554" s="267"/>
      <c r="AC1554" s="267"/>
      <c r="AD1554" s="261"/>
      <c r="AE1554" s="261"/>
      <c r="AF1554" s="257"/>
      <c r="AG1554" s="257"/>
    </row>
    <row r="1555">
      <c r="A1555" s="284"/>
      <c r="B1555" s="251"/>
      <c r="C1555" s="251"/>
      <c r="D1555" s="261"/>
      <c r="E1555" s="261"/>
      <c r="F1555" s="261"/>
      <c r="G1555" s="261"/>
      <c r="H1555" s="261"/>
      <c r="I1555" s="261"/>
      <c r="J1555" s="261"/>
      <c r="K1555" s="262"/>
      <c r="L1555" s="261"/>
      <c r="M1555" s="262"/>
      <c r="N1555" s="262"/>
      <c r="O1555" s="261"/>
      <c r="P1555" s="262"/>
      <c r="Q1555" s="262"/>
      <c r="R1555" s="261"/>
      <c r="S1555" s="263"/>
      <c r="T1555" s="261"/>
      <c r="U1555" s="269"/>
      <c r="V1555" s="285"/>
      <c r="W1555" s="286"/>
      <c r="X1555" s="267"/>
      <c r="Y1555" s="267"/>
      <c r="Z1555" s="267"/>
      <c r="AA1555" s="267"/>
      <c r="AB1555" s="267"/>
      <c r="AC1555" s="267"/>
      <c r="AD1555" s="261"/>
      <c r="AE1555" s="261"/>
      <c r="AF1555" s="257"/>
      <c r="AG1555" s="257"/>
    </row>
    <row r="1556">
      <c r="A1556" s="284"/>
      <c r="B1556" s="251"/>
      <c r="C1556" s="251"/>
      <c r="D1556" s="261"/>
      <c r="E1556" s="261"/>
      <c r="F1556" s="261"/>
      <c r="G1556" s="261"/>
      <c r="H1556" s="261"/>
      <c r="I1556" s="261"/>
      <c r="J1556" s="261"/>
      <c r="K1556" s="262"/>
      <c r="L1556" s="261"/>
      <c r="M1556" s="262"/>
      <c r="N1556" s="262"/>
      <c r="O1556" s="261"/>
      <c r="P1556" s="262"/>
      <c r="Q1556" s="262"/>
      <c r="R1556" s="261"/>
      <c r="S1556" s="263"/>
      <c r="T1556" s="261"/>
      <c r="U1556" s="269"/>
      <c r="V1556" s="285"/>
      <c r="W1556" s="286"/>
      <c r="X1556" s="267"/>
      <c r="Y1556" s="267"/>
      <c r="Z1556" s="267"/>
      <c r="AA1556" s="267"/>
      <c r="AB1556" s="267"/>
      <c r="AC1556" s="267"/>
      <c r="AD1556" s="261"/>
      <c r="AE1556" s="261"/>
      <c r="AF1556" s="257"/>
      <c r="AG1556" s="257"/>
    </row>
    <row r="1557">
      <c r="A1557" s="284"/>
      <c r="B1557" s="251"/>
      <c r="C1557" s="251"/>
      <c r="D1557" s="261"/>
      <c r="E1557" s="261"/>
      <c r="F1557" s="261"/>
      <c r="G1557" s="261"/>
      <c r="H1557" s="261"/>
      <c r="I1557" s="261"/>
      <c r="J1557" s="261"/>
      <c r="K1557" s="262"/>
      <c r="L1557" s="261"/>
      <c r="M1557" s="262"/>
      <c r="N1557" s="262"/>
      <c r="O1557" s="261"/>
      <c r="P1557" s="262"/>
      <c r="Q1557" s="262"/>
      <c r="R1557" s="261"/>
      <c r="S1557" s="263"/>
      <c r="T1557" s="261"/>
      <c r="U1557" s="269"/>
      <c r="V1557" s="285"/>
      <c r="W1557" s="286"/>
      <c r="X1557" s="267"/>
      <c r="Y1557" s="267"/>
      <c r="Z1557" s="267"/>
      <c r="AA1557" s="267"/>
      <c r="AB1557" s="267"/>
      <c r="AC1557" s="267"/>
      <c r="AD1557" s="261"/>
      <c r="AE1557" s="261"/>
      <c r="AF1557" s="257"/>
      <c r="AG1557" s="257"/>
    </row>
    <row r="1558">
      <c r="A1558" s="284"/>
      <c r="B1558" s="251"/>
      <c r="C1558" s="251"/>
      <c r="D1558" s="261"/>
      <c r="E1558" s="261"/>
      <c r="F1558" s="261"/>
      <c r="G1558" s="261"/>
      <c r="H1558" s="261"/>
      <c r="I1558" s="261"/>
      <c r="J1558" s="261"/>
      <c r="K1558" s="262"/>
      <c r="L1558" s="261"/>
      <c r="M1558" s="262"/>
      <c r="N1558" s="262"/>
      <c r="O1558" s="261"/>
      <c r="P1558" s="262"/>
      <c r="Q1558" s="262"/>
      <c r="R1558" s="261"/>
      <c r="S1558" s="263"/>
      <c r="T1558" s="261"/>
      <c r="U1558" s="269"/>
      <c r="V1558" s="285"/>
      <c r="W1558" s="286"/>
      <c r="X1558" s="267"/>
      <c r="Y1558" s="267"/>
      <c r="Z1558" s="267"/>
      <c r="AA1558" s="267"/>
      <c r="AB1558" s="267"/>
      <c r="AC1558" s="267"/>
      <c r="AD1558" s="261"/>
      <c r="AE1558" s="261"/>
      <c r="AF1558" s="257"/>
      <c r="AG1558" s="257"/>
    </row>
    <row r="1559">
      <c r="A1559" s="284"/>
      <c r="B1559" s="251"/>
      <c r="C1559" s="251"/>
      <c r="D1559" s="261"/>
      <c r="E1559" s="261"/>
      <c r="F1559" s="261"/>
      <c r="G1559" s="261"/>
      <c r="H1559" s="261"/>
      <c r="I1559" s="261"/>
      <c r="J1559" s="261"/>
      <c r="K1559" s="262"/>
      <c r="L1559" s="261"/>
      <c r="M1559" s="262"/>
      <c r="N1559" s="262"/>
      <c r="O1559" s="261"/>
      <c r="P1559" s="262"/>
      <c r="Q1559" s="262"/>
      <c r="R1559" s="261"/>
      <c r="S1559" s="263"/>
      <c r="T1559" s="261"/>
      <c r="U1559" s="269"/>
      <c r="V1559" s="285"/>
      <c r="W1559" s="286"/>
      <c r="X1559" s="267"/>
      <c r="Y1559" s="267"/>
      <c r="Z1559" s="267"/>
      <c r="AA1559" s="267"/>
      <c r="AB1559" s="267"/>
      <c r="AC1559" s="267"/>
      <c r="AD1559" s="261"/>
      <c r="AE1559" s="261"/>
      <c r="AF1559" s="257"/>
      <c r="AG1559" s="257"/>
    </row>
    <row r="1560">
      <c r="A1560" s="284"/>
      <c r="B1560" s="251"/>
      <c r="C1560" s="251"/>
      <c r="D1560" s="261"/>
      <c r="E1560" s="261"/>
      <c r="F1560" s="261"/>
      <c r="G1560" s="261"/>
      <c r="H1560" s="261"/>
      <c r="I1560" s="261"/>
      <c r="J1560" s="261"/>
      <c r="K1560" s="262"/>
      <c r="L1560" s="261"/>
      <c r="M1560" s="262"/>
      <c r="N1560" s="262"/>
      <c r="O1560" s="261"/>
      <c r="P1560" s="262"/>
      <c r="Q1560" s="262"/>
      <c r="R1560" s="261"/>
      <c r="S1560" s="263"/>
      <c r="T1560" s="261"/>
      <c r="U1560" s="269"/>
      <c r="V1560" s="285"/>
      <c r="W1560" s="286"/>
      <c r="X1560" s="267"/>
      <c r="Y1560" s="267"/>
      <c r="Z1560" s="267"/>
      <c r="AA1560" s="267"/>
      <c r="AB1560" s="267"/>
      <c r="AC1560" s="267"/>
      <c r="AD1560" s="261"/>
      <c r="AE1560" s="261"/>
      <c r="AF1560" s="257"/>
      <c r="AG1560" s="257"/>
    </row>
    <row r="1561">
      <c r="A1561" s="284"/>
      <c r="B1561" s="251"/>
      <c r="C1561" s="251"/>
      <c r="D1561" s="261"/>
      <c r="E1561" s="261"/>
      <c r="F1561" s="261"/>
      <c r="G1561" s="261"/>
      <c r="H1561" s="261"/>
      <c r="I1561" s="261"/>
      <c r="J1561" s="261"/>
      <c r="K1561" s="262"/>
      <c r="L1561" s="261"/>
      <c r="M1561" s="262"/>
      <c r="N1561" s="262"/>
      <c r="O1561" s="261"/>
      <c r="P1561" s="262"/>
      <c r="Q1561" s="262"/>
      <c r="R1561" s="261"/>
      <c r="S1561" s="263"/>
      <c r="T1561" s="261"/>
      <c r="U1561" s="269"/>
      <c r="V1561" s="285"/>
      <c r="W1561" s="286"/>
      <c r="X1561" s="267"/>
      <c r="Y1561" s="267"/>
      <c r="Z1561" s="267"/>
      <c r="AA1561" s="267"/>
      <c r="AB1561" s="267"/>
      <c r="AC1561" s="267"/>
      <c r="AD1561" s="261"/>
      <c r="AE1561" s="261"/>
      <c r="AF1561" s="257"/>
      <c r="AG1561" s="257"/>
    </row>
    <row r="1562">
      <c r="A1562" s="284"/>
      <c r="B1562" s="251"/>
      <c r="C1562" s="251"/>
      <c r="D1562" s="261"/>
      <c r="E1562" s="261"/>
      <c r="F1562" s="261"/>
      <c r="G1562" s="261"/>
      <c r="H1562" s="261"/>
      <c r="I1562" s="261"/>
      <c r="J1562" s="261"/>
      <c r="K1562" s="262"/>
      <c r="L1562" s="261"/>
      <c r="M1562" s="262"/>
      <c r="N1562" s="262"/>
      <c r="O1562" s="261"/>
      <c r="P1562" s="262"/>
      <c r="Q1562" s="262"/>
      <c r="R1562" s="261"/>
      <c r="S1562" s="263"/>
      <c r="T1562" s="261"/>
      <c r="U1562" s="269"/>
      <c r="V1562" s="285"/>
      <c r="W1562" s="286"/>
      <c r="X1562" s="267"/>
      <c r="Y1562" s="267"/>
      <c r="Z1562" s="267"/>
      <c r="AA1562" s="267"/>
      <c r="AB1562" s="267"/>
      <c r="AC1562" s="267"/>
      <c r="AD1562" s="261"/>
      <c r="AE1562" s="261"/>
      <c r="AF1562" s="257"/>
      <c r="AG1562" s="257"/>
    </row>
    <row r="1563">
      <c r="A1563" s="284"/>
      <c r="B1563" s="251"/>
      <c r="C1563" s="251"/>
      <c r="D1563" s="261"/>
      <c r="E1563" s="261"/>
      <c r="F1563" s="261"/>
      <c r="G1563" s="261"/>
      <c r="H1563" s="261"/>
      <c r="I1563" s="261"/>
      <c r="J1563" s="261"/>
      <c r="K1563" s="262"/>
      <c r="L1563" s="261"/>
      <c r="M1563" s="262"/>
      <c r="N1563" s="262"/>
      <c r="O1563" s="261"/>
      <c r="P1563" s="262"/>
      <c r="Q1563" s="262"/>
      <c r="R1563" s="261"/>
      <c r="S1563" s="263"/>
      <c r="T1563" s="261"/>
      <c r="U1563" s="269"/>
      <c r="V1563" s="285"/>
      <c r="W1563" s="286"/>
      <c r="X1563" s="267"/>
      <c r="Y1563" s="267"/>
      <c r="Z1563" s="267"/>
      <c r="AA1563" s="267"/>
      <c r="AB1563" s="267"/>
      <c r="AC1563" s="267"/>
      <c r="AD1563" s="261"/>
      <c r="AE1563" s="261"/>
      <c r="AF1563" s="257"/>
      <c r="AG1563" s="257"/>
    </row>
    <row r="1564">
      <c r="A1564" s="284"/>
      <c r="B1564" s="251"/>
      <c r="C1564" s="251"/>
      <c r="D1564" s="261"/>
      <c r="E1564" s="261"/>
      <c r="F1564" s="261"/>
      <c r="G1564" s="261"/>
      <c r="H1564" s="261"/>
      <c r="I1564" s="261"/>
      <c r="J1564" s="261"/>
      <c r="K1564" s="262"/>
      <c r="L1564" s="261"/>
      <c r="M1564" s="262"/>
      <c r="N1564" s="262"/>
      <c r="O1564" s="261"/>
      <c r="P1564" s="262"/>
      <c r="Q1564" s="262"/>
      <c r="R1564" s="261"/>
      <c r="S1564" s="263"/>
      <c r="T1564" s="261"/>
      <c r="U1564" s="269"/>
      <c r="V1564" s="285"/>
      <c r="W1564" s="286"/>
      <c r="X1564" s="267"/>
      <c r="Y1564" s="267"/>
      <c r="Z1564" s="267"/>
      <c r="AA1564" s="267"/>
      <c r="AB1564" s="267"/>
      <c r="AC1564" s="267"/>
      <c r="AD1564" s="261"/>
      <c r="AE1564" s="261"/>
      <c r="AF1564" s="257"/>
      <c r="AG1564" s="257"/>
    </row>
    <row r="1565">
      <c r="A1565" s="284"/>
      <c r="B1565" s="251"/>
      <c r="C1565" s="251"/>
      <c r="D1565" s="261"/>
      <c r="E1565" s="261"/>
      <c r="F1565" s="261"/>
      <c r="G1565" s="261"/>
      <c r="H1565" s="261"/>
      <c r="I1565" s="261"/>
      <c r="J1565" s="261"/>
      <c r="K1565" s="262"/>
      <c r="L1565" s="261"/>
      <c r="M1565" s="262"/>
      <c r="N1565" s="262"/>
      <c r="O1565" s="261"/>
      <c r="P1565" s="262"/>
      <c r="Q1565" s="262"/>
      <c r="R1565" s="261"/>
      <c r="S1565" s="263"/>
      <c r="T1565" s="261"/>
      <c r="U1565" s="269"/>
      <c r="V1565" s="285"/>
      <c r="W1565" s="286"/>
      <c r="X1565" s="267"/>
      <c r="Y1565" s="267"/>
      <c r="Z1565" s="267"/>
      <c r="AA1565" s="267"/>
      <c r="AB1565" s="267"/>
      <c r="AC1565" s="267"/>
      <c r="AD1565" s="261"/>
      <c r="AE1565" s="261"/>
      <c r="AF1565" s="257"/>
      <c r="AG1565" s="257"/>
    </row>
    <row r="1566">
      <c r="A1566" s="284"/>
      <c r="B1566" s="251"/>
      <c r="C1566" s="251"/>
      <c r="D1566" s="261"/>
      <c r="E1566" s="261"/>
      <c r="F1566" s="261"/>
      <c r="G1566" s="261"/>
      <c r="H1566" s="261"/>
      <c r="I1566" s="261"/>
      <c r="J1566" s="261"/>
      <c r="K1566" s="262"/>
      <c r="L1566" s="261"/>
      <c r="M1566" s="262"/>
      <c r="N1566" s="262"/>
      <c r="O1566" s="261"/>
      <c r="P1566" s="262"/>
      <c r="Q1566" s="262"/>
      <c r="R1566" s="261"/>
      <c r="S1566" s="263"/>
      <c r="T1566" s="261"/>
      <c r="U1566" s="269"/>
      <c r="V1566" s="285"/>
      <c r="W1566" s="286"/>
      <c r="X1566" s="267"/>
      <c r="Y1566" s="267"/>
      <c r="Z1566" s="267"/>
      <c r="AA1566" s="267"/>
      <c r="AB1566" s="267"/>
      <c r="AC1566" s="267"/>
      <c r="AD1566" s="261"/>
      <c r="AE1566" s="261"/>
      <c r="AF1566" s="257"/>
      <c r="AG1566" s="257"/>
    </row>
    <row r="1567">
      <c r="A1567" s="284"/>
      <c r="B1567" s="251"/>
      <c r="C1567" s="251"/>
      <c r="D1567" s="261"/>
      <c r="E1567" s="261"/>
      <c r="F1567" s="261"/>
      <c r="G1567" s="261"/>
      <c r="H1567" s="261"/>
      <c r="I1567" s="261"/>
      <c r="J1567" s="261"/>
      <c r="K1567" s="262"/>
      <c r="L1567" s="261"/>
      <c r="M1567" s="262"/>
      <c r="N1567" s="262"/>
      <c r="O1567" s="261"/>
      <c r="P1567" s="262"/>
      <c r="Q1567" s="262"/>
      <c r="R1567" s="261"/>
      <c r="S1567" s="263"/>
      <c r="T1567" s="261"/>
      <c r="U1567" s="269"/>
      <c r="V1567" s="285"/>
      <c r="W1567" s="286"/>
      <c r="X1567" s="267"/>
      <c r="Y1567" s="267"/>
      <c r="Z1567" s="267"/>
      <c r="AA1567" s="267"/>
      <c r="AB1567" s="267"/>
      <c r="AC1567" s="267"/>
      <c r="AD1567" s="261"/>
      <c r="AE1567" s="261"/>
      <c r="AF1567" s="257"/>
      <c r="AG1567" s="257"/>
    </row>
    <row r="1568">
      <c r="A1568" s="284"/>
      <c r="B1568" s="251"/>
      <c r="C1568" s="251"/>
      <c r="D1568" s="261"/>
      <c r="E1568" s="261"/>
      <c r="F1568" s="261"/>
      <c r="G1568" s="261"/>
      <c r="H1568" s="261"/>
      <c r="I1568" s="261"/>
      <c r="J1568" s="261"/>
      <c r="K1568" s="262"/>
      <c r="L1568" s="261"/>
      <c r="M1568" s="262"/>
      <c r="N1568" s="262"/>
      <c r="O1568" s="261"/>
      <c r="P1568" s="262"/>
      <c r="Q1568" s="262"/>
      <c r="R1568" s="261"/>
      <c r="S1568" s="263"/>
      <c r="T1568" s="261"/>
      <c r="U1568" s="269"/>
      <c r="V1568" s="285"/>
      <c r="W1568" s="286"/>
      <c r="X1568" s="267"/>
      <c r="Y1568" s="267"/>
      <c r="Z1568" s="267"/>
      <c r="AA1568" s="267"/>
      <c r="AB1568" s="267"/>
      <c r="AC1568" s="267"/>
      <c r="AD1568" s="261"/>
      <c r="AE1568" s="261"/>
      <c r="AF1568" s="257"/>
      <c r="AG1568" s="257"/>
    </row>
    <row r="1569">
      <c r="A1569" s="284"/>
      <c r="B1569" s="251"/>
      <c r="C1569" s="251"/>
      <c r="D1569" s="261"/>
      <c r="E1569" s="261"/>
      <c r="F1569" s="261"/>
      <c r="G1569" s="261"/>
      <c r="H1569" s="261"/>
      <c r="I1569" s="261"/>
      <c r="J1569" s="261"/>
      <c r="K1569" s="262"/>
      <c r="L1569" s="261"/>
      <c r="M1569" s="262"/>
      <c r="N1569" s="262"/>
      <c r="O1569" s="261"/>
      <c r="P1569" s="262"/>
      <c r="Q1569" s="262"/>
      <c r="R1569" s="261"/>
      <c r="S1569" s="263"/>
      <c r="T1569" s="261"/>
      <c r="U1569" s="269"/>
      <c r="V1569" s="285"/>
      <c r="W1569" s="286"/>
      <c r="X1569" s="267"/>
      <c r="Y1569" s="267"/>
      <c r="Z1569" s="267"/>
      <c r="AA1569" s="267"/>
      <c r="AB1569" s="267"/>
      <c r="AC1569" s="267"/>
      <c r="AD1569" s="261"/>
      <c r="AE1569" s="261"/>
      <c r="AF1569" s="257"/>
      <c r="AG1569" s="257"/>
    </row>
    <row r="1570">
      <c r="A1570" s="284"/>
      <c r="B1570" s="251"/>
      <c r="C1570" s="251"/>
      <c r="D1570" s="261"/>
      <c r="E1570" s="261"/>
      <c r="F1570" s="261"/>
      <c r="G1570" s="261"/>
      <c r="H1570" s="261"/>
      <c r="I1570" s="261"/>
      <c r="J1570" s="261"/>
      <c r="K1570" s="262"/>
      <c r="L1570" s="261"/>
      <c r="M1570" s="262"/>
      <c r="N1570" s="262"/>
      <c r="O1570" s="261"/>
      <c r="P1570" s="262"/>
      <c r="Q1570" s="262"/>
      <c r="R1570" s="261"/>
      <c r="S1570" s="263"/>
      <c r="T1570" s="261"/>
      <c r="U1570" s="269"/>
      <c r="V1570" s="285"/>
      <c r="W1570" s="286"/>
      <c r="X1570" s="267"/>
      <c r="Y1570" s="267"/>
      <c r="Z1570" s="267"/>
      <c r="AA1570" s="267"/>
      <c r="AB1570" s="267"/>
      <c r="AC1570" s="267"/>
      <c r="AD1570" s="261"/>
      <c r="AE1570" s="261"/>
      <c r="AF1570" s="257"/>
      <c r="AG1570" s="257"/>
    </row>
    <row r="1571">
      <c r="A1571" s="284"/>
      <c r="B1571" s="251"/>
      <c r="C1571" s="251"/>
      <c r="D1571" s="261"/>
      <c r="E1571" s="261"/>
      <c r="F1571" s="261"/>
      <c r="G1571" s="261"/>
      <c r="H1571" s="261"/>
      <c r="I1571" s="261"/>
      <c r="J1571" s="261"/>
      <c r="K1571" s="262"/>
      <c r="L1571" s="261"/>
      <c r="M1571" s="262"/>
      <c r="N1571" s="262"/>
      <c r="O1571" s="261"/>
      <c r="P1571" s="262"/>
      <c r="Q1571" s="262"/>
      <c r="R1571" s="261"/>
      <c r="S1571" s="263"/>
      <c r="T1571" s="261"/>
      <c r="U1571" s="269"/>
      <c r="V1571" s="285"/>
      <c r="W1571" s="286"/>
      <c r="X1571" s="267"/>
      <c r="Y1571" s="267"/>
      <c r="Z1571" s="267"/>
      <c r="AA1571" s="267"/>
      <c r="AB1571" s="267"/>
      <c r="AC1571" s="267"/>
      <c r="AD1571" s="261"/>
      <c r="AE1571" s="261"/>
      <c r="AF1571" s="257"/>
      <c r="AG1571" s="257"/>
    </row>
    <row r="1572">
      <c r="A1572" s="284"/>
      <c r="B1572" s="251"/>
      <c r="C1572" s="251"/>
      <c r="D1572" s="261"/>
      <c r="E1572" s="261"/>
      <c r="F1572" s="261"/>
      <c r="G1572" s="261"/>
      <c r="H1572" s="261"/>
      <c r="I1572" s="261"/>
      <c r="J1572" s="261"/>
      <c r="K1572" s="262"/>
      <c r="L1572" s="261"/>
      <c r="M1572" s="262"/>
      <c r="N1572" s="262"/>
      <c r="O1572" s="261"/>
      <c r="P1572" s="262"/>
      <c r="Q1572" s="262"/>
      <c r="R1572" s="261"/>
      <c r="S1572" s="263"/>
      <c r="T1572" s="261"/>
      <c r="U1572" s="269"/>
      <c r="V1572" s="285"/>
      <c r="W1572" s="286"/>
      <c r="X1572" s="267"/>
      <c r="Y1572" s="267"/>
      <c r="Z1572" s="267"/>
      <c r="AA1572" s="267"/>
      <c r="AB1572" s="267"/>
      <c r="AC1572" s="267"/>
      <c r="AD1572" s="261"/>
      <c r="AE1572" s="261"/>
      <c r="AF1572" s="257"/>
      <c r="AG1572" s="257"/>
    </row>
    <row r="1573">
      <c r="A1573" s="284"/>
      <c r="B1573" s="251"/>
      <c r="C1573" s="251"/>
      <c r="D1573" s="261"/>
      <c r="E1573" s="261"/>
      <c r="F1573" s="261"/>
      <c r="G1573" s="261"/>
      <c r="H1573" s="261"/>
      <c r="I1573" s="261"/>
      <c r="J1573" s="261"/>
      <c r="K1573" s="262"/>
      <c r="L1573" s="261"/>
      <c r="M1573" s="262"/>
      <c r="N1573" s="262"/>
      <c r="O1573" s="261"/>
      <c r="P1573" s="262"/>
      <c r="Q1573" s="262"/>
      <c r="R1573" s="261"/>
      <c r="S1573" s="263"/>
      <c r="T1573" s="261"/>
      <c r="U1573" s="269"/>
      <c r="V1573" s="285"/>
      <c r="W1573" s="286"/>
      <c r="X1573" s="267"/>
      <c r="Y1573" s="267"/>
      <c r="Z1573" s="267"/>
      <c r="AA1573" s="267"/>
      <c r="AB1573" s="267"/>
      <c r="AC1573" s="267"/>
      <c r="AD1573" s="261"/>
      <c r="AE1573" s="261"/>
      <c r="AF1573" s="257"/>
      <c r="AG1573" s="257"/>
    </row>
    <row r="1574">
      <c r="A1574" s="284"/>
      <c r="B1574" s="251"/>
      <c r="C1574" s="251"/>
      <c r="D1574" s="261"/>
      <c r="E1574" s="261"/>
      <c r="F1574" s="261"/>
      <c r="G1574" s="261"/>
      <c r="H1574" s="261"/>
      <c r="I1574" s="261"/>
      <c r="J1574" s="261"/>
      <c r="K1574" s="262"/>
      <c r="L1574" s="261"/>
      <c r="M1574" s="262"/>
      <c r="N1574" s="262"/>
      <c r="O1574" s="261"/>
      <c r="P1574" s="262"/>
      <c r="Q1574" s="262"/>
      <c r="R1574" s="261"/>
      <c r="S1574" s="263"/>
      <c r="T1574" s="261"/>
      <c r="U1574" s="269"/>
      <c r="V1574" s="285"/>
      <c r="W1574" s="286"/>
      <c r="X1574" s="267"/>
      <c r="Y1574" s="267"/>
      <c r="Z1574" s="267"/>
      <c r="AA1574" s="267"/>
      <c r="AB1574" s="267"/>
      <c r="AC1574" s="267"/>
      <c r="AD1574" s="261"/>
      <c r="AE1574" s="261"/>
      <c r="AF1574" s="257"/>
      <c r="AG1574" s="257"/>
    </row>
    <row r="1575">
      <c r="A1575" s="284"/>
      <c r="B1575" s="251"/>
      <c r="C1575" s="251"/>
      <c r="D1575" s="261"/>
      <c r="E1575" s="261"/>
      <c r="F1575" s="261"/>
      <c r="G1575" s="261"/>
      <c r="H1575" s="261"/>
      <c r="I1575" s="261"/>
      <c r="J1575" s="261"/>
      <c r="K1575" s="262"/>
      <c r="L1575" s="261"/>
      <c r="M1575" s="262"/>
      <c r="N1575" s="262"/>
      <c r="O1575" s="261"/>
      <c r="P1575" s="262"/>
      <c r="Q1575" s="262"/>
      <c r="R1575" s="261"/>
      <c r="S1575" s="263"/>
      <c r="T1575" s="261"/>
      <c r="U1575" s="269"/>
      <c r="V1575" s="285"/>
      <c r="W1575" s="286"/>
      <c r="X1575" s="267"/>
      <c r="Y1575" s="267"/>
      <c r="Z1575" s="267"/>
      <c r="AA1575" s="267"/>
      <c r="AB1575" s="267"/>
      <c r="AC1575" s="267"/>
      <c r="AD1575" s="261"/>
      <c r="AE1575" s="261"/>
      <c r="AF1575" s="257"/>
      <c r="AG1575" s="257"/>
    </row>
    <row r="1576">
      <c r="A1576" s="284"/>
      <c r="B1576" s="251"/>
      <c r="C1576" s="251"/>
      <c r="D1576" s="261"/>
      <c r="E1576" s="261"/>
      <c r="F1576" s="261"/>
      <c r="G1576" s="261"/>
      <c r="H1576" s="261"/>
      <c r="I1576" s="261"/>
      <c r="J1576" s="261"/>
      <c r="K1576" s="262"/>
      <c r="L1576" s="261"/>
      <c r="M1576" s="262"/>
      <c r="N1576" s="262"/>
      <c r="O1576" s="261"/>
      <c r="P1576" s="262"/>
      <c r="Q1576" s="262"/>
      <c r="R1576" s="261"/>
      <c r="S1576" s="263"/>
      <c r="T1576" s="261"/>
      <c r="U1576" s="269"/>
      <c r="V1576" s="285"/>
      <c r="W1576" s="286"/>
      <c r="X1576" s="267"/>
      <c r="Y1576" s="267"/>
      <c r="Z1576" s="267"/>
      <c r="AA1576" s="267"/>
      <c r="AB1576" s="267"/>
      <c r="AC1576" s="267"/>
      <c r="AD1576" s="261"/>
      <c r="AE1576" s="261"/>
      <c r="AF1576" s="257"/>
      <c r="AG1576" s="257"/>
    </row>
    <row r="1577">
      <c r="A1577" s="284"/>
      <c r="B1577" s="251"/>
      <c r="C1577" s="251"/>
      <c r="D1577" s="261"/>
      <c r="E1577" s="261"/>
      <c r="F1577" s="261"/>
      <c r="G1577" s="261"/>
      <c r="H1577" s="261"/>
      <c r="I1577" s="261"/>
      <c r="J1577" s="261"/>
      <c r="K1577" s="262"/>
      <c r="L1577" s="261"/>
      <c r="M1577" s="262"/>
      <c r="N1577" s="262"/>
      <c r="O1577" s="261"/>
      <c r="P1577" s="262"/>
      <c r="Q1577" s="262"/>
      <c r="R1577" s="261"/>
      <c r="S1577" s="263"/>
      <c r="T1577" s="261"/>
      <c r="U1577" s="269"/>
      <c r="V1577" s="285"/>
      <c r="W1577" s="286"/>
      <c r="X1577" s="267"/>
      <c r="Y1577" s="267"/>
      <c r="Z1577" s="267"/>
      <c r="AA1577" s="267"/>
      <c r="AB1577" s="267"/>
      <c r="AC1577" s="267"/>
      <c r="AD1577" s="261"/>
      <c r="AE1577" s="261"/>
      <c r="AF1577" s="257"/>
      <c r="AG1577" s="257"/>
    </row>
    <row r="1578">
      <c r="A1578" s="284"/>
      <c r="B1578" s="251"/>
      <c r="C1578" s="251"/>
      <c r="D1578" s="261"/>
      <c r="E1578" s="261"/>
      <c r="F1578" s="261"/>
      <c r="G1578" s="261"/>
      <c r="H1578" s="261"/>
      <c r="I1578" s="261"/>
      <c r="J1578" s="261"/>
      <c r="K1578" s="262"/>
      <c r="L1578" s="261"/>
      <c r="M1578" s="262"/>
      <c r="N1578" s="262"/>
      <c r="O1578" s="261"/>
      <c r="P1578" s="262"/>
      <c r="Q1578" s="262"/>
      <c r="R1578" s="261"/>
      <c r="S1578" s="263"/>
      <c r="T1578" s="261"/>
      <c r="U1578" s="269"/>
      <c r="V1578" s="285"/>
      <c r="W1578" s="286"/>
      <c r="X1578" s="267"/>
      <c r="Y1578" s="267"/>
      <c r="Z1578" s="267"/>
      <c r="AA1578" s="267"/>
      <c r="AB1578" s="267"/>
      <c r="AC1578" s="267"/>
      <c r="AD1578" s="261"/>
      <c r="AE1578" s="261"/>
      <c r="AF1578" s="257"/>
      <c r="AG1578" s="257"/>
    </row>
    <row r="1579">
      <c r="A1579" s="284"/>
      <c r="B1579" s="251"/>
      <c r="C1579" s="251"/>
      <c r="D1579" s="261"/>
      <c r="E1579" s="261"/>
      <c r="F1579" s="261"/>
      <c r="G1579" s="261"/>
      <c r="H1579" s="261"/>
      <c r="I1579" s="261"/>
      <c r="J1579" s="261"/>
      <c r="K1579" s="262"/>
      <c r="L1579" s="261"/>
      <c r="M1579" s="262"/>
      <c r="N1579" s="262"/>
      <c r="O1579" s="261"/>
      <c r="P1579" s="262"/>
      <c r="Q1579" s="262"/>
      <c r="R1579" s="261"/>
      <c r="S1579" s="263"/>
      <c r="T1579" s="261"/>
      <c r="U1579" s="269"/>
      <c r="V1579" s="285"/>
      <c r="W1579" s="286"/>
      <c r="X1579" s="267"/>
      <c r="Y1579" s="267"/>
      <c r="Z1579" s="267"/>
      <c r="AA1579" s="267"/>
      <c r="AB1579" s="267"/>
      <c r="AC1579" s="267"/>
      <c r="AD1579" s="261"/>
      <c r="AE1579" s="261"/>
      <c r="AF1579" s="257"/>
      <c r="AG1579" s="257"/>
    </row>
    <row r="1580">
      <c r="A1580" s="284"/>
      <c r="B1580" s="251"/>
      <c r="C1580" s="251"/>
      <c r="D1580" s="261"/>
      <c r="E1580" s="261"/>
      <c r="F1580" s="261"/>
      <c r="G1580" s="261"/>
      <c r="H1580" s="261"/>
      <c r="I1580" s="261"/>
      <c r="J1580" s="261"/>
      <c r="K1580" s="262"/>
      <c r="L1580" s="261"/>
      <c r="M1580" s="262"/>
      <c r="N1580" s="262"/>
      <c r="O1580" s="261"/>
      <c r="P1580" s="262"/>
      <c r="Q1580" s="262"/>
      <c r="R1580" s="261"/>
      <c r="S1580" s="263"/>
      <c r="T1580" s="261"/>
      <c r="U1580" s="269"/>
      <c r="V1580" s="285"/>
      <c r="W1580" s="286"/>
      <c r="X1580" s="267"/>
      <c r="Y1580" s="267"/>
      <c r="Z1580" s="267"/>
      <c r="AA1580" s="267"/>
      <c r="AB1580" s="267"/>
      <c r="AC1580" s="267"/>
      <c r="AD1580" s="261"/>
      <c r="AE1580" s="261"/>
      <c r="AF1580" s="257"/>
      <c r="AG1580" s="257"/>
    </row>
    <row r="1581">
      <c r="A1581" s="284"/>
      <c r="B1581" s="251"/>
      <c r="C1581" s="251"/>
      <c r="D1581" s="261"/>
      <c r="E1581" s="261"/>
      <c r="F1581" s="261"/>
      <c r="G1581" s="261"/>
      <c r="H1581" s="261"/>
      <c r="I1581" s="261"/>
      <c r="J1581" s="261"/>
      <c r="K1581" s="262"/>
      <c r="L1581" s="261"/>
      <c r="M1581" s="262"/>
      <c r="N1581" s="262"/>
      <c r="O1581" s="261"/>
      <c r="P1581" s="262"/>
      <c r="Q1581" s="262"/>
      <c r="R1581" s="261"/>
      <c r="S1581" s="263"/>
      <c r="T1581" s="261"/>
      <c r="U1581" s="269"/>
      <c r="V1581" s="285"/>
      <c r="W1581" s="286"/>
      <c r="X1581" s="267"/>
      <c r="Y1581" s="267"/>
      <c r="Z1581" s="267"/>
      <c r="AA1581" s="267"/>
      <c r="AB1581" s="267"/>
      <c r="AC1581" s="267"/>
      <c r="AD1581" s="261"/>
      <c r="AE1581" s="261"/>
      <c r="AF1581" s="257"/>
      <c r="AG1581" s="257"/>
    </row>
    <row r="1582">
      <c r="A1582" s="284"/>
      <c r="B1582" s="251"/>
      <c r="C1582" s="251"/>
      <c r="D1582" s="261"/>
      <c r="E1582" s="261"/>
      <c r="F1582" s="261"/>
      <c r="G1582" s="261"/>
      <c r="H1582" s="261"/>
      <c r="I1582" s="261"/>
      <c r="J1582" s="261"/>
      <c r="K1582" s="262"/>
      <c r="L1582" s="261"/>
      <c r="M1582" s="262"/>
      <c r="N1582" s="262"/>
      <c r="O1582" s="261"/>
      <c r="P1582" s="262"/>
      <c r="Q1582" s="262"/>
      <c r="R1582" s="261"/>
      <c r="S1582" s="263"/>
      <c r="T1582" s="261"/>
      <c r="U1582" s="269"/>
      <c r="V1582" s="285"/>
      <c r="W1582" s="286"/>
      <c r="X1582" s="267"/>
      <c r="Y1582" s="267"/>
      <c r="Z1582" s="267"/>
      <c r="AA1582" s="267"/>
      <c r="AB1582" s="267"/>
      <c r="AC1582" s="267"/>
      <c r="AD1582" s="261"/>
      <c r="AE1582" s="261"/>
      <c r="AF1582" s="257"/>
      <c r="AG1582" s="257"/>
    </row>
    <row r="1583">
      <c r="A1583" s="284"/>
      <c r="B1583" s="251"/>
      <c r="C1583" s="251"/>
      <c r="D1583" s="261"/>
      <c r="E1583" s="261"/>
      <c r="F1583" s="261"/>
      <c r="G1583" s="261"/>
      <c r="H1583" s="261"/>
      <c r="I1583" s="261"/>
      <c r="J1583" s="261"/>
      <c r="K1583" s="262"/>
      <c r="L1583" s="261"/>
      <c r="M1583" s="262"/>
      <c r="N1583" s="262"/>
      <c r="O1583" s="261"/>
      <c r="P1583" s="262"/>
      <c r="Q1583" s="262"/>
      <c r="R1583" s="261"/>
      <c r="S1583" s="263"/>
      <c r="T1583" s="261"/>
      <c r="U1583" s="269"/>
      <c r="V1583" s="285"/>
      <c r="W1583" s="286"/>
      <c r="X1583" s="267"/>
      <c r="Y1583" s="267"/>
      <c r="Z1583" s="267"/>
      <c r="AA1583" s="267"/>
      <c r="AB1583" s="267"/>
      <c r="AC1583" s="267"/>
      <c r="AD1583" s="261"/>
      <c r="AE1583" s="261"/>
      <c r="AF1583" s="257"/>
      <c r="AG1583" s="257"/>
    </row>
    <row r="1584">
      <c r="A1584" s="284"/>
      <c r="B1584" s="251"/>
      <c r="C1584" s="251"/>
      <c r="D1584" s="261"/>
      <c r="E1584" s="261"/>
      <c r="F1584" s="261"/>
      <c r="G1584" s="261"/>
      <c r="H1584" s="261"/>
      <c r="I1584" s="261"/>
      <c r="J1584" s="261"/>
      <c r="K1584" s="262"/>
      <c r="L1584" s="261"/>
      <c r="M1584" s="262"/>
      <c r="N1584" s="262"/>
      <c r="O1584" s="261"/>
      <c r="P1584" s="262"/>
      <c r="Q1584" s="262"/>
      <c r="R1584" s="261"/>
      <c r="S1584" s="263"/>
      <c r="T1584" s="261"/>
      <c r="U1584" s="269"/>
      <c r="V1584" s="285"/>
      <c r="W1584" s="286"/>
      <c r="X1584" s="267"/>
      <c r="Y1584" s="267"/>
      <c r="Z1584" s="267"/>
      <c r="AA1584" s="267"/>
      <c r="AB1584" s="267"/>
      <c r="AC1584" s="267"/>
      <c r="AD1584" s="261"/>
      <c r="AE1584" s="261"/>
      <c r="AF1584" s="257"/>
      <c r="AG1584" s="257"/>
    </row>
    <row r="1585">
      <c r="A1585" s="284"/>
      <c r="B1585" s="251"/>
      <c r="C1585" s="251"/>
      <c r="D1585" s="261"/>
      <c r="E1585" s="261"/>
      <c r="F1585" s="261"/>
      <c r="G1585" s="261"/>
      <c r="H1585" s="261"/>
      <c r="I1585" s="261"/>
      <c r="J1585" s="261"/>
      <c r="K1585" s="262"/>
      <c r="L1585" s="261"/>
      <c r="M1585" s="262"/>
      <c r="N1585" s="262"/>
      <c r="O1585" s="261"/>
      <c r="P1585" s="262"/>
      <c r="Q1585" s="262"/>
      <c r="R1585" s="261"/>
      <c r="S1585" s="263"/>
      <c r="T1585" s="261"/>
      <c r="U1585" s="269"/>
      <c r="V1585" s="285"/>
      <c r="W1585" s="286"/>
      <c r="X1585" s="267"/>
      <c r="Y1585" s="267"/>
      <c r="Z1585" s="267"/>
      <c r="AA1585" s="267"/>
      <c r="AB1585" s="267"/>
      <c r="AC1585" s="267"/>
      <c r="AD1585" s="261"/>
      <c r="AE1585" s="261"/>
      <c r="AF1585" s="257"/>
      <c r="AG1585" s="257"/>
    </row>
    <row r="1586">
      <c r="A1586" s="284"/>
      <c r="B1586" s="251"/>
      <c r="C1586" s="251"/>
      <c r="D1586" s="261"/>
      <c r="E1586" s="261"/>
      <c r="F1586" s="261"/>
      <c r="G1586" s="261"/>
      <c r="H1586" s="261"/>
      <c r="I1586" s="261"/>
      <c r="J1586" s="261"/>
      <c r="K1586" s="262"/>
      <c r="L1586" s="261"/>
      <c r="M1586" s="262"/>
      <c r="N1586" s="262"/>
      <c r="O1586" s="261"/>
      <c r="P1586" s="262"/>
      <c r="Q1586" s="262"/>
      <c r="R1586" s="261"/>
      <c r="S1586" s="263"/>
      <c r="T1586" s="261"/>
      <c r="U1586" s="269"/>
      <c r="V1586" s="285"/>
      <c r="W1586" s="286"/>
      <c r="X1586" s="267"/>
      <c r="Y1586" s="267"/>
      <c r="Z1586" s="267"/>
      <c r="AA1586" s="267"/>
      <c r="AB1586" s="267"/>
      <c r="AC1586" s="267"/>
      <c r="AD1586" s="261"/>
      <c r="AE1586" s="261"/>
      <c r="AF1586" s="257"/>
      <c r="AG1586" s="257"/>
    </row>
    <row r="1587">
      <c r="A1587" s="284"/>
      <c r="B1587" s="251"/>
      <c r="C1587" s="251"/>
      <c r="D1587" s="261"/>
      <c r="E1587" s="261"/>
      <c r="F1587" s="261"/>
      <c r="G1587" s="261"/>
      <c r="H1587" s="261"/>
      <c r="I1587" s="261"/>
      <c r="J1587" s="261"/>
      <c r="K1587" s="262"/>
      <c r="L1587" s="261"/>
      <c r="M1587" s="262"/>
      <c r="N1587" s="262"/>
      <c r="O1587" s="261"/>
      <c r="P1587" s="262"/>
      <c r="Q1587" s="262"/>
      <c r="R1587" s="261"/>
      <c r="S1587" s="263"/>
      <c r="T1587" s="261"/>
      <c r="U1587" s="269"/>
      <c r="V1587" s="285"/>
      <c r="W1587" s="286"/>
      <c r="X1587" s="267"/>
      <c r="Y1587" s="267"/>
      <c r="Z1587" s="267"/>
      <c r="AA1587" s="267"/>
      <c r="AB1587" s="267"/>
      <c r="AC1587" s="267"/>
      <c r="AD1587" s="261"/>
      <c r="AE1587" s="261"/>
      <c r="AF1587" s="257"/>
      <c r="AG1587" s="257"/>
    </row>
    <row r="1588">
      <c r="A1588" s="284"/>
      <c r="B1588" s="251"/>
      <c r="C1588" s="251"/>
      <c r="D1588" s="261"/>
      <c r="E1588" s="261"/>
      <c r="F1588" s="261"/>
      <c r="G1588" s="261"/>
      <c r="H1588" s="261"/>
      <c r="I1588" s="261"/>
      <c r="J1588" s="261"/>
      <c r="K1588" s="262"/>
      <c r="L1588" s="261"/>
      <c r="M1588" s="262"/>
      <c r="N1588" s="262"/>
      <c r="O1588" s="261"/>
      <c r="P1588" s="262"/>
      <c r="Q1588" s="262"/>
      <c r="R1588" s="261"/>
      <c r="S1588" s="263"/>
      <c r="T1588" s="261"/>
      <c r="U1588" s="269"/>
      <c r="V1588" s="285"/>
      <c r="W1588" s="286"/>
      <c r="X1588" s="267"/>
      <c r="Y1588" s="267"/>
      <c r="Z1588" s="267"/>
      <c r="AA1588" s="267"/>
      <c r="AB1588" s="267"/>
      <c r="AC1588" s="267"/>
      <c r="AD1588" s="261"/>
      <c r="AE1588" s="261"/>
      <c r="AF1588" s="257"/>
      <c r="AG1588" s="257"/>
    </row>
    <row r="1589">
      <c r="A1589" s="284"/>
      <c r="B1589" s="251"/>
      <c r="C1589" s="251"/>
      <c r="D1589" s="261"/>
      <c r="E1589" s="261"/>
      <c r="F1589" s="261"/>
      <c r="G1589" s="261"/>
      <c r="H1589" s="261"/>
      <c r="I1589" s="261"/>
      <c r="J1589" s="261"/>
      <c r="K1589" s="262"/>
      <c r="L1589" s="261"/>
      <c r="M1589" s="262"/>
      <c r="N1589" s="262"/>
      <c r="O1589" s="261"/>
      <c r="P1589" s="262"/>
      <c r="Q1589" s="262"/>
      <c r="R1589" s="261"/>
      <c r="S1589" s="263"/>
      <c r="T1589" s="261"/>
      <c r="U1589" s="269"/>
      <c r="V1589" s="285"/>
      <c r="W1589" s="286"/>
      <c r="X1589" s="267"/>
      <c r="Y1589" s="267"/>
      <c r="Z1589" s="267"/>
      <c r="AA1589" s="267"/>
      <c r="AB1589" s="267"/>
      <c r="AC1589" s="267"/>
      <c r="AD1589" s="261"/>
      <c r="AE1589" s="261"/>
      <c r="AF1589" s="257"/>
      <c r="AG1589" s="257"/>
    </row>
    <row r="1590">
      <c r="A1590" s="284"/>
      <c r="B1590" s="251"/>
      <c r="C1590" s="251"/>
      <c r="D1590" s="261"/>
      <c r="E1590" s="261"/>
      <c r="F1590" s="261"/>
      <c r="G1590" s="261"/>
      <c r="H1590" s="261"/>
      <c r="I1590" s="261"/>
      <c r="J1590" s="261"/>
      <c r="K1590" s="262"/>
      <c r="L1590" s="261"/>
      <c r="M1590" s="262"/>
      <c r="N1590" s="262"/>
      <c r="O1590" s="261"/>
      <c r="P1590" s="262"/>
      <c r="Q1590" s="262"/>
      <c r="R1590" s="261"/>
      <c r="S1590" s="263"/>
      <c r="T1590" s="261"/>
      <c r="U1590" s="269"/>
      <c r="V1590" s="285"/>
      <c r="W1590" s="286"/>
      <c r="X1590" s="267"/>
      <c r="Y1590" s="267"/>
      <c r="Z1590" s="267"/>
      <c r="AA1590" s="267"/>
      <c r="AB1590" s="267"/>
      <c r="AC1590" s="267"/>
      <c r="AD1590" s="261"/>
      <c r="AE1590" s="261"/>
      <c r="AF1590" s="257"/>
      <c r="AG1590" s="257"/>
    </row>
    <row r="1591">
      <c r="A1591" s="284"/>
      <c r="B1591" s="251"/>
      <c r="C1591" s="251"/>
      <c r="D1591" s="261"/>
      <c r="E1591" s="261"/>
      <c r="F1591" s="261"/>
      <c r="G1591" s="261"/>
      <c r="H1591" s="261"/>
      <c r="I1591" s="261"/>
      <c r="J1591" s="261"/>
      <c r="K1591" s="262"/>
      <c r="L1591" s="261"/>
      <c r="M1591" s="262"/>
      <c r="N1591" s="262"/>
      <c r="O1591" s="261"/>
      <c r="P1591" s="262"/>
      <c r="Q1591" s="262"/>
      <c r="R1591" s="261"/>
      <c r="S1591" s="263"/>
      <c r="T1591" s="261"/>
      <c r="U1591" s="269"/>
      <c r="V1591" s="285"/>
      <c r="W1591" s="286"/>
      <c r="X1591" s="267"/>
      <c r="Y1591" s="267"/>
      <c r="Z1591" s="267"/>
      <c r="AA1591" s="267"/>
      <c r="AB1591" s="267"/>
      <c r="AC1591" s="267"/>
      <c r="AD1591" s="261"/>
      <c r="AE1591" s="261"/>
      <c r="AF1591" s="257"/>
      <c r="AG1591" s="257"/>
    </row>
    <row r="1592">
      <c r="A1592" s="284"/>
      <c r="B1592" s="251"/>
      <c r="C1592" s="251"/>
      <c r="D1592" s="261"/>
      <c r="E1592" s="261"/>
      <c r="F1592" s="261"/>
      <c r="G1592" s="261"/>
      <c r="H1592" s="261"/>
      <c r="I1592" s="261"/>
      <c r="J1592" s="261"/>
      <c r="K1592" s="262"/>
      <c r="L1592" s="261"/>
      <c r="M1592" s="262"/>
      <c r="N1592" s="262"/>
      <c r="O1592" s="261"/>
      <c r="P1592" s="262"/>
      <c r="Q1592" s="262"/>
      <c r="R1592" s="261"/>
      <c r="S1592" s="263"/>
      <c r="T1592" s="261"/>
      <c r="U1592" s="269"/>
      <c r="V1592" s="285"/>
      <c r="W1592" s="286"/>
      <c r="X1592" s="267"/>
      <c r="Y1592" s="267"/>
      <c r="Z1592" s="267"/>
      <c r="AA1592" s="267"/>
      <c r="AB1592" s="267"/>
      <c r="AC1592" s="267"/>
      <c r="AD1592" s="261"/>
      <c r="AE1592" s="261"/>
      <c r="AF1592" s="257"/>
      <c r="AG1592" s="257"/>
    </row>
    <row r="1593">
      <c r="A1593" s="284"/>
      <c r="B1593" s="251"/>
      <c r="C1593" s="251"/>
      <c r="D1593" s="261"/>
      <c r="E1593" s="261"/>
      <c r="F1593" s="261"/>
      <c r="G1593" s="261"/>
      <c r="H1593" s="261"/>
      <c r="I1593" s="261"/>
      <c r="J1593" s="261"/>
      <c r="K1593" s="262"/>
      <c r="L1593" s="261"/>
      <c r="M1593" s="262"/>
      <c r="N1593" s="262"/>
      <c r="O1593" s="261"/>
      <c r="P1593" s="262"/>
      <c r="Q1593" s="262"/>
      <c r="R1593" s="261"/>
      <c r="S1593" s="263"/>
      <c r="T1593" s="261"/>
      <c r="U1593" s="269"/>
      <c r="V1593" s="285"/>
      <c r="W1593" s="286"/>
      <c r="X1593" s="267"/>
      <c r="Y1593" s="267"/>
      <c r="Z1593" s="267"/>
      <c r="AA1593" s="267"/>
      <c r="AB1593" s="267"/>
      <c r="AC1593" s="267"/>
      <c r="AD1593" s="261"/>
      <c r="AE1593" s="261"/>
      <c r="AF1593" s="257"/>
      <c r="AG1593" s="257"/>
    </row>
    <row r="1594">
      <c r="A1594" s="284"/>
      <c r="B1594" s="251"/>
      <c r="C1594" s="251"/>
      <c r="D1594" s="261"/>
      <c r="E1594" s="261"/>
      <c r="F1594" s="261"/>
      <c r="G1594" s="261"/>
      <c r="H1594" s="261"/>
      <c r="I1594" s="261"/>
      <c r="J1594" s="261"/>
      <c r="K1594" s="262"/>
      <c r="L1594" s="261"/>
      <c r="M1594" s="262"/>
      <c r="N1594" s="262"/>
      <c r="O1594" s="261"/>
      <c r="P1594" s="262"/>
      <c r="Q1594" s="262"/>
      <c r="R1594" s="261"/>
      <c r="S1594" s="263"/>
      <c r="T1594" s="261"/>
      <c r="U1594" s="269"/>
      <c r="V1594" s="285"/>
      <c r="W1594" s="286"/>
      <c r="X1594" s="267"/>
      <c r="Y1594" s="267"/>
      <c r="Z1594" s="267"/>
      <c r="AA1594" s="267"/>
      <c r="AB1594" s="267"/>
      <c r="AC1594" s="267"/>
      <c r="AD1594" s="261"/>
      <c r="AE1594" s="261"/>
      <c r="AF1594" s="257"/>
      <c r="AG1594" s="257"/>
    </row>
    <row r="1595">
      <c r="A1595" s="284"/>
      <c r="B1595" s="251"/>
      <c r="C1595" s="251"/>
      <c r="D1595" s="261"/>
      <c r="E1595" s="261"/>
      <c r="F1595" s="261"/>
      <c r="G1595" s="261"/>
      <c r="H1595" s="261"/>
      <c r="I1595" s="261"/>
      <c r="J1595" s="261"/>
      <c r="K1595" s="262"/>
      <c r="L1595" s="261"/>
      <c r="M1595" s="262"/>
      <c r="N1595" s="262"/>
      <c r="O1595" s="261"/>
      <c r="P1595" s="262"/>
      <c r="Q1595" s="262"/>
      <c r="R1595" s="261"/>
      <c r="S1595" s="263"/>
      <c r="T1595" s="261"/>
      <c r="U1595" s="269"/>
      <c r="V1595" s="285"/>
      <c r="W1595" s="286"/>
      <c r="X1595" s="267"/>
      <c r="Y1595" s="267"/>
      <c r="Z1595" s="267"/>
      <c r="AA1595" s="267"/>
      <c r="AB1595" s="267"/>
      <c r="AC1595" s="267"/>
      <c r="AD1595" s="261"/>
      <c r="AE1595" s="261"/>
      <c r="AF1595" s="257"/>
      <c r="AG1595" s="257"/>
    </row>
    <row r="1596">
      <c r="A1596" s="284"/>
      <c r="B1596" s="251"/>
      <c r="C1596" s="251"/>
      <c r="D1596" s="261"/>
      <c r="E1596" s="261"/>
      <c r="F1596" s="261"/>
      <c r="G1596" s="261"/>
      <c r="H1596" s="261"/>
      <c r="I1596" s="261"/>
      <c r="J1596" s="261"/>
      <c r="K1596" s="262"/>
      <c r="L1596" s="261"/>
      <c r="M1596" s="262"/>
      <c r="N1596" s="262"/>
      <c r="O1596" s="261"/>
      <c r="P1596" s="262"/>
      <c r="Q1596" s="262"/>
      <c r="R1596" s="261"/>
      <c r="S1596" s="263"/>
      <c r="T1596" s="261"/>
      <c r="U1596" s="269"/>
      <c r="V1596" s="285"/>
      <c r="W1596" s="286"/>
      <c r="X1596" s="267"/>
      <c r="Y1596" s="267"/>
      <c r="Z1596" s="267"/>
      <c r="AA1596" s="267"/>
      <c r="AB1596" s="267"/>
      <c r="AC1596" s="267"/>
      <c r="AD1596" s="261"/>
      <c r="AE1596" s="261"/>
      <c r="AF1596" s="257"/>
      <c r="AG1596" s="257"/>
    </row>
    <row r="1597">
      <c r="A1597" s="284"/>
      <c r="B1597" s="251"/>
      <c r="C1597" s="251"/>
      <c r="D1597" s="261"/>
      <c r="E1597" s="261"/>
      <c r="F1597" s="261"/>
      <c r="G1597" s="261"/>
      <c r="H1597" s="261"/>
      <c r="I1597" s="261"/>
      <c r="J1597" s="261"/>
      <c r="K1597" s="262"/>
      <c r="L1597" s="261"/>
      <c r="M1597" s="262"/>
      <c r="N1597" s="262"/>
      <c r="O1597" s="261"/>
      <c r="P1597" s="262"/>
      <c r="Q1597" s="262"/>
      <c r="R1597" s="261"/>
      <c r="S1597" s="263"/>
      <c r="T1597" s="261"/>
      <c r="U1597" s="269"/>
      <c r="V1597" s="285"/>
      <c r="W1597" s="286"/>
      <c r="X1597" s="267"/>
      <c r="Y1597" s="267"/>
      <c r="Z1597" s="267"/>
      <c r="AA1597" s="267"/>
      <c r="AB1597" s="267"/>
      <c r="AC1597" s="267"/>
      <c r="AD1597" s="261"/>
      <c r="AE1597" s="261"/>
      <c r="AF1597" s="257"/>
      <c r="AG1597" s="257"/>
    </row>
    <row r="1598">
      <c r="A1598" s="284"/>
      <c r="B1598" s="251"/>
      <c r="C1598" s="251"/>
      <c r="D1598" s="261"/>
      <c r="E1598" s="261"/>
      <c r="F1598" s="261"/>
      <c r="G1598" s="261"/>
      <c r="H1598" s="261"/>
      <c r="I1598" s="261"/>
      <c r="J1598" s="261"/>
      <c r="K1598" s="262"/>
      <c r="L1598" s="261"/>
      <c r="M1598" s="262"/>
      <c r="N1598" s="262"/>
      <c r="O1598" s="261"/>
      <c r="P1598" s="262"/>
      <c r="Q1598" s="262"/>
      <c r="R1598" s="261"/>
      <c r="S1598" s="263"/>
      <c r="T1598" s="261"/>
      <c r="U1598" s="269"/>
      <c r="V1598" s="285"/>
      <c r="W1598" s="286"/>
      <c r="X1598" s="267"/>
      <c r="Y1598" s="267"/>
      <c r="Z1598" s="267"/>
      <c r="AA1598" s="267"/>
      <c r="AB1598" s="267"/>
      <c r="AC1598" s="267"/>
      <c r="AD1598" s="261"/>
      <c r="AE1598" s="261"/>
      <c r="AF1598" s="257"/>
      <c r="AG1598" s="257"/>
    </row>
    <row r="1599">
      <c r="A1599" s="284"/>
      <c r="B1599" s="251"/>
      <c r="C1599" s="251"/>
      <c r="D1599" s="261"/>
      <c r="E1599" s="261"/>
      <c r="F1599" s="261"/>
      <c r="G1599" s="261"/>
      <c r="H1599" s="261"/>
      <c r="I1599" s="261"/>
      <c r="J1599" s="261"/>
      <c r="K1599" s="262"/>
      <c r="L1599" s="261"/>
      <c r="M1599" s="262"/>
      <c r="N1599" s="262"/>
      <c r="O1599" s="261"/>
      <c r="P1599" s="262"/>
      <c r="Q1599" s="262"/>
      <c r="R1599" s="261"/>
      <c r="S1599" s="263"/>
      <c r="T1599" s="261"/>
      <c r="U1599" s="269"/>
      <c r="V1599" s="285"/>
      <c r="W1599" s="286"/>
      <c r="X1599" s="267"/>
      <c r="Y1599" s="267"/>
      <c r="Z1599" s="267"/>
      <c r="AA1599" s="267"/>
      <c r="AB1599" s="267"/>
      <c r="AC1599" s="267"/>
      <c r="AD1599" s="261"/>
      <c r="AE1599" s="261"/>
      <c r="AF1599" s="257"/>
      <c r="AG1599" s="257"/>
    </row>
    <row r="1600">
      <c r="A1600" s="284"/>
      <c r="B1600" s="251"/>
      <c r="C1600" s="251"/>
      <c r="D1600" s="261"/>
      <c r="E1600" s="261"/>
      <c r="F1600" s="261"/>
      <c r="G1600" s="261"/>
      <c r="H1600" s="261"/>
      <c r="I1600" s="261"/>
      <c r="J1600" s="261"/>
      <c r="K1600" s="262"/>
      <c r="L1600" s="261"/>
      <c r="M1600" s="262"/>
      <c r="N1600" s="262"/>
      <c r="O1600" s="261"/>
      <c r="P1600" s="262"/>
      <c r="Q1600" s="262"/>
      <c r="R1600" s="261"/>
      <c r="S1600" s="263"/>
      <c r="T1600" s="261"/>
      <c r="U1600" s="269"/>
      <c r="V1600" s="285"/>
      <c r="W1600" s="286"/>
      <c r="X1600" s="267"/>
      <c r="Y1600" s="267"/>
      <c r="Z1600" s="267"/>
      <c r="AA1600" s="267"/>
      <c r="AB1600" s="267"/>
      <c r="AC1600" s="267"/>
      <c r="AD1600" s="261"/>
      <c r="AE1600" s="261"/>
      <c r="AF1600" s="257"/>
      <c r="AG1600" s="257"/>
    </row>
    <row r="1601">
      <c r="A1601" s="284"/>
      <c r="B1601" s="251"/>
      <c r="C1601" s="251"/>
      <c r="D1601" s="261"/>
      <c r="E1601" s="261"/>
      <c r="F1601" s="261"/>
      <c r="G1601" s="261"/>
      <c r="H1601" s="261"/>
      <c r="I1601" s="261"/>
      <c r="J1601" s="261"/>
      <c r="K1601" s="262"/>
      <c r="L1601" s="261"/>
      <c r="M1601" s="262"/>
      <c r="N1601" s="262"/>
      <c r="O1601" s="261"/>
      <c r="P1601" s="262"/>
      <c r="Q1601" s="262"/>
      <c r="R1601" s="261"/>
      <c r="S1601" s="263"/>
      <c r="T1601" s="261"/>
      <c r="U1601" s="269"/>
      <c r="V1601" s="285"/>
      <c r="W1601" s="286"/>
      <c r="X1601" s="267"/>
      <c r="Y1601" s="267"/>
      <c r="Z1601" s="267"/>
      <c r="AA1601" s="267"/>
      <c r="AB1601" s="267"/>
      <c r="AC1601" s="267"/>
      <c r="AD1601" s="261"/>
      <c r="AE1601" s="261"/>
      <c r="AF1601" s="257"/>
      <c r="AG1601" s="257"/>
    </row>
    <row r="1602">
      <c r="A1602" s="284"/>
      <c r="B1602" s="251"/>
      <c r="C1602" s="251"/>
      <c r="D1602" s="261"/>
      <c r="E1602" s="261"/>
      <c r="F1602" s="261"/>
      <c r="G1602" s="261"/>
      <c r="H1602" s="261"/>
      <c r="I1602" s="261"/>
      <c r="J1602" s="261"/>
      <c r="K1602" s="262"/>
      <c r="L1602" s="261"/>
      <c r="M1602" s="262"/>
      <c r="N1602" s="262"/>
      <c r="O1602" s="261"/>
      <c r="P1602" s="262"/>
      <c r="Q1602" s="262"/>
      <c r="R1602" s="261"/>
      <c r="S1602" s="263"/>
      <c r="T1602" s="261"/>
      <c r="U1602" s="269"/>
      <c r="V1602" s="285"/>
      <c r="W1602" s="286"/>
      <c r="X1602" s="267"/>
      <c r="Y1602" s="267"/>
      <c r="Z1602" s="267"/>
      <c r="AA1602" s="267"/>
      <c r="AB1602" s="267"/>
      <c r="AC1602" s="267"/>
      <c r="AD1602" s="261"/>
      <c r="AE1602" s="261"/>
      <c r="AF1602" s="257"/>
      <c r="AG1602" s="257"/>
    </row>
    <row r="1603">
      <c r="A1603" s="284"/>
      <c r="B1603" s="251"/>
      <c r="C1603" s="251"/>
      <c r="D1603" s="261"/>
      <c r="E1603" s="261"/>
      <c r="F1603" s="261"/>
      <c r="G1603" s="261"/>
      <c r="H1603" s="261"/>
      <c r="I1603" s="261"/>
      <c r="J1603" s="261"/>
      <c r="K1603" s="262"/>
      <c r="L1603" s="261"/>
      <c r="M1603" s="262"/>
      <c r="N1603" s="262"/>
      <c r="O1603" s="261"/>
      <c r="P1603" s="262"/>
      <c r="Q1603" s="262"/>
      <c r="R1603" s="261"/>
      <c r="S1603" s="263"/>
      <c r="T1603" s="261"/>
      <c r="U1603" s="269"/>
      <c r="V1603" s="285"/>
      <c r="W1603" s="286"/>
      <c r="X1603" s="267"/>
      <c r="Y1603" s="267"/>
      <c r="Z1603" s="267"/>
      <c r="AA1603" s="267"/>
      <c r="AB1603" s="267"/>
      <c r="AC1603" s="267"/>
      <c r="AD1603" s="261"/>
      <c r="AE1603" s="261"/>
      <c r="AF1603" s="257"/>
      <c r="AG1603" s="257"/>
    </row>
    <row r="1604">
      <c r="A1604" s="284"/>
      <c r="B1604" s="251"/>
      <c r="C1604" s="251"/>
      <c r="D1604" s="261"/>
      <c r="E1604" s="261"/>
      <c r="F1604" s="261"/>
      <c r="G1604" s="261"/>
      <c r="H1604" s="261"/>
      <c r="I1604" s="261"/>
      <c r="J1604" s="261"/>
      <c r="K1604" s="262"/>
      <c r="L1604" s="261"/>
      <c r="M1604" s="262"/>
      <c r="N1604" s="262"/>
      <c r="O1604" s="261"/>
      <c r="P1604" s="262"/>
      <c r="Q1604" s="262"/>
      <c r="R1604" s="261"/>
      <c r="S1604" s="263"/>
      <c r="T1604" s="261"/>
      <c r="U1604" s="269"/>
      <c r="V1604" s="285"/>
      <c r="W1604" s="286"/>
      <c r="X1604" s="267"/>
      <c r="Y1604" s="267"/>
      <c r="Z1604" s="267"/>
      <c r="AA1604" s="267"/>
      <c r="AB1604" s="267"/>
      <c r="AC1604" s="267"/>
      <c r="AD1604" s="261"/>
      <c r="AE1604" s="261"/>
      <c r="AF1604" s="257"/>
      <c r="AG1604" s="257"/>
    </row>
    <row r="1605">
      <c r="A1605" s="284"/>
      <c r="B1605" s="251"/>
      <c r="C1605" s="251"/>
      <c r="D1605" s="261"/>
      <c r="E1605" s="261"/>
      <c r="F1605" s="261"/>
      <c r="G1605" s="261"/>
      <c r="H1605" s="261"/>
      <c r="I1605" s="261"/>
      <c r="J1605" s="261"/>
      <c r="K1605" s="262"/>
      <c r="L1605" s="261"/>
      <c r="M1605" s="262"/>
      <c r="N1605" s="262"/>
      <c r="O1605" s="261"/>
      <c r="P1605" s="262"/>
      <c r="Q1605" s="262"/>
      <c r="R1605" s="261"/>
      <c r="S1605" s="263"/>
      <c r="T1605" s="261"/>
      <c r="U1605" s="269"/>
      <c r="V1605" s="285"/>
      <c r="W1605" s="286"/>
      <c r="X1605" s="267"/>
      <c r="Y1605" s="267"/>
      <c r="Z1605" s="267"/>
      <c r="AA1605" s="267"/>
      <c r="AB1605" s="267"/>
      <c r="AC1605" s="267"/>
      <c r="AD1605" s="261"/>
      <c r="AE1605" s="261"/>
      <c r="AF1605" s="257"/>
      <c r="AG1605" s="257"/>
    </row>
    <row r="1606">
      <c r="A1606" s="284"/>
      <c r="B1606" s="251"/>
      <c r="C1606" s="251"/>
      <c r="D1606" s="261"/>
      <c r="E1606" s="261"/>
      <c r="F1606" s="261"/>
      <c r="G1606" s="261"/>
      <c r="H1606" s="261"/>
      <c r="I1606" s="261"/>
      <c r="J1606" s="261"/>
      <c r="K1606" s="262"/>
      <c r="L1606" s="261"/>
      <c r="M1606" s="262"/>
      <c r="N1606" s="262"/>
      <c r="O1606" s="261"/>
      <c r="P1606" s="262"/>
      <c r="Q1606" s="262"/>
      <c r="R1606" s="261"/>
      <c r="S1606" s="263"/>
      <c r="T1606" s="261"/>
      <c r="U1606" s="269"/>
      <c r="V1606" s="285"/>
      <c r="W1606" s="286"/>
      <c r="X1606" s="267"/>
      <c r="Y1606" s="267"/>
      <c r="Z1606" s="267"/>
      <c r="AA1606" s="267"/>
      <c r="AB1606" s="267"/>
      <c r="AC1606" s="267"/>
      <c r="AD1606" s="261"/>
      <c r="AE1606" s="261"/>
      <c r="AF1606" s="257"/>
      <c r="AG1606" s="257"/>
    </row>
    <row r="1607">
      <c r="A1607" s="284"/>
      <c r="B1607" s="251"/>
      <c r="C1607" s="251"/>
      <c r="D1607" s="261"/>
      <c r="E1607" s="261"/>
      <c r="F1607" s="261"/>
      <c r="G1607" s="261"/>
      <c r="H1607" s="261"/>
      <c r="I1607" s="261"/>
      <c r="J1607" s="261"/>
      <c r="K1607" s="262"/>
      <c r="L1607" s="261"/>
      <c r="M1607" s="262"/>
      <c r="N1607" s="262"/>
      <c r="O1607" s="261"/>
      <c r="P1607" s="262"/>
      <c r="Q1607" s="262"/>
      <c r="R1607" s="261"/>
      <c r="S1607" s="263"/>
      <c r="T1607" s="261"/>
      <c r="U1607" s="269"/>
      <c r="V1607" s="285"/>
      <c r="W1607" s="286"/>
      <c r="X1607" s="267"/>
      <c r="Y1607" s="267"/>
      <c r="Z1607" s="267"/>
      <c r="AA1607" s="267"/>
      <c r="AB1607" s="267"/>
      <c r="AC1607" s="267"/>
      <c r="AD1607" s="261"/>
      <c r="AE1607" s="261"/>
      <c r="AF1607" s="257"/>
      <c r="AG1607" s="257"/>
    </row>
    <row r="1608">
      <c r="A1608" s="284"/>
      <c r="B1608" s="251"/>
      <c r="C1608" s="251"/>
      <c r="D1608" s="261"/>
      <c r="E1608" s="261"/>
      <c r="F1608" s="261"/>
      <c r="G1608" s="261"/>
      <c r="H1608" s="261"/>
      <c r="I1608" s="261"/>
      <c r="J1608" s="261"/>
      <c r="K1608" s="262"/>
      <c r="L1608" s="261"/>
      <c r="M1608" s="262"/>
      <c r="N1608" s="262"/>
      <c r="O1608" s="261"/>
      <c r="P1608" s="262"/>
      <c r="Q1608" s="262"/>
      <c r="R1608" s="261"/>
      <c r="S1608" s="263"/>
      <c r="T1608" s="261"/>
      <c r="U1608" s="269"/>
      <c r="V1608" s="285"/>
      <c r="W1608" s="286"/>
      <c r="X1608" s="267"/>
      <c r="Y1608" s="267"/>
      <c r="Z1608" s="267"/>
      <c r="AA1608" s="267"/>
      <c r="AB1608" s="267"/>
      <c r="AC1608" s="267"/>
      <c r="AD1608" s="261"/>
      <c r="AE1608" s="261"/>
      <c r="AF1608" s="257"/>
      <c r="AG1608" s="257"/>
    </row>
    <row r="1609">
      <c r="A1609" s="284"/>
      <c r="B1609" s="251"/>
      <c r="C1609" s="251"/>
      <c r="D1609" s="261"/>
      <c r="E1609" s="261"/>
      <c r="F1609" s="261"/>
      <c r="G1609" s="261"/>
      <c r="H1609" s="261"/>
      <c r="I1609" s="261"/>
      <c r="J1609" s="261"/>
      <c r="K1609" s="262"/>
      <c r="L1609" s="261"/>
      <c r="M1609" s="262"/>
      <c r="N1609" s="262"/>
      <c r="O1609" s="261"/>
      <c r="P1609" s="262"/>
      <c r="Q1609" s="262"/>
      <c r="R1609" s="261"/>
      <c r="S1609" s="263"/>
      <c r="T1609" s="261"/>
      <c r="U1609" s="269"/>
      <c r="V1609" s="285"/>
      <c r="W1609" s="286"/>
      <c r="X1609" s="267"/>
      <c r="Y1609" s="267"/>
      <c r="Z1609" s="267"/>
      <c r="AA1609" s="267"/>
      <c r="AB1609" s="267"/>
      <c r="AC1609" s="267"/>
      <c r="AD1609" s="261"/>
      <c r="AE1609" s="261"/>
      <c r="AF1609" s="257"/>
      <c r="AG1609" s="257"/>
    </row>
    <row r="1610">
      <c r="A1610" s="284"/>
      <c r="B1610" s="251"/>
      <c r="C1610" s="251"/>
      <c r="D1610" s="261"/>
      <c r="E1610" s="261"/>
      <c r="F1610" s="261"/>
      <c r="G1610" s="261"/>
      <c r="H1610" s="261"/>
      <c r="I1610" s="261"/>
      <c r="J1610" s="261"/>
      <c r="K1610" s="262"/>
      <c r="L1610" s="261"/>
      <c r="M1610" s="262"/>
      <c r="N1610" s="262"/>
      <c r="O1610" s="261"/>
      <c r="P1610" s="262"/>
      <c r="Q1610" s="262"/>
      <c r="R1610" s="261"/>
      <c r="S1610" s="263"/>
      <c r="T1610" s="261"/>
      <c r="U1610" s="269"/>
      <c r="V1610" s="285"/>
      <c r="W1610" s="286"/>
      <c r="X1610" s="267"/>
      <c r="Y1610" s="267"/>
      <c r="Z1610" s="267"/>
      <c r="AA1610" s="267"/>
      <c r="AB1610" s="267"/>
      <c r="AC1610" s="267"/>
      <c r="AD1610" s="261"/>
      <c r="AE1610" s="261"/>
      <c r="AF1610" s="257"/>
      <c r="AG1610" s="257"/>
    </row>
    <row r="1611">
      <c r="A1611" s="284"/>
      <c r="B1611" s="251"/>
      <c r="C1611" s="251"/>
      <c r="D1611" s="261"/>
      <c r="E1611" s="261"/>
      <c r="F1611" s="261"/>
      <c r="G1611" s="261"/>
      <c r="H1611" s="261"/>
      <c r="I1611" s="261"/>
      <c r="J1611" s="261"/>
      <c r="K1611" s="262"/>
      <c r="L1611" s="261"/>
      <c r="M1611" s="262"/>
      <c r="N1611" s="262"/>
      <c r="O1611" s="261"/>
      <c r="P1611" s="262"/>
      <c r="Q1611" s="262"/>
      <c r="R1611" s="261"/>
      <c r="S1611" s="263"/>
      <c r="T1611" s="261"/>
      <c r="U1611" s="269"/>
      <c r="V1611" s="285"/>
      <c r="W1611" s="286"/>
      <c r="X1611" s="267"/>
      <c r="Y1611" s="267"/>
      <c r="Z1611" s="267"/>
      <c r="AA1611" s="267"/>
      <c r="AB1611" s="267"/>
      <c r="AC1611" s="267"/>
      <c r="AD1611" s="261"/>
      <c r="AE1611" s="261"/>
      <c r="AF1611" s="257"/>
      <c r="AG1611" s="257"/>
    </row>
    <row r="1612">
      <c r="A1612" s="284"/>
      <c r="B1612" s="251"/>
      <c r="C1612" s="251"/>
      <c r="D1612" s="261"/>
      <c r="E1612" s="261"/>
      <c r="F1612" s="261"/>
      <c r="G1612" s="261"/>
      <c r="H1612" s="261"/>
      <c r="I1612" s="261"/>
      <c r="J1612" s="261"/>
      <c r="K1612" s="262"/>
      <c r="L1612" s="261"/>
      <c r="M1612" s="262"/>
      <c r="N1612" s="262"/>
      <c r="O1612" s="261"/>
      <c r="P1612" s="262"/>
      <c r="Q1612" s="262"/>
      <c r="R1612" s="261"/>
      <c r="S1612" s="263"/>
      <c r="T1612" s="261"/>
      <c r="U1612" s="269"/>
      <c r="V1612" s="285"/>
      <c r="W1612" s="286"/>
      <c r="X1612" s="267"/>
      <c r="Y1612" s="267"/>
      <c r="Z1612" s="267"/>
      <c r="AA1612" s="267"/>
      <c r="AB1612" s="267"/>
      <c r="AC1612" s="267"/>
      <c r="AD1612" s="261"/>
      <c r="AE1612" s="261"/>
      <c r="AF1612" s="257"/>
      <c r="AG1612" s="257"/>
    </row>
    <row r="1613">
      <c r="A1613" s="284"/>
      <c r="B1613" s="251"/>
      <c r="C1613" s="251"/>
      <c r="D1613" s="261"/>
      <c r="E1613" s="261"/>
      <c r="F1613" s="261"/>
      <c r="G1613" s="261"/>
      <c r="H1613" s="261"/>
      <c r="I1613" s="261"/>
      <c r="J1613" s="261"/>
      <c r="K1613" s="262"/>
      <c r="L1613" s="261"/>
      <c r="M1613" s="262"/>
      <c r="N1613" s="262"/>
      <c r="O1613" s="261"/>
      <c r="P1613" s="262"/>
      <c r="Q1613" s="262"/>
      <c r="R1613" s="261"/>
      <c r="S1613" s="263"/>
      <c r="T1613" s="261"/>
      <c r="U1613" s="269"/>
      <c r="V1613" s="285"/>
      <c r="W1613" s="286"/>
      <c r="X1613" s="267"/>
      <c r="Y1613" s="267"/>
      <c r="Z1613" s="267"/>
      <c r="AA1613" s="267"/>
      <c r="AB1613" s="267"/>
      <c r="AC1613" s="267"/>
      <c r="AD1613" s="261"/>
      <c r="AE1613" s="261"/>
      <c r="AF1613" s="257"/>
      <c r="AG1613" s="257"/>
    </row>
    <row r="1614">
      <c r="A1614" s="284"/>
      <c r="B1614" s="251"/>
      <c r="C1614" s="251"/>
      <c r="D1614" s="261"/>
      <c r="E1614" s="261"/>
      <c r="F1614" s="261"/>
      <c r="G1614" s="261"/>
      <c r="H1614" s="261"/>
      <c r="I1614" s="261"/>
      <c r="J1614" s="261"/>
      <c r="K1614" s="262"/>
      <c r="L1614" s="261"/>
      <c r="M1614" s="262"/>
      <c r="N1614" s="262"/>
      <c r="O1614" s="261"/>
      <c r="P1614" s="262"/>
      <c r="Q1614" s="262"/>
      <c r="R1614" s="261"/>
      <c r="S1614" s="263"/>
      <c r="T1614" s="261"/>
      <c r="U1614" s="269"/>
      <c r="V1614" s="285"/>
      <c r="W1614" s="286"/>
      <c r="X1614" s="267"/>
      <c r="Y1614" s="267"/>
      <c r="Z1614" s="267"/>
      <c r="AA1614" s="267"/>
      <c r="AB1614" s="267"/>
      <c r="AC1614" s="267"/>
      <c r="AD1614" s="261"/>
      <c r="AE1614" s="261"/>
      <c r="AF1614" s="257"/>
      <c r="AG1614" s="257"/>
    </row>
    <row r="1615">
      <c r="A1615" s="284"/>
      <c r="B1615" s="251"/>
      <c r="C1615" s="251"/>
      <c r="D1615" s="261"/>
      <c r="E1615" s="261"/>
      <c r="F1615" s="261"/>
      <c r="G1615" s="261"/>
      <c r="H1615" s="261"/>
      <c r="I1615" s="261"/>
      <c r="J1615" s="261"/>
      <c r="K1615" s="262"/>
      <c r="L1615" s="261"/>
      <c r="M1615" s="262"/>
      <c r="N1615" s="262"/>
      <c r="O1615" s="261"/>
      <c r="P1615" s="262"/>
      <c r="Q1615" s="262"/>
      <c r="R1615" s="261"/>
      <c r="S1615" s="263"/>
      <c r="T1615" s="261"/>
      <c r="U1615" s="269"/>
      <c r="V1615" s="285"/>
      <c r="W1615" s="286"/>
      <c r="X1615" s="267"/>
      <c r="Y1615" s="267"/>
      <c r="Z1615" s="267"/>
      <c r="AA1615" s="267"/>
      <c r="AB1615" s="267"/>
      <c r="AC1615" s="267"/>
      <c r="AD1615" s="261"/>
      <c r="AE1615" s="261"/>
      <c r="AF1615" s="257"/>
      <c r="AG1615" s="257"/>
    </row>
    <row r="1616">
      <c r="A1616" s="284"/>
      <c r="B1616" s="251"/>
      <c r="C1616" s="251"/>
      <c r="D1616" s="261"/>
      <c r="E1616" s="261"/>
      <c r="F1616" s="261"/>
      <c r="G1616" s="261"/>
      <c r="H1616" s="261"/>
      <c r="I1616" s="261"/>
      <c r="J1616" s="261"/>
      <c r="K1616" s="262"/>
      <c r="L1616" s="261"/>
      <c r="M1616" s="262"/>
      <c r="N1616" s="262"/>
      <c r="O1616" s="261"/>
      <c r="P1616" s="262"/>
      <c r="Q1616" s="262"/>
      <c r="R1616" s="261"/>
      <c r="S1616" s="263"/>
      <c r="T1616" s="261"/>
      <c r="U1616" s="269"/>
      <c r="V1616" s="285"/>
      <c r="W1616" s="286"/>
      <c r="X1616" s="267"/>
      <c r="Y1616" s="267"/>
      <c r="Z1616" s="267"/>
      <c r="AA1616" s="267"/>
      <c r="AB1616" s="267"/>
      <c r="AC1616" s="267"/>
      <c r="AD1616" s="261"/>
      <c r="AE1616" s="261"/>
      <c r="AF1616" s="257"/>
      <c r="AG1616" s="257"/>
    </row>
    <row r="1617">
      <c r="A1617" s="284"/>
      <c r="B1617" s="251"/>
      <c r="C1617" s="251"/>
      <c r="D1617" s="261"/>
      <c r="E1617" s="261"/>
      <c r="F1617" s="261"/>
      <c r="G1617" s="261"/>
      <c r="H1617" s="261"/>
      <c r="I1617" s="261"/>
      <c r="J1617" s="261"/>
      <c r="K1617" s="262"/>
      <c r="L1617" s="261"/>
      <c r="M1617" s="262"/>
      <c r="N1617" s="262"/>
      <c r="O1617" s="261"/>
      <c r="P1617" s="262"/>
      <c r="Q1617" s="262"/>
      <c r="R1617" s="261"/>
      <c r="S1617" s="263"/>
      <c r="T1617" s="261"/>
      <c r="U1617" s="269"/>
      <c r="V1617" s="285"/>
      <c r="W1617" s="286"/>
      <c r="X1617" s="267"/>
      <c r="Y1617" s="267"/>
      <c r="Z1617" s="267"/>
      <c r="AA1617" s="267"/>
      <c r="AB1617" s="267"/>
      <c r="AC1617" s="267"/>
      <c r="AD1617" s="261"/>
      <c r="AE1617" s="261"/>
      <c r="AF1617" s="257"/>
      <c r="AG1617" s="257"/>
    </row>
    <row r="1618">
      <c r="A1618" s="284"/>
      <c r="B1618" s="251"/>
      <c r="C1618" s="251"/>
      <c r="D1618" s="261"/>
      <c r="E1618" s="261"/>
      <c r="F1618" s="261"/>
      <c r="G1618" s="261"/>
      <c r="H1618" s="261"/>
      <c r="I1618" s="261"/>
      <c r="J1618" s="261"/>
      <c r="K1618" s="262"/>
      <c r="L1618" s="261"/>
      <c r="M1618" s="262"/>
      <c r="N1618" s="262"/>
      <c r="O1618" s="261"/>
      <c r="P1618" s="262"/>
      <c r="Q1618" s="262"/>
      <c r="R1618" s="261"/>
      <c r="S1618" s="263"/>
      <c r="T1618" s="261"/>
      <c r="U1618" s="269"/>
      <c r="V1618" s="285"/>
      <c r="W1618" s="286"/>
      <c r="X1618" s="267"/>
      <c r="Y1618" s="267"/>
      <c r="Z1618" s="267"/>
      <c r="AA1618" s="267"/>
      <c r="AB1618" s="267"/>
      <c r="AC1618" s="267"/>
      <c r="AD1618" s="261"/>
      <c r="AE1618" s="261"/>
      <c r="AF1618" s="257"/>
      <c r="AG1618" s="257"/>
    </row>
    <row r="1619">
      <c r="A1619" s="284"/>
      <c r="B1619" s="251"/>
      <c r="C1619" s="251"/>
      <c r="D1619" s="261"/>
      <c r="E1619" s="261"/>
      <c r="F1619" s="261"/>
      <c r="G1619" s="261"/>
      <c r="H1619" s="261"/>
      <c r="I1619" s="261"/>
      <c r="J1619" s="261"/>
      <c r="K1619" s="262"/>
      <c r="L1619" s="261"/>
      <c r="M1619" s="262"/>
      <c r="N1619" s="262"/>
      <c r="O1619" s="261"/>
      <c r="P1619" s="262"/>
      <c r="Q1619" s="262"/>
      <c r="R1619" s="261"/>
      <c r="S1619" s="263"/>
      <c r="T1619" s="261"/>
      <c r="U1619" s="269"/>
      <c r="V1619" s="285"/>
      <c r="W1619" s="286"/>
      <c r="X1619" s="267"/>
      <c r="Y1619" s="267"/>
      <c r="Z1619" s="267"/>
      <c r="AA1619" s="267"/>
      <c r="AB1619" s="267"/>
      <c r="AC1619" s="267"/>
      <c r="AD1619" s="261"/>
      <c r="AE1619" s="261"/>
      <c r="AF1619" s="257"/>
      <c r="AG1619" s="257"/>
    </row>
    <row r="1620">
      <c r="A1620" s="284"/>
      <c r="B1620" s="251"/>
      <c r="C1620" s="251"/>
      <c r="D1620" s="261"/>
      <c r="E1620" s="261"/>
      <c r="F1620" s="261"/>
      <c r="G1620" s="261"/>
      <c r="H1620" s="261"/>
      <c r="I1620" s="261"/>
      <c r="J1620" s="261"/>
      <c r="K1620" s="262"/>
      <c r="L1620" s="261"/>
      <c r="M1620" s="262"/>
      <c r="N1620" s="262"/>
      <c r="O1620" s="261"/>
      <c r="P1620" s="262"/>
      <c r="Q1620" s="262"/>
      <c r="R1620" s="261"/>
      <c r="S1620" s="263"/>
      <c r="T1620" s="261"/>
      <c r="U1620" s="269"/>
      <c r="V1620" s="285"/>
      <c r="W1620" s="286"/>
      <c r="X1620" s="267"/>
      <c r="Y1620" s="267"/>
      <c r="Z1620" s="267"/>
      <c r="AA1620" s="267"/>
      <c r="AB1620" s="267"/>
      <c r="AC1620" s="267"/>
      <c r="AD1620" s="261"/>
      <c r="AE1620" s="261"/>
      <c r="AF1620" s="257"/>
      <c r="AG1620" s="257"/>
    </row>
    <row r="1621">
      <c r="A1621" s="284"/>
      <c r="B1621" s="251"/>
      <c r="C1621" s="251"/>
      <c r="D1621" s="261"/>
      <c r="E1621" s="261"/>
      <c r="F1621" s="261"/>
      <c r="G1621" s="261"/>
      <c r="H1621" s="261"/>
      <c r="I1621" s="261"/>
      <c r="J1621" s="261"/>
      <c r="K1621" s="262"/>
      <c r="L1621" s="261"/>
      <c r="M1621" s="262"/>
      <c r="N1621" s="262"/>
      <c r="O1621" s="261"/>
      <c r="P1621" s="262"/>
      <c r="Q1621" s="262"/>
      <c r="R1621" s="261"/>
      <c r="S1621" s="263"/>
      <c r="T1621" s="261"/>
      <c r="U1621" s="269"/>
      <c r="V1621" s="285"/>
      <c r="W1621" s="286"/>
      <c r="X1621" s="267"/>
      <c r="Y1621" s="267"/>
      <c r="Z1621" s="267"/>
      <c r="AA1621" s="267"/>
      <c r="AB1621" s="267"/>
      <c r="AC1621" s="267"/>
      <c r="AD1621" s="261"/>
      <c r="AE1621" s="261"/>
      <c r="AF1621" s="257"/>
      <c r="AG1621" s="257"/>
    </row>
    <row r="1622">
      <c r="A1622" s="284"/>
      <c r="B1622" s="251"/>
      <c r="C1622" s="251"/>
      <c r="D1622" s="261"/>
      <c r="E1622" s="261"/>
      <c r="F1622" s="261"/>
      <c r="G1622" s="261"/>
      <c r="H1622" s="261"/>
      <c r="I1622" s="261"/>
      <c r="J1622" s="261"/>
      <c r="K1622" s="262"/>
      <c r="L1622" s="261"/>
      <c r="M1622" s="262"/>
      <c r="N1622" s="262"/>
      <c r="O1622" s="261"/>
      <c r="P1622" s="262"/>
      <c r="Q1622" s="262"/>
      <c r="R1622" s="261"/>
      <c r="S1622" s="263"/>
      <c r="T1622" s="261"/>
      <c r="U1622" s="269"/>
      <c r="V1622" s="285"/>
      <c r="W1622" s="286"/>
      <c r="X1622" s="267"/>
      <c r="Y1622" s="267"/>
      <c r="Z1622" s="267"/>
      <c r="AA1622" s="267"/>
      <c r="AB1622" s="267"/>
      <c r="AC1622" s="267"/>
      <c r="AD1622" s="261"/>
      <c r="AE1622" s="261"/>
      <c r="AF1622" s="257"/>
      <c r="AG1622" s="257"/>
    </row>
    <row r="1623">
      <c r="A1623" s="284"/>
      <c r="B1623" s="251"/>
      <c r="C1623" s="251"/>
      <c r="D1623" s="261"/>
      <c r="E1623" s="261"/>
      <c r="F1623" s="261"/>
      <c r="G1623" s="261"/>
      <c r="H1623" s="261"/>
      <c r="I1623" s="261"/>
      <c r="J1623" s="261"/>
      <c r="K1623" s="262"/>
      <c r="L1623" s="261"/>
      <c r="M1623" s="262"/>
      <c r="N1623" s="262"/>
      <c r="O1623" s="261"/>
      <c r="P1623" s="262"/>
      <c r="Q1623" s="262"/>
      <c r="R1623" s="261"/>
      <c r="S1623" s="263"/>
      <c r="T1623" s="261"/>
      <c r="U1623" s="269"/>
      <c r="V1623" s="285"/>
      <c r="W1623" s="286"/>
      <c r="X1623" s="267"/>
      <c r="Y1623" s="267"/>
      <c r="Z1623" s="267"/>
      <c r="AA1623" s="267"/>
      <c r="AB1623" s="267"/>
      <c r="AC1623" s="267"/>
      <c r="AD1623" s="261"/>
      <c r="AE1623" s="261"/>
      <c r="AF1623" s="257"/>
      <c r="AG1623" s="257"/>
    </row>
    <row r="1624">
      <c r="A1624" s="284"/>
      <c r="B1624" s="251"/>
      <c r="C1624" s="251"/>
      <c r="D1624" s="261"/>
      <c r="E1624" s="261"/>
      <c r="F1624" s="261"/>
      <c r="G1624" s="261"/>
      <c r="H1624" s="261"/>
      <c r="I1624" s="261"/>
      <c r="J1624" s="261"/>
      <c r="K1624" s="262"/>
      <c r="L1624" s="261"/>
      <c r="M1624" s="262"/>
      <c r="N1624" s="262"/>
      <c r="O1624" s="261"/>
      <c r="P1624" s="262"/>
      <c r="Q1624" s="262"/>
      <c r="R1624" s="261"/>
      <c r="S1624" s="263"/>
      <c r="T1624" s="261"/>
      <c r="U1624" s="269"/>
      <c r="V1624" s="285"/>
      <c r="W1624" s="286"/>
      <c r="X1624" s="267"/>
      <c r="Y1624" s="267"/>
      <c r="Z1624" s="267"/>
      <c r="AA1624" s="267"/>
      <c r="AB1624" s="267"/>
      <c r="AC1624" s="267"/>
      <c r="AD1624" s="261"/>
      <c r="AE1624" s="261"/>
      <c r="AF1624" s="257"/>
      <c r="AG1624" s="257"/>
    </row>
    <row r="1625">
      <c r="A1625" s="284"/>
      <c r="B1625" s="251"/>
      <c r="C1625" s="251"/>
      <c r="D1625" s="261"/>
      <c r="E1625" s="261"/>
      <c r="F1625" s="261"/>
      <c r="G1625" s="261"/>
      <c r="H1625" s="261"/>
      <c r="I1625" s="261"/>
      <c r="J1625" s="261"/>
      <c r="K1625" s="262"/>
      <c r="L1625" s="261"/>
      <c r="M1625" s="262"/>
      <c r="N1625" s="262"/>
      <c r="O1625" s="261"/>
      <c r="P1625" s="262"/>
      <c r="Q1625" s="262"/>
      <c r="R1625" s="261"/>
      <c r="S1625" s="263"/>
      <c r="T1625" s="261"/>
      <c r="U1625" s="269"/>
      <c r="V1625" s="285"/>
      <c r="W1625" s="286"/>
      <c r="X1625" s="267"/>
      <c r="Y1625" s="267"/>
      <c r="Z1625" s="267"/>
      <c r="AA1625" s="267"/>
      <c r="AB1625" s="267"/>
      <c r="AC1625" s="267"/>
      <c r="AD1625" s="261"/>
      <c r="AE1625" s="261"/>
      <c r="AF1625" s="257"/>
      <c r="AG1625" s="257"/>
    </row>
  </sheetData>
  <mergeCells>
    <mergeCell ref="B617:C617"/>
    <mergeCell ref="B616:C616"/>
    <mergeCell ref="B611:C611"/>
    <mergeCell ref="B606:C606"/>
    <mergeCell ref="B601:C601"/>
    <mergeCell ref="A597:A617"/>
    <mergeCell ref="A595:C595"/>
    <mergeCell ref="AE595:AE596"/>
    <mergeCell ref="U595:W595"/>
    <mergeCell ref="K595:T595"/>
    <mergeCell ref="D595:J595"/>
    <mergeCell ref="B594:C594"/>
    <mergeCell ref="B593:C593"/>
    <mergeCell ref="B588:C588"/>
    <mergeCell ref="B583:C583"/>
    <mergeCell ref="B578:C578"/>
    <mergeCell ref="A574:A594"/>
    <mergeCell ref="A572:C572"/>
    <mergeCell ref="AE572:AE573"/>
    <mergeCell ref="U572:W572"/>
    <mergeCell ref="K572:T572"/>
    <mergeCell ref="D572:J572"/>
    <mergeCell ref="B571:C571"/>
    <mergeCell ref="B570:C570"/>
    <mergeCell ref="B565:C565"/>
    <mergeCell ref="B560:C560"/>
    <mergeCell ref="B555:C555"/>
    <mergeCell ref="A551:A571"/>
    <mergeCell ref="A549:C549"/>
    <mergeCell ref="AE549:AE550"/>
    <mergeCell ref="U549:W549"/>
    <mergeCell ref="K549:T549"/>
    <mergeCell ref="D549:J549"/>
    <mergeCell ref="A528:A548"/>
    <mergeCell ref="B537:C537"/>
    <mergeCell ref="B542:C542"/>
    <mergeCell ref="B547:C547"/>
    <mergeCell ref="B548:C548"/>
    <mergeCell ref="B532:C532"/>
    <mergeCell ref="A526:C526"/>
    <mergeCell ref="AE526:AE527"/>
    <mergeCell ref="U526:W526"/>
    <mergeCell ref="K526:T526"/>
    <mergeCell ref="D526:J526"/>
    <mergeCell ref="B503:C503"/>
    <mergeCell ref="B502:C502"/>
    <mergeCell ref="B499:C499"/>
    <mergeCell ref="B494:C494"/>
    <mergeCell ref="B489:C489"/>
    <mergeCell ref="A485:A503"/>
    <mergeCell ref="A483:C483"/>
    <mergeCell ref="AE483:AE484"/>
    <mergeCell ref="U483:W483"/>
    <mergeCell ref="K483:T483"/>
    <mergeCell ref="D483:J483"/>
    <mergeCell ref="B482:C482"/>
    <mergeCell ref="B481:C481"/>
    <mergeCell ref="B476:C476"/>
    <mergeCell ref="B471:C471"/>
    <mergeCell ref="B466:C466"/>
    <mergeCell ref="A462:A482"/>
    <mergeCell ref="A460:C460"/>
    <mergeCell ref="AE460:AE461"/>
    <mergeCell ref="U460:W460"/>
    <mergeCell ref="K460:T460"/>
    <mergeCell ref="D460:J460"/>
    <mergeCell ref="B459:C459"/>
    <mergeCell ref="B458:C458"/>
    <mergeCell ref="B453:C453"/>
    <mergeCell ref="B448:C448"/>
    <mergeCell ref="B443:C443"/>
    <mergeCell ref="A439:A459"/>
    <mergeCell ref="A437:C437"/>
    <mergeCell ref="AE437:AE438"/>
    <mergeCell ref="U437:W437"/>
    <mergeCell ref="K437:T437"/>
    <mergeCell ref="D437:J437"/>
    <mergeCell ref="B413:C413"/>
    <mergeCell ref="B412:C412"/>
    <mergeCell ref="B407:C407"/>
    <mergeCell ref="B402:C402"/>
    <mergeCell ref="B397:C397"/>
    <mergeCell ref="A393:A413"/>
    <mergeCell ref="A391:C391"/>
    <mergeCell ref="B313:C313"/>
    <mergeCell ref="A301:A322"/>
    <mergeCell ref="B316:C316"/>
    <mergeCell ref="B321:C321"/>
    <mergeCell ref="B322:C322"/>
    <mergeCell ref="A278:A298"/>
    <mergeCell ref="B292:C292"/>
    <mergeCell ref="B297:C297"/>
    <mergeCell ref="B298:C298"/>
    <mergeCell ref="B286:C286"/>
    <mergeCell ref="B282:C282"/>
    <mergeCell ref="A276:C276"/>
    <mergeCell ref="B275:C275"/>
    <mergeCell ref="B274:C274"/>
    <mergeCell ref="B269:C269"/>
    <mergeCell ref="B264:C264"/>
    <mergeCell ref="B259:C259"/>
    <mergeCell ref="A255:A275"/>
    <mergeCell ref="A253:C253"/>
    <mergeCell ref="B252:C252"/>
    <mergeCell ref="B251:C251"/>
    <mergeCell ref="B246:C246"/>
    <mergeCell ref="B241:C241"/>
    <mergeCell ref="B236:C236"/>
    <mergeCell ref="A232:A252"/>
    <mergeCell ref="A230:C230"/>
    <mergeCell ref="B223:C223"/>
    <mergeCell ref="A209:A229"/>
    <mergeCell ref="A186:A206"/>
    <mergeCell ref="B196:C196"/>
    <mergeCell ref="B200:C200"/>
    <mergeCell ref="B205:C205"/>
    <mergeCell ref="B206:C206"/>
    <mergeCell ref="B190:C190"/>
    <mergeCell ref="A184:C184"/>
    <mergeCell ref="B161:C161"/>
    <mergeCell ref="B160:C160"/>
    <mergeCell ref="B155:C155"/>
    <mergeCell ref="B152:C152"/>
    <mergeCell ref="B146:C146"/>
    <mergeCell ref="A141:A161"/>
    <mergeCell ref="A139:C139"/>
    <mergeCell ref="A1:C1"/>
    <mergeCell ref="A3:A23"/>
    <mergeCell ref="B7:C7"/>
    <mergeCell ref="B12:C12"/>
    <mergeCell ref="B17:C17"/>
    <mergeCell ref="B22:C22"/>
    <mergeCell ref="B23:C23"/>
    <mergeCell ref="A24:C24"/>
    <mergeCell ref="A26:A46"/>
    <mergeCell ref="B30:C30"/>
    <mergeCell ref="B35:C35"/>
    <mergeCell ref="B40:C40"/>
    <mergeCell ref="B45:C45"/>
    <mergeCell ref="B46:C46"/>
    <mergeCell ref="A47:C47"/>
    <mergeCell ref="A49:A69"/>
    <mergeCell ref="B53:C53"/>
    <mergeCell ref="B58:C58"/>
    <mergeCell ref="B63:C63"/>
    <mergeCell ref="B68:C68"/>
    <mergeCell ref="B69:C69"/>
    <mergeCell ref="A70:C70"/>
    <mergeCell ref="A72:A92"/>
    <mergeCell ref="B76:C76"/>
    <mergeCell ref="B81:C81"/>
    <mergeCell ref="B86:C86"/>
    <mergeCell ref="B91:C91"/>
    <mergeCell ref="B92:C92"/>
    <mergeCell ref="A93:C93"/>
    <mergeCell ref="A95:A115"/>
    <mergeCell ref="B99:C99"/>
    <mergeCell ref="B104:C104"/>
    <mergeCell ref="B109:C109"/>
    <mergeCell ref="B114:C114"/>
    <mergeCell ref="B115:C115"/>
    <mergeCell ref="A116:C116"/>
    <mergeCell ref="B123:C123"/>
    <mergeCell ref="A118:A138"/>
    <mergeCell ref="B129:C129"/>
    <mergeCell ref="B132:C132"/>
    <mergeCell ref="B137:C137"/>
    <mergeCell ref="B138:C138"/>
    <mergeCell ref="A162:C162"/>
    <mergeCell ref="A164:A183"/>
    <mergeCell ref="B168:C168"/>
    <mergeCell ref="B174:C174"/>
    <mergeCell ref="B177:C177"/>
    <mergeCell ref="B182:C182"/>
    <mergeCell ref="B183:C183"/>
    <mergeCell ref="A207:C207"/>
    <mergeCell ref="B213:C213"/>
    <mergeCell ref="B218:C218"/>
    <mergeCell ref="B229:C229"/>
    <mergeCell ref="B228:C228"/>
    <mergeCell ref="A299:C299"/>
    <mergeCell ref="B305:C305"/>
    <mergeCell ref="B310:C310"/>
    <mergeCell ref="A323:C323"/>
    <mergeCell ref="A325:A345"/>
    <mergeCell ref="B329:C329"/>
    <mergeCell ref="B334:C334"/>
    <mergeCell ref="B339:C339"/>
    <mergeCell ref="B344:C344"/>
    <mergeCell ref="B345:C345"/>
    <mergeCell ref="A346:C346"/>
    <mergeCell ref="B352:C352"/>
    <mergeCell ref="B357:C357"/>
    <mergeCell ref="B362:C362"/>
    <mergeCell ref="A348:A368"/>
    <mergeCell ref="B367:C367"/>
    <mergeCell ref="B368:C368"/>
    <mergeCell ref="A369:C369"/>
    <mergeCell ref="A371:A390"/>
    <mergeCell ref="B375:C375"/>
    <mergeCell ref="B379:C379"/>
    <mergeCell ref="B384:C384"/>
    <mergeCell ref="B389:C389"/>
    <mergeCell ref="B390:C390"/>
    <mergeCell ref="A414:C414"/>
    <mergeCell ref="B420:C420"/>
    <mergeCell ref="B425:C425"/>
    <mergeCell ref="B430:C430"/>
    <mergeCell ref="AE414:AE415"/>
    <mergeCell ref="U414:W414"/>
    <mergeCell ref="K414:T414"/>
    <mergeCell ref="D414:J414"/>
    <mergeCell ref="AE369:AE370"/>
    <mergeCell ref="U369:W369"/>
    <mergeCell ref="K369:T369"/>
    <mergeCell ref="D369:J369"/>
    <mergeCell ref="AE346:AE347"/>
    <mergeCell ref="U346:W346"/>
    <mergeCell ref="K346:T346"/>
    <mergeCell ref="D346:J346"/>
    <mergeCell ref="AE323:AE324"/>
    <mergeCell ref="U323:W323"/>
    <mergeCell ref="K323:T323"/>
    <mergeCell ref="D323:J323"/>
    <mergeCell ref="AE299:AE300"/>
    <mergeCell ref="U299:W299"/>
    <mergeCell ref="K299:T299"/>
    <mergeCell ref="D299:J299"/>
    <mergeCell ref="AE207:AE208"/>
    <mergeCell ref="U207:W207"/>
    <mergeCell ref="K207:T207"/>
    <mergeCell ref="D207:J207"/>
    <mergeCell ref="AE162:AE163"/>
    <mergeCell ref="U162:W162"/>
    <mergeCell ref="K162:T162"/>
    <mergeCell ref="D162:J162"/>
    <mergeCell ref="AE116:AE117"/>
    <mergeCell ref="U116:W116"/>
    <mergeCell ref="K116:T116"/>
    <mergeCell ref="D116:J116"/>
    <mergeCell ref="AE93:AE94"/>
    <mergeCell ref="U93:W93"/>
    <mergeCell ref="K93:T93"/>
    <mergeCell ref="D93:J93"/>
    <mergeCell ref="AE70:AE71"/>
    <mergeCell ref="U70:W70"/>
    <mergeCell ref="K70:T70"/>
    <mergeCell ref="D70:J70"/>
    <mergeCell ref="AE47:AE48"/>
    <mergeCell ref="U47:W47"/>
    <mergeCell ref="K47:T47"/>
    <mergeCell ref="D47:J47"/>
    <mergeCell ref="AE24:AE25"/>
    <mergeCell ref="U24:W24"/>
    <mergeCell ref="K24:T24"/>
    <mergeCell ref="D24:J24"/>
    <mergeCell ref="AE1:AE2"/>
    <mergeCell ref="U1:W1"/>
    <mergeCell ref="K1:T1"/>
    <mergeCell ref="D1:J1"/>
    <mergeCell ref="AE139:AE140"/>
    <mergeCell ref="U139:W139"/>
    <mergeCell ref="K139:T139"/>
    <mergeCell ref="D139:J139"/>
    <mergeCell ref="AE184:AE185"/>
    <mergeCell ref="U184:W184"/>
    <mergeCell ref="K184:T184"/>
    <mergeCell ref="D184:J184"/>
    <mergeCell ref="AE230:AE231"/>
    <mergeCell ref="U230:W230"/>
    <mergeCell ref="K230:T230"/>
    <mergeCell ref="D230:J230"/>
    <mergeCell ref="AE253:AE254"/>
    <mergeCell ref="U253:W253"/>
    <mergeCell ref="K253:T253"/>
    <mergeCell ref="D253:J253"/>
    <mergeCell ref="AE276:AE277"/>
    <mergeCell ref="U276:W276"/>
    <mergeCell ref="K276:T276"/>
    <mergeCell ref="D276:J276"/>
    <mergeCell ref="AE391:AE392"/>
    <mergeCell ref="U391:W391"/>
    <mergeCell ref="K391:T391"/>
    <mergeCell ref="D391:J391"/>
    <mergeCell ref="B436:C436"/>
    <mergeCell ref="B435:C435"/>
    <mergeCell ref="A416:A436"/>
    <mergeCell ref="A504:C504"/>
    <mergeCell ref="AE504:AE505"/>
    <mergeCell ref="U504:W504"/>
    <mergeCell ref="K504:T504"/>
    <mergeCell ref="D504:J504"/>
    <mergeCell ref="B510:C510"/>
    <mergeCell ref="B514:C514"/>
    <mergeCell ref="B519:C519"/>
    <mergeCell ref="B525:C525"/>
    <mergeCell ref="B524:C524"/>
    <mergeCell ref="A506:A525"/>
    <mergeCell ref="A618:C618"/>
    <mergeCell ref="AE618:AE619"/>
    <mergeCell ref="U618:W618"/>
    <mergeCell ref="K618:T618"/>
    <mergeCell ref="D618:J618"/>
    <mergeCell ref="A620:A640"/>
    <mergeCell ref="B624:C624"/>
    <mergeCell ref="B629:C629"/>
    <mergeCell ref="B634:C634"/>
    <mergeCell ref="B639:C639"/>
    <mergeCell ref="B640:C640"/>
    <mergeCell ref="A641:C641"/>
    <mergeCell ref="AE641:AE642"/>
    <mergeCell ref="U641:W641"/>
    <mergeCell ref="K641:T641"/>
    <mergeCell ref="D641:J641"/>
    <mergeCell ref="A643:A663"/>
    <mergeCell ref="B647:C647"/>
    <mergeCell ref="B652:C652"/>
    <mergeCell ref="B657:C657"/>
    <mergeCell ref="B662:C662"/>
    <mergeCell ref="B663:C663"/>
    <mergeCell ref="A664:C664"/>
    <mergeCell ref="AE664:AE665"/>
    <mergeCell ref="U664:W664"/>
    <mergeCell ref="K664:T664"/>
    <mergeCell ref="D664:J664"/>
    <mergeCell ref="A666:A686"/>
    <mergeCell ref="B670:C670"/>
    <mergeCell ref="B675:C675"/>
    <mergeCell ref="B680:C680"/>
    <mergeCell ref="B685:C685"/>
    <mergeCell ref="B686:C686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13.014084507042254"/>
    <col collapsed="false" customWidth="true" hidden="false" max="7" min="7" style="0" width="13.014084507042254"/>
    <col collapsed="false" customWidth="true" hidden="false" max="8" min="8" style="0" width="13.014084507042254"/>
    <col collapsed="false" customWidth="true" hidden="false" max="5" min="5" style="0" width="13.014084507042254"/>
  </cols>
  <sheetData>
    <row r="1">
      <c r="A1" s="287" t="s">
        <v>150</v>
      </c>
      <c r="B1" s="287"/>
      <c r="C1" s="287"/>
      <c r="D1" s="288" t="s">
        <v>151</v>
      </c>
      <c r="E1" s="288"/>
      <c r="F1" s="288"/>
      <c r="G1" s="288"/>
      <c r="H1" s="288"/>
      <c r="I1" s="288"/>
      <c r="J1" s="289" t="s">
        <v>152</v>
      </c>
      <c r="K1" s="289"/>
      <c r="L1" s="289"/>
      <c r="M1" s="289"/>
      <c r="N1" s="289"/>
      <c r="O1" s="289"/>
      <c r="P1" s="289"/>
      <c r="Q1" s="289"/>
      <c r="R1" s="289"/>
      <c r="S1" s="289"/>
      <c r="T1" s="290"/>
      <c r="U1" s="290"/>
      <c r="V1" s="290"/>
      <c r="W1" s="291"/>
      <c r="X1" s="291"/>
      <c r="Y1" s="291"/>
      <c r="Z1" s="291"/>
      <c r="AA1" s="291"/>
      <c r="AB1" s="291"/>
      <c r="AC1" s="291"/>
      <c r="AD1" s="292" t="s">
        <v>153</v>
      </c>
      <c r="AE1" s="293"/>
      <c r="AF1" s="293"/>
    </row>
    <row r="2">
      <c r="A2" s="294" t="s">
        <v>154</v>
      </c>
      <c r="B2" s="295" t="s">
        <v>155</v>
      </c>
      <c r="C2" s="295" t="s">
        <v>156</v>
      </c>
      <c r="D2" s="296" t="s">
        <v>157</v>
      </c>
      <c r="E2" s="297" t="s">
        <v>158</v>
      </c>
      <c r="F2" s="297" t="s">
        <v>159</v>
      </c>
      <c r="G2" s="298" t="s">
        <v>160</v>
      </c>
      <c r="H2" s="299" t="s">
        <v>161</v>
      </c>
      <c r="I2" s="300" t="s">
        <v>162</v>
      </c>
      <c r="J2" s="289" t="s">
        <v>163</v>
      </c>
      <c r="K2" s="289" t="s">
        <v>164</v>
      </c>
      <c r="L2" s="301" t="s">
        <v>165</v>
      </c>
      <c r="M2" s="301" t="s">
        <v>166</v>
      </c>
      <c r="N2" s="289" t="s">
        <v>167</v>
      </c>
      <c r="O2" s="301" t="s">
        <v>168</v>
      </c>
      <c r="P2" s="301" t="s">
        <v>169</v>
      </c>
      <c r="Q2" s="302" t="s">
        <v>170</v>
      </c>
      <c r="R2" s="301" t="s">
        <v>171</v>
      </c>
      <c r="S2" s="302" t="s">
        <v>172</v>
      </c>
      <c r="T2" s="303" t="s">
        <v>173</v>
      </c>
      <c r="U2" s="303" t="s">
        <v>174</v>
      </c>
      <c r="V2" s="303" t="s">
        <v>175</v>
      </c>
      <c r="W2" s="304" t="s">
        <v>176</v>
      </c>
      <c r="X2" s="305" t="s">
        <v>177</v>
      </c>
      <c r="Y2" s="305" t="s">
        <v>178</v>
      </c>
      <c r="Z2" s="305" t="s">
        <v>179</v>
      </c>
      <c r="AA2" s="305" t="s">
        <v>180</v>
      </c>
      <c r="AB2" s="305" t="s">
        <v>181</v>
      </c>
      <c r="AC2" s="306" t="s">
        <v>182</v>
      </c>
      <c r="AD2" s="292"/>
      <c r="AE2" s="293"/>
      <c r="AF2" s="293"/>
    </row>
    <row r="3">
      <c r="A3" s="307">
        <v>46240</v>
      </c>
      <c r="B3" s="308" t="s">
        <v>183</v>
      </c>
      <c r="C3" s="309" t="s">
        <v>184</v>
      </c>
      <c r="D3" s="309">
        <f t="shared" ref="D3:D5" si="0">E3+F3</f>
      </c>
      <c r="E3" s="309">
        <v>80.87</v>
      </c>
      <c r="F3" s="309">
        <v>446.66</v>
      </c>
      <c r="G3" s="310">
        <v>0</v>
      </c>
      <c r="H3" s="310">
        <v>0</v>
      </c>
      <c r="I3" s="311">
        <f t="shared" ref="I3:I12" si="323">H3/D3</f>
      </c>
      <c r="J3" s="312">
        <f t="shared" ref="J3:J12" si="219">Y3/X3</f>
      </c>
      <c r="K3" s="313">
        <f t="shared" ref="K3:K12" si="141">D3/Z3</f>
      </c>
      <c r="L3" s="312">
        <f t="shared" ref="L3:L12" si="245">AA3/Z3</f>
      </c>
      <c r="M3" s="312">
        <f t="shared" ref="M3:M12" si="89">AB3/Z3</f>
      </c>
      <c r="N3" s="313">
        <f t="shared" ref="N3:N12" si="349">D3/AB3</f>
      </c>
      <c r="O3" s="312">
        <f t="shared" ref="O3:O12" si="271">AC3/AB3</f>
      </c>
      <c r="P3" s="312">
        <f t="shared" ref="P3:P12" si="167">G3/AC3</f>
      </c>
      <c r="Q3" s="314">
        <f t="shared" ref="Q3:Q12" si="115">D3/G3</f>
      </c>
      <c r="R3" s="315">
        <f t="shared" ref="R3:R12" si="375">H3/G3</f>
      </c>
      <c r="S3" s="314">
        <f t="shared" ref="S3:S12" si="297">D3/W3</f>
      </c>
      <c r="T3" s="316">
        <f t="shared" ref="T3:T12" si="193">AD3*1000/D3</f>
      </c>
      <c r="U3" s="317" t="s">
        <v>185</v>
      </c>
      <c r="V3" s="318" t="s">
        <v>186</v>
      </c>
      <c r="W3" s="310">
        <v>0</v>
      </c>
      <c r="X3" s="310">
        <v>2075</v>
      </c>
      <c r="Y3" s="310">
        <v>142</v>
      </c>
      <c r="Z3" s="310">
        <v>204</v>
      </c>
      <c r="AA3" s="310">
        <v>29</v>
      </c>
      <c r="AB3" s="310">
        <v>9</v>
      </c>
      <c r="AC3" s="310">
        <v>0</v>
      </c>
      <c r="AD3" s="310">
        <v>7</v>
      </c>
      <c r="AE3" s="293"/>
      <c r="AF3" s="293"/>
    </row>
    <row r="4">
      <c r="A4" s="307"/>
      <c r="B4" s="308" t="s">
        <v>187</v>
      </c>
      <c r="C4" s="309" t="s">
        <v>184</v>
      </c>
      <c r="D4" s="309">
        <f t="shared" si="0"/>
      </c>
      <c r="E4" s="309">
        <v>56.93</v>
      </c>
      <c r="F4" s="309">
        <v>355.71</v>
      </c>
      <c r="G4" s="310">
        <v>0</v>
      </c>
      <c r="H4" s="310">
        <v>0</v>
      </c>
      <c r="I4" s="311">
        <f t="shared" si="323"/>
      </c>
      <c r="J4" s="312">
        <f t="shared" si="219"/>
      </c>
      <c r="K4" s="313">
        <f t="shared" si="141"/>
      </c>
      <c r="L4" s="312">
        <f t="shared" si="245"/>
      </c>
      <c r="M4" s="312">
        <f t="shared" si="89"/>
      </c>
      <c r="N4" s="313">
        <f t="shared" si="349"/>
      </c>
      <c r="O4" s="312">
        <f t="shared" si="271"/>
      </c>
      <c r="P4" s="312">
        <f t="shared" si="167"/>
      </c>
      <c r="Q4" s="314">
        <f t="shared" si="115"/>
      </c>
      <c r="R4" s="315">
        <f t="shared" si="375"/>
      </c>
      <c r="S4" s="314">
        <f t="shared" si="297"/>
      </c>
      <c r="T4" s="316">
        <f t="shared" si="193"/>
      </c>
      <c r="U4" s="317" t="s">
        <v>185</v>
      </c>
      <c r="V4" s="318" t="s">
        <v>186</v>
      </c>
      <c r="W4" s="310">
        <v>0</v>
      </c>
      <c r="X4" s="310">
        <v>2094</v>
      </c>
      <c r="Y4" s="310">
        <v>154</v>
      </c>
      <c r="Z4" s="310">
        <v>252</v>
      </c>
      <c r="AA4" s="310">
        <v>49</v>
      </c>
      <c r="AB4" s="310">
        <v>4</v>
      </c>
      <c r="AC4" s="310">
        <v>0</v>
      </c>
      <c r="AD4" s="310">
        <v>1</v>
      </c>
      <c r="AE4" s="293"/>
      <c r="AF4" s="293"/>
    </row>
    <row r="5">
      <c r="A5" s="307"/>
      <c r="B5" s="308" t="s">
        <v>188</v>
      </c>
      <c r="C5" s="309" t="s">
        <v>184</v>
      </c>
      <c r="D5" s="309">
        <f t="shared" si="0"/>
      </c>
      <c r="E5" s="309">
        <v>44.55</v>
      </c>
      <c r="F5" s="309">
        <v>271.74</v>
      </c>
      <c r="G5" s="310">
        <v>0</v>
      </c>
      <c r="H5" s="310">
        <v>0</v>
      </c>
      <c r="I5" s="311">
        <f t="shared" si="323"/>
      </c>
      <c r="J5" s="312">
        <f t="shared" si="219"/>
      </c>
      <c r="K5" s="313">
        <f t="shared" si="141"/>
      </c>
      <c r="L5" s="312">
        <f t="shared" si="245"/>
      </c>
      <c r="M5" s="312">
        <f t="shared" si="89"/>
      </c>
      <c r="N5" s="313">
        <f t="shared" si="349"/>
      </c>
      <c r="O5" s="312">
        <f t="shared" si="271"/>
      </c>
      <c r="P5" s="312">
        <f t="shared" si="167"/>
      </c>
      <c r="Q5" s="314">
        <f t="shared" si="115"/>
      </c>
      <c r="R5" s="315">
        <f t="shared" si="375"/>
      </c>
      <c r="S5" s="314">
        <f t="shared" si="297"/>
      </c>
      <c r="T5" s="316">
        <f t="shared" si="193"/>
      </c>
      <c r="U5" s="317" t="s">
        <v>185</v>
      </c>
      <c r="V5" s="318" t="s">
        <v>186</v>
      </c>
      <c r="W5" s="310">
        <v>0</v>
      </c>
      <c r="X5" s="310">
        <v>1773</v>
      </c>
      <c r="Y5" s="310">
        <v>135</v>
      </c>
      <c r="Z5" s="310">
        <v>240</v>
      </c>
      <c r="AA5" s="310">
        <v>55</v>
      </c>
      <c r="AB5" s="310">
        <v>7</v>
      </c>
      <c r="AC5" s="310">
        <v>0</v>
      </c>
      <c r="AD5" s="310">
        <v>2</v>
      </c>
      <c r="AE5" s="293"/>
      <c r="AF5" s="293"/>
    </row>
    <row r="6">
      <c r="A6" s="307"/>
      <c r="B6" s="319" t="s">
        <v>189</v>
      </c>
      <c r="C6" s="319"/>
      <c r="D6" s="320">
        <f>SUM(D3:D5)</f>
      </c>
      <c r="E6" s="320">
        <f>SUM(E3:E5)</f>
      </c>
      <c r="F6" s="320">
        <f>SUM(F3:F5)</f>
      </c>
      <c r="G6" s="320">
        <f>SUM(G3:G5)</f>
      </c>
      <c r="H6" s="320">
        <f>SUM(H3:H5)</f>
      </c>
      <c r="I6" s="321">
        <f t="shared" si="323"/>
      </c>
      <c r="J6" s="322">
        <f t="shared" si="219"/>
      </c>
      <c r="K6" s="323">
        <f t="shared" si="141"/>
      </c>
      <c r="L6" s="322">
        <f t="shared" si="245"/>
      </c>
      <c r="M6" s="322">
        <f t="shared" si="89"/>
      </c>
      <c r="N6" s="323">
        <f t="shared" si="349"/>
      </c>
      <c r="O6" s="322">
        <f t="shared" si="271"/>
      </c>
      <c r="P6" s="322">
        <f t="shared" si="167"/>
      </c>
      <c r="Q6" s="324">
        <f t="shared" si="115"/>
      </c>
      <c r="R6" s="325">
        <f t="shared" si="375"/>
      </c>
      <c r="S6" s="324">
        <f t="shared" si="297"/>
      </c>
      <c r="T6" s="326">
        <f t="shared" si="193"/>
      </c>
      <c r="U6" s="326"/>
      <c r="V6" s="326"/>
      <c r="W6" s="320">
        <f>SUM(W3:W5)</f>
      </c>
      <c r="X6" s="320">
        <f>SUM(X3:X5)</f>
      </c>
      <c r="Y6" s="320">
        <f>SUM(Y3:Y5)</f>
      </c>
      <c r="Z6" s="320">
        <f>SUM(Z3:Z5)</f>
      </c>
      <c r="AA6" s="320">
        <f>SUM(AA3:AA5)</f>
      </c>
      <c r="AB6" s="320">
        <f>SUM(AB3:AB5)</f>
      </c>
      <c r="AC6" s="320">
        <f>SUM(AC3:AC5)</f>
      </c>
      <c r="AD6" s="320">
        <f>SUM(AD3:AD5)</f>
      </c>
      <c r="AE6" s="293"/>
      <c r="AF6" s="293"/>
    </row>
    <row r="7">
      <c r="A7" s="307"/>
      <c r="B7" s="308" t="s">
        <v>190</v>
      </c>
      <c r="C7" s="309" t="s">
        <v>191</v>
      </c>
      <c r="D7" s="309">
        <f t="shared" ref="D7:D10" si="1">E7+F7</f>
      </c>
      <c r="E7" s="309">
        <v>71.8</v>
      </c>
      <c r="F7" s="309">
        <v>211.4</v>
      </c>
      <c r="G7" s="310">
        <v>0</v>
      </c>
      <c r="H7" s="310">
        <v>0</v>
      </c>
      <c r="I7" s="311">
        <f t="shared" si="323"/>
      </c>
      <c r="J7" s="312">
        <f t="shared" si="219"/>
      </c>
      <c r="K7" s="313">
        <f t="shared" si="141"/>
      </c>
      <c r="L7" s="312">
        <f t="shared" si="245"/>
      </c>
      <c r="M7" s="312">
        <f t="shared" si="89"/>
      </c>
      <c r="N7" s="313">
        <f t="shared" si="349"/>
      </c>
      <c r="O7" s="312">
        <f t="shared" si="271"/>
      </c>
      <c r="P7" s="312">
        <f t="shared" si="167"/>
      </c>
      <c r="Q7" s="314">
        <f t="shared" si="115"/>
      </c>
      <c r="R7" s="315">
        <f t="shared" si="375"/>
      </c>
      <c r="S7" s="314">
        <f t="shared" si="297"/>
      </c>
      <c r="T7" s="316">
        <f t="shared" si="193"/>
      </c>
      <c r="U7" s="317" t="s">
        <v>185</v>
      </c>
      <c r="V7" s="318" t="s">
        <v>186</v>
      </c>
      <c r="W7" s="310">
        <v>0</v>
      </c>
      <c r="X7" s="310">
        <v>1609</v>
      </c>
      <c r="Y7" s="310">
        <v>139</v>
      </c>
      <c r="Z7" s="310">
        <v>233</v>
      </c>
      <c r="AA7" s="310">
        <v>40</v>
      </c>
      <c r="AB7" s="310">
        <v>8</v>
      </c>
      <c r="AC7" s="310">
        <v>0</v>
      </c>
      <c r="AD7" s="310">
        <v>1</v>
      </c>
      <c r="AE7" s="293"/>
      <c r="AF7" s="293"/>
    </row>
    <row r="8">
      <c r="A8" s="307"/>
      <c r="B8" s="308" t="s">
        <v>192</v>
      </c>
      <c r="C8" s="309" t="s">
        <v>191</v>
      </c>
      <c r="D8" s="309">
        <f t="shared" si="1"/>
      </c>
      <c r="E8" s="309">
        <v>111.67</v>
      </c>
      <c r="F8" s="309">
        <v>382.44</v>
      </c>
      <c r="G8" s="310">
        <v>1</v>
      </c>
      <c r="H8" s="310">
        <v>2898.48</v>
      </c>
      <c r="I8" s="311">
        <f t="shared" si="323"/>
      </c>
      <c r="J8" s="312">
        <f t="shared" si="219"/>
      </c>
      <c r="K8" s="313">
        <f t="shared" si="141"/>
      </c>
      <c r="L8" s="312">
        <f t="shared" si="245"/>
      </c>
      <c r="M8" s="312">
        <f t="shared" si="89"/>
      </c>
      <c r="N8" s="313">
        <f t="shared" si="349"/>
      </c>
      <c r="O8" s="312">
        <f t="shared" si="271"/>
      </c>
      <c r="P8" s="312">
        <f t="shared" si="167"/>
      </c>
      <c r="Q8" s="314">
        <f t="shared" si="115"/>
      </c>
      <c r="R8" s="315">
        <f t="shared" si="375"/>
      </c>
      <c r="S8" s="314">
        <f t="shared" si="297"/>
      </c>
      <c r="T8" s="316">
        <f t="shared" si="193"/>
      </c>
      <c r="U8" s="317" t="s">
        <v>185</v>
      </c>
      <c r="V8" s="318" t="s">
        <v>186</v>
      </c>
      <c r="W8" s="310">
        <v>0</v>
      </c>
      <c r="X8" s="310">
        <v>1773</v>
      </c>
      <c r="Y8" s="310">
        <v>193</v>
      </c>
      <c r="Z8" s="310">
        <v>381</v>
      </c>
      <c r="AA8" s="310">
        <v>51</v>
      </c>
      <c r="AB8" s="310">
        <v>6</v>
      </c>
      <c r="AC8" s="310">
        <v>1</v>
      </c>
      <c r="AD8" s="310">
        <v>6</v>
      </c>
      <c r="AE8" s="293"/>
      <c r="AF8" s="293"/>
    </row>
    <row r="9">
      <c r="A9" s="307"/>
      <c r="B9" s="308" t="s">
        <v>193</v>
      </c>
      <c r="C9" s="309" t="s">
        <v>191</v>
      </c>
      <c r="D9" s="309">
        <f t="shared" si="1"/>
      </c>
      <c r="E9" s="309">
        <v>212.83</v>
      </c>
      <c r="F9" s="309">
        <v>317.21</v>
      </c>
      <c r="G9" s="310">
        <v>0</v>
      </c>
      <c r="H9" s="310">
        <v>0</v>
      </c>
      <c r="I9" s="311">
        <f t="shared" si="323"/>
      </c>
      <c r="J9" s="312">
        <f t="shared" si="219"/>
      </c>
      <c r="K9" s="313">
        <f t="shared" si="141"/>
      </c>
      <c r="L9" s="312">
        <f t="shared" si="245"/>
      </c>
      <c r="M9" s="312">
        <f t="shared" si="89"/>
      </c>
      <c r="N9" s="313">
        <f t="shared" si="349"/>
      </c>
      <c r="O9" s="312">
        <f t="shared" si="271"/>
      </c>
      <c r="P9" s="312">
        <f t="shared" si="167"/>
      </c>
      <c r="Q9" s="314">
        <f t="shared" si="115"/>
      </c>
      <c r="R9" s="315">
        <f t="shared" si="375"/>
      </c>
      <c r="S9" s="314">
        <f t="shared" si="297"/>
      </c>
      <c r="T9" s="316">
        <f t="shared" si="193"/>
      </c>
      <c r="U9" s="317" t="s">
        <v>185</v>
      </c>
      <c r="V9" s="318" t="s">
        <v>186</v>
      </c>
      <c r="W9" s="310">
        <v>0</v>
      </c>
      <c r="X9" s="310">
        <v>2020</v>
      </c>
      <c r="Y9" s="310">
        <v>215</v>
      </c>
      <c r="Z9" s="310">
        <v>393</v>
      </c>
      <c r="AA9" s="310">
        <v>51</v>
      </c>
      <c r="AB9" s="310">
        <v>3</v>
      </c>
      <c r="AC9" s="310">
        <v>0</v>
      </c>
      <c r="AD9" s="310">
        <v>7</v>
      </c>
      <c r="AE9" s="293"/>
      <c r="AF9" s="293"/>
    </row>
    <row r="10">
      <c r="A10" s="307"/>
      <c r="B10" s="308" t="s">
        <v>194</v>
      </c>
      <c r="C10" s="309" t="s">
        <v>191</v>
      </c>
      <c r="D10" s="309">
        <f t="shared" si="1"/>
      </c>
      <c r="E10" s="309">
        <v>294.51</v>
      </c>
      <c r="F10" s="309">
        <v>160.11</v>
      </c>
      <c r="G10" s="310">
        <v>0</v>
      </c>
      <c r="H10" s="310">
        <v>0</v>
      </c>
      <c r="I10" s="311">
        <f t="shared" si="323"/>
      </c>
      <c r="J10" s="312">
        <f t="shared" si="219"/>
      </c>
      <c r="K10" s="313">
        <f t="shared" si="141"/>
      </c>
      <c r="L10" s="312">
        <f t="shared" si="245"/>
      </c>
      <c r="M10" s="312">
        <f t="shared" si="89"/>
      </c>
      <c r="N10" s="313">
        <f t="shared" si="349"/>
      </c>
      <c r="O10" s="312">
        <f t="shared" si="271"/>
      </c>
      <c r="P10" s="312">
        <f t="shared" si="167"/>
      </c>
      <c r="Q10" s="314">
        <f t="shared" si="115"/>
      </c>
      <c r="R10" s="315">
        <f t="shared" si="375"/>
      </c>
      <c r="S10" s="314">
        <f t="shared" si="297"/>
      </c>
      <c r="T10" s="316">
        <f t="shared" si="193"/>
      </c>
      <c r="U10" s="317" t="s">
        <v>185</v>
      </c>
      <c r="V10" s="318" t="s">
        <v>186</v>
      </c>
      <c r="W10" s="310">
        <v>0</v>
      </c>
      <c r="X10" s="310">
        <v>1358</v>
      </c>
      <c r="Y10" s="310">
        <v>188</v>
      </c>
      <c r="Z10" s="310">
        <v>276</v>
      </c>
      <c r="AA10" s="310">
        <v>47</v>
      </c>
      <c r="AB10" s="310">
        <v>4</v>
      </c>
      <c r="AC10" s="310">
        <v>0</v>
      </c>
      <c r="AD10" s="310">
        <v>5</v>
      </c>
      <c r="AE10" s="293"/>
      <c r="AF10" s="293"/>
    </row>
    <row r="11">
      <c r="A11" s="307"/>
      <c r="B11" s="319" t="s">
        <v>189</v>
      </c>
      <c r="C11" s="319"/>
      <c r="D11" s="320">
        <f>SUM(D7:D10)</f>
      </c>
      <c r="E11" s="320">
        <f>SUM(E7:E10)</f>
      </c>
      <c r="F11" s="320">
        <f>SUM(F7:F10)</f>
      </c>
      <c r="G11" s="320">
        <f>SUM(G7:G10)</f>
      </c>
      <c r="H11" s="320">
        <f>SUM(H7:H10)</f>
      </c>
      <c r="I11" s="321">
        <f t="shared" si="323"/>
      </c>
      <c r="J11" s="322">
        <f t="shared" si="219"/>
      </c>
      <c r="K11" s="323">
        <f t="shared" si="141"/>
      </c>
      <c r="L11" s="322">
        <f t="shared" si="245"/>
      </c>
      <c r="M11" s="322">
        <f t="shared" si="89"/>
      </c>
      <c r="N11" s="323">
        <f t="shared" si="349"/>
      </c>
      <c r="O11" s="322">
        <f t="shared" si="271"/>
      </c>
      <c r="P11" s="322">
        <f t="shared" si="167"/>
      </c>
      <c r="Q11" s="324">
        <f t="shared" si="115"/>
      </c>
      <c r="R11" s="325">
        <f t="shared" si="375"/>
      </c>
      <c r="S11" s="324">
        <f t="shared" si="297"/>
      </c>
      <c r="T11" s="326">
        <f t="shared" si="193"/>
      </c>
      <c r="U11" s="326"/>
      <c r="V11" s="326"/>
      <c r="W11" s="320">
        <f>SUM(W7:W10)</f>
      </c>
      <c r="X11" s="320">
        <f>SUM(X7:X10)</f>
      </c>
      <c r="Y11" s="320">
        <f>SUM(Y7:Y10)</f>
      </c>
      <c r="Z11" s="320">
        <f>SUM(Z7:Z10)</f>
      </c>
      <c r="AA11" s="320">
        <f>SUM(AA7:AA10)</f>
      </c>
      <c r="AB11" s="320">
        <f>SUM(AB7:AB10)</f>
      </c>
      <c r="AC11" s="320">
        <f>SUM(AC7:AC10)</f>
      </c>
      <c r="AD11" s="320">
        <f>SUM(AD7:AD10)</f>
      </c>
      <c r="AE11" s="293"/>
      <c r="AF11" s="293"/>
    </row>
    <row r="12">
      <c r="A12" s="307"/>
      <c r="B12" s="327" t="s">
        <v>195</v>
      </c>
      <c r="C12" s="327"/>
      <c r="D12" s="328">
        <f>+D11+D6</f>
      </c>
      <c r="E12" s="328">
        <f>+E11+E6</f>
      </c>
      <c r="F12" s="328">
        <f>+F11+F6</f>
      </c>
      <c r="G12" s="328">
        <f>+G11+G6</f>
      </c>
      <c r="H12" s="328">
        <f>+H11+H6</f>
      </c>
      <c r="I12" s="328">
        <f t="shared" si="323"/>
      </c>
      <c r="J12" s="329">
        <f t="shared" si="219"/>
      </c>
      <c r="K12" s="330">
        <f t="shared" si="141"/>
      </c>
      <c r="L12" s="331">
        <f t="shared" si="245"/>
      </c>
      <c r="M12" s="331">
        <f t="shared" si="89"/>
      </c>
      <c r="N12" s="330">
        <f t="shared" si="349"/>
      </c>
      <c r="O12" s="331">
        <f t="shared" si="271"/>
      </c>
      <c r="P12" s="331">
        <f t="shared" si="167"/>
      </c>
      <c r="Q12" s="330">
        <f t="shared" si="115"/>
      </c>
      <c r="R12" s="332">
        <f t="shared" si="375"/>
      </c>
      <c r="S12" s="330">
        <f t="shared" si="297"/>
      </c>
      <c r="T12" s="333">
        <f t="shared" si="193"/>
      </c>
      <c r="U12" s="333"/>
      <c r="V12" s="333"/>
      <c r="W12" s="328">
        <f>+W11+W6</f>
      </c>
      <c r="X12" s="328">
        <f>+X11+X6</f>
      </c>
      <c r="Y12" s="328">
        <f>+Y11+Y6</f>
      </c>
      <c r="Z12" s="328">
        <f>+Z11+Z6</f>
      </c>
      <c r="AA12" s="328">
        <f>+AA11+AA6</f>
      </c>
      <c r="AB12" s="328">
        <f>+AB11+AB6</f>
      </c>
      <c r="AC12" s="328">
        <f>+AC11+AC6</f>
      </c>
      <c r="AD12" s="328">
        <f>+AD11+AD6</f>
      </c>
      <c r="AE12" s="293"/>
      <c r="AF12" s="293"/>
    </row>
    <row r="13">
      <c r="A13" s="287" t="s">
        <v>150</v>
      </c>
      <c r="B13" s="287"/>
      <c r="C13" s="287"/>
      <c r="D13" s="334" t="s">
        <v>151</v>
      </c>
      <c r="E13" s="334"/>
      <c r="F13" s="334"/>
      <c r="G13" s="334"/>
      <c r="H13" s="334"/>
      <c r="I13" s="334"/>
      <c r="J13" s="289" t="s">
        <v>152</v>
      </c>
      <c r="K13" s="289"/>
      <c r="L13" s="289"/>
      <c r="M13" s="289"/>
      <c r="N13" s="289"/>
      <c r="O13" s="289"/>
      <c r="P13" s="289"/>
      <c r="Q13" s="289"/>
      <c r="R13" s="289"/>
      <c r="S13" s="289"/>
      <c r="T13" s="290"/>
      <c r="U13" s="290"/>
      <c r="V13" s="290"/>
      <c r="W13" s="291"/>
      <c r="X13" s="291"/>
      <c r="Y13" s="291"/>
      <c r="Z13" s="291"/>
      <c r="AA13" s="291"/>
      <c r="AB13" s="291"/>
      <c r="AC13" s="291"/>
      <c r="AD13" s="292" t="s">
        <v>153</v>
      </c>
      <c r="AE13" s="293"/>
      <c r="AF13" s="293"/>
    </row>
    <row r="14">
      <c r="A14" s="335" t="s">
        <v>154</v>
      </c>
      <c r="B14" s="287" t="s">
        <v>155</v>
      </c>
      <c r="C14" s="287" t="s">
        <v>156</v>
      </c>
      <c r="D14" s="336" t="s">
        <v>157</v>
      </c>
      <c r="E14" s="337" t="s">
        <v>158</v>
      </c>
      <c r="F14" s="337" t="s">
        <v>159</v>
      </c>
      <c r="G14" s="338" t="s">
        <v>160</v>
      </c>
      <c r="H14" s="336" t="s">
        <v>161</v>
      </c>
      <c r="I14" s="337" t="s">
        <v>162</v>
      </c>
      <c r="J14" s="339" t="s">
        <v>163</v>
      </c>
      <c r="K14" s="289" t="s">
        <v>164</v>
      </c>
      <c r="L14" s="301" t="s">
        <v>165</v>
      </c>
      <c r="M14" s="301" t="s">
        <v>166</v>
      </c>
      <c r="N14" s="289" t="s">
        <v>167</v>
      </c>
      <c r="O14" s="301" t="s">
        <v>168</v>
      </c>
      <c r="P14" s="301" t="s">
        <v>169</v>
      </c>
      <c r="Q14" s="302" t="s">
        <v>170</v>
      </c>
      <c r="R14" s="301" t="s">
        <v>171</v>
      </c>
      <c r="S14" s="302" t="s">
        <v>172</v>
      </c>
      <c r="T14" s="303" t="s">
        <v>173</v>
      </c>
      <c r="U14" s="303" t="s">
        <v>174</v>
      </c>
      <c r="V14" s="303" t="s">
        <v>175</v>
      </c>
      <c r="W14" s="304" t="s">
        <v>176</v>
      </c>
      <c r="X14" s="305" t="s">
        <v>177</v>
      </c>
      <c r="Y14" s="305" t="s">
        <v>178</v>
      </c>
      <c r="Z14" s="305" t="s">
        <v>179</v>
      </c>
      <c r="AA14" s="305" t="s">
        <v>180</v>
      </c>
      <c r="AB14" s="305" t="s">
        <v>181</v>
      </c>
      <c r="AC14" s="306" t="s">
        <v>182</v>
      </c>
      <c r="AD14" s="292"/>
      <c r="AE14" s="293"/>
      <c r="AF14" s="293"/>
    </row>
    <row r="15">
      <c r="A15" s="340">
        <v>46241</v>
      </c>
      <c r="B15" s="309" t="s">
        <v>196</v>
      </c>
      <c r="C15" s="309" t="s">
        <v>184</v>
      </c>
      <c r="D15" s="309">
        <f t="shared" ref="D15:D18" si="2">E15+F15</f>
      </c>
      <c r="E15" s="309">
        <v>472.75</v>
      </c>
      <c r="F15" s="309">
        <v>179.68</v>
      </c>
      <c r="G15" s="309">
        <v>0</v>
      </c>
      <c r="H15" s="309">
        <v>0</v>
      </c>
      <c r="I15" s="341">
        <f t="shared" ref="I15:I25" si="324">H15/D15</f>
      </c>
      <c r="J15" s="342">
        <f t="shared" ref="J15:J25" si="220">Y15/X15</f>
      </c>
      <c r="K15" s="313">
        <f t="shared" ref="K15:K25" si="142">D15/Z15</f>
      </c>
      <c r="L15" s="312">
        <f t="shared" ref="L15:L25" si="246">AA15/Z15</f>
      </c>
      <c r="M15" s="312">
        <f t="shared" ref="M15:M25" si="90">AB15/Z15</f>
      </c>
      <c r="N15" s="313">
        <f t="shared" ref="N15:N25" si="350">D15/AB15</f>
      </c>
      <c r="O15" s="312">
        <f t="shared" ref="O15:O25" si="272">AC15/AB15</f>
      </c>
      <c r="P15" s="312">
        <f t="shared" ref="P15:P25" si="168">G15/AC15</f>
      </c>
      <c r="Q15" s="314">
        <f t="shared" ref="Q15:Q25" si="116">D15/G15</f>
      </c>
      <c r="R15" s="315">
        <f t="shared" ref="R15:R25" si="376">H15/G15</f>
      </c>
      <c r="S15" s="314">
        <f t="shared" ref="S15:S25" si="298">D15/W15</f>
      </c>
      <c r="T15" s="316">
        <f t="shared" ref="T15:T25" si="194">AD15*1000/D15</f>
      </c>
      <c r="U15" s="317" t="s">
        <v>185</v>
      </c>
      <c r="V15" s="318" t="s">
        <v>186</v>
      </c>
      <c r="W15" s="310">
        <v>0</v>
      </c>
      <c r="X15" s="310">
        <v>1922</v>
      </c>
      <c r="Y15" s="310">
        <v>140</v>
      </c>
      <c r="Z15" s="310">
        <v>206</v>
      </c>
      <c r="AA15" s="310">
        <v>47</v>
      </c>
      <c r="AB15" s="310">
        <v>10</v>
      </c>
      <c r="AC15" s="310">
        <v>0</v>
      </c>
      <c r="AD15" s="310">
        <v>2</v>
      </c>
      <c r="AE15" s="293"/>
      <c r="AF15" s="293"/>
    </row>
    <row r="16">
      <c r="A16" s="340"/>
      <c r="B16" s="309" t="s">
        <v>183</v>
      </c>
      <c r="C16" s="309" t="s">
        <v>184</v>
      </c>
      <c r="D16" s="309">
        <f t="shared" si="2"/>
      </c>
      <c r="E16" s="309">
        <v>327.96</v>
      </c>
      <c r="F16" s="309">
        <v>155.35</v>
      </c>
      <c r="G16" s="309">
        <v>0</v>
      </c>
      <c r="H16" s="309">
        <v>0</v>
      </c>
      <c r="I16" s="341">
        <f t="shared" si="324"/>
      </c>
      <c r="J16" s="342">
        <f t="shared" si="220"/>
      </c>
      <c r="K16" s="313">
        <f t="shared" si="142"/>
      </c>
      <c r="L16" s="312">
        <f t="shared" si="246"/>
      </c>
      <c r="M16" s="312">
        <f t="shared" si="90"/>
      </c>
      <c r="N16" s="313">
        <f t="shared" si="350"/>
      </c>
      <c r="O16" s="312">
        <f t="shared" si="272"/>
      </c>
      <c r="P16" s="312">
        <f t="shared" si="168"/>
      </c>
      <c r="Q16" s="314">
        <f t="shared" si="116"/>
      </c>
      <c r="R16" s="315">
        <f t="shared" si="376"/>
      </c>
      <c r="S16" s="314">
        <f t="shared" si="298"/>
      </c>
      <c r="T16" s="316">
        <f t="shared" si="194"/>
      </c>
      <c r="U16" s="317" t="s">
        <v>185</v>
      </c>
      <c r="V16" s="318" t="s">
        <v>186</v>
      </c>
      <c r="W16" s="310">
        <v>0</v>
      </c>
      <c r="X16" s="310">
        <v>2110</v>
      </c>
      <c r="Y16" s="310">
        <v>119</v>
      </c>
      <c r="Z16" s="310">
        <v>196</v>
      </c>
      <c r="AA16" s="310">
        <v>43</v>
      </c>
      <c r="AB16" s="310">
        <v>17</v>
      </c>
      <c r="AC16" s="310">
        <v>0</v>
      </c>
      <c r="AD16" s="310">
        <v>7</v>
      </c>
      <c r="AE16" s="293"/>
      <c r="AF16" s="293"/>
    </row>
    <row r="17">
      <c r="A17" s="340"/>
      <c r="B17" s="309" t="s">
        <v>187</v>
      </c>
      <c r="C17" s="309" t="s">
        <v>184</v>
      </c>
      <c r="D17" s="309">
        <f t="shared" si="2"/>
      </c>
      <c r="E17" s="309">
        <v>1265.94</v>
      </c>
      <c r="F17" s="309">
        <v>321.75</v>
      </c>
      <c r="G17" s="309">
        <v>3</v>
      </c>
      <c r="H17" s="309">
        <v>3062.2799999999997</v>
      </c>
      <c r="I17" s="341">
        <f t="shared" si="324"/>
      </c>
      <c r="J17" s="342">
        <f t="shared" si="220"/>
      </c>
      <c r="K17" s="313">
        <f t="shared" si="142"/>
      </c>
      <c r="L17" s="312">
        <f t="shared" si="246"/>
      </c>
      <c r="M17" s="312">
        <f t="shared" si="90"/>
      </c>
      <c r="N17" s="313">
        <f t="shared" si="350"/>
      </c>
      <c r="O17" s="312">
        <f t="shared" si="272"/>
      </c>
      <c r="P17" s="312">
        <f t="shared" si="168"/>
      </c>
      <c r="Q17" s="314">
        <f t="shared" si="116"/>
      </c>
      <c r="R17" s="315">
        <f t="shared" si="376"/>
      </c>
      <c r="S17" s="314">
        <f t="shared" si="298"/>
      </c>
      <c r="T17" s="316">
        <f t="shared" si="194"/>
      </c>
      <c r="U17" s="317" t="s">
        <v>185</v>
      </c>
      <c r="V17" s="318" t="s">
        <v>186</v>
      </c>
      <c r="W17" s="310">
        <v>4</v>
      </c>
      <c r="X17" s="310">
        <v>4757</v>
      </c>
      <c r="Y17" s="310">
        <v>351</v>
      </c>
      <c r="Z17" s="310">
        <v>514</v>
      </c>
      <c r="AA17" s="310">
        <v>115</v>
      </c>
      <c r="AB17" s="310">
        <v>51</v>
      </c>
      <c r="AC17" s="310">
        <v>4</v>
      </c>
      <c r="AD17" s="310">
        <v>14</v>
      </c>
      <c r="AE17" s="293"/>
      <c r="AF17" s="293"/>
    </row>
    <row r="18">
      <c r="A18" s="340"/>
      <c r="B18" s="309" t="s">
        <v>188</v>
      </c>
      <c r="C18" s="309" t="s">
        <v>184</v>
      </c>
      <c r="D18" s="309">
        <f t="shared" si="2"/>
      </c>
      <c r="E18" s="309">
        <v>3521</v>
      </c>
      <c r="F18" s="309">
        <v>937.59</v>
      </c>
      <c r="G18" s="309">
        <v>4</v>
      </c>
      <c r="H18" s="309">
        <v>15252.719999999998</v>
      </c>
      <c r="I18" s="341">
        <f t="shared" si="324"/>
      </c>
      <c r="J18" s="342">
        <f t="shared" si="220"/>
      </c>
      <c r="K18" s="313">
        <f t="shared" si="142"/>
      </c>
      <c r="L18" s="312">
        <f t="shared" si="246"/>
      </c>
      <c r="M18" s="312">
        <f t="shared" si="90"/>
      </c>
      <c r="N18" s="313">
        <f t="shared" si="350"/>
      </c>
      <c r="O18" s="312">
        <f t="shared" si="272"/>
      </c>
      <c r="P18" s="312">
        <f t="shared" si="168"/>
      </c>
      <c r="Q18" s="314">
        <f t="shared" si="116"/>
      </c>
      <c r="R18" s="315">
        <f t="shared" si="376"/>
      </c>
      <c r="S18" s="314">
        <f t="shared" si="298"/>
      </c>
      <c r="T18" s="316">
        <f t="shared" si="194"/>
      </c>
      <c r="U18" s="317" t="s">
        <v>185</v>
      </c>
      <c r="V18" s="318" t="s">
        <v>186</v>
      </c>
      <c r="W18" s="310">
        <v>1</v>
      </c>
      <c r="X18" s="310">
        <v>17068</v>
      </c>
      <c r="Y18" s="310">
        <v>1034</v>
      </c>
      <c r="Z18" s="310">
        <v>1948</v>
      </c>
      <c r="AA18" s="310">
        <v>353</v>
      </c>
      <c r="AB18" s="310">
        <v>55</v>
      </c>
      <c r="AC18" s="310">
        <v>5</v>
      </c>
      <c r="AD18" s="310">
        <v>22</v>
      </c>
      <c r="AE18" s="293"/>
      <c r="AF18" s="293"/>
    </row>
    <row r="19">
      <c r="A19" s="340"/>
      <c r="B19" s="343" t="s">
        <v>189</v>
      </c>
      <c r="C19" s="343"/>
      <c r="D19" s="343">
        <f>SUM(D15:D18)</f>
      </c>
      <c r="E19" s="343">
        <f>SUM(E15:E18)</f>
      </c>
      <c r="F19" s="343">
        <f>SUM(F15:F18)</f>
      </c>
      <c r="G19" s="343">
        <f>SUM(G15:G18)</f>
      </c>
      <c r="H19" s="343">
        <f>SUM(H15:H18)</f>
      </c>
      <c r="I19" s="344">
        <f t="shared" si="324"/>
      </c>
      <c r="J19" s="345">
        <f t="shared" si="220"/>
      </c>
      <c r="K19" s="323">
        <f t="shared" si="142"/>
      </c>
      <c r="L19" s="322">
        <f t="shared" si="246"/>
      </c>
      <c r="M19" s="322">
        <f t="shared" si="90"/>
      </c>
      <c r="N19" s="323">
        <f t="shared" si="350"/>
      </c>
      <c r="O19" s="322">
        <f t="shared" si="272"/>
      </c>
      <c r="P19" s="322">
        <f t="shared" si="168"/>
      </c>
      <c r="Q19" s="324">
        <f t="shared" si="116"/>
      </c>
      <c r="R19" s="325">
        <f t="shared" si="376"/>
      </c>
      <c r="S19" s="324">
        <f t="shared" si="298"/>
      </c>
      <c r="T19" s="326">
        <f t="shared" si="194"/>
      </c>
      <c r="U19" s="326"/>
      <c r="V19" s="326"/>
      <c r="W19" s="320">
        <f>SUM(W15:W18)</f>
      </c>
      <c r="X19" s="320">
        <f>SUM(X15:X18)</f>
      </c>
      <c r="Y19" s="320">
        <f>SUM(Y15:Y18)</f>
      </c>
      <c r="Z19" s="320">
        <f>SUM(Z15:Z18)</f>
      </c>
      <c r="AA19" s="320">
        <f>SUM(AA15:AA18)</f>
      </c>
      <c r="AB19" s="320">
        <f>SUM(AB15:AB18)</f>
      </c>
      <c r="AC19" s="320">
        <f>SUM(AC15:AC18)</f>
      </c>
      <c r="AD19" s="320">
        <f>SUM(AD15:AD18)</f>
      </c>
      <c r="AE19" s="293"/>
      <c r="AF19" s="293"/>
    </row>
    <row r="20">
      <c r="A20" s="340"/>
      <c r="B20" s="346" t="s">
        <v>190</v>
      </c>
      <c r="C20" s="347" t="s">
        <v>197</v>
      </c>
      <c r="D20" s="347">
        <f t="shared" ref="D20:D23" si="3">E20+F20</f>
      </c>
      <c r="E20" s="347">
        <v>1957.8</v>
      </c>
      <c r="F20" s="347">
        <v>1308.19</v>
      </c>
      <c r="G20" s="348">
        <v>1</v>
      </c>
      <c r="H20" s="348">
        <v>3506.040000000001</v>
      </c>
      <c r="I20" s="349">
        <f t="shared" si="324"/>
      </c>
      <c r="J20" s="312">
        <f t="shared" si="220"/>
      </c>
      <c r="K20" s="313">
        <f t="shared" si="142"/>
      </c>
      <c r="L20" s="312">
        <f t="shared" si="246"/>
      </c>
      <c r="M20" s="312">
        <f t="shared" si="90"/>
      </c>
      <c r="N20" s="313">
        <f t="shared" si="350"/>
      </c>
      <c r="O20" s="312">
        <f t="shared" si="272"/>
      </c>
      <c r="P20" s="312">
        <f t="shared" si="168"/>
      </c>
      <c r="Q20" s="314">
        <f t="shared" si="116"/>
      </c>
      <c r="R20" s="315">
        <f t="shared" si="376"/>
      </c>
      <c r="S20" s="314">
        <f t="shared" si="298"/>
      </c>
      <c r="T20" s="316">
        <f t="shared" si="194"/>
      </c>
      <c r="U20" s="317" t="s">
        <v>185</v>
      </c>
      <c r="V20" s="318" t="s">
        <v>186</v>
      </c>
      <c r="W20" s="310">
        <v>1</v>
      </c>
      <c r="X20" s="310">
        <v>11933</v>
      </c>
      <c r="Y20" s="310">
        <v>1008</v>
      </c>
      <c r="Z20" s="310">
        <v>1827</v>
      </c>
      <c r="AA20" s="310">
        <v>300</v>
      </c>
      <c r="AB20" s="310">
        <v>32</v>
      </c>
      <c r="AC20" s="310">
        <v>1</v>
      </c>
      <c r="AD20" s="310">
        <v>12</v>
      </c>
      <c r="AE20" s="293"/>
      <c r="AF20" s="293"/>
    </row>
    <row r="21">
      <c r="A21" s="340"/>
      <c r="B21" s="308" t="s">
        <v>192</v>
      </c>
      <c r="C21" s="309" t="s">
        <v>197</v>
      </c>
      <c r="D21" s="309">
        <f t="shared" si="3"/>
      </c>
      <c r="E21" s="309">
        <v>951.75</v>
      </c>
      <c r="F21" s="309">
        <v>1381.2</v>
      </c>
      <c r="G21" s="310">
        <v>0</v>
      </c>
      <c r="H21" s="310">
        <v>0</v>
      </c>
      <c r="I21" s="311">
        <f t="shared" si="324"/>
      </c>
      <c r="J21" s="312">
        <f t="shared" si="220"/>
      </c>
      <c r="K21" s="313">
        <f t="shared" si="142"/>
      </c>
      <c r="L21" s="312">
        <f t="shared" si="246"/>
      </c>
      <c r="M21" s="312">
        <f t="shared" si="90"/>
      </c>
      <c r="N21" s="313">
        <f t="shared" si="350"/>
      </c>
      <c r="O21" s="312">
        <f t="shared" si="272"/>
      </c>
      <c r="P21" s="312">
        <f t="shared" si="168"/>
      </c>
      <c r="Q21" s="314">
        <f t="shared" si="116"/>
      </c>
      <c r="R21" s="315">
        <f t="shared" si="376"/>
      </c>
      <c r="S21" s="314">
        <f t="shared" si="298"/>
      </c>
      <c r="T21" s="316">
        <f t="shared" si="194"/>
      </c>
      <c r="U21" s="317" t="s">
        <v>185</v>
      </c>
      <c r="V21" s="318" t="s">
        <v>186</v>
      </c>
      <c r="W21" s="310">
        <v>0</v>
      </c>
      <c r="X21" s="310">
        <v>8627</v>
      </c>
      <c r="Y21" s="310">
        <v>790</v>
      </c>
      <c r="Z21" s="310">
        <v>1477</v>
      </c>
      <c r="AA21" s="310">
        <v>255</v>
      </c>
      <c r="AB21" s="310">
        <v>29</v>
      </c>
      <c r="AC21" s="310">
        <v>0</v>
      </c>
      <c r="AD21" s="310">
        <v>17</v>
      </c>
      <c r="AE21" s="293"/>
      <c r="AF21" s="293"/>
    </row>
    <row r="22">
      <c r="A22" s="340"/>
      <c r="B22" s="308" t="s">
        <v>193</v>
      </c>
      <c r="C22" s="309" t="s">
        <v>197</v>
      </c>
      <c r="D22" s="309">
        <f t="shared" si="3"/>
      </c>
      <c r="E22" s="309">
        <v>2411.99</v>
      </c>
      <c r="F22" s="309">
        <v>830.31</v>
      </c>
      <c r="G22" s="310">
        <v>3</v>
      </c>
      <c r="H22" s="310">
        <v>5614.919999999998</v>
      </c>
      <c r="I22" s="311">
        <f t="shared" si="324"/>
      </c>
      <c r="J22" s="312">
        <f t="shared" si="220"/>
      </c>
      <c r="K22" s="313">
        <f t="shared" si="142"/>
      </c>
      <c r="L22" s="312">
        <f t="shared" si="246"/>
      </c>
      <c r="M22" s="312">
        <f t="shared" si="90"/>
      </c>
      <c r="N22" s="313">
        <f t="shared" si="350"/>
      </c>
      <c r="O22" s="312">
        <f t="shared" si="272"/>
      </c>
      <c r="P22" s="312">
        <f t="shared" si="168"/>
      </c>
      <c r="Q22" s="314">
        <f t="shared" si="116"/>
      </c>
      <c r="R22" s="315">
        <f t="shared" si="376"/>
      </c>
      <c r="S22" s="314">
        <f t="shared" si="298"/>
      </c>
      <c r="T22" s="316">
        <f t="shared" si="194"/>
      </c>
      <c r="U22" s="317" t="s">
        <v>185</v>
      </c>
      <c r="V22" s="318" t="s">
        <v>186</v>
      </c>
      <c r="W22" s="310">
        <v>3</v>
      </c>
      <c r="X22" s="310">
        <v>9766</v>
      </c>
      <c r="Y22" s="310">
        <v>499</v>
      </c>
      <c r="Z22" s="310">
        <v>861</v>
      </c>
      <c r="AA22" s="310">
        <v>152</v>
      </c>
      <c r="AB22" s="310">
        <v>68</v>
      </c>
      <c r="AC22" s="310">
        <v>4</v>
      </c>
      <c r="AD22" s="310">
        <v>22</v>
      </c>
      <c r="AE22" s="293"/>
      <c r="AF22" s="293"/>
    </row>
    <row r="23">
      <c r="A23" s="340"/>
      <c r="B23" s="308" t="s">
        <v>194</v>
      </c>
      <c r="C23" s="309" t="s">
        <v>197</v>
      </c>
      <c r="D23" s="309">
        <f t="shared" si="3"/>
      </c>
      <c r="E23" s="309">
        <v>4998.51</v>
      </c>
      <c r="F23" s="309">
        <v>340.15</v>
      </c>
      <c r="G23" s="310">
        <v>6</v>
      </c>
      <c r="H23" s="310">
        <v>6943.799999999999</v>
      </c>
      <c r="I23" s="311">
        <f t="shared" si="324"/>
      </c>
      <c r="J23" s="312">
        <f t="shared" si="220"/>
      </c>
      <c r="K23" s="313">
        <f t="shared" si="142"/>
      </c>
      <c r="L23" s="312">
        <f t="shared" si="246"/>
      </c>
      <c r="M23" s="312">
        <f t="shared" si="90"/>
      </c>
      <c r="N23" s="313">
        <f t="shared" si="350"/>
      </c>
      <c r="O23" s="312">
        <f t="shared" si="272"/>
      </c>
      <c r="P23" s="312">
        <f t="shared" si="168"/>
      </c>
      <c r="Q23" s="314">
        <f t="shared" si="116"/>
      </c>
      <c r="R23" s="315">
        <f t="shared" si="376"/>
      </c>
      <c r="S23" s="314">
        <f t="shared" si="298"/>
      </c>
      <c r="T23" s="316">
        <f t="shared" si="194"/>
      </c>
      <c r="U23" s="317" t="s">
        <v>185</v>
      </c>
      <c r="V23" s="318" t="s">
        <v>186</v>
      </c>
      <c r="W23" s="310">
        <v>5</v>
      </c>
      <c r="X23" s="310">
        <v>24077</v>
      </c>
      <c r="Y23" s="310">
        <v>657</v>
      </c>
      <c r="Z23" s="310">
        <v>970</v>
      </c>
      <c r="AA23" s="310">
        <v>180</v>
      </c>
      <c r="AB23" s="310">
        <v>119</v>
      </c>
      <c r="AC23" s="310">
        <v>6</v>
      </c>
      <c r="AD23" s="310">
        <v>33</v>
      </c>
      <c r="AE23" s="293"/>
      <c r="AF23" s="293"/>
    </row>
    <row r="24">
      <c r="A24" s="340"/>
      <c r="B24" s="319" t="s">
        <v>189</v>
      </c>
      <c r="C24" s="319"/>
      <c r="D24" s="320">
        <f>SUM(D20:D23)</f>
      </c>
      <c r="E24" s="320">
        <f>SUM(E20:E23)</f>
      </c>
      <c r="F24" s="320">
        <f>SUM(F20:F23)</f>
      </c>
      <c r="G24" s="320">
        <f>SUM(G20:G23)</f>
      </c>
      <c r="H24" s="320">
        <f>SUM(H20:H23)</f>
      </c>
      <c r="I24" s="321">
        <f t="shared" si="324"/>
      </c>
      <c r="J24" s="322">
        <f t="shared" si="220"/>
      </c>
      <c r="K24" s="323">
        <f t="shared" si="142"/>
      </c>
      <c r="L24" s="322">
        <f t="shared" si="246"/>
      </c>
      <c r="M24" s="322">
        <f t="shared" si="90"/>
      </c>
      <c r="N24" s="323">
        <f t="shared" si="350"/>
      </c>
      <c r="O24" s="322">
        <f t="shared" si="272"/>
      </c>
      <c r="P24" s="322">
        <f t="shared" si="168"/>
      </c>
      <c r="Q24" s="324">
        <f t="shared" si="116"/>
      </c>
      <c r="R24" s="325">
        <f t="shared" si="376"/>
      </c>
      <c r="S24" s="324">
        <f t="shared" si="298"/>
      </c>
      <c r="T24" s="326">
        <f t="shared" si="194"/>
      </c>
      <c r="U24" s="326"/>
      <c r="V24" s="326"/>
      <c r="W24" s="320">
        <f>SUM(W20:W23)</f>
      </c>
      <c r="X24" s="320">
        <f>SUM(X20:X23)</f>
      </c>
      <c r="Y24" s="320">
        <f>SUM(Y20:Y23)</f>
      </c>
      <c r="Z24" s="320">
        <f>SUM(Z20:Z23)</f>
      </c>
      <c r="AA24" s="320">
        <f>SUM(AA20:AA23)</f>
      </c>
      <c r="AB24" s="320">
        <f>SUM(AB20:AB23)</f>
      </c>
      <c r="AC24" s="320">
        <f>SUM(AC20:AC23)</f>
      </c>
      <c r="AD24" s="320">
        <f>SUM(AD20:AD23)</f>
      </c>
      <c r="AE24" s="293"/>
      <c r="AF24" s="293"/>
    </row>
    <row r="25">
      <c r="A25" s="350"/>
      <c r="B25" s="351" t="s">
        <v>195</v>
      </c>
      <c r="C25" s="351"/>
      <c r="D25" s="328">
        <f>+D24+D19</f>
      </c>
      <c r="E25" s="328">
        <f>+E24+E19</f>
      </c>
      <c r="F25" s="328">
        <f>+F24+F19</f>
      </c>
      <c r="G25" s="328">
        <f>+G24+G19</f>
      </c>
      <c r="H25" s="328">
        <f>+H24+H19</f>
      </c>
      <c r="I25" s="328">
        <f t="shared" si="324"/>
      </c>
      <c r="J25" s="329">
        <f t="shared" si="220"/>
      </c>
      <c r="K25" s="330">
        <f t="shared" si="142"/>
      </c>
      <c r="L25" s="331">
        <f t="shared" si="246"/>
      </c>
      <c r="M25" s="331">
        <f t="shared" si="90"/>
      </c>
      <c r="N25" s="330">
        <f t="shared" si="350"/>
      </c>
      <c r="O25" s="331">
        <f t="shared" si="272"/>
      </c>
      <c r="P25" s="331">
        <f t="shared" si="168"/>
      </c>
      <c r="Q25" s="330">
        <f t="shared" si="116"/>
      </c>
      <c r="R25" s="332">
        <f t="shared" si="376"/>
      </c>
      <c r="S25" s="330">
        <f t="shared" si="298"/>
      </c>
      <c r="T25" s="333">
        <f t="shared" si="194"/>
      </c>
      <c r="U25" s="333"/>
      <c r="V25" s="333"/>
      <c r="W25" s="328">
        <f>+W24+W19</f>
      </c>
      <c r="X25" s="328">
        <f>+X24+X19</f>
      </c>
      <c r="Y25" s="328">
        <f>+Y24+Y19</f>
      </c>
      <c r="Z25" s="328">
        <f>+Z24+Z19</f>
      </c>
      <c r="AA25" s="328">
        <f>+AA24+AA19</f>
      </c>
      <c r="AB25" s="328">
        <f>+AB24+AB19</f>
      </c>
      <c r="AC25" s="328">
        <f>+AC24+AC19</f>
      </c>
      <c r="AD25" s="328">
        <f>+AD24+AD19</f>
      </c>
      <c r="AE25" s="293"/>
      <c r="AF25" s="293"/>
    </row>
    <row r="26">
      <c r="A26" s="352" t="s">
        <v>150</v>
      </c>
      <c r="B26" s="353"/>
      <c r="C26" s="353"/>
      <c r="D26" s="334" t="s">
        <v>151</v>
      </c>
      <c r="E26" s="334"/>
      <c r="F26" s="334"/>
      <c r="G26" s="334"/>
      <c r="H26" s="334"/>
      <c r="I26" s="334"/>
      <c r="J26" s="289" t="s">
        <v>152</v>
      </c>
      <c r="K26" s="289"/>
      <c r="L26" s="289"/>
      <c r="M26" s="289"/>
      <c r="N26" s="289"/>
      <c r="O26" s="289"/>
      <c r="P26" s="289"/>
      <c r="Q26" s="289"/>
      <c r="R26" s="289"/>
      <c r="S26" s="289"/>
      <c r="T26" s="290"/>
      <c r="U26" s="290"/>
      <c r="V26" s="290"/>
      <c r="W26" s="291"/>
      <c r="X26" s="291"/>
      <c r="Y26" s="291"/>
      <c r="Z26" s="291"/>
      <c r="AA26" s="291"/>
      <c r="AB26" s="291"/>
      <c r="AC26" s="291"/>
      <c r="AD26" s="292" t="s">
        <v>153</v>
      </c>
      <c r="AE26" s="293"/>
      <c r="AF26" s="293"/>
    </row>
    <row r="27">
      <c r="A27" s="354" t="s">
        <v>154</v>
      </c>
      <c r="B27" s="352" t="s">
        <v>155</v>
      </c>
      <c r="C27" s="352" t="s">
        <v>156</v>
      </c>
      <c r="D27" s="334" t="s">
        <v>157</v>
      </c>
      <c r="E27" s="337" t="s">
        <v>158</v>
      </c>
      <c r="F27" s="337" t="s">
        <v>159</v>
      </c>
      <c r="G27" s="338" t="s">
        <v>160</v>
      </c>
      <c r="H27" s="336" t="s">
        <v>161</v>
      </c>
      <c r="I27" s="337" t="s">
        <v>162</v>
      </c>
      <c r="J27" s="339" t="s">
        <v>163</v>
      </c>
      <c r="K27" s="289" t="s">
        <v>164</v>
      </c>
      <c r="L27" s="301" t="s">
        <v>165</v>
      </c>
      <c r="M27" s="301" t="s">
        <v>166</v>
      </c>
      <c r="N27" s="289" t="s">
        <v>167</v>
      </c>
      <c r="O27" s="301" t="s">
        <v>168</v>
      </c>
      <c r="P27" s="301" t="s">
        <v>169</v>
      </c>
      <c r="Q27" s="302" t="s">
        <v>170</v>
      </c>
      <c r="R27" s="301" t="s">
        <v>171</v>
      </c>
      <c r="S27" s="302" t="s">
        <v>172</v>
      </c>
      <c r="T27" s="303" t="s">
        <v>173</v>
      </c>
      <c r="U27" s="303" t="s">
        <v>174</v>
      </c>
      <c r="V27" s="303" t="s">
        <v>175</v>
      </c>
      <c r="W27" s="304" t="s">
        <v>176</v>
      </c>
      <c r="X27" s="305" t="s">
        <v>177</v>
      </c>
      <c r="Y27" s="305" t="s">
        <v>178</v>
      </c>
      <c r="Z27" s="305" t="s">
        <v>179</v>
      </c>
      <c r="AA27" s="305" t="s">
        <v>180</v>
      </c>
      <c r="AB27" s="305" t="s">
        <v>181</v>
      </c>
      <c r="AC27" s="306" t="s">
        <v>182</v>
      </c>
      <c r="AD27" s="292"/>
      <c r="AE27" s="293"/>
      <c r="AF27" s="293"/>
    </row>
    <row r="28">
      <c r="A28" s="355">
        <v>46242</v>
      </c>
      <c r="B28" s="356" t="s">
        <v>196</v>
      </c>
      <c r="C28" s="356" t="s">
        <v>184</v>
      </c>
      <c r="D28" s="357">
        <f t="shared" ref="D28:D31" si="4">E28+F28</f>
      </c>
      <c r="E28" s="308">
        <v>2000</v>
      </c>
      <c r="F28" s="358">
        <v>593.31</v>
      </c>
      <c r="G28" s="358">
        <v>0</v>
      </c>
      <c r="H28" s="358">
        <v>0</v>
      </c>
      <c r="I28" s="341">
        <f t="shared" ref="I28:I38" si="325">H28/D28</f>
      </c>
      <c r="J28" s="342">
        <f t="shared" ref="J28:J38" si="221">Y28/X28</f>
      </c>
      <c r="K28" s="313">
        <f t="shared" ref="K28:K38" si="143">D28/Z28</f>
      </c>
      <c r="L28" s="312">
        <f t="shared" ref="L28:L38" si="247">AA28/Z28</f>
      </c>
      <c r="M28" s="312">
        <f t="shared" ref="M28:M38" si="91">AB28/Z28</f>
      </c>
      <c r="N28" s="313">
        <f t="shared" ref="N28:N38" si="351">D28/AB28</f>
      </c>
      <c r="O28" s="312">
        <f t="shared" ref="O28:O38" si="273">AC28/AB28</f>
      </c>
      <c r="P28" s="312">
        <f t="shared" ref="P28:P38" si="169">G28/AC28</f>
      </c>
      <c r="Q28" s="314">
        <f t="shared" ref="Q28:Q38" si="117">D28/G28</f>
      </c>
      <c r="R28" s="315">
        <f t="shared" ref="R28:R38" si="377">H28/G28</f>
      </c>
      <c r="S28" s="314">
        <f t="shared" ref="S28:S38" si="299">D28/W28</f>
      </c>
      <c r="T28" s="316">
        <f t="shared" ref="T28:T38" si="195">AD28*1000/D28</f>
      </c>
      <c r="U28" s="317" t="s">
        <v>185</v>
      </c>
      <c r="V28" s="318" t="s">
        <v>186</v>
      </c>
      <c r="W28" s="310">
        <v>0</v>
      </c>
      <c r="X28" s="310">
        <v>11353</v>
      </c>
      <c r="Y28" s="310">
        <v>479</v>
      </c>
      <c r="Z28" s="310">
        <v>722</v>
      </c>
      <c r="AA28" s="310">
        <v>147</v>
      </c>
      <c r="AB28" s="310">
        <v>51</v>
      </c>
      <c r="AC28" s="359">
        <v>1</v>
      </c>
      <c r="AD28" s="359">
        <v>16</v>
      </c>
      <c r="AE28" s="293"/>
      <c r="AF28" s="293"/>
    </row>
    <row r="29">
      <c r="A29" s="355"/>
      <c r="B29" s="360" t="s">
        <v>183</v>
      </c>
      <c r="C29" s="360" t="s">
        <v>184</v>
      </c>
      <c r="D29" s="357">
        <f t="shared" si="4"/>
      </c>
      <c r="E29" s="308">
        <v>1165.71</v>
      </c>
      <c r="F29" s="309">
        <v>464.67</v>
      </c>
      <c r="G29" s="358">
        <v>0</v>
      </c>
      <c r="H29" s="358">
        <v>0</v>
      </c>
      <c r="I29" s="341">
        <f t="shared" si="325"/>
      </c>
      <c r="J29" s="342">
        <f t="shared" si="221"/>
      </c>
      <c r="K29" s="313">
        <f t="shared" si="143"/>
      </c>
      <c r="L29" s="312">
        <f t="shared" si="247"/>
      </c>
      <c r="M29" s="312">
        <f t="shared" si="91"/>
      </c>
      <c r="N29" s="313">
        <f t="shared" si="351"/>
      </c>
      <c r="O29" s="312">
        <f t="shared" si="273"/>
      </c>
      <c r="P29" s="312">
        <f t="shared" si="169"/>
      </c>
      <c r="Q29" s="314">
        <f t="shared" si="117"/>
      </c>
      <c r="R29" s="315">
        <f t="shared" si="377"/>
      </c>
      <c r="S29" s="314">
        <f t="shared" si="299"/>
      </c>
      <c r="T29" s="316">
        <f t="shared" si="195"/>
      </c>
      <c r="U29" s="317" t="s">
        <v>185</v>
      </c>
      <c r="V29" s="318" t="s">
        <v>186</v>
      </c>
      <c r="W29" s="310">
        <v>0</v>
      </c>
      <c r="X29" s="310">
        <v>8932</v>
      </c>
      <c r="Y29" s="310">
        <v>344</v>
      </c>
      <c r="Z29" s="310">
        <v>644</v>
      </c>
      <c r="AA29" s="310">
        <v>109</v>
      </c>
      <c r="AB29" s="310">
        <v>21</v>
      </c>
      <c r="AC29" s="359">
        <v>0</v>
      </c>
      <c r="AD29" s="359">
        <v>9</v>
      </c>
      <c r="AE29" s="293"/>
      <c r="AF29" s="293"/>
    </row>
    <row r="30">
      <c r="A30" s="355"/>
      <c r="B30" s="360" t="s">
        <v>187</v>
      </c>
      <c r="C30" s="360" t="s">
        <v>184</v>
      </c>
      <c r="D30" s="357">
        <f t="shared" si="4"/>
      </c>
      <c r="E30" s="308">
        <v>1699.17</v>
      </c>
      <c r="F30" s="309">
        <v>922.92</v>
      </c>
      <c r="G30" s="358">
        <v>2</v>
      </c>
      <c r="H30" s="309">
        <v>6995.88</v>
      </c>
      <c r="I30" s="341">
        <f t="shared" si="325"/>
      </c>
      <c r="J30" s="342">
        <f t="shared" si="221"/>
      </c>
      <c r="K30" s="313">
        <f t="shared" si="143"/>
      </c>
      <c r="L30" s="312">
        <f t="shared" si="247"/>
      </c>
      <c r="M30" s="312">
        <f t="shared" si="91"/>
      </c>
      <c r="N30" s="313">
        <f t="shared" si="351"/>
      </c>
      <c r="O30" s="312">
        <f t="shared" si="273"/>
      </c>
      <c r="P30" s="312">
        <f t="shared" si="169"/>
      </c>
      <c r="Q30" s="314">
        <f t="shared" si="117"/>
      </c>
      <c r="R30" s="315">
        <f t="shared" si="377"/>
      </c>
      <c r="S30" s="314">
        <f t="shared" si="299"/>
      </c>
      <c r="T30" s="316">
        <f t="shared" si="195"/>
      </c>
      <c r="U30" s="317" t="s">
        <v>185</v>
      </c>
      <c r="V30" s="318" t="s">
        <v>186</v>
      </c>
      <c r="W30" s="310">
        <v>3</v>
      </c>
      <c r="X30" s="310">
        <v>9436</v>
      </c>
      <c r="Y30" s="310">
        <v>570</v>
      </c>
      <c r="Z30" s="310">
        <v>1066</v>
      </c>
      <c r="AA30" s="310">
        <v>200</v>
      </c>
      <c r="AB30" s="310">
        <v>58</v>
      </c>
      <c r="AC30" s="359">
        <v>2</v>
      </c>
      <c r="AD30" s="359">
        <v>20</v>
      </c>
      <c r="AE30" s="293"/>
      <c r="AF30" s="293"/>
    </row>
    <row r="31">
      <c r="A31" s="355"/>
      <c r="B31" s="360" t="s">
        <v>188</v>
      </c>
      <c r="C31" s="360" t="s">
        <v>184</v>
      </c>
      <c r="D31" s="357">
        <f t="shared" si="4"/>
      </c>
      <c r="E31" s="308">
        <v>3074.58</v>
      </c>
      <c r="F31" s="309">
        <v>699.57</v>
      </c>
      <c r="G31" s="309">
        <v>1</v>
      </c>
      <c r="H31" s="309">
        <v>2057.1600000000008</v>
      </c>
      <c r="I31" s="341">
        <f t="shared" si="325"/>
      </c>
      <c r="J31" s="342">
        <f t="shared" si="221"/>
      </c>
      <c r="K31" s="313">
        <f t="shared" si="143"/>
      </c>
      <c r="L31" s="312">
        <f t="shared" si="247"/>
      </c>
      <c r="M31" s="312">
        <f t="shared" si="91"/>
      </c>
      <c r="N31" s="313">
        <f t="shared" si="351"/>
      </c>
      <c r="O31" s="312">
        <f t="shared" si="273"/>
      </c>
      <c r="P31" s="312">
        <f t="shared" si="169"/>
      </c>
      <c r="Q31" s="314">
        <f t="shared" si="117"/>
      </c>
      <c r="R31" s="315">
        <f t="shared" si="377"/>
      </c>
      <c r="S31" s="314">
        <f t="shared" si="299"/>
      </c>
      <c r="T31" s="316">
        <f t="shared" si="195"/>
      </c>
      <c r="U31" s="317" t="s">
        <v>185</v>
      </c>
      <c r="V31" s="318" t="s">
        <v>186</v>
      </c>
      <c r="W31" s="310">
        <v>0</v>
      </c>
      <c r="X31" s="310">
        <v>22006</v>
      </c>
      <c r="Y31" s="310">
        <v>884</v>
      </c>
      <c r="Z31" s="310">
        <v>1323</v>
      </c>
      <c r="AA31" s="310">
        <v>260</v>
      </c>
      <c r="AB31" s="310">
        <v>147</v>
      </c>
      <c r="AC31" s="359">
        <v>3</v>
      </c>
      <c r="AD31" s="359">
        <v>28</v>
      </c>
      <c r="AE31" s="293"/>
      <c r="AF31" s="293"/>
    </row>
    <row r="32">
      <c r="A32" s="355"/>
      <c r="B32" s="361" t="s">
        <v>189</v>
      </c>
      <c r="C32" s="361"/>
      <c r="D32" s="362">
        <f>SUM(D28:D31)</f>
      </c>
      <c r="E32" s="363">
        <f>SUM(E28:E31)</f>
      </c>
      <c r="F32" s="343">
        <f>SUM(F28:F31)</f>
      </c>
      <c r="G32" s="343">
        <f>SUM(G28:G31)</f>
      </c>
      <c r="H32" s="343">
        <f>SUM(H28:H31)</f>
      </c>
      <c r="I32" s="344">
        <f t="shared" si="325"/>
      </c>
      <c r="J32" s="345">
        <f t="shared" si="221"/>
      </c>
      <c r="K32" s="323">
        <f t="shared" si="143"/>
      </c>
      <c r="L32" s="322">
        <f t="shared" si="247"/>
      </c>
      <c r="M32" s="322">
        <f t="shared" si="91"/>
      </c>
      <c r="N32" s="323">
        <f t="shared" si="351"/>
      </c>
      <c r="O32" s="322">
        <f t="shared" si="273"/>
      </c>
      <c r="P32" s="322">
        <f t="shared" si="169"/>
      </c>
      <c r="Q32" s="324">
        <f t="shared" si="117"/>
      </c>
      <c r="R32" s="325">
        <f t="shared" si="377"/>
      </c>
      <c r="S32" s="324">
        <f t="shared" si="299"/>
      </c>
      <c r="T32" s="326">
        <f t="shared" si="195"/>
      </c>
      <c r="U32" s="326"/>
      <c r="V32" s="326"/>
      <c r="W32" s="320">
        <f>SUM(W28:W31)</f>
      </c>
      <c r="X32" s="320">
        <f>SUM(X28:X31)</f>
      </c>
      <c r="Y32" s="320">
        <f>SUM(Y28:Y31)</f>
      </c>
      <c r="Z32" s="320">
        <f>SUM(Z28:Z31)</f>
      </c>
      <c r="AA32" s="320">
        <f>SUM(AA28:AA31)</f>
      </c>
      <c r="AB32" s="320">
        <f>SUM(AB28:AB31)</f>
      </c>
      <c r="AC32" s="320">
        <f>SUM(AC28:AC31)</f>
      </c>
      <c r="AD32" s="320">
        <f>SUM(AD28:AD31)</f>
      </c>
      <c r="AE32" s="293"/>
      <c r="AF32" s="293"/>
    </row>
    <row r="33">
      <c r="A33" s="355"/>
      <c r="B33" s="360" t="s">
        <v>190</v>
      </c>
      <c r="C33" s="360" t="s">
        <v>198</v>
      </c>
      <c r="D33" s="357">
        <f t="shared" ref="D33:D36" si="5">E33+F33</f>
      </c>
      <c r="E33" s="346">
        <v>3876.33</v>
      </c>
      <c r="F33" s="347">
        <v>208.24</v>
      </c>
      <c r="G33" s="364">
        <v>0</v>
      </c>
      <c r="H33" s="364">
        <v>0</v>
      </c>
      <c r="I33" s="349">
        <f t="shared" si="325"/>
      </c>
      <c r="J33" s="312">
        <f t="shared" si="221"/>
      </c>
      <c r="K33" s="313">
        <f t="shared" si="143"/>
      </c>
      <c r="L33" s="312">
        <f t="shared" si="247"/>
      </c>
      <c r="M33" s="312">
        <f t="shared" si="91"/>
      </c>
      <c r="N33" s="313">
        <f t="shared" si="351"/>
      </c>
      <c r="O33" s="312">
        <f t="shared" si="273"/>
      </c>
      <c r="P33" s="312">
        <f t="shared" si="169"/>
      </c>
      <c r="Q33" s="314">
        <f t="shared" si="117"/>
      </c>
      <c r="R33" s="315">
        <f t="shared" si="377"/>
      </c>
      <c r="S33" s="314">
        <f t="shared" si="299"/>
      </c>
      <c r="T33" s="316">
        <f t="shared" si="195"/>
      </c>
      <c r="U33" s="317" t="s">
        <v>185</v>
      </c>
      <c r="V33" s="318" t="s">
        <v>186</v>
      </c>
      <c r="W33" s="310">
        <v>0</v>
      </c>
      <c r="X33" s="310">
        <v>11888</v>
      </c>
      <c r="Y33" s="310">
        <v>270</v>
      </c>
      <c r="Z33" s="310">
        <v>419</v>
      </c>
      <c r="AA33" s="310">
        <v>97</v>
      </c>
      <c r="AB33" s="310">
        <v>92</v>
      </c>
      <c r="AC33" s="359">
        <v>0</v>
      </c>
      <c r="AD33" s="359">
        <v>27</v>
      </c>
      <c r="AE33" s="293"/>
      <c r="AF33" s="293"/>
    </row>
    <row r="34">
      <c r="A34" s="355"/>
      <c r="B34" s="360" t="s">
        <v>192</v>
      </c>
      <c r="C34" s="360" t="s">
        <v>198</v>
      </c>
      <c r="D34" s="357">
        <f t="shared" si="5"/>
      </c>
      <c r="E34" s="308">
        <v>1984.21</v>
      </c>
      <c r="F34" s="309">
        <v>457.21</v>
      </c>
      <c r="G34" s="310">
        <v>1</v>
      </c>
      <c r="H34" s="310">
        <v>3754.5599999999995</v>
      </c>
      <c r="I34" s="311">
        <f t="shared" si="325"/>
      </c>
      <c r="J34" s="312">
        <f t="shared" si="221"/>
      </c>
      <c r="K34" s="313">
        <f t="shared" si="143"/>
      </c>
      <c r="L34" s="312">
        <f t="shared" si="247"/>
      </c>
      <c r="M34" s="312">
        <f t="shared" si="91"/>
      </c>
      <c r="N34" s="313">
        <f t="shared" si="351"/>
      </c>
      <c r="O34" s="312">
        <f t="shared" si="273"/>
      </c>
      <c r="P34" s="312">
        <f t="shared" si="169"/>
      </c>
      <c r="Q34" s="314">
        <f t="shared" si="117"/>
      </c>
      <c r="R34" s="315">
        <f t="shared" si="377"/>
      </c>
      <c r="S34" s="314">
        <f t="shared" si="299"/>
      </c>
      <c r="T34" s="316">
        <f t="shared" si="195"/>
      </c>
      <c r="U34" s="317" t="s">
        <v>185</v>
      </c>
      <c r="V34" s="318" t="s">
        <v>186</v>
      </c>
      <c r="W34" s="310">
        <v>0</v>
      </c>
      <c r="X34" s="310">
        <v>7996</v>
      </c>
      <c r="Y34" s="310">
        <v>357</v>
      </c>
      <c r="Z34" s="310">
        <v>588</v>
      </c>
      <c r="AA34" s="310">
        <v>124</v>
      </c>
      <c r="AB34" s="310">
        <v>70</v>
      </c>
      <c r="AC34" s="359">
        <v>2</v>
      </c>
      <c r="AD34" s="359">
        <v>14</v>
      </c>
      <c r="AE34" s="293"/>
      <c r="AF34" s="293"/>
    </row>
    <row r="35">
      <c r="A35" s="355"/>
      <c r="B35" s="360" t="s">
        <v>193</v>
      </c>
      <c r="C35" s="360" t="s">
        <v>198</v>
      </c>
      <c r="D35" s="357">
        <f t="shared" si="5"/>
      </c>
      <c r="E35" s="308">
        <v>2000.15</v>
      </c>
      <c r="F35" s="309">
        <v>763.14</v>
      </c>
      <c r="G35" s="310">
        <v>3</v>
      </c>
      <c r="H35" s="310">
        <v>5888.359999999999</v>
      </c>
      <c r="I35" s="311">
        <f t="shared" si="325"/>
      </c>
      <c r="J35" s="312">
        <f t="shared" si="221"/>
      </c>
      <c r="K35" s="313">
        <f t="shared" si="143"/>
      </c>
      <c r="L35" s="312">
        <f t="shared" si="247"/>
      </c>
      <c r="M35" s="312">
        <f t="shared" si="91"/>
      </c>
      <c r="N35" s="313">
        <f t="shared" si="351"/>
      </c>
      <c r="O35" s="312">
        <f t="shared" si="273"/>
      </c>
      <c r="P35" s="312">
        <f t="shared" si="169"/>
      </c>
      <c r="Q35" s="314">
        <f t="shared" si="117"/>
      </c>
      <c r="R35" s="315">
        <f t="shared" si="377"/>
      </c>
      <c r="S35" s="314">
        <f t="shared" si="299"/>
      </c>
      <c r="T35" s="316">
        <f t="shared" si="195"/>
      </c>
      <c r="U35" s="317" t="s">
        <v>185</v>
      </c>
      <c r="V35" s="318" t="s">
        <v>186</v>
      </c>
      <c r="W35" s="310">
        <v>4</v>
      </c>
      <c r="X35" s="310">
        <v>12832</v>
      </c>
      <c r="Y35" s="310">
        <v>619</v>
      </c>
      <c r="Z35" s="310">
        <v>1077</v>
      </c>
      <c r="AA35" s="310">
        <v>183</v>
      </c>
      <c r="AB35" s="310">
        <v>89</v>
      </c>
      <c r="AC35" s="359">
        <v>5</v>
      </c>
      <c r="AD35" s="359">
        <v>21</v>
      </c>
      <c r="AE35" s="293"/>
      <c r="AF35" s="293"/>
    </row>
    <row r="36">
      <c r="A36" s="355"/>
      <c r="B36" s="360" t="s">
        <v>194</v>
      </c>
      <c r="C36" s="360" t="s">
        <v>198</v>
      </c>
      <c r="D36" s="357">
        <f t="shared" si="5"/>
      </c>
      <c r="E36" s="308">
        <v>1567.7</v>
      </c>
      <c r="F36" s="309">
        <v>518</v>
      </c>
      <c r="G36" s="310">
        <v>1</v>
      </c>
      <c r="H36" s="310">
        <v>8542.920000000002</v>
      </c>
      <c r="I36" s="311">
        <f t="shared" si="325"/>
      </c>
      <c r="J36" s="312">
        <f t="shared" si="221"/>
      </c>
      <c r="K36" s="313">
        <f t="shared" si="143"/>
      </c>
      <c r="L36" s="312">
        <f t="shared" si="247"/>
      </c>
      <c r="M36" s="312">
        <f t="shared" si="91"/>
      </c>
      <c r="N36" s="313">
        <f t="shared" si="351"/>
      </c>
      <c r="O36" s="312">
        <f t="shared" si="273"/>
      </c>
      <c r="P36" s="312">
        <f t="shared" si="169"/>
      </c>
      <c r="Q36" s="314">
        <f t="shared" si="117"/>
      </c>
      <c r="R36" s="315">
        <f t="shared" si="377"/>
      </c>
      <c r="S36" s="314">
        <f t="shared" si="299"/>
      </c>
      <c r="T36" s="316">
        <f t="shared" si="195"/>
      </c>
      <c r="U36" s="317" t="s">
        <v>185</v>
      </c>
      <c r="V36" s="318" t="s">
        <v>186</v>
      </c>
      <c r="W36" s="310">
        <v>0</v>
      </c>
      <c r="X36" s="310">
        <v>10224</v>
      </c>
      <c r="Y36" s="310">
        <v>282</v>
      </c>
      <c r="Z36" s="310">
        <v>498</v>
      </c>
      <c r="AA36" s="310">
        <v>89</v>
      </c>
      <c r="AB36" s="310">
        <v>50</v>
      </c>
      <c r="AC36" s="359">
        <v>1</v>
      </c>
      <c r="AD36" s="359">
        <v>12</v>
      </c>
      <c r="AE36" s="293"/>
      <c r="AF36" s="293"/>
    </row>
    <row r="37">
      <c r="A37" s="355"/>
      <c r="B37" s="361" t="s">
        <v>189</v>
      </c>
      <c r="C37" s="361"/>
      <c r="D37" s="365">
        <f>SUM(D33:D36)</f>
      </c>
      <c r="E37" s="320">
        <f>SUM(E33:E36)</f>
      </c>
      <c r="F37" s="320">
        <f>SUM(F33:F36)</f>
      </c>
      <c r="G37" s="320">
        <f>SUM(G33:G36)</f>
      </c>
      <c r="H37" s="320">
        <f>SUM(H33:H36)</f>
      </c>
      <c r="I37" s="321">
        <f t="shared" si="325"/>
      </c>
      <c r="J37" s="322">
        <f t="shared" si="221"/>
      </c>
      <c r="K37" s="323">
        <f t="shared" si="143"/>
      </c>
      <c r="L37" s="322">
        <f t="shared" si="247"/>
      </c>
      <c r="M37" s="322">
        <f t="shared" si="91"/>
      </c>
      <c r="N37" s="323">
        <f t="shared" si="351"/>
      </c>
      <c r="O37" s="322">
        <f t="shared" si="273"/>
      </c>
      <c r="P37" s="322">
        <f t="shared" si="169"/>
      </c>
      <c r="Q37" s="324">
        <f t="shared" si="117"/>
      </c>
      <c r="R37" s="325">
        <f t="shared" si="377"/>
      </c>
      <c r="S37" s="324">
        <f t="shared" si="299"/>
      </c>
      <c r="T37" s="326">
        <f t="shared" si="195"/>
      </c>
      <c r="U37" s="326"/>
      <c r="V37" s="326"/>
      <c r="W37" s="320">
        <f>SUM(W33:W36)</f>
      </c>
      <c r="X37" s="320">
        <f>SUM(X33:X36)</f>
      </c>
      <c r="Y37" s="320">
        <f>SUM(Y33:Y36)</f>
      </c>
      <c r="Z37" s="320">
        <f>SUM(Z33:Z36)</f>
      </c>
      <c r="AA37" s="320">
        <f>SUM(AA33:AA36)</f>
      </c>
      <c r="AB37" s="320">
        <f>SUM(AB33:AB36)</f>
      </c>
      <c r="AC37" s="320">
        <f>SUM(AC33:AC36)</f>
      </c>
      <c r="AD37" s="320">
        <f>SUM(AD33:AD36)</f>
      </c>
      <c r="AE37" s="293"/>
      <c r="AF37" s="293"/>
    </row>
    <row r="38">
      <c r="A38" s="355"/>
      <c r="B38" s="366" t="s">
        <v>195</v>
      </c>
      <c r="C38" s="366"/>
      <c r="D38" s="367">
        <f>+D37+D32</f>
      </c>
      <c r="E38" s="328">
        <f>+E37+E32</f>
      </c>
      <c r="F38" s="328">
        <f>+F37+F32</f>
      </c>
      <c r="G38" s="328">
        <f>+G37+G32</f>
      </c>
      <c r="H38" s="328">
        <f>+H37+H32</f>
      </c>
      <c r="I38" s="328">
        <f t="shared" si="325"/>
      </c>
      <c r="J38" s="329">
        <f t="shared" si="221"/>
      </c>
      <c r="K38" s="330">
        <f t="shared" si="143"/>
      </c>
      <c r="L38" s="331">
        <f t="shared" si="247"/>
      </c>
      <c r="M38" s="331">
        <f t="shared" si="91"/>
      </c>
      <c r="N38" s="330">
        <f t="shared" si="351"/>
      </c>
      <c r="O38" s="331">
        <f t="shared" si="273"/>
      </c>
      <c r="P38" s="331">
        <f t="shared" si="169"/>
      </c>
      <c r="Q38" s="330">
        <f t="shared" si="117"/>
      </c>
      <c r="R38" s="332">
        <f t="shared" si="377"/>
      </c>
      <c r="S38" s="330">
        <f t="shared" si="299"/>
      </c>
      <c r="T38" s="333">
        <f t="shared" si="195"/>
      </c>
      <c r="U38" s="333"/>
      <c r="V38" s="333"/>
      <c r="W38" s="328">
        <f>+W37+W32</f>
      </c>
      <c r="X38" s="328">
        <f>+X37+X32</f>
      </c>
      <c r="Y38" s="328">
        <f>+Y37+Y32</f>
      </c>
      <c r="Z38" s="328">
        <f>+Z37+Z32</f>
      </c>
      <c r="AA38" s="328">
        <f>+AA37+AA32</f>
      </c>
      <c r="AB38" s="328">
        <f>+AB37+AB32</f>
      </c>
      <c r="AC38" s="328">
        <f>+AC37+AC32</f>
      </c>
      <c r="AD38" s="328">
        <f>+AD37+AD32</f>
      </c>
      <c r="AE38" s="293"/>
      <c r="AF38" s="293"/>
    </row>
    <row r="39">
      <c r="A39" s="352" t="s">
        <v>150</v>
      </c>
      <c r="B39" s="352"/>
      <c r="C39" s="352"/>
      <c r="D39" s="334" t="s">
        <v>151</v>
      </c>
      <c r="E39" s="334"/>
      <c r="F39" s="334"/>
      <c r="G39" s="334"/>
      <c r="H39" s="334"/>
      <c r="I39" s="334"/>
      <c r="J39" s="289" t="s">
        <v>152</v>
      </c>
      <c r="K39" s="289"/>
      <c r="L39" s="289"/>
      <c r="M39" s="289"/>
      <c r="N39" s="289"/>
      <c r="O39" s="289"/>
      <c r="P39" s="289"/>
      <c r="Q39" s="289"/>
      <c r="R39" s="289"/>
      <c r="S39" s="289"/>
      <c r="T39" s="290"/>
      <c r="U39" s="290"/>
      <c r="V39" s="290"/>
      <c r="W39" s="291"/>
      <c r="X39" s="291"/>
      <c r="Y39" s="291"/>
      <c r="Z39" s="291"/>
      <c r="AA39" s="291"/>
      <c r="AB39" s="291"/>
      <c r="AC39" s="291"/>
      <c r="AD39" s="292" t="s">
        <v>153</v>
      </c>
      <c r="AE39" s="293"/>
      <c r="AF39" s="293"/>
    </row>
    <row r="40">
      <c r="A40" s="354" t="s">
        <v>154</v>
      </c>
      <c r="B40" s="352" t="s">
        <v>155</v>
      </c>
      <c r="C40" s="352" t="s">
        <v>156</v>
      </c>
      <c r="D40" s="334" t="s">
        <v>157</v>
      </c>
      <c r="E40" s="337" t="s">
        <v>158</v>
      </c>
      <c r="F40" s="337" t="s">
        <v>159</v>
      </c>
      <c r="G40" s="338" t="s">
        <v>160</v>
      </c>
      <c r="H40" s="336" t="s">
        <v>161</v>
      </c>
      <c r="I40" s="337" t="s">
        <v>162</v>
      </c>
      <c r="J40" s="339" t="s">
        <v>163</v>
      </c>
      <c r="K40" s="289" t="s">
        <v>164</v>
      </c>
      <c r="L40" s="301" t="s">
        <v>165</v>
      </c>
      <c r="M40" s="301" t="s">
        <v>166</v>
      </c>
      <c r="N40" s="289" t="s">
        <v>167</v>
      </c>
      <c r="O40" s="301" t="s">
        <v>168</v>
      </c>
      <c r="P40" s="301" t="s">
        <v>169</v>
      </c>
      <c r="Q40" s="302" t="s">
        <v>170</v>
      </c>
      <c r="R40" s="301" t="s">
        <v>171</v>
      </c>
      <c r="S40" s="302" t="s">
        <v>172</v>
      </c>
      <c r="T40" s="303" t="s">
        <v>173</v>
      </c>
      <c r="U40" s="303" t="s">
        <v>174</v>
      </c>
      <c r="V40" s="303" t="s">
        <v>175</v>
      </c>
      <c r="W40" s="304" t="s">
        <v>176</v>
      </c>
      <c r="X40" s="305" t="s">
        <v>177</v>
      </c>
      <c r="Y40" s="305" t="s">
        <v>178</v>
      </c>
      <c r="Z40" s="305" t="s">
        <v>179</v>
      </c>
      <c r="AA40" s="305" t="s">
        <v>180</v>
      </c>
      <c r="AB40" s="305" t="s">
        <v>181</v>
      </c>
      <c r="AC40" s="306" t="s">
        <v>182</v>
      </c>
      <c r="AD40" s="292"/>
      <c r="AE40" s="293"/>
      <c r="AF40" s="293"/>
    </row>
    <row r="41">
      <c r="A41" s="368">
        <v>46243</v>
      </c>
      <c r="B41" s="356" t="s">
        <v>196</v>
      </c>
      <c r="C41" s="356" t="s">
        <v>184</v>
      </c>
      <c r="D41" s="357">
        <f t="shared" ref="D41:D44" si="6">E41+F41</f>
      </c>
      <c r="E41" s="308">
        <v>2000</v>
      </c>
      <c r="F41" s="358">
        <v>476.71</v>
      </c>
      <c r="G41" s="358">
        <v>2</v>
      </c>
      <c r="H41" s="358">
        <v>2165.3999999999996</v>
      </c>
      <c r="I41" s="341">
        <f t="shared" ref="I41:I51" si="326">H41/D41</f>
      </c>
      <c r="J41" s="342">
        <f t="shared" ref="J41:J51" si="222">Y41/X41</f>
      </c>
      <c r="K41" s="313">
        <f t="shared" ref="K41:K51" si="144">D41/Z41</f>
      </c>
      <c r="L41" s="312">
        <f t="shared" ref="L41:L51" si="248">AA41/Z41</f>
      </c>
      <c r="M41" s="312">
        <f t="shared" ref="M41:M51" si="92">AB41/Z41</f>
      </c>
      <c r="N41" s="313">
        <f t="shared" ref="N41:N51" si="352">D41/AB41</f>
      </c>
      <c r="O41" s="312">
        <f t="shared" ref="O41:O51" si="274">AC41/AB41</f>
      </c>
      <c r="P41" s="312">
        <f t="shared" ref="P41:P51" si="170">G41/AC41</f>
      </c>
      <c r="Q41" s="314">
        <f t="shared" ref="Q41:Q51" si="118">D41/G41</f>
      </c>
      <c r="R41" s="315">
        <f t="shared" ref="R41:R51" si="378">H41/G41</f>
      </c>
      <c r="S41" s="314">
        <f t="shared" ref="S41:S51" si="300">D41/W41</f>
      </c>
      <c r="T41" s="316">
        <f t="shared" ref="T41:T51" si="196">AD41*1000/D41</f>
      </c>
      <c r="U41" s="317" t="s">
        <v>185</v>
      </c>
      <c r="V41" s="318" t="s">
        <v>186</v>
      </c>
      <c r="W41" s="310">
        <v>2</v>
      </c>
      <c r="X41" s="310">
        <v>8710</v>
      </c>
      <c r="Y41" s="310">
        <v>431</v>
      </c>
      <c r="Z41" s="310">
        <v>692</v>
      </c>
      <c r="AA41" s="310">
        <v>145</v>
      </c>
      <c r="AB41" s="310">
        <v>60</v>
      </c>
      <c r="AC41" s="359">
        <v>3</v>
      </c>
      <c r="AD41" s="359">
        <v>13</v>
      </c>
      <c r="AE41" s="293"/>
      <c r="AF41" s="293"/>
    </row>
    <row r="42">
      <c r="A42" s="355"/>
      <c r="B42" s="360" t="s">
        <v>183</v>
      </c>
      <c r="C42" s="360" t="s">
        <v>184</v>
      </c>
      <c r="D42" s="357">
        <f t="shared" si="6"/>
      </c>
      <c r="E42" s="308">
        <v>1679.86</v>
      </c>
      <c r="F42" s="309">
        <v>437.28</v>
      </c>
      <c r="G42" s="358">
        <v>1</v>
      </c>
      <c r="H42" s="358">
        <v>4843.799999999999</v>
      </c>
      <c r="I42" s="341">
        <f t="shared" si="326"/>
      </c>
      <c r="J42" s="342">
        <f t="shared" si="222"/>
      </c>
      <c r="K42" s="313">
        <f t="shared" si="144"/>
      </c>
      <c r="L42" s="312">
        <f t="shared" si="248"/>
      </c>
      <c r="M42" s="312">
        <f t="shared" si="92"/>
      </c>
      <c r="N42" s="313">
        <f t="shared" si="352"/>
      </c>
      <c r="O42" s="312">
        <f t="shared" si="274"/>
      </c>
      <c r="P42" s="312">
        <f t="shared" si="170"/>
      </c>
      <c r="Q42" s="314">
        <f t="shared" si="118"/>
      </c>
      <c r="R42" s="315">
        <f t="shared" si="378"/>
      </c>
      <c r="S42" s="314">
        <f t="shared" si="300"/>
      </c>
      <c r="T42" s="316">
        <f t="shared" si="196"/>
      </c>
      <c r="U42" s="317" t="s">
        <v>185</v>
      </c>
      <c r="V42" s="318" t="s">
        <v>186</v>
      </c>
      <c r="W42" s="310">
        <v>1</v>
      </c>
      <c r="X42" s="310">
        <v>10130</v>
      </c>
      <c r="Y42" s="310">
        <v>420</v>
      </c>
      <c r="Z42" s="310">
        <v>719</v>
      </c>
      <c r="AA42" s="310">
        <v>145</v>
      </c>
      <c r="AB42" s="310">
        <v>59</v>
      </c>
      <c r="AC42" s="359">
        <v>1</v>
      </c>
      <c r="AD42" s="359">
        <v>13</v>
      </c>
      <c r="AE42" s="293"/>
      <c r="AF42" s="293"/>
    </row>
    <row r="43">
      <c r="A43" s="355"/>
      <c r="B43" s="360" t="s">
        <v>187</v>
      </c>
      <c r="C43" s="360" t="s">
        <v>184</v>
      </c>
      <c r="D43" s="357">
        <f t="shared" si="6"/>
      </c>
      <c r="E43" s="308">
        <v>3292.67</v>
      </c>
      <c r="F43" s="309">
        <v>228.98</v>
      </c>
      <c r="G43" s="358">
        <v>1</v>
      </c>
      <c r="H43" s="309">
        <v>6033.120000000001</v>
      </c>
      <c r="I43" s="341">
        <f t="shared" si="326"/>
      </c>
      <c r="J43" s="342">
        <f t="shared" si="222"/>
      </c>
      <c r="K43" s="313">
        <f t="shared" si="144"/>
      </c>
      <c r="L43" s="312">
        <f t="shared" si="248"/>
      </c>
      <c r="M43" s="312">
        <f t="shared" si="92"/>
      </c>
      <c r="N43" s="313">
        <f t="shared" si="352"/>
      </c>
      <c r="O43" s="312">
        <f t="shared" si="274"/>
      </c>
      <c r="P43" s="312">
        <f t="shared" si="170"/>
      </c>
      <c r="Q43" s="314">
        <f t="shared" si="118"/>
      </c>
      <c r="R43" s="315">
        <f t="shared" si="378"/>
      </c>
      <c r="S43" s="314">
        <f t="shared" si="300"/>
      </c>
      <c r="T43" s="316">
        <f t="shared" si="196"/>
      </c>
      <c r="U43" s="317" t="s">
        <v>185</v>
      </c>
      <c r="V43" s="318" t="s">
        <v>186</v>
      </c>
      <c r="W43" s="310">
        <v>0</v>
      </c>
      <c r="X43" s="310">
        <v>12348</v>
      </c>
      <c r="Y43" s="310">
        <v>400</v>
      </c>
      <c r="Z43" s="310">
        <v>567</v>
      </c>
      <c r="AA43" s="310">
        <v>114</v>
      </c>
      <c r="AB43" s="310">
        <v>71</v>
      </c>
      <c r="AC43" s="359">
        <v>2</v>
      </c>
      <c r="AD43" s="359">
        <v>12</v>
      </c>
      <c r="AE43" s="293"/>
      <c r="AF43" s="293"/>
    </row>
    <row r="44">
      <c r="A44" s="355"/>
      <c r="B44" s="360" t="s">
        <v>188</v>
      </c>
      <c r="C44" s="360" t="s">
        <v>184</v>
      </c>
      <c r="D44" s="357">
        <f t="shared" si="6"/>
      </c>
      <c r="E44" s="308">
        <v>1950.57</v>
      </c>
      <c r="F44" s="309">
        <v>186.59</v>
      </c>
      <c r="G44" s="358">
        <v>0</v>
      </c>
      <c r="H44" s="358">
        <v>0</v>
      </c>
      <c r="I44" s="341">
        <f t="shared" si="326"/>
      </c>
      <c r="J44" s="342">
        <f t="shared" si="222"/>
      </c>
      <c r="K44" s="313">
        <f t="shared" si="144"/>
      </c>
      <c r="L44" s="312">
        <f t="shared" si="248"/>
      </c>
      <c r="M44" s="312">
        <f t="shared" si="92"/>
      </c>
      <c r="N44" s="313">
        <f t="shared" si="352"/>
      </c>
      <c r="O44" s="312">
        <f t="shared" si="274"/>
      </c>
      <c r="P44" s="312">
        <f t="shared" si="170"/>
      </c>
      <c r="Q44" s="314">
        <f t="shared" si="118"/>
      </c>
      <c r="R44" s="315">
        <f t="shared" si="378"/>
      </c>
      <c r="S44" s="314">
        <f t="shared" si="300"/>
      </c>
      <c r="T44" s="316">
        <f t="shared" si="196"/>
      </c>
      <c r="U44" s="317" t="s">
        <v>185</v>
      </c>
      <c r="V44" s="318" t="s">
        <v>186</v>
      </c>
      <c r="W44" s="310">
        <v>0</v>
      </c>
      <c r="X44" s="310">
        <v>7225</v>
      </c>
      <c r="Y44" s="310">
        <v>243</v>
      </c>
      <c r="Z44" s="310">
        <v>372</v>
      </c>
      <c r="AA44" s="310">
        <v>75</v>
      </c>
      <c r="AB44" s="310">
        <v>41</v>
      </c>
      <c r="AC44" s="359">
        <v>1</v>
      </c>
      <c r="AD44" s="359">
        <v>14</v>
      </c>
      <c r="AE44" s="293"/>
      <c r="AF44" s="293"/>
    </row>
    <row r="45">
      <c r="A45" s="355"/>
      <c r="B45" s="361" t="s">
        <v>189</v>
      </c>
      <c r="C45" s="361"/>
      <c r="D45" s="362">
        <f>SUM(D41:D44)</f>
      </c>
      <c r="E45" s="363">
        <f>SUM(E41:E44)</f>
      </c>
      <c r="F45" s="343">
        <f>SUM(F41:F44)</f>
      </c>
      <c r="G45" s="343">
        <f>SUM(G41:G44)</f>
      </c>
      <c r="H45" s="343">
        <f>SUM(H41:H44)</f>
      </c>
      <c r="I45" s="344">
        <f t="shared" si="326"/>
      </c>
      <c r="J45" s="345">
        <f t="shared" si="222"/>
      </c>
      <c r="K45" s="323">
        <f t="shared" si="144"/>
      </c>
      <c r="L45" s="322">
        <f t="shared" si="248"/>
      </c>
      <c r="M45" s="322">
        <f t="shared" si="92"/>
      </c>
      <c r="N45" s="323">
        <f t="shared" si="352"/>
      </c>
      <c r="O45" s="322">
        <f t="shared" si="274"/>
      </c>
      <c r="P45" s="322">
        <f t="shared" si="170"/>
      </c>
      <c r="Q45" s="324">
        <f t="shared" si="118"/>
      </c>
      <c r="R45" s="325">
        <f t="shared" si="378"/>
      </c>
      <c r="S45" s="324">
        <f t="shared" si="300"/>
      </c>
      <c r="T45" s="326">
        <f t="shared" si="196"/>
      </c>
      <c r="U45" s="326"/>
      <c r="V45" s="326"/>
      <c r="W45" s="320">
        <f>SUM(W41:W44)</f>
      </c>
      <c r="X45" s="320">
        <f>SUM(X41:X44)</f>
      </c>
      <c r="Y45" s="320">
        <f>SUM(Y41:Y44)</f>
      </c>
      <c r="Z45" s="320">
        <f>SUM(Z41:Z44)</f>
      </c>
      <c r="AA45" s="320">
        <f>SUM(AA41:AA44)</f>
      </c>
      <c r="AB45" s="320">
        <f>SUM(AB41:AB44)</f>
      </c>
      <c r="AC45" s="320">
        <f>SUM(AC41:AC44)</f>
      </c>
      <c r="AD45" s="320">
        <f>SUM(AD41:AD44)</f>
      </c>
      <c r="AE45" s="293"/>
      <c r="AF45" s="293"/>
    </row>
    <row r="46">
      <c r="A46" s="355"/>
      <c r="B46" s="360" t="s">
        <v>190</v>
      </c>
      <c r="C46" s="369" t="s">
        <v>197</v>
      </c>
      <c r="D46" s="357">
        <f t="shared" ref="D46:D49" si="7">E46+F46</f>
      </c>
      <c r="E46" s="346">
        <v>2030.12</v>
      </c>
      <c r="F46" s="347">
        <v>444.68</v>
      </c>
      <c r="G46" s="364">
        <v>1</v>
      </c>
      <c r="H46" s="364">
        <v>4001.4000000000015</v>
      </c>
      <c r="I46" s="349">
        <f t="shared" si="326"/>
      </c>
      <c r="J46" s="312">
        <f t="shared" si="222"/>
      </c>
      <c r="K46" s="313">
        <f t="shared" si="144"/>
      </c>
      <c r="L46" s="312">
        <f t="shared" si="248"/>
      </c>
      <c r="M46" s="312">
        <f t="shared" si="92"/>
      </c>
      <c r="N46" s="313">
        <f t="shared" si="352"/>
      </c>
      <c r="O46" s="312">
        <f t="shared" si="274"/>
      </c>
      <c r="P46" s="312">
        <f t="shared" si="170"/>
      </c>
      <c r="Q46" s="314">
        <f t="shared" si="118"/>
      </c>
      <c r="R46" s="315">
        <f t="shared" si="378"/>
      </c>
      <c r="S46" s="314">
        <f t="shared" si="300"/>
      </c>
      <c r="T46" s="316">
        <f t="shared" si="196"/>
      </c>
      <c r="U46" s="317" t="s">
        <v>185</v>
      </c>
      <c r="V46" s="318" t="s">
        <v>186</v>
      </c>
      <c r="W46" s="310">
        <v>1</v>
      </c>
      <c r="X46" s="310">
        <v>8418</v>
      </c>
      <c r="Y46" s="310">
        <v>428</v>
      </c>
      <c r="Z46" s="310">
        <v>679</v>
      </c>
      <c r="AA46" s="310">
        <v>134</v>
      </c>
      <c r="AB46" s="310">
        <v>65</v>
      </c>
      <c r="AC46" s="359">
        <v>2</v>
      </c>
      <c r="AD46" s="359">
        <v>20</v>
      </c>
      <c r="AE46" s="293"/>
      <c r="AF46" s="293"/>
    </row>
    <row r="47">
      <c r="A47" s="355"/>
      <c r="B47" s="360" t="s">
        <v>192</v>
      </c>
      <c r="C47" s="369" t="s">
        <v>197</v>
      </c>
      <c r="D47" s="357">
        <f t="shared" si="7"/>
      </c>
      <c r="E47" s="308">
        <v>2078.9</v>
      </c>
      <c r="F47" s="309">
        <v>461.78</v>
      </c>
      <c r="G47" s="310">
        <v>1</v>
      </c>
      <c r="H47" s="310">
        <v>1178.2799999999988</v>
      </c>
      <c r="I47" s="311">
        <f t="shared" si="326"/>
      </c>
      <c r="J47" s="312">
        <f t="shared" si="222"/>
      </c>
      <c r="K47" s="313">
        <f t="shared" si="144"/>
      </c>
      <c r="L47" s="312">
        <f t="shared" si="248"/>
      </c>
      <c r="M47" s="312">
        <f t="shared" si="92"/>
      </c>
      <c r="N47" s="313">
        <f t="shared" si="352"/>
      </c>
      <c r="O47" s="312">
        <f t="shared" si="274"/>
      </c>
      <c r="P47" s="312">
        <f t="shared" si="170"/>
      </c>
      <c r="Q47" s="314">
        <f t="shared" si="118"/>
      </c>
      <c r="R47" s="315">
        <f t="shared" si="378"/>
      </c>
      <c r="S47" s="314">
        <f t="shared" si="300"/>
      </c>
      <c r="T47" s="316">
        <f t="shared" si="196"/>
      </c>
      <c r="U47" s="317" t="s">
        <v>185</v>
      </c>
      <c r="V47" s="318" t="s">
        <v>186</v>
      </c>
      <c r="W47" s="310">
        <v>1</v>
      </c>
      <c r="X47" s="310">
        <v>9083</v>
      </c>
      <c r="Y47" s="310">
        <v>486</v>
      </c>
      <c r="Z47" s="310">
        <v>746</v>
      </c>
      <c r="AA47" s="310">
        <v>133</v>
      </c>
      <c r="AB47" s="310">
        <v>63</v>
      </c>
      <c r="AC47" s="359">
        <v>1</v>
      </c>
      <c r="AD47" s="359">
        <v>17</v>
      </c>
      <c r="AE47" s="293"/>
      <c r="AF47" s="293"/>
    </row>
    <row r="48">
      <c r="A48" s="355"/>
      <c r="B48" s="360" t="s">
        <v>193</v>
      </c>
      <c r="C48" s="369" t="s">
        <v>197</v>
      </c>
      <c r="D48" s="357">
        <f t="shared" si="7"/>
      </c>
      <c r="E48" s="308">
        <v>2051.14</v>
      </c>
      <c r="F48" s="309">
        <v>471.3</v>
      </c>
      <c r="G48" s="310">
        <v>1</v>
      </c>
      <c r="H48" s="310">
        <v>810</v>
      </c>
      <c r="I48" s="311">
        <f t="shared" si="326"/>
      </c>
      <c r="J48" s="312">
        <f t="shared" si="222"/>
      </c>
      <c r="K48" s="313">
        <f t="shared" si="144"/>
      </c>
      <c r="L48" s="312">
        <f t="shared" si="248"/>
      </c>
      <c r="M48" s="312">
        <f t="shared" si="92"/>
      </c>
      <c r="N48" s="313">
        <f t="shared" si="352"/>
      </c>
      <c r="O48" s="312">
        <f t="shared" si="274"/>
      </c>
      <c r="P48" s="312">
        <f t="shared" si="170"/>
      </c>
      <c r="Q48" s="314">
        <f t="shared" si="118"/>
      </c>
      <c r="R48" s="315">
        <f t="shared" si="378"/>
      </c>
      <c r="S48" s="314">
        <f t="shared" si="300"/>
      </c>
      <c r="T48" s="316">
        <f t="shared" si="196"/>
      </c>
      <c r="U48" s="317" t="s">
        <v>185</v>
      </c>
      <c r="V48" s="318" t="s">
        <v>186</v>
      </c>
      <c r="W48" s="310">
        <v>1</v>
      </c>
      <c r="X48" s="310">
        <v>9387</v>
      </c>
      <c r="Y48" s="310">
        <v>560</v>
      </c>
      <c r="Z48" s="310">
        <v>838</v>
      </c>
      <c r="AA48" s="310">
        <v>146</v>
      </c>
      <c r="AB48" s="310">
        <v>55</v>
      </c>
      <c r="AC48" s="359">
        <v>1</v>
      </c>
      <c r="AD48" s="359">
        <v>17</v>
      </c>
      <c r="AE48" s="293"/>
      <c r="AF48" s="293"/>
    </row>
    <row r="49">
      <c r="A49" s="355"/>
      <c r="B49" s="360" t="s">
        <v>194</v>
      </c>
      <c r="C49" s="369" t="s">
        <v>197</v>
      </c>
      <c r="D49" s="357">
        <f t="shared" si="7"/>
      </c>
      <c r="E49" s="308">
        <v>1842.47</v>
      </c>
      <c r="F49" s="309">
        <v>219.76</v>
      </c>
      <c r="G49" s="310">
        <v>1</v>
      </c>
      <c r="H49" s="310">
        <v>3160.2000000000007</v>
      </c>
      <c r="I49" s="311">
        <f t="shared" si="326"/>
      </c>
      <c r="J49" s="312">
        <f t="shared" si="222"/>
      </c>
      <c r="K49" s="313">
        <f t="shared" si="144"/>
      </c>
      <c r="L49" s="312">
        <f t="shared" si="248"/>
      </c>
      <c r="M49" s="312">
        <f t="shared" si="92"/>
      </c>
      <c r="N49" s="313">
        <f t="shared" si="352"/>
      </c>
      <c r="O49" s="312">
        <f t="shared" si="274"/>
      </c>
      <c r="P49" s="312">
        <f t="shared" si="170"/>
      </c>
      <c r="Q49" s="314">
        <f t="shared" si="118"/>
      </c>
      <c r="R49" s="315">
        <f t="shared" si="378"/>
      </c>
      <c r="S49" s="314">
        <f t="shared" si="300"/>
      </c>
      <c r="T49" s="316">
        <f t="shared" si="196"/>
      </c>
      <c r="U49" s="317" t="s">
        <v>185</v>
      </c>
      <c r="V49" s="318" t="s">
        <v>186</v>
      </c>
      <c r="W49" s="310">
        <v>1</v>
      </c>
      <c r="X49" s="310">
        <v>6265</v>
      </c>
      <c r="Y49" s="310">
        <v>294</v>
      </c>
      <c r="Z49" s="310">
        <v>434</v>
      </c>
      <c r="AA49" s="310">
        <v>84</v>
      </c>
      <c r="AB49" s="310">
        <v>54</v>
      </c>
      <c r="AC49" s="359">
        <v>1</v>
      </c>
      <c r="AD49" s="359">
        <v>10</v>
      </c>
      <c r="AE49" s="293"/>
      <c r="AF49" s="293"/>
    </row>
    <row r="50">
      <c r="A50" s="355"/>
      <c r="B50" s="361" t="s">
        <v>189</v>
      </c>
      <c r="C50" s="361"/>
      <c r="D50" s="365">
        <f>SUM(D46:D49)</f>
      </c>
      <c r="E50" s="320">
        <f>SUM(E46:E49)</f>
      </c>
      <c r="F50" s="320">
        <f>SUM(F46:F49)</f>
      </c>
      <c r="G50" s="320">
        <f>SUM(G46:G49)</f>
      </c>
      <c r="H50" s="320">
        <f>SUM(H46:H49)</f>
      </c>
      <c r="I50" s="321">
        <f t="shared" si="326"/>
      </c>
      <c r="J50" s="322">
        <f t="shared" si="222"/>
      </c>
      <c r="K50" s="323">
        <f t="shared" si="144"/>
      </c>
      <c r="L50" s="322">
        <f t="shared" si="248"/>
      </c>
      <c r="M50" s="322">
        <f t="shared" si="92"/>
      </c>
      <c r="N50" s="323">
        <f t="shared" si="352"/>
      </c>
      <c r="O50" s="322">
        <f t="shared" si="274"/>
      </c>
      <c r="P50" s="322">
        <f t="shared" si="170"/>
      </c>
      <c r="Q50" s="324">
        <f t="shared" si="118"/>
      </c>
      <c r="R50" s="325">
        <f t="shared" si="378"/>
      </c>
      <c r="S50" s="324">
        <f t="shared" si="300"/>
      </c>
      <c r="T50" s="326">
        <f t="shared" si="196"/>
      </c>
      <c r="U50" s="326"/>
      <c r="V50" s="326"/>
      <c r="W50" s="320">
        <f>SUM(W46:W49)</f>
      </c>
      <c r="X50" s="320">
        <f>SUM(X46:X49)</f>
      </c>
      <c r="Y50" s="320">
        <f>SUM(Y46:Y49)</f>
      </c>
      <c r="Z50" s="320">
        <f>SUM(Z46:Z49)</f>
      </c>
      <c r="AA50" s="320">
        <f>SUM(AA46:AA49)</f>
      </c>
      <c r="AB50" s="320">
        <f>SUM(AB46:AB49)</f>
      </c>
      <c r="AC50" s="320">
        <f>SUM(AC46:AC49)</f>
      </c>
      <c r="AD50" s="320">
        <f>SUM(AD46:AD49)</f>
      </c>
      <c r="AE50" s="293"/>
      <c r="AF50" s="293"/>
    </row>
    <row r="51">
      <c r="A51" s="355"/>
      <c r="B51" s="366" t="s">
        <v>195</v>
      </c>
      <c r="C51" s="366"/>
      <c r="D51" s="367">
        <f>+D50+D45</f>
      </c>
      <c r="E51" s="328">
        <f>+E50+E45</f>
      </c>
      <c r="F51" s="328">
        <f>+F50+F45</f>
      </c>
      <c r="G51" s="328">
        <f>+G50+G45</f>
      </c>
      <c r="H51" s="328">
        <f>+H50+H45</f>
      </c>
      <c r="I51" s="328">
        <f t="shared" si="326"/>
      </c>
      <c r="J51" s="329">
        <f t="shared" si="222"/>
      </c>
      <c r="K51" s="330">
        <f t="shared" si="144"/>
      </c>
      <c r="L51" s="331">
        <f t="shared" si="248"/>
      </c>
      <c r="M51" s="331">
        <f t="shared" si="92"/>
      </c>
      <c r="N51" s="330">
        <f t="shared" si="352"/>
      </c>
      <c r="O51" s="331">
        <f t="shared" si="274"/>
      </c>
      <c r="P51" s="331">
        <f t="shared" si="170"/>
      </c>
      <c r="Q51" s="330">
        <f t="shared" si="118"/>
      </c>
      <c r="R51" s="332">
        <f t="shared" si="378"/>
      </c>
      <c r="S51" s="330">
        <f t="shared" si="300"/>
      </c>
      <c r="T51" s="333">
        <f t="shared" si="196"/>
      </c>
      <c r="U51" s="333"/>
      <c r="V51" s="333"/>
      <c r="W51" s="328">
        <f>+W50+W45</f>
      </c>
      <c r="X51" s="328">
        <f>+X50+X45</f>
      </c>
      <c r="Y51" s="328">
        <f>+Y50+Y45</f>
      </c>
      <c r="Z51" s="328">
        <f>+Z50+Z45</f>
      </c>
      <c r="AA51" s="328">
        <f>+AA50+AA45</f>
      </c>
      <c r="AB51" s="328">
        <f>+AB50+AB45</f>
      </c>
      <c r="AC51" s="328">
        <f>+AC50+AC45</f>
      </c>
      <c r="AD51" s="328">
        <f>+AD50+AD45</f>
      </c>
      <c r="AE51" s="293"/>
      <c r="AF51" s="293"/>
    </row>
    <row r="52">
      <c r="A52" s="352" t="s">
        <v>150</v>
      </c>
      <c r="B52" s="352"/>
      <c r="C52" s="352"/>
      <c r="D52" s="334" t="s">
        <v>151</v>
      </c>
      <c r="E52" s="334"/>
      <c r="F52" s="334"/>
      <c r="G52" s="334"/>
      <c r="H52" s="334"/>
      <c r="I52" s="334"/>
      <c r="J52" s="289" t="s">
        <v>152</v>
      </c>
      <c r="K52" s="289"/>
      <c r="L52" s="289"/>
      <c r="M52" s="289"/>
      <c r="N52" s="289"/>
      <c r="O52" s="289"/>
      <c r="P52" s="289"/>
      <c r="Q52" s="289"/>
      <c r="R52" s="289"/>
      <c r="S52" s="289"/>
      <c r="T52" s="370"/>
      <c r="U52" s="370"/>
      <c r="V52" s="370"/>
      <c r="W52" s="371"/>
      <c r="X52" s="371"/>
      <c r="Y52" s="371"/>
      <c r="Z52" s="371"/>
      <c r="AA52" s="371"/>
      <c r="AB52" s="371"/>
      <c r="AC52" s="371"/>
      <c r="AD52" s="372" t="s">
        <v>153</v>
      </c>
      <c r="AE52" s="293"/>
      <c r="AF52" s="293"/>
    </row>
    <row r="53">
      <c r="A53" s="354" t="s">
        <v>154</v>
      </c>
      <c r="B53" s="353" t="s">
        <v>155</v>
      </c>
      <c r="C53" s="353" t="s">
        <v>156</v>
      </c>
      <c r="D53" s="334" t="s">
        <v>157</v>
      </c>
      <c r="E53" s="373" t="s">
        <v>158</v>
      </c>
      <c r="F53" s="373" t="s">
        <v>159</v>
      </c>
      <c r="G53" s="374" t="s">
        <v>160</v>
      </c>
      <c r="H53" s="375" t="s">
        <v>161</v>
      </c>
      <c r="I53" s="373" t="s">
        <v>162</v>
      </c>
      <c r="J53" s="376" t="s">
        <v>163</v>
      </c>
      <c r="K53" s="377" t="s">
        <v>164</v>
      </c>
      <c r="L53" s="378" t="s">
        <v>165</v>
      </c>
      <c r="M53" s="378" t="s">
        <v>166</v>
      </c>
      <c r="N53" s="377" t="s">
        <v>167</v>
      </c>
      <c r="O53" s="378" t="s">
        <v>168</v>
      </c>
      <c r="P53" s="378" t="s">
        <v>169</v>
      </c>
      <c r="Q53" s="379" t="s">
        <v>170</v>
      </c>
      <c r="R53" s="378" t="s">
        <v>171</v>
      </c>
      <c r="S53" s="379" t="s">
        <v>172</v>
      </c>
      <c r="T53" s="380" t="s">
        <v>173</v>
      </c>
      <c r="U53" s="380" t="s">
        <v>174</v>
      </c>
      <c r="V53" s="380" t="s">
        <v>175</v>
      </c>
      <c r="W53" s="381" t="s">
        <v>176</v>
      </c>
      <c r="X53" s="382" t="s">
        <v>177</v>
      </c>
      <c r="Y53" s="382" t="s">
        <v>178</v>
      </c>
      <c r="Z53" s="382" t="s">
        <v>179</v>
      </c>
      <c r="AA53" s="382" t="s">
        <v>180</v>
      </c>
      <c r="AB53" s="382" t="s">
        <v>181</v>
      </c>
      <c r="AC53" s="383" t="s">
        <v>182</v>
      </c>
      <c r="AD53" s="372"/>
      <c r="AE53" s="293"/>
      <c r="AF53" s="293"/>
    </row>
    <row r="54">
      <c r="A54" s="384">
        <v>46244</v>
      </c>
      <c r="B54" s="385" t="s">
        <v>199</v>
      </c>
      <c r="C54" s="360" t="s">
        <v>184</v>
      </c>
      <c r="D54" s="360">
        <f t="shared" ref="D54:D57" si="8">E54+F54</f>
      </c>
      <c r="E54" s="360">
        <v>2111.04</v>
      </c>
      <c r="F54" s="369">
        <v>466.36</v>
      </c>
      <c r="G54" s="369">
        <v>3</v>
      </c>
      <c r="H54" s="386">
        <v>14869.079999999998</v>
      </c>
      <c r="I54" s="387">
        <f t="shared" ref="I54:I68" si="327">H54/D54</f>
      </c>
      <c r="J54" s="388">
        <f t="shared" ref="J54:J68" si="223">Y54/X54</f>
      </c>
      <c r="K54" s="389">
        <f t="shared" ref="K54:K68" si="145">D54/Z54</f>
      </c>
      <c r="L54" s="388">
        <f t="shared" ref="L54:L68" si="249">AA54/Z54</f>
      </c>
      <c r="M54" s="388">
        <f t="shared" ref="M54:M68" si="93">AB54/Z54</f>
      </c>
      <c r="N54" s="389">
        <f t="shared" ref="N54:N68" si="353">D54/AB54</f>
      </c>
      <c r="O54" s="388">
        <f t="shared" ref="O54:O68" si="275">AC54/AB54</f>
      </c>
      <c r="P54" s="388">
        <f t="shared" ref="P54:P68" si="171">G54/AC54</f>
      </c>
      <c r="Q54" s="389">
        <f t="shared" ref="Q54:Q68" si="119">D54/G54</f>
      </c>
      <c r="R54" s="390">
        <f t="shared" ref="R54:R68" si="379">H54/G54</f>
      </c>
      <c r="S54" s="389">
        <f t="shared" ref="S54:S68" si="301">D54/W54</f>
      </c>
      <c r="T54" s="391">
        <f t="shared" ref="T54:T68" si="197">AD54*1000/D54</f>
      </c>
      <c r="U54" s="392" t="s">
        <v>185</v>
      </c>
      <c r="V54" s="393" t="s">
        <v>186</v>
      </c>
      <c r="W54" s="360">
        <v>3</v>
      </c>
      <c r="X54" s="360">
        <v>8169</v>
      </c>
      <c r="Y54" s="360">
        <v>335</v>
      </c>
      <c r="Z54" s="360">
        <v>489</v>
      </c>
      <c r="AA54" s="360">
        <v>117</v>
      </c>
      <c r="AB54" s="360">
        <v>55</v>
      </c>
      <c r="AC54" s="394">
        <v>3</v>
      </c>
      <c r="AD54" s="364">
        <v>12</v>
      </c>
      <c r="AE54" s="293"/>
      <c r="AF54" s="293"/>
    </row>
    <row r="55">
      <c r="A55" s="384"/>
      <c r="B55" s="385" t="s">
        <v>200</v>
      </c>
      <c r="C55" s="360" t="s">
        <v>184</v>
      </c>
      <c r="D55" s="360">
        <f t="shared" si="8"/>
      </c>
      <c r="E55" s="360">
        <v>2423.15</v>
      </c>
      <c r="F55" s="360">
        <v>720.64</v>
      </c>
      <c r="G55" s="369">
        <v>0</v>
      </c>
      <c r="H55" s="386">
        <v>0</v>
      </c>
      <c r="I55" s="387">
        <f t="shared" si="327"/>
      </c>
      <c r="J55" s="388">
        <f t="shared" si="223"/>
      </c>
      <c r="K55" s="389">
        <f t="shared" si="145"/>
      </c>
      <c r="L55" s="388">
        <f t="shared" si="249"/>
      </c>
      <c r="M55" s="388">
        <f t="shared" si="93"/>
      </c>
      <c r="N55" s="389">
        <f t="shared" si="353"/>
      </c>
      <c r="O55" s="388">
        <f t="shared" si="275"/>
      </c>
      <c r="P55" s="388">
        <f t="shared" si="171"/>
      </c>
      <c r="Q55" s="389">
        <f t="shared" si="119"/>
      </c>
      <c r="R55" s="390">
        <f t="shared" si="379"/>
      </c>
      <c r="S55" s="389">
        <f t="shared" si="301"/>
      </c>
      <c r="T55" s="391">
        <f t="shared" si="197"/>
      </c>
      <c r="U55" s="392" t="s">
        <v>185</v>
      </c>
      <c r="V55" s="393" t="s">
        <v>186</v>
      </c>
      <c r="W55" s="360">
        <v>0</v>
      </c>
      <c r="X55" s="360">
        <v>11909</v>
      </c>
      <c r="Y55" s="360">
        <v>489</v>
      </c>
      <c r="Z55" s="360">
        <v>823</v>
      </c>
      <c r="AA55" s="360">
        <v>184</v>
      </c>
      <c r="AB55" s="360">
        <v>59</v>
      </c>
      <c r="AC55" s="395">
        <v>0</v>
      </c>
      <c r="AD55" s="359">
        <v>18</v>
      </c>
      <c r="AE55" s="293"/>
      <c r="AF55" s="293"/>
    </row>
    <row r="56">
      <c r="A56" s="384"/>
      <c r="B56" s="385" t="s">
        <v>201</v>
      </c>
      <c r="C56" s="360" t="s">
        <v>184</v>
      </c>
      <c r="D56" s="360">
        <f t="shared" si="8"/>
      </c>
      <c r="E56" s="360">
        <v>831.57</v>
      </c>
      <c r="F56" s="360">
        <v>574.32</v>
      </c>
      <c r="G56" s="369">
        <v>2</v>
      </c>
      <c r="H56" s="357">
        <v>3360.9600000000028</v>
      </c>
      <c r="I56" s="387">
        <f t="shared" si="327"/>
      </c>
      <c r="J56" s="388">
        <f t="shared" si="223"/>
      </c>
      <c r="K56" s="389">
        <f t="shared" si="145"/>
      </c>
      <c r="L56" s="388">
        <f t="shared" si="249"/>
      </c>
      <c r="M56" s="388">
        <f t="shared" si="93"/>
      </c>
      <c r="N56" s="389">
        <f t="shared" si="353"/>
      </c>
      <c r="O56" s="388">
        <f t="shared" si="275"/>
      </c>
      <c r="P56" s="388">
        <f t="shared" si="171"/>
      </c>
      <c r="Q56" s="389">
        <f t="shared" si="119"/>
      </c>
      <c r="R56" s="390">
        <f t="shared" si="379"/>
      </c>
      <c r="S56" s="389">
        <f t="shared" si="301"/>
      </c>
      <c r="T56" s="391">
        <f t="shared" si="197"/>
      </c>
      <c r="U56" s="392" t="s">
        <v>185</v>
      </c>
      <c r="V56" s="393" t="s">
        <v>186</v>
      </c>
      <c r="W56" s="360">
        <v>2</v>
      </c>
      <c r="X56" s="360">
        <v>5835</v>
      </c>
      <c r="Y56" s="360">
        <v>360</v>
      </c>
      <c r="Z56" s="360">
        <v>634</v>
      </c>
      <c r="AA56" s="360">
        <v>147</v>
      </c>
      <c r="AB56" s="360">
        <v>32</v>
      </c>
      <c r="AC56" s="395">
        <v>3</v>
      </c>
      <c r="AD56" s="359">
        <v>13</v>
      </c>
      <c r="AE56" s="293"/>
      <c r="AF56" s="293"/>
    </row>
    <row r="57">
      <c r="A57" s="384"/>
      <c r="B57" s="385" t="s">
        <v>202</v>
      </c>
      <c r="C57" s="360" t="s">
        <v>184</v>
      </c>
      <c r="D57" s="360">
        <f t="shared" si="8"/>
      </c>
      <c r="E57" s="360">
        <v>2525.17</v>
      </c>
      <c r="F57" s="360">
        <v>552.03</v>
      </c>
      <c r="G57" s="369">
        <v>0</v>
      </c>
      <c r="H57" s="386">
        <v>0</v>
      </c>
      <c r="I57" s="387">
        <f t="shared" si="327"/>
      </c>
      <c r="J57" s="388">
        <f t="shared" si="223"/>
      </c>
      <c r="K57" s="389">
        <f t="shared" si="145"/>
      </c>
      <c r="L57" s="388">
        <f t="shared" si="249"/>
      </c>
      <c r="M57" s="388">
        <f t="shared" si="93"/>
      </c>
      <c r="N57" s="389">
        <f t="shared" si="353"/>
      </c>
      <c r="O57" s="388">
        <f t="shared" si="275"/>
      </c>
      <c r="P57" s="388">
        <f t="shared" si="171"/>
      </c>
      <c r="Q57" s="389">
        <f t="shared" si="119"/>
      </c>
      <c r="R57" s="390">
        <f t="shared" si="379"/>
      </c>
      <c r="S57" s="389">
        <f t="shared" si="301"/>
      </c>
      <c r="T57" s="391">
        <f t="shared" si="197"/>
      </c>
      <c r="U57" s="392" t="s">
        <v>185</v>
      </c>
      <c r="V57" s="393" t="s">
        <v>186</v>
      </c>
      <c r="W57" s="360">
        <v>0</v>
      </c>
      <c r="X57" s="360">
        <v>12244</v>
      </c>
      <c r="Y57" s="360">
        <v>350</v>
      </c>
      <c r="Z57" s="360">
        <v>575</v>
      </c>
      <c r="AA57" s="360">
        <v>112</v>
      </c>
      <c r="AB57" s="360">
        <v>42</v>
      </c>
      <c r="AC57" s="395">
        <v>0</v>
      </c>
      <c r="AD57" s="359">
        <v>14</v>
      </c>
      <c r="AE57" s="293"/>
      <c r="AF57" s="293"/>
    </row>
    <row r="58">
      <c r="A58" s="384"/>
      <c r="B58" s="361" t="s">
        <v>189</v>
      </c>
      <c r="C58" s="361"/>
      <c r="D58" s="361">
        <f>SUM(D54:D57)</f>
      </c>
      <c r="E58" s="361">
        <f>SUM(E54:E57)</f>
      </c>
      <c r="F58" s="361">
        <f>SUM(F54:F57)</f>
      </c>
      <c r="G58" s="361">
        <f>SUM(G54:G57)</f>
      </c>
      <c r="H58" s="362">
        <f>SUM(H54:H57)</f>
      </c>
      <c r="I58" s="396">
        <f t="shared" si="327"/>
      </c>
      <c r="J58" s="397">
        <f t="shared" si="223"/>
      </c>
      <c r="K58" s="398">
        <f t="shared" si="145"/>
      </c>
      <c r="L58" s="397">
        <f t="shared" si="249"/>
      </c>
      <c r="M58" s="397">
        <f t="shared" si="93"/>
      </c>
      <c r="N58" s="398">
        <f t="shared" si="353"/>
      </c>
      <c r="O58" s="397">
        <f t="shared" si="275"/>
      </c>
      <c r="P58" s="397">
        <f t="shared" si="171"/>
      </c>
      <c r="Q58" s="398">
        <f t="shared" si="119"/>
      </c>
      <c r="R58" s="399">
        <f t="shared" si="379"/>
      </c>
      <c r="S58" s="398">
        <f t="shared" si="301"/>
      </c>
      <c r="T58" s="400">
        <f t="shared" si="197"/>
      </c>
      <c r="U58" s="400"/>
      <c r="V58" s="400"/>
      <c r="W58" s="361">
        <f>SUM(W54:W57)</f>
      </c>
      <c r="X58" s="361">
        <f>SUM(X54:X57)</f>
      </c>
      <c r="Y58" s="361">
        <f>SUM(Y54:Y57)</f>
      </c>
      <c r="Z58" s="361">
        <f>SUM(Z54:Z57)</f>
      </c>
      <c r="AA58" s="361">
        <f>SUM(AA54:AA57)</f>
      </c>
      <c r="AB58" s="361">
        <f>SUM(AB54:AB57)</f>
      </c>
      <c r="AC58" s="319">
        <f>SUM(AC54:AC57)</f>
      </c>
      <c r="AD58" s="320">
        <f>SUM(AD54:AD57)</f>
      </c>
      <c r="AE58" s="293"/>
      <c r="AF58" s="293"/>
    </row>
    <row r="59">
      <c r="A59" s="384"/>
      <c r="B59" s="385" t="s">
        <v>203</v>
      </c>
      <c r="C59" s="369" t="s">
        <v>198</v>
      </c>
      <c r="D59" s="360">
        <f t="shared" ref="D59:D61" si="9">E59+F59</f>
      </c>
      <c r="E59" s="360">
        <v>2083.6</v>
      </c>
      <c r="F59" s="360">
        <v>383.8</v>
      </c>
      <c r="G59" s="369">
        <v>0</v>
      </c>
      <c r="H59" s="386">
        <v>0</v>
      </c>
      <c r="I59" s="387">
        <f t="shared" si="327"/>
      </c>
      <c r="J59" s="388">
        <f t="shared" si="223"/>
      </c>
      <c r="K59" s="389">
        <f t="shared" si="145"/>
      </c>
      <c r="L59" s="388">
        <f t="shared" si="249"/>
      </c>
      <c r="M59" s="388">
        <f t="shared" si="93"/>
      </c>
      <c r="N59" s="389">
        <f t="shared" si="353"/>
      </c>
      <c r="O59" s="388">
        <f t="shared" si="275"/>
      </c>
      <c r="P59" s="388">
        <f t="shared" si="171"/>
      </c>
      <c r="Q59" s="389">
        <f t="shared" si="119"/>
      </c>
      <c r="R59" s="390">
        <f t="shared" si="379"/>
      </c>
      <c r="S59" s="389">
        <f t="shared" si="301"/>
      </c>
      <c r="T59" s="391">
        <f t="shared" si="197"/>
      </c>
      <c r="U59" s="392" t="s">
        <v>185</v>
      </c>
      <c r="V59" s="393" t="s">
        <v>186</v>
      </c>
      <c r="W59" s="360">
        <v>0</v>
      </c>
      <c r="X59" s="360">
        <v>10049</v>
      </c>
      <c r="Y59" s="360">
        <v>284</v>
      </c>
      <c r="Z59" s="360">
        <v>498</v>
      </c>
      <c r="AA59" s="360">
        <v>89</v>
      </c>
      <c r="AB59" s="360">
        <v>34</v>
      </c>
      <c r="AC59" s="395">
        <v>0</v>
      </c>
      <c r="AD59" s="359">
        <v>12</v>
      </c>
      <c r="AE59" s="293"/>
      <c r="AF59" s="293"/>
    </row>
    <row r="60">
      <c r="A60" s="384"/>
      <c r="B60" s="385" t="s">
        <v>204</v>
      </c>
      <c r="C60" s="369" t="s">
        <v>198</v>
      </c>
      <c r="D60" s="360">
        <f t="shared" si="9"/>
      </c>
      <c r="E60" s="360">
        <v>640.25</v>
      </c>
      <c r="F60" s="360">
        <v>481.29</v>
      </c>
      <c r="G60" s="369">
        <v>0</v>
      </c>
      <c r="H60" s="386">
        <v>0</v>
      </c>
      <c r="I60" s="387">
        <f t="shared" si="327"/>
      </c>
      <c r="J60" s="388">
        <f t="shared" si="223"/>
      </c>
      <c r="K60" s="389">
        <f t="shared" si="145"/>
      </c>
      <c r="L60" s="388">
        <f t="shared" si="249"/>
      </c>
      <c r="M60" s="388">
        <f t="shared" si="93"/>
      </c>
      <c r="N60" s="389">
        <f t="shared" si="353"/>
      </c>
      <c r="O60" s="388">
        <f t="shared" si="275"/>
      </c>
      <c r="P60" s="388">
        <f t="shared" si="171"/>
      </c>
      <c r="Q60" s="389">
        <f t="shared" si="119"/>
      </c>
      <c r="R60" s="390">
        <f t="shared" si="379"/>
      </c>
      <c r="S60" s="389">
        <f t="shared" si="301"/>
      </c>
      <c r="T60" s="391">
        <f t="shared" si="197"/>
      </c>
      <c r="U60" s="392" t="s">
        <v>185</v>
      </c>
      <c r="V60" s="393" t="s">
        <v>186</v>
      </c>
      <c r="W60" s="360">
        <v>0</v>
      </c>
      <c r="X60" s="360">
        <v>4431</v>
      </c>
      <c r="Y60" s="360">
        <v>297</v>
      </c>
      <c r="Z60" s="360">
        <v>615</v>
      </c>
      <c r="AA60" s="360">
        <v>112</v>
      </c>
      <c r="AB60" s="360">
        <v>29</v>
      </c>
      <c r="AC60" s="395">
        <v>1</v>
      </c>
      <c r="AD60" s="359">
        <v>8</v>
      </c>
      <c r="AE60" s="293"/>
      <c r="AF60" s="293"/>
    </row>
    <row r="61">
      <c r="A61" s="384"/>
      <c r="B61" s="401" t="s">
        <v>205</v>
      </c>
      <c r="C61" s="402" t="s">
        <v>198</v>
      </c>
      <c r="D61" s="356">
        <f t="shared" si="9"/>
      </c>
      <c r="E61" s="356">
        <v>1074.59</v>
      </c>
      <c r="F61" s="356">
        <v>237.83</v>
      </c>
      <c r="G61" s="402">
        <v>0</v>
      </c>
      <c r="H61" s="369">
        <v>0</v>
      </c>
      <c r="I61" s="387">
        <f t="shared" si="327"/>
      </c>
      <c r="J61" s="388">
        <f t="shared" si="223"/>
      </c>
      <c r="K61" s="389">
        <f t="shared" si="145"/>
      </c>
      <c r="L61" s="388">
        <f t="shared" si="249"/>
      </c>
      <c r="M61" s="388">
        <f t="shared" si="93"/>
      </c>
      <c r="N61" s="389">
        <f t="shared" si="353"/>
      </c>
      <c r="O61" s="388">
        <f t="shared" si="275"/>
      </c>
      <c r="P61" s="388">
        <f t="shared" si="171"/>
      </c>
      <c r="Q61" s="389">
        <f t="shared" si="119"/>
      </c>
      <c r="R61" s="390">
        <f t="shared" si="379"/>
      </c>
      <c r="S61" s="389">
        <f t="shared" si="301"/>
      </c>
      <c r="T61" s="391">
        <f t="shared" si="197"/>
      </c>
      <c r="U61" s="392" t="s">
        <v>185</v>
      </c>
      <c r="V61" s="393" t="s">
        <v>186</v>
      </c>
      <c r="W61" s="360">
        <v>0</v>
      </c>
      <c r="X61" s="360">
        <v>3736</v>
      </c>
      <c r="Y61" s="360">
        <v>185</v>
      </c>
      <c r="Z61" s="360">
        <v>321</v>
      </c>
      <c r="AA61" s="360">
        <v>64</v>
      </c>
      <c r="AB61" s="360">
        <v>20</v>
      </c>
      <c r="AC61" s="395">
        <v>0</v>
      </c>
      <c r="AD61" s="359">
        <v>14</v>
      </c>
      <c r="AE61" s="293"/>
      <c r="AF61" s="293"/>
    </row>
    <row r="62">
      <c r="A62" s="384"/>
      <c r="B62" s="361" t="s">
        <v>189</v>
      </c>
      <c r="C62" s="361"/>
      <c r="D62" s="361">
        <f>SUM(D59:D61)</f>
      </c>
      <c r="E62" s="361">
        <f>SUM(E59:E61)</f>
      </c>
      <c r="F62" s="361">
        <f>SUM(F59:F61)</f>
      </c>
      <c r="G62" s="361">
        <f>SUM(G59:G61)</f>
      </c>
      <c r="H62" s="361">
        <f>SUM(H59:H61)</f>
      </c>
      <c r="I62" s="396">
        <f t="shared" si="327"/>
      </c>
      <c r="J62" s="397">
        <f t="shared" si="223"/>
      </c>
      <c r="K62" s="398">
        <f t="shared" si="145"/>
      </c>
      <c r="L62" s="397">
        <f t="shared" si="249"/>
      </c>
      <c r="M62" s="397">
        <f t="shared" si="93"/>
      </c>
      <c r="N62" s="398">
        <f t="shared" si="353"/>
      </c>
      <c r="O62" s="397">
        <f t="shared" si="275"/>
      </c>
      <c r="P62" s="397">
        <f t="shared" si="171"/>
      </c>
      <c r="Q62" s="398">
        <f t="shared" si="119"/>
      </c>
      <c r="R62" s="399">
        <f t="shared" si="379"/>
      </c>
      <c r="S62" s="398">
        <f t="shared" si="301"/>
      </c>
      <c r="T62" s="400">
        <f t="shared" si="197"/>
      </c>
      <c r="U62" s="400"/>
      <c r="V62" s="400"/>
      <c r="W62" s="361">
        <f>SUM(W59:W61)</f>
      </c>
      <c r="X62" s="361">
        <f>SUM(X59:X61)</f>
      </c>
      <c r="Y62" s="361">
        <f>SUM(Y59:Y61)</f>
      </c>
      <c r="Z62" s="361">
        <f>SUM(Z59:Z61)</f>
      </c>
      <c r="AA62" s="361">
        <f>SUM(AA59:AA61)</f>
      </c>
      <c r="AB62" s="361">
        <f>SUM(AB59:AB61)</f>
      </c>
      <c r="AC62" s="319">
        <f>SUM(AC59:AC61)</f>
      </c>
      <c r="AD62" s="320">
        <f>SUM(AD59:AD61)</f>
      </c>
      <c r="AE62" s="293"/>
      <c r="AF62" s="293"/>
    </row>
    <row r="63">
      <c r="A63" s="384"/>
      <c r="B63" s="385" t="s">
        <v>183</v>
      </c>
      <c r="C63" s="369" t="s">
        <v>197</v>
      </c>
      <c r="D63" s="360">
        <f t="shared" ref="D63:D66" si="10">E63+F63</f>
      </c>
      <c r="E63" s="360">
        <v>1775.95</v>
      </c>
      <c r="F63" s="360">
        <v>347.9</v>
      </c>
      <c r="G63" s="369">
        <v>2</v>
      </c>
      <c r="H63" s="369">
        <v>1830</v>
      </c>
      <c r="I63" s="387">
        <f t="shared" si="327"/>
      </c>
      <c r="J63" s="388">
        <f t="shared" si="223"/>
      </c>
      <c r="K63" s="389">
        <f t="shared" si="145"/>
      </c>
      <c r="L63" s="388">
        <f t="shared" si="249"/>
      </c>
      <c r="M63" s="388">
        <f t="shared" si="93"/>
      </c>
      <c r="N63" s="389">
        <f t="shared" si="353"/>
      </c>
      <c r="O63" s="388">
        <f t="shared" si="275"/>
      </c>
      <c r="P63" s="388">
        <f t="shared" si="171"/>
      </c>
      <c r="Q63" s="389">
        <f t="shared" si="119"/>
      </c>
      <c r="R63" s="390">
        <f t="shared" si="379"/>
      </c>
      <c r="S63" s="389">
        <f t="shared" si="301"/>
      </c>
      <c r="T63" s="391">
        <f t="shared" si="197"/>
      </c>
      <c r="U63" s="392" t="s">
        <v>185</v>
      </c>
      <c r="V63" s="393" t="s">
        <v>186</v>
      </c>
      <c r="W63" s="360">
        <v>2</v>
      </c>
      <c r="X63" s="360">
        <v>7602</v>
      </c>
      <c r="Y63" s="360">
        <v>380</v>
      </c>
      <c r="Z63" s="360">
        <v>604</v>
      </c>
      <c r="AA63" s="360">
        <v>130</v>
      </c>
      <c r="AB63" s="360">
        <v>35</v>
      </c>
      <c r="AC63" s="395">
        <v>2</v>
      </c>
      <c r="AD63" s="359">
        <v>21</v>
      </c>
      <c r="AE63" s="293"/>
      <c r="AF63" s="293"/>
    </row>
    <row r="64">
      <c r="A64" s="384"/>
      <c r="B64" s="385" t="s">
        <v>187</v>
      </c>
      <c r="C64" s="369" t="s">
        <v>197</v>
      </c>
      <c r="D64" s="360">
        <f t="shared" si="10"/>
      </c>
      <c r="E64" s="360">
        <v>1872.76</v>
      </c>
      <c r="F64" s="360">
        <v>498.39</v>
      </c>
      <c r="G64" s="369">
        <v>3</v>
      </c>
      <c r="H64" s="369">
        <v>9183.84</v>
      </c>
      <c r="I64" s="387">
        <f t="shared" si="327"/>
      </c>
      <c r="J64" s="388">
        <f t="shared" si="223"/>
      </c>
      <c r="K64" s="389">
        <f t="shared" si="145"/>
      </c>
      <c r="L64" s="388">
        <f t="shared" si="249"/>
      </c>
      <c r="M64" s="388">
        <f t="shared" si="93"/>
      </c>
      <c r="N64" s="389">
        <f t="shared" si="353"/>
      </c>
      <c r="O64" s="388">
        <f t="shared" si="275"/>
      </c>
      <c r="P64" s="388">
        <f t="shared" si="171"/>
      </c>
      <c r="Q64" s="389">
        <f t="shared" si="119"/>
      </c>
      <c r="R64" s="390">
        <f t="shared" si="379"/>
      </c>
      <c r="S64" s="389">
        <f t="shared" si="301"/>
      </c>
      <c r="T64" s="391">
        <f t="shared" si="197"/>
      </c>
      <c r="U64" s="392" t="s">
        <v>185</v>
      </c>
      <c r="V64" s="393" t="s">
        <v>186</v>
      </c>
      <c r="W64" s="360">
        <v>2</v>
      </c>
      <c r="X64" s="360">
        <v>8208</v>
      </c>
      <c r="Y64" s="360">
        <v>536</v>
      </c>
      <c r="Z64" s="360">
        <v>944</v>
      </c>
      <c r="AA64" s="360">
        <v>208</v>
      </c>
      <c r="AB64" s="360">
        <v>45</v>
      </c>
      <c r="AC64" s="395">
        <v>3</v>
      </c>
      <c r="AD64" s="359">
        <v>21</v>
      </c>
      <c r="AE64" s="293"/>
      <c r="AF64" s="293"/>
    </row>
    <row r="65">
      <c r="A65" s="384"/>
      <c r="B65" s="385" t="s">
        <v>188</v>
      </c>
      <c r="C65" s="369" t="s">
        <v>197</v>
      </c>
      <c r="D65" s="360">
        <f t="shared" si="10"/>
      </c>
      <c r="E65" s="360">
        <v>2044.24</v>
      </c>
      <c r="F65" s="360">
        <v>372.99</v>
      </c>
      <c r="G65" s="369">
        <v>3</v>
      </c>
      <c r="H65" s="369">
        <v>22069.8</v>
      </c>
      <c r="I65" s="387">
        <f t="shared" si="327"/>
      </c>
      <c r="J65" s="388">
        <f t="shared" si="223"/>
      </c>
      <c r="K65" s="389">
        <f t="shared" si="145"/>
      </c>
      <c r="L65" s="388">
        <f t="shared" si="249"/>
      </c>
      <c r="M65" s="388">
        <f t="shared" si="93"/>
      </c>
      <c r="N65" s="389">
        <f t="shared" si="353"/>
      </c>
      <c r="O65" s="388">
        <f t="shared" si="275"/>
      </c>
      <c r="P65" s="388">
        <f t="shared" si="171"/>
      </c>
      <c r="Q65" s="389">
        <f t="shared" si="119"/>
      </c>
      <c r="R65" s="390">
        <f t="shared" si="379"/>
      </c>
      <c r="S65" s="389">
        <f t="shared" si="301"/>
      </c>
      <c r="T65" s="391">
        <f t="shared" si="197"/>
      </c>
      <c r="U65" s="392" t="s">
        <v>185</v>
      </c>
      <c r="V65" s="393" t="s">
        <v>186</v>
      </c>
      <c r="W65" s="360">
        <v>2</v>
      </c>
      <c r="X65" s="360">
        <v>8699</v>
      </c>
      <c r="Y65" s="360">
        <v>445</v>
      </c>
      <c r="Z65" s="360">
        <v>781</v>
      </c>
      <c r="AA65" s="360">
        <v>151</v>
      </c>
      <c r="AB65" s="360">
        <v>59</v>
      </c>
      <c r="AC65" s="395">
        <v>5</v>
      </c>
      <c r="AD65" s="359">
        <v>21</v>
      </c>
      <c r="AE65" s="293"/>
      <c r="AF65" s="293"/>
    </row>
    <row r="66">
      <c r="A66" s="384"/>
      <c r="B66" s="403" t="s">
        <v>190</v>
      </c>
      <c r="C66" s="402" t="s">
        <v>197</v>
      </c>
      <c r="D66" s="404">
        <f t="shared" si="10"/>
      </c>
      <c r="E66" s="346">
        <v>1255.76</v>
      </c>
      <c r="F66" s="347">
        <v>378.26</v>
      </c>
      <c r="G66" s="364">
        <v>1</v>
      </c>
      <c r="H66" s="364">
        <v>810</v>
      </c>
      <c r="I66" s="349">
        <f t="shared" si="327"/>
      </c>
      <c r="J66" s="405">
        <f t="shared" si="223"/>
      </c>
      <c r="K66" s="406">
        <f t="shared" si="145"/>
      </c>
      <c r="L66" s="405">
        <f t="shared" si="249"/>
      </c>
      <c r="M66" s="405">
        <f t="shared" si="93"/>
      </c>
      <c r="N66" s="406">
        <f t="shared" si="353"/>
      </c>
      <c r="O66" s="405">
        <f t="shared" si="275"/>
      </c>
      <c r="P66" s="405">
        <f t="shared" si="171"/>
      </c>
      <c r="Q66" s="407">
        <f t="shared" si="119"/>
      </c>
      <c r="R66" s="408">
        <f t="shared" si="379"/>
      </c>
      <c r="S66" s="407">
        <f t="shared" si="301"/>
      </c>
      <c r="T66" s="409">
        <f t="shared" si="197"/>
      </c>
      <c r="U66" s="410" t="s">
        <v>185</v>
      </c>
      <c r="V66" s="411" t="s">
        <v>186</v>
      </c>
      <c r="W66" s="348">
        <v>0</v>
      </c>
      <c r="X66" s="348">
        <v>5171</v>
      </c>
      <c r="Y66" s="348">
        <v>218</v>
      </c>
      <c r="Z66" s="348">
        <v>431</v>
      </c>
      <c r="AA66" s="348">
        <v>68</v>
      </c>
      <c r="AB66" s="348">
        <v>25</v>
      </c>
      <c r="AC66" s="359">
        <v>1</v>
      </c>
      <c r="AD66" s="359">
        <v>7</v>
      </c>
      <c r="AE66" s="293"/>
      <c r="AF66" s="293"/>
    </row>
    <row r="67">
      <c r="A67" s="384"/>
      <c r="B67" s="361" t="s">
        <v>189</v>
      </c>
      <c r="C67" s="361"/>
      <c r="D67" s="362">
        <f>SUM(D63:D66)</f>
      </c>
      <c r="E67" s="363">
        <f>SUM(E63:E66)</f>
      </c>
      <c r="F67" s="343">
        <f>SUM(F63:F66)</f>
      </c>
      <c r="G67" s="343">
        <f>SUM(G63:G66)</f>
      </c>
      <c r="H67" s="343">
        <f>SUM(H63:H66)</f>
      </c>
      <c r="I67" s="344">
        <f t="shared" si="327"/>
      </c>
      <c r="J67" s="345">
        <f t="shared" si="223"/>
      </c>
      <c r="K67" s="323">
        <f t="shared" si="145"/>
      </c>
      <c r="L67" s="322">
        <f t="shared" si="249"/>
      </c>
      <c r="M67" s="322">
        <f t="shared" si="93"/>
      </c>
      <c r="N67" s="323">
        <f t="shared" si="353"/>
      </c>
      <c r="O67" s="322">
        <f t="shared" si="275"/>
      </c>
      <c r="P67" s="322">
        <f t="shared" si="171"/>
      </c>
      <c r="Q67" s="324">
        <f t="shared" si="119"/>
      </c>
      <c r="R67" s="325">
        <f t="shared" si="379"/>
      </c>
      <c r="S67" s="324">
        <f t="shared" si="301"/>
      </c>
      <c r="T67" s="326">
        <f t="shared" si="197"/>
      </c>
      <c r="U67" s="326"/>
      <c r="V67" s="326"/>
      <c r="W67" s="320">
        <f>SUM(W63:W66)</f>
      </c>
      <c r="X67" s="320">
        <f>SUM(X63:X66)</f>
      </c>
      <c r="Y67" s="320">
        <f>SUM(Y63:Y66)</f>
      </c>
      <c r="Z67" s="320">
        <f>SUM(Z63:Z66)</f>
      </c>
      <c r="AA67" s="320">
        <f>SUM(AA63:AA66)</f>
      </c>
      <c r="AB67" s="320">
        <f>SUM(AB63:AB66)</f>
      </c>
      <c r="AC67" s="320">
        <f>SUM(AC63:AC66)</f>
      </c>
      <c r="AD67" s="320">
        <f>SUM(AD63:AD66)</f>
      </c>
      <c r="AE67" s="293"/>
      <c r="AF67" s="293"/>
    </row>
    <row r="68">
      <c r="A68" s="384"/>
      <c r="B68" s="366" t="s">
        <v>195</v>
      </c>
      <c r="C68" s="366"/>
      <c r="D68" s="367">
        <f>+D62+D58+D67</f>
      </c>
      <c r="E68" s="367">
        <f>+E62+E58+E67</f>
      </c>
      <c r="F68" s="367">
        <f>+F62+F58+F67</f>
      </c>
      <c r="G68" s="367">
        <f>+G62+G58+G67</f>
      </c>
      <c r="H68" s="367">
        <f>+H62+H58+H67</f>
      </c>
      <c r="I68" s="328">
        <f t="shared" si="327"/>
      </c>
      <c r="J68" s="329">
        <f t="shared" si="223"/>
      </c>
      <c r="K68" s="330">
        <f t="shared" si="145"/>
      </c>
      <c r="L68" s="331">
        <f t="shared" si="249"/>
      </c>
      <c r="M68" s="331">
        <f t="shared" si="93"/>
      </c>
      <c r="N68" s="330">
        <f t="shared" si="353"/>
      </c>
      <c r="O68" s="331">
        <f t="shared" si="275"/>
      </c>
      <c r="P68" s="331">
        <f t="shared" si="171"/>
      </c>
      <c r="Q68" s="330">
        <f t="shared" si="119"/>
      </c>
      <c r="R68" s="332">
        <f t="shared" si="379"/>
      </c>
      <c r="S68" s="330">
        <f t="shared" si="301"/>
      </c>
      <c r="T68" s="333">
        <f t="shared" si="197"/>
      </c>
      <c r="U68" s="333"/>
      <c r="V68" s="333"/>
      <c r="W68" s="328">
        <f>+W62+W58+W67</f>
      </c>
      <c r="X68" s="328">
        <f>+X62+X58+X67</f>
      </c>
      <c r="Y68" s="328">
        <f>+Y62+Y58+Y67</f>
      </c>
      <c r="Z68" s="328">
        <f>+Z62+Z58+Z67</f>
      </c>
      <c r="AA68" s="328">
        <f>+AA62+AA58+AA67</f>
      </c>
      <c r="AB68" s="328">
        <f>+AB62+AB58+AB67</f>
      </c>
      <c r="AC68" s="328">
        <f>+AC62+AC58+AC67</f>
      </c>
      <c r="AD68" s="328">
        <f>+AD62+AD58+AD67</f>
      </c>
      <c r="AE68" s="293"/>
      <c r="AF68" s="293"/>
    </row>
    <row r="69">
      <c r="A69" s="352" t="s">
        <v>150</v>
      </c>
      <c r="B69" s="353"/>
      <c r="C69" s="353"/>
      <c r="D69" s="334" t="s">
        <v>151</v>
      </c>
      <c r="E69" s="334"/>
      <c r="F69" s="334"/>
      <c r="G69" s="334"/>
      <c r="H69" s="334"/>
      <c r="I69" s="334"/>
      <c r="J69" s="377" t="s">
        <v>152</v>
      </c>
      <c r="K69" s="377"/>
      <c r="L69" s="289"/>
      <c r="M69" s="289"/>
      <c r="N69" s="289"/>
      <c r="O69" s="289"/>
      <c r="P69" s="289"/>
      <c r="Q69" s="289"/>
      <c r="R69" s="289"/>
      <c r="S69" s="289"/>
      <c r="T69" s="370"/>
      <c r="U69" s="370"/>
      <c r="V69" s="370"/>
      <c r="W69" s="371"/>
      <c r="X69" s="371"/>
      <c r="Y69" s="371"/>
      <c r="Z69" s="371"/>
      <c r="AA69" s="371"/>
      <c r="AB69" s="371"/>
      <c r="AC69" s="371"/>
      <c r="AD69" s="372" t="s">
        <v>153</v>
      </c>
      <c r="AE69" s="293"/>
      <c r="AF69" s="293"/>
    </row>
    <row r="70">
      <c r="A70" s="354" t="s">
        <v>154</v>
      </c>
      <c r="B70" s="352" t="s">
        <v>155</v>
      </c>
      <c r="C70" s="352" t="s">
        <v>156</v>
      </c>
      <c r="D70" s="412" t="s">
        <v>157</v>
      </c>
      <c r="E70" s="413" t="s">
        <v>158</v>
      </c>
      <c r="F70" s="413" t="s">
        <v>159</v>
      </c>
      <c r="G70" s="414" t="s">
        <v>160</v>
      </c>
      <c r="H70" s="412" t="s">
        <v>161</v>
      </c>
      <c r="I70" s="413" t="s">
        <v>162</v>
      </c>
      <c r="J70" s="415" t="s">
        <v>163</v>
      </c>
      <c r="K70" s="415" t="s">
        <v>164</v>
      </c>
      <c r="L70" s="416" t="s">
        <v>165</v>
      </c>
      <c r="M70" s="378" t="s">
        <v>166</v>
      </c>
      <c r="N70" s="377" t="s">
        <v>167</v>
      </c>
      <c r="O70" s="378" t="s">
        <v>168</v>
      </c>
      <c r="P70" s="378" t="s">
        <v>169</v>
      </c>
      <c r="Q70" s="379" t="s">
        <v>170</v>
      </c>
      <c r="R70" s="378" t="s">
        <v>171</v>
      </c>
      <c r="S70" s="379" t="s">
        <v>172</v>
      </c>
      <c r="T70" s="380" t="s">
        <v>173</v>
      </c>
      <c r="U70" s="380" t="s">
        <v>174</v>
      </c>
      <c r="V70" s="380" t="s">
        <v>175</v>
      </c>
      <c r="W70" s="381" t="s">
        <v>176</v>
      </c>
      <c r="X70" s="382" t="s">
        <v>177</v>
      </c>
      <c r="Y70" s="382" t="s">
        <v>178</v>
      </c>
      <c r="Z70" s="382" t="s">
        <v>179</v>
      </c>
      <c r="AA70" s="382" t="s">
        <v>180</v>
      </c>
      <c r="AB70" s="382" t="s">
        <v>181</v>
      </c>
      <c r="AC70" s="383" t="s">
        <v>182</v>
      </c>
      <c r="AD70" s="372"/>
      <c r="AE70" s="293"/>
      <c r="AF70" s="293"/>
    </row>
    <row r="71">
      <c r="A71" s="384">
        <v>46245</v>
      </c>
      <c r="B71" s="385" t="s">
        <v>199</v>
      </c>
      <c r="C71" s="369" t="s">
        <v>197</v>
      </c>
      <c r="D71" s="360">
        <f t="shared" ref="D71:D74" si="11">E71+F71</f>
      </c>
      <c r="E71" s="360">
        <v>1740.78</v>
      </c>
      <c r="F71" s="369">
        <v>532.22</v>
      </c>
      <c r="G71" s="369">
        <v>0</v>
      </c>
      <c r="H71" s="369">
        <v>0</v>
      </c>
      <c r="I71" s="387">
        <f t="shared" ref="I71:I86" si="328">H71/D71</f>
      </c>
      <c r="J71" s="388">
        <f t="shared" ref="J71:J86" si="224">Y71/X71</f>
      </c>
      <c r="K71" s="389">
        <f t="shared" ref="K71:K86" si="146">D71/Z71</f>
      </c>
      <c r="L71" s="417">
        <f t="shared" ref="L71:L86" si="250">AA71/Z71</f>
      </c>
      <c r="M71" s="388">
        <f t="shared" ref="M71:M86" si="94">AB71/Z71</f>
      </c>
      <c r="N71" s="389">
        <f t="shared" ref="N71:N86" si="354">D71/AB71</f>
      </c>
      <c r="O71" s="388">
        <f t="shared" ref="O71:O86" si="276">AC71/AB71</f>
      </c>
      <c r="P71" s="388">
        <f t="shared" ref="P71:P86" si="172">G71/AC71</f>
      </c>
      <c r="Q71" s="389">
        <f t="shared" ref="Q71:Q86" si="120">D71/G71</f>
      </c>
      <c r="R71" s="390">
        <f t="shared" ref="R71:R86" si="380">H71/G71</f>
      </c>
      <c r="S71" s="389">
        <f t="shared" ref="S71:S86" si="302">D71/W71</f>
      </c>
      <c r="T71" s="391">
        <f t="shared" ref="T71:T86" si="198">AD71*1000/D71</f>
      </c>
      <c r="U71" s="392" t="s">
        <v>185</v>
      </c>
      <c r="V71" s="393" t="s">
        <v>186</v>
      </c>
      <c r="W71" s="360">
        <v>0</v>
      </c>
      <c r="X71" s="360">
        <v>6714</v>
      </c>
      <c r="Y71" s="360">
        <v>426</v>
      </c>
      <c r="Z71" s="360">
        <v>669</v>
      </c>
      <c r="AA71" s="360">
        <v>149</v>
      </c>
      <c r="AB71" s="360">
        <v>32</v>
      </c>
      <c r="AC71" s="394">
        <v>3</v>
      </c>
      <c r="AD71" s="364">
        <v>18</v>
      </c>
      <c r="AE71" s="293"/>
      <c r="AF71" s="293"/>
    </row>
    <row r="72">
      <c r="A72" s="384"/>
      <c r="B72" s="385" t="s">
        <v>200</v>
      </c>
      <c r="C72" s="369" t="s">
        <v>197</v>
      </c>
      <c r="D72" s="360">
        <f t="shared" si="11"/>
      </c>
      <c r="E72" s="360">
        <v>1472.84</v>
      </c>
      <c r="F72" s="360">
        <v>483.94</v>
      </c>
      <c r="G72" s="369">
        <v>1</v>
      </c>
      <c r="H72" s="369">
        <v>534.5999999999999</v>
      </c>
      <c r="I72" s="387">
        <f t="shared" si="328"/>
      </c>
      <c r="J72" s="388">
        <f t="shared" si="224"/>
      </c>
      <c r="K72" s="389">
        <f t="shared" si="146"/>
      </c>
      <c r="L72" s="417">
        <f t="shared" si="250"/>
      </c>
      <c r="M72" s="388">
        <f t="shared" si="94"/>
      </c>
      <c r="N72" s="389">
        <f t="shared" si="354"/>
      </c>
      <c r="O72" s="388">
        <f t="shared" si="276"/>
      </c>
      <c r="P72" s="388">
        <f t="shared" si="172"/>
      </c>
      <c r="Q72" s="389">
        <f t="shared" si="120"/>
      </c>
      <c r="R72" s="390">
        <f t="shared" si="380"/>
      </c>
      <c r="S72" s="389">
        <f t="shared" si="302"/>
      </c>
      <c r="T72" s="391">
        <f t="shared" si="198"/>
      </c>
      <c r="U72" s="392" t="s">
        <v>185</v>
      </c>
      <c r="V72" s="393" t="s">
        <v>186</v>
      </c>
      <c r="W72" s="360">
        <v>1</v>
      </c>
      <c r="X72" s="360">
        <v>5674</v>
      </c>
      <c r="Y72" s="360">
        <v>383</v>
      </c>
      <c r="Z72" s="360">
        <v>616</v>
      </c>
      <c r="AA72" s="360">
        <v>142</v>
      </c>
      <c r="AB72" s="360">
        <v>28</v>
      </c>
      <c r="AC72" s="395">
        <v>2</v>
      </c>
      <c r="AD72" s="359">
        <v>6</v>
      </c>
      <c r="AE72" s="293"/>
      <c r="AF72" s="293"/>
    </row>
    <row r="73">
      <c r="A73" s="384"/>
      <c r="B73" s="385" t="s">
        <v>201</v>
      </c>
      <c r="C73" s="369" t="s">
        <v>197</v>
      </c>
      <c r="D73" s="360">
        <f t="shared" si="11"/>
      </c>
      <c r="E73" s="360">
        <v>789.4</v>
      </c>
      <c r="F73" s="360">
        <v>238.24</v>
      </c>
      <c r="G73" s="369">
        <v>2</v>
      </c>
      <c r="H73" s="360">
        <v>1988.2800000000002</v>
      </c>
      <c r="I73" s="387">
        <f t="shared" si="328"/>
      </c>
      <c r="J73" s="388">
        <f t="shared" si="224"/>
      </c>
      <c r="K73" s="389">
        <f t="shared" si="146"/>
      </c>
      <c r="L73" s="417">
        <f t="shared" si="250"/>
      </c>
      <c r="M73" s="388">
        <f t="shared" si="94"/>
      </c>
      <c r="N73" s="389">
        <f t="shared" si="354"/>
      </c>
      <c r="O73" s="388">
        <f t="shared" si="276"/>
      </c>
      <c r="P73" s="388">
        <f t="shared" si="172"/>
      </c>
      <c r="Q73" s="389">
        <f t="shared" si="120"/>
      </c>
      <c r="R73" s="390">
        <f t="shared" si="380"/>
      </c>
      <c r="S73" s="389">
        <f t="shared" si="302"/>
      </c>
      <c r="T73" s="391">
        <f t="shared" si="198"/>
      </c>
      <c r="U73" s="392" t="s">
        <v>185</v>
      </c>
      <c r="V73" s="393" t="s">
        <v>186</v>
      </c>
      <c r="W73" s="360">
        <v>2</v>
      </c>
      <c r="X73" s="360">
        <v>2438</v>
      </c>
      <c r="Y73" s="360">
        <v>259</v>
      </c>
      <c r="Z73" s="360">
        <v>451</v>
      </c>
      <c r="AA73" s="360">
        <v>107</v>
      </c>
      <c r="AB73" s="360">
        <v>13</v>
      </c>
      <c r="AC73" s="395">
        <v>2</v>
      </c>
      <c r="AD73" s="359">
        <v>14</v>
      </c>
      <c r="AE73" s="293"/>
      <c r="AF73" s="293"/>
    </row>
    <row r="74">
      <c r="A74" s="384"/>
      <c r="B74" s="385" t="s">
        <v>202</v>
      </c>
      <c r="C74" s="369" t="s">
        <v>197</v>
      </c>
      <c r="D74" s="360">
        <f t="shared" si="11"/>
      </c>
      <c r="E74" s="360">
        <v>1743.3</v>
      </c>
      <c r="F74" s="360">
        <v>548.14</v>
      </c>
      <c r="G74" s="369">
        <v>2</v>
      </c>
      <c r="H74" s="369">
        <v>1929.3599999999997</v>
      </c>
      <c r="I74" s="387">
        <f t="shared" si="328"/>
      </c>
      <c r="J74" s="388">
        <f t="shared" si="224"/>
      </c>
      <c r="K74" s="389">
        <f t="shared" si="146"/>
      </c>
      <c r="L74" s="417">
        <f t="shared" si="250"/>
      </c>
      <c r="M74" s="388">
        <f t="shared" si="94"/>
      </c>
      <c r="N74" s="389">
        <f t="shared" si="354"/>
      </c>
      <c r="O74" s="388">
        <f t="shared" si="276"/>
      </c>
      <c r="P74" s="388">
        <f t="shared" si="172"/>
      </c>
      <c r="Q74" s="389">
        <f t="shared" si="120"/>
      </c>
      <c r="R74" s="390">
        <f t="shared" si="380"/>
      </c>
      <c r="S74" s="389">
        <f t="shared" si="302"/>
      </c>
      <c r="T74" s="391">
        <f t="shared" si="198"/>
      </c>
      <c r="U74" s="392" t="s">
        <v>185</v>
      </c>
      <c r="V74" s="393" t="s">
        <v>186</v>
      </c>
      <c r="W74" s="360">
        <v>1</v>
      </c>
      <c r="X74" s="360">
        <v>6392</v>
      </c>
      <c r="Y74" s="360">
        <v>316</v>
      </c>
      <c r="Z74" s="360">
        <v>493</v>
      </c>
      <c r="AA74" s="360">
        <v>108</v>
      </c>
      <c r="AB74" s="360">
        <v>35</v>
      </c>
      <c r="AC74" s="395">
        <v>2</v>
      </c>
      <c r="AD74" s="359">
        <v>17</v>
      </c>
      <c r="AE74" s="293"/>
      <c r="AF74" s="293"/>
    </row>
    <row r="75">
      <c r="A75" s="384"/>
      <c r="B75" s="361" t="s">
        <v>189</v>
      </c>
      <c r="C75" s="361"/>
      <c r="D75" s="361">
        <f>SUM(D71:D74)</f>
      </c>
      <c r="E75" s="361">
        <f>SUM(E71:E74)</f>
      </c>
      <c r="F75" s="361">
        <f>SUM(F71:F74)</f>
      </c>
      <c r="G75" s="361">
        <f>SUM(G71:G74)</f>
      </c>
      <c r="H75" s="361">
        <f>SUM(H71:H74)</f>
      </c>
      <c r="I75" s="396">
        <f t="shared" si="328"/>
      </c>
      <c r="J75" s="397">
        <f t="shared" si="224"/>
      </c>
      <c r="K75" s="398">
        <f t="shared" si="146"/>
      </c>
      <c r="L75" s="418">
        <f t="shared" si="250"/>
      </c>
      <c r="M75" s="397">
        <f t="shared" si="94"/>
      </c>
      <c r="N75" s="398">
        <f t="shared" si="354"/>
      </c>
      <c r="O75" s="397">
        <f t="shared" si="276"/>
      </c>
      <c r="P75" s="397">
        <f t="shared" si="172"/>
      </c>
      <c r="Q75" s="398">
        <f t="shared" si="120"/>
      </c>
      <c r="R75" s="399">
        <f t="shared" si="380"/>
      </c>
      <c r="S75" s="398">
        <f t="shared" si="302"/>
      </c>
      <c r="T75" s="400">
        <f t="shared" si="198"/>
      </c>
      <c r="U75" s="400"/>
      <c r="V75" s="400"/>
      <c r="W75" s="361">
        <f>SUM(W71:W74)</f>
      </c>
      <c r="X75" s="361">
        <f>SUM(X71:X74)</f>
      </c>
      <c r="Y75" s="361">
        <f>SUM(Y71:Y74)</f>
      </c>
      <c r="Z75" s="361">
        <f>SUM(Z71:Z74)</f>
      </c>
      <c r="AA75" s="361">
        <f>SUM(AA71:AA74)</f>
      </c>
      <c r="AB75" s="361">
        <f>SUM(AB71:AB74)</f>
      </c>
      <c r="AC75" s="319">
        <f>SUM(AC71:AC74)</f>
      </c>
      <c r="AD75" s="320">
        <f>SUM(AD71:AD74)</f>
      </c>
      <c r="AE75" s="293"/>
      <c r="AF75" s="293"/>
    </row>
    <row r="76">
      <c r="A76" s="384"/>
      <c r="B76" s="385" t="s">
        <v>203</v>
      </c>
      <c r="C76" s="369" t="s">
        <v>184</v>
      </c>
      <c r="D76" s="360">
        <f t="shared" ref="D76:D79" si="12">E76+F76</f>
      </c>
      <c r="E76" s="360">
        <v>2084.13</v>
      </c>
      <c r="F76" s="360">
        <v>682.84</v>
      </c>
      <c r="G76" s="369">
        <v>1</v>
      </c>
      <c r="H76" s="369">
        <v>3130.3199999999997</v>
      </c>
      <c r="I76" s="387">
        <f t="shared" si="328"/>
      </c>
      <c r="J76" s="388">
        <f t="shared" si="224"/>
      </c>
      <c r="K76" s="389">
        <f t="shared" si="146"/>
      </c>
      <c r="L76" s="417">
        <f t="shared" si="250"/>
      </c>
      <c r="M76" s="388">
        <f t="shared" si="94"/>
      </c>
      <c r="N76" s="389">
        <f t="shared" si="354"/>
      </c>
      <c r="O76" s="388">
        <f t="shared" si="276"/>
      </c>
      <c r="P76" s="388">
        <f t="shared" si="172"/>
      </c>
      <c r="Q76" s="389">
        <f t="shared" si="120"/>
      </c>
      <c r="R76" s="390">
        <f t="shared" si="380"/>
      </c>
      <c r="S76" s="389">
        <f t="shared" si="302"/>
      </c>
      <c r="T76" s="391">
        <f t="shared" si="198"/>
      </c>
      <c r="U76" s="392" t="s">
        <v>185</v>
      </c>
      <c r="V76" s="393" t="s">
        <v>186</v>
      </c>
      <c r="W76" s="360">
        <v>1</v>
      </c>
      <c r="X76" s="360">
        <v>8967</v>
      </c>
      <c r="Y76" s="360">
        <v>396</v>
      </c>
      <c r="Z76" s="360">
        <v>550</v>
      </c>
      <c r="AA76" s="360">
        <v>110</v>
      </c>
      <c r="AB76" s="360">
        <v>48</v>
      </c>
      <c r="AC76" s="395">
        <v>2</v>
      </c>
      <c r="AD76" s="359">
        <v>20</v>
      </c>
      <c r="AE76" s="293"/>
      <c r="AF76" s="293"/>
    </row>
    <row r="77">
      <c r="A77" s="384"/>
      <c r="B77" s="385" t="s">
        <v>204</v>
      </c>
      <c r="C77" s="369" t="s">
        <v>184</v>
      </c>
      <c r="D77" s="360">
        <f t="shared" si="12"/>
      </c>
      <c r="E77" s="360">
        <v>1124.49</v>
      </c>
      <c r="F77" s="360">
        <v>1094.26</v>
      </c>
      <c r="G77" s="369">
        <v>1</v>
      </c>
      <c r="H77" s="369">
        <v>810</v>
      </c>
      <c r="I77" s="387">
        <f t="shared" si="328"/>
      </c>
      <c r="J77" s="388">
        <f t="shared" si="224"/>
      </c>
      <c r="K77" s="389">
        <f t="shared" si="146"/>
      </c>
      <c r="L77" s="417">
        <f t="shared" si="250"/>
      </c>
      <c r="M77" s="388">
        <f t="shared" si="94"/>
      </c>
      <c r="N77" s="389">
        <f t="shared" si="354"/>
      </c>
      <c r="O77" s="388">
        <f t="shared" si="276"/>
      </c>
      <c r="P77" s="388">
        <f t="shared" si="172"/>
      </c>
      <c r="Q77" s="389">
        <f t="shared" si="120"/>
      </c>
      <c r="R77" s="390">
        <f t="shared" si="380"/>
      </c>
      <c r="S77" s="389">
        <f t="shared" si="302"/>
      </c>
      <c r="T77" s="391">
        <f t="shared" si="198"/>
      </c>
      <c r="U77" s="392" t="s">
        <v>185</v>
      </c>
      <c r="V77" s="393" t="s">
        <v>186</v>
      </c>
      <c r="W77" s="360">
        <v>0</v>
      </c>
      <c r="X77" s="360">
        <v>8106</v>
      </c>
      <c r="Y77" s="360">
        <v>459</v>
      </c>
      <c r="Z77" s="360">
        <v>762</v>
      </c>
      <c r="AA77" s="360">
        <v>114</v>
      </c>
      <c r="AB77" s="360">
        <v>34</v>
      </c>
      <c r="AC77" s="395">
        <v>1</v>
      </c>
      <c r="AD77" s="359">
        <v>10</v>
      </c>
      <c r="AE77" s="293"/>
      <c r="AF77" s="293"/>
    </row>
    <row r="78">
      <c r="A78" s="384"/>
      <c r="B78" s="385" t="s">
        <v>205</v>
      </c>
      <c r="C78" s="369" t="s">
        <v>184</v>
      </c>
      <c r="D78" s="360">
        <f t="shared" si="12"/>
      </c>
      <c r="E78" s="360">
        <v>511.8</v>
      </c>
      <c r="F78" s="360">
        <v>1422.52</v>
      </c>
      <c r="G78" s="369">
        <v>2</v>
      </c>
      <c r="H78" s="369">
        <v>4212</v>
      </c>
      <c r="I78" s="387">
        <f t="shared" si="328"/>
      </c>
      <c r="J78" s="388">
        <f t="shared" si="224"/>
      </c>
      <c r="K78" s="389">
        <f t="shared" si="146"/>
      </c>
      <c r="L78" s="417">
        <f t="shared" si="250"/>
      </c>
      <c r="M78" s="388">
        <f t="shared" si="94"/>
      </c>
      <c r="N78" s="389">
        <f t="shared" si="354"/>
      </c>
      <c r="O78" s="388">
        <f t="shared" si="276"/>
      </c>
      <c r="P78" s="388">
        <f t="shared" si="172"/>
      </c>
      <c r="Q78" s="389">
        <f t="shared" si="120"/>
      </c>
      <c r="R78" s="390">
        <f t="shared" si="380"/>
      </c>
      <c r="S78" s="389">
        <f t="shared" si="302"/>
      </c>
      <c r="T78" s="391">
        <f t="shared" si="198"/>
      </c>
      <c r="U78" s="392" t="s">
        <v>185</v>
      </c>
      <c r="V78" s="393" t="s">
        <v>186</v>
      </c>
      <c r="W78" s="360">
        <v>2</v>
      </c>
      <c r="X78" s="360">
        <v>7013</v>
      </c>
      <c r="Y78" s="360">
        <v>547</v>
      </c>
      <c r="Z78" s="360">
        <v>835</v>
      </c>
      <c r="AA78" s="360">
        <v>132</v>
      </c>
      <c r="AB78" s="360">
        <v>40</v>
      </c>
      <c r="AC78" s="395">
        <v>2</v>
      </c>
      <c r="AD78" s="359">
        <v>17</v>
      </c>
      <c r="AE78" s="293"/>
      <c r="AF78" s="293"/>
    </row>
    <row customHeight="true" ht="18.452380952380953" r="79">
      <c r="A79" s="384"/>
      <c r="B79" s="419" t="s">
        <v>196</v>
      </c>
      <c r="C79" s="369" t="s">
        <v>184</v>
      </c>
      <c r="D79" s="360">
        <f t="shared" si="12"/>
      </c>
      <c r="E79" s="360">
        <v>929.24</v>
      </c>
      <c r="F79" s="360">
        <v>945.16</v>
      </c>
      <c r="G79" s="369">
        <v>0</v>
      </c>
      <c r="H79" s="369">
        <v>0</v>
      </c>
      <c r="I79" s="387">
        <f t="shared" si="328"/>
      </c>
      <c r="J79" s="388">
        <f t="shared" si="224"/>
      </c>
      <c r="K79" s="389">
        <f t="shared" si="146"/>
      </c>
      <c r="L79" s="417">
        <f t="shared" si="250"/>
      </c>
      <c r="M79" s="388">
        <f t="shared" si="94"/>
      </c>
      <c r="N79" s="389">
        <f t="shared" si="354"/>
      </c>
      <c r="O79" s="388">
        <f t="shared" si="276"/>
      </c>
      <c r="P79" s="388">
        <f t="shared" si="172"/>
      </c>
      <c r="Q79" s="389">
        <f t="shared" si="120"/>
      </c>
      <c r="R79" s="390">
        <f t="shared" si="380"/>
      </c>
      <c r="S79" s="389">
        <f t="shared" si="302"/>
      </c>
      <c r="T79" s="391">
        <f t="shared" si="198"/>
      </c>
      <c r="U79" s="392" t="s">
        <v>185</v>
      </c>
      <c r="V79" s="393" t="s">
        <v>186</v>
      </c>
      <c r="W79" s="360">
        <v>0</v>
      </c>
      <c r="X79" s="360">
        <v>6403</v>
      </c>
      <c r="Y79" s="360">
        <v>398</v>
      </c>
      <c r="Z79" s="360">
        <v>622</v>
      </c>
      <c r="AA79" s="360">
        <v>105</v>
      </c>
      <c r="AB79" s="360">
        <v>34</v>
      </c>
      <c r="AC79" s="395">
        <v>0</v>
      </c>
      <c r="AD79" s="359">
        <v>14</v>
      </c>
      <c r="AE79" s="293"/>
      <c r="AF79" s="293"/>
    </row>
    <row r="80">
      <c r="A80" s="384"/>
      <c r="B80" s="361" t="s">
        <v>189</v>
      </c>
      <c r="C80" s="361"/>
      <c r="D80" s="361">
        <f>SUM(D76:D79)</f>
      </c>
      <c r="E80" s="361">
        <f>SUM(E76:E79)</f>
      </c>
      <c r="F80" s="361">
        <f>SUM(F76:F79)</f>
      </c>
      <c r="G80" s="361">
        <f>SUM(G76:G79)</f>
      </c>
      <c r="H80" s="361">
        <f>SUM(H76:H79)</f>
      </c>
      <c r="I80" s="396">
        <f t="shared" si="328"/>
      </c>
      <c r="J80" s="397">
        <f t="shared" si="224"/>
      </c>
      <c r="K80" s="398">
        <f t="shared" si="146"/>
      </c>
      <c r="L80" s="418">
        <f t="shared" si="250"/>
      </c>
      <c r="M80" s="397">
        <f t="shared" si="94"/>
      </c>
      <c r="N80" s="398">
        <f t="shared" si="354"/>
      </c>
      <c r="O80" s="397">
        <f t="shared" si="276"/>
      </c>
      <c r="P80" s="397">
        <f t="shared" si="172"/>
      </c>
      <c r="Q80" s="398">
        <f t="shared" si="120"/>
      </c>
      <c r="R80" s="399">
        <f t="shared" si="380"/>
      </c>
      <c r="S80" s="398">
        <f t="shared" si="302"/>
      </c>
      <c r="T80" s="400">
        <f t="shared" si="198"/>
      </c>
      <c r="U80" s="400"/>
      <c r="V80" s="400"/>
      <c r="W80" s="361">
        <f>SUM(W76:W79)</f>
      </c>
      <c r="X80" s="361">
        <f>SUM(X76:X79)</f>
      </c>
      <c r="Y80" s="361">
        <f>SUM(Y76:Y79)</f>
      </c>
      <c r="Z80" s="361">
        <f>SUM(Z76:Z79)</f>
      </c>
      <c r="AA80" s="361">
        <f>SUM(AA76:AA79)</f>
      </c>
      <c r="AB80" s="361">
        <f>SUM(AB76:AB79)</f>
      </c>
      <c r="AC80" s="361">
        <f>SUM(AC76:AC79)</f>
      </c>
      <c r="AD80" s="361">
        <f>SUM(AD76:AD79)</f>
      </c>
      <c r="AE80" s="293"/>
      <c r="AF80" s="293"/>
    </row>
    <row r="81">
      <c r="A81" s="384"/>
      <c r="B81" s="401" t="s">
        <v>183</v>
      </c>
      <c r="C81" s="402" t="s">
        <v>191</v>
      </c>
      <c r="D81" s="356">
        <f t="shared" ref="D81:D84" si="13">E81+F81</f>
      </c>
      <c r="E81" s="356">
        <v>886.72</v>
      </c>
      <c r="F81" s="356">
        <v>897.28</v>
      </c>
      <c r="G81" s="402">
        <v>0</v>
      </c>
      <c r="H81" s="402">
        <v>0</v>
      </c>
      <c r="I81" s="420">
        <f t="shared" si="328"/>
      </c>
      <c r="J81" s="421">
        <f t="shared" si="224"/>
      </c>
      <c r="K81" s="422">
        <f t="shared" si="146"/>
      </c>
      <c r="L81" s="388">
        <f t="shared" si="250"/>
      </c>
      <c r="M81" s="388">
        <f t="shared" si="94"/>
      </c>
      <c r="N81" s="389">
        <f t="shared" si="354"/>
      </c>
      <c r="O81" s="388">
        <f t="shared" si="276"/>
      </c>
      <c r="P81" s="388">
        <f t="shared" si="172"/>
      </c>
      <c r="Q81" s="389">
        <f t="shared" si="120"/>
      </c>
      <c r="R81" s="390">
        <f t="shared" si="380"/>
      </c>
      <c r="S81" s="389">
        <f t="shared" si="302"/>
      </c>
      <c r="T81" s="391">
        <f t="shared" si="198"/>
      </c>
      <c r="U81" s="392" t="s">
        <v>185</v>
      </c>
      <c r="V81" s="393" t="s">
        <v>186</v>
      </c>
      <c r="W81" s="360">
        <v>0</v>
      </c>
      <c r="X81" s="360">
        <v>5775</v>
      </c>
      <c r="Y81" s="360">
        <v>366</v>
      </c>
      <c r="Z81" s="360">
        <v>602</v>
      </c>
      <c r="AA81" s="360">
        <v>94</v>
      </c>
      <c r="AB81" s="360">
        <v>28</v>
      </c>
      <c r="AC81" s="395">
        <v>0</v>
      </c>
      <c r="AD81" s="359">
        <v>6</v>
      </c>
      <c r="AE81" s="293"/>
      <c r="AF81" s="293"/>
    </row>
    <row r="82">
      <c r="A82" s="384"/>
      <c r="B82" s="385" t="s">
        <v>187</v>
      </c>
      <c r="C82" s="369" t="s">
        <v>191</v>
      </c>
      <c r="D82" s="360">
        <f t="shared" si="13"/>
      </c>
      <c r="E82" s="360">
        <v>327.56</v>
      </c>
      <c r="F82" s="360">
        <v>832.29</v>
      </c>
      <c r="G82" s="369">
        <v>1</v>
      </c>
      <c r="H82" s="369">
        <v>508.6800000000003</v>
      </c>
      <c r="I82" s="387">
        <f t="shared" si="328"/>
      </c>
      <c r="J82" s="388">
        <f t="shared" si="224"/>
      </c>
      <c r="K82" s="389">
        <f t="shared" si="146"/>
      </c>
      <c r="L82" s="388">
        <f t="shared" si="250"/>
      </c>
      <c r="M82" s="388">
        <f t="shared" si="94"/>
      </c>
      <c r="N82" s="389">
        <f t="shared" si="354"/>
      </c>
      <c r="O82" s="388">
        <f t="shared" si="276"/>
      </c>
      <c r="P82" s="388">
        <f t="shared" si="172"/>
      </c>
      <c r="Q82" s="389">
        <f t="shared" si="120"/>
      </c>
      <c r="R82" s="390">
        <f t="shared" si="380"/>
      </c>
      <c r="S82" s="389">
        <f t="shared" si="302"/>
      </c>
      <c r="T82" s="391">
        <f t="shared" si="198"/>
      </c>
      <c r="U82" s="392" t="s">
        <v>185</v>
      </c>
      <c r="V82" s="393" t="s">
        <v>186</v>
      </c>
      <c r="W82" s="360">
        <v>1</v>
      </c>
      <c r="X82" s="360">
        <v>4365</v>
      </c>
      <c r="Y82" s="360">
        <v>353</v>
      </c>
      <c r="Z82" s="360">
        <v>599</v>
      </c>
      <c r="AA82" s="360">
        <v>86</v>
      </c>
      <c r="AB82" s="360">
        <v>19</v>
      </c>
      <c r="AC82" s="395">
        <v>1</v>
      </c>
      <c r="AD82" s="359">
        <v>4</v>
      </c>
      <c r="AE82" s="293"/>
      <c r="AF82" s="293"/>
    </row>
    <row r="83">
      <c r="A83" s="384"/>
      <c r="B83" s="385" t="s">
        <v>188</v>
      </c>
      <c r="C83" s="369" t="s">
        <v>191</v>
      </c>
      <c r="D83" s="360">
        <f t="shared" si="13"/>
      </c>
      <c r="E83" s="360">
        <v>361.35</v>
      </c>
      <c r="F83" s="360">
        <v>881.89</v>
      </c>
      <c r="G83" s="369">
        <v>1</v>
      </c>
      <c r="H83" s="369">
        <v>4288.6799999999985</v>
      </c>
      <c r="I83" s="387">
        <f t="shared" si="328"/>
      </c>
      <c r="J83" s="388">
        <f t="shared" si="224"/>
      </c>
      <c r="K83" s="389">
        <f t="shared" si="146"/>
      </c>
      <c r="L83" s="388">
        <f t="shared" si="250"/>
      </c>
      <c r="M83" s="388">
        <f t="shared" si="94"/>
      </c>
      <c r="N83" s="389">
        <f t="shared" si="354"/>
      </c>
      <c r="O83" s="388">
        <f t="shared" si="276"/>
      </c>
      <c r="P83" s="388">
        <f t="shared" si="172"/>
      </c>
      <c r="Q83" s="389">
        <f t="shared" si="120"/>
      </c>
      <c r="R83" s="390">
        <f t="shared" si="380"/>
      </c>
      <c r="S83" s="389">
        <f t="shared" si="302"/>
      </c>
      <c r="T83" s="391">
        <f t="shared" si="198"/>
      </c>
      <c r="U83" s="392" t="s">
        <v>185</v>
      </c>
      <c r="V83" s="393" t="s">
        <v>186</v>
      </c>
      <c r="W83" s="360">
        <v>1</v>
      </c>
      <c r="X83" s="360">
        <v>5783</v>
      </c>
      <c r="Y83" s="360">
        <v>392</v>
      </c>
      <c r="Z83" s="360">
        <v>670</v>
      </c>
      <c r="AA83" s="360">
        <v>91</v>
      </c>
      <c r="AB83" s="360">
        <v>18</v>
      </c>
      <c r="AC83" s="395">
        <v>2</v>
      </c>
      <c r="AD83" s="359">
        <v>11</v>
      </c>
      <c r="AE83" s="293"/>
      <c r="AF83" s="293"/>
    </row>
    <row r="84">
      <c r="A84" s="384"/>
      <c r="B84" s="403" t="s">
        <v>190</v>
      </c>
      <c r="C84" s="369" t="s">
        <v>191</v>
      </c>
      <c r="D84" s="404">
        <f t="shared" si="13"/>
      </c>
      <c r="E84" s="346">
        <v>594.44</v>
      </c>
      <c r="F84" s="347">
        <v>672.44</v>
      </c>
      <c r="G84" s="364">
        <v>2</v>
      </c>
      <c r="H84" s="364">
        <v>10887</v>
      </c>
      <c r="I84" s="349">
        <f t="shared" si="328"/>
      </c>
      <c r="J84" s="405">
        <f t="shared" si="224"/>
      </c>
      <c r="K84" s="406">
        <f t="shared" si="146"/>
      </c>
      <c r="L84" s="405">
        <f t="shared" si="250"/>
      </c>
      <c r="M84" s="405">
        <f t="shared" si="94"/>
      </c>
      <c r="N84" s="406">
        <f t="shared" si="354"/>
      </c>
      <c r="O84" s="405">
        <f t="shared" si="276"/>
      </c>
      <c r="P84" s="405">
        <f t="shared" si="172"/>
      </c>
      <c r="Q84" s="407">
        <f t="shared" si="120"/>
      </c>
      <c r="R84" s="408">
        <f t="shared" si="380"/>
      </c>
      <c r="S84" s="407">
        <f t="shared" si="302"/>
      </c>
      <c r="T84" s="409">
        <f t="shared" si="198"/>
      </c>
      <c r="U84" s="410" t="s">
        <v>185</v>
      </c>
      <c r="V84" s="411" t="s">
        <v>186</v>
      </c>
      <c r="W84" s="348">
        <v>2</v>
      </c>
      <c r="X84" s="348">
        <v>3931</v>
      </c>
      <c r="Y84" s="348">
        <v>254</v>
      </c>
      <c r="Z84" s="348">
        <v>397</v>
      </c>
      <c r="AA84" s="348">
        <v>62</v>
      </c>
      <c r="AB84" s="348">
        <v>30</v>
      </c>
      <c r="AC84" s="359">
        <v>2</v>
      </c>
      <c r="AD84" s="359">
        <v>5</v>
      </c>
      <c r="AE84" s="293"/>
      <c r="AF84" s="293"/>
    </row>
    <row r="85">
      <c r="A85" s="384"/>
      <c r="B85" s="361" t="s">
        <v>189</v>
      </c>
      <c r="C85" s="361"/>
      <c r="D85" s="362">
        <f>SUM(D81:D84)</f>
      </c>
      <c r="E85" s="363">
        <f>SUM(E81:E84)</f>
      </c>
      <c r="F85" s="343">
        <f>SUM(F81:F84)</f>
      </c>
      <c r="G85" s="343">
        <f>SUM(G81:G84)</f>
      </c>
      <c r="H85" s="343">
        <f>SUM(H81:H84)</f>
      </c>
      <c r="I85" s="344">
        <f t="shared" si="328"/>
      </c>
      <c r="J85" s="345">
        <f t="shared" si="224"/>
      </c>
      <c r="K85" s="323">
        <f t="shared" si="146"/>
      </c>
      <c r="L85" s="322">
        <f t="shared" si="250"/>
      </c>
      <c r="M85" s="322">
        <f t="shared" si="94"/>
      </c>
      <c r="N85" s="323">
        <f t="shared" si="354"/>
      </c>
      <c r="O85" s="322">
        <f t="shared" si="276"/>
      </c>
      <c r="P85" s="322">
        <f t="shared" si="172"/>
      </c>
      <c r="Q85" s="324">
        <f t="shared" si="120"/>
      </c>
      <c r="R85" s="325">
        <f t="shared" si="380"/>
      </c>
      <c r="S85" s="324">
        <f t="shared" si="302"/>
      </c>
      <c r="T85" s="326">
        <f t="shared" si="198"/>
      </c>
      <c r="U85" s="326"/>
      <c r="V85" s="326"/>
      <c r="W85" s="320">
        <f>SUM(W81:W84)</f>
      </c>
      <c r="X85" s="320">
        <f>SUM(X81:X84)</f>
      </c>
      <c r="Y85" s="320">
        <f>SUM(Y81:Y84)</f>
      </c>
      <c r="Z85" s="320">
        <f>SUM(Z81:Z84)</f>
      </c>
      <c r="AA85" s="320">
        <f>SUM(AA81:AA84)</f>
      </c>
      <c r="AB85" s="320">
        <f>SUM(AB81:AB84)</f>
      </c>
      <c r="AC85" s="320">
        <f>SUM(AC81:AC84)</f>
      </c>
      <c r="AD85" s="320">
        <f>SUM(AD81:AD84)</f>
      </c>
      <c r="AE85" s="293"/>
      <c r="AF85" s="293"/>
    </row>
    <row r="86">
      <c r="A86" s="384"/>
      <c r="B86" s="366" t="s">
        <v>195</v>
      </c>
      <c r="C86" s="366"/>
      <c r="D86" s="367">
        <f>+D80+D75+D85</f>
      </c>
      <c r="E86" s="367">
        <f>+E80+E75+E85</f>
      </c>
      <c r="F86" s="367">
        <f>+F80+F75+F85</f>
      </c>
      <c r="G86" s="367">
        <f>+G80+G75+G85</f>
      </c>
      <c r="H86" s="367">
        <f>+H80+H75+H85</f>
      </c>
      <c r="I86" s="328">
        <f t="shared" si="328"/>
      </c>
      <c r="J86" s="329">
        <f t="shared" si="224"/>
      </c>
      <c r="K86" s="330">
        <f t="shared" si="146"/>
      </c>
      <c r="L86" s="331">
        <f t="shared" si="250"/>
      </c>
      <c r="M86" s="331">
        <f t="shared" si="94"/>
      </c>
      <c r="N86" s="330">
        <f t="shared" si="354"/>
      </c>
      <c r="O86" s="331">
        <f t="shared" si="276"/>
      </c>
      <c r="P86" s="331">
        <f t="shared" si="172"/>
      </c>
      <c r="Q86" s="330">
        <f t="shared" si="120"/>
      </c>
      <c r="R86" s="332">
        <f t="shared" si="380"/>
      </c>
      <c r="S86" s="330">
        <f t="shared" si="302"/>
      </c>
      <c r="T86" s="333">
        <f t="shared" si="198"/>
      </c>
      <c r="U86" s="333"/>
      <c r="V86" s="333"/>
      <c r="W86" s="328">
        <f>+W80+W75+W85</f>
      </c>
      <c r="X86" s="328">
        <f>+X80+X75+X85</f>
      </c>
      <c r="Y86" s="328">
        <f>+Y80+Y75+Y85</f>
      </c>
      <c r="Z86" s="328">
        <f>+Z80+Z75+Z85</f>
      </c>
      <c r="AA86" s="328">
        <f>+AA80+AA75+AA85</f>
      </c>
      <c r="AB86" s="328">
        <f>+AB80+AB75+AB85</f>
      </c>
      <c r="AC86" s="328">
        <f>+AC80+AC75+AC85</f>
      </c>
      <c r="AD86" s="328">
        <f>+AD80+AD75+AD85</f>
      </c>
      <c r="AE86" s="293"/>
      <c r="AF86" s="293"/>
    </row>
    <row r="87">
      <c r="A87" s="352" t="s">
        <v>150</v>
      </c>
      <c r="B87" s="352"/>
      <c r="C87" s="352"/>
      <c r="D87" s="334" t="s">
        <v>151</v>
      </c>
      <c r="E87" s="334"/>
      <c r="F87" s="334"/>
      <c r="G87" s="334"/>
      <c r="H87" s="334"/>
      <c r="I87" s="334"/>
      <c r="J87" s="377" t="s">
        <v>152</v>
      </c>
      <c r="K87" s="377"/>
      <c r="L87" s="377"/>
      <c r="M87" s="377"/>
      <c r="N87" s="377"/>
      <c r="O87" s="377"/>
      <c r="P87" s="377"/>
      <c r="Q87" s="377"/>
      <c r="R87" s="377"/>
      <c r="S87" s="377"/>
      <c r="T87" s="370"/>
      <c r="U87" s="370"/>
      <c r="V87" s="370"/>
      <c r="W87" s="371"/>
      <c r="X87" s="371"/>
      <c r="Y87" s="371"/>
      <c r="Z87" s="371"/>
      <c r="AA87" s="371"/>
      <c r="AB87" s="371"/>
      <c r="AC87" s="371"/>
      <c r="AD87" s="372" t="s">
        <v>153</v>
      </c>
      <c r="AE87" s="293"/>
      <c r="AF87" s="293"/>
    </row>
    <row r="88">
      <c r="A88" s="354" t="s">
        <v>154</v>
      </c>
      <c r="B88" s="352" t="s">
        <v>155</v>
      </c>
      <c r="C88" s="352" t="s">
        <v>156</v>
      </c>
      <c r="D88" s="412" t="s">
        <v>157</v>
      </c>
      <c r="E88" s="413" t="s">
        <v>158</v>
      </c>
      <c r="F88" s="413" t="s">
        <v>159</v>
      </c>
      <c r="G88" s="414" t="s">
        <v>160</v>
      </c>
      <c r="H88" s="412" t="s">
        <v>161</v>
      </c>
      <c r="I88" s="413" t="s">
        <v>162</v>
      </c>
      <c r="J88" s="415" t="s">
        <v>163</v>
      </c>
      <c r="K88" s="415" t="s">
        <v>164</v>
      </c>
      <c r="L88" s="416" t="s">
        <v>165</v>
      </c>
      <c r="M88" s="378" t="s">
        <v>166</v>
      </c>
      <c r="N88" s="377" t="s">
        <v>167</v>
      </c>
      <c r="O88" s="378" t="s">
        <v>168</v>
      </c>
      <c r="P88" s="378" t="s">
        <v>169</v>
      </c>
      <c r="Q88" s="379" t="s">
        <v>170</v>
      </c>
      <c r="R88" s="378" t="s">
        <v>171</v>
      </c>
      <c r="S88" s="379" t="s">
        <v>172</v>
      </c>
      <c r="T88" s="380" t="s">
        <v>173</v>
      </c>
      <c r="U88" s="380" t="s">
        <v>174</v>
      </c>
      <c r="V88" s="380" t="s">
        <v>175</v>
      </c>
      <c r="W88" s="381" t="s">
        <v>176</v>
      </c>
      <c r="X88" s="382" t="s">
        <v>177</v>
      </c>
      <c r="Y88" s="382" t="s">
        <v>178</v>
      </c>
      <c r="Z88" s="382" t="s">
        <v>179</v>
      </c>
      <c r="AA88" s="382" t="s">
        <v>180</v>
      </c>
      <c r="AB88" s="382" t="s">
        <v>181</v>
      </c>
      <c r="AC88" s="383" t="s">
        <v>182</v>
      </c>
      <c r="AD88" s="372"/>
      <c r="AE88" s="293"/>
      <c r="AF88" s="293"/>
    </row>
    <row r="89">
      <c r="A89" s="384">
        <v>46246</v>
      </c>
      <c r="B89" s="385" t="s">
        <v>199</v>
      </c>
      <c r="C89" s="369" t="s">
        <v>184</v>
      </c>
      <c r="D89" s="360">
        <f t="shared" ref="D89:D92" si="14">E89+F89</f>
      </c>
      <c r="E89" s="360">
        <v>1103.43</v>
      </c>
      <c r="F89" s="369">
        <v>527.68</v>
      </c>
      <c r="G89" s="369">
        <v>0</v>
      </c>
      <c r="H89" s="369">
        <v>0</v>
      </c>
      <c r="I89" s="387">
        <f t="shared" ref="I89:I104" si="329">H89/D89</f>
      </c>
      <c r="J89" s="388">
        <f t="shared" ref="J89:J104" si="225">Y89/X89</f>
      </c>
      <c r="K89" s="389">
        <f t="shared" ref="K89:K104" si="147">D89/Z89</f>
      </c>
      <c r="L89" s="417">
        <f t="shared" ref="L89:L104" si="251">AA89/Z89</f>
      </c>
      <c r="M89" s="388">
        <f t="shared" ref="M89:M104" si="95">AB89/Z89</f>
      </c>
      <c r="N89" s="389">
        <f t="shared" ref="N89:N104" si="355">D89/AB89</f>
      </c>
      <c r="O89" s="388">
        <f t="shared" ref="O89:O104" si="277">AC89/AB89</f>
      </c>
      <c r="P89" s="388">
        <f t="shared" ref="P89:P104" si="173">G89/AC89</f>
      </c>
      <c r="Q89" s="389">
        <f t="shared" ref="Q89:Q104" si="121">D89/G89</f>
      </c>
      <c r="R89" s="390">
        <f t="shared" ref="R89:R104" si="381">H89/G89</f>
      </c>
      <c r="S89" s="389">
        <f t="shared" ref="S89:S104" si="303">D89/W89</f>
      </c>
      <c r="T89" s="391">
        <f t="shared" ref="T89:T104" si="199">AD89*1000/D89</f>
      </c>
      <c r="U89" s="392" t="s">
        <v>185</v>
      </c>
      <c r="V89" s="423" t="s">
        <v>206</v>
      </c>
      <c r="W89" s="360">
        <v>0</v>
      </c>
      <c r="X89" s="360">
        <v>4870</v>
      </c>
      <c r="Y89" s="360">
        <v>301</v>
      </c>
      <c r="Z89" s="360">
        <v>496</v>
      </c>
      <c r="AA89" s="360">
        <v>90</v>
      </c>
      <c r="AB89" s="360">
        <v>24</v>
      </c>
      <c r="AC89" s="394">
        <v>0</v>
      </c>
      <c r="AD89" s="364">
        <v>8</v>
      </c>
      <c r="AE89" s="293"/>
      <c r="AF89" s="293"/>
    </row>
    <row r="90">
      <c r="A90" s="384"/>
      <c r="B90" s="385" t="s">
        <v>200</v>
      </c>
      <c r="C90" s="369" t="s">
        <v>184</v>
      </c>
      <c r="D90" s="360">
        <f t="shared" si="14"/>
      </c>
      <c r="E90" s="360">
        <v>1393.34</v>
      </c>
      <c r="F90" s="360">
        <v>205.28</v>
      </c>
      <c r="G90" s="369">
        <v>2</v>
      </c>
      <c r="H90" s="369">
        <v>1841.3999999999999</v>
      </c>
      <c r="I90" s="387">
        <f t="shared" si="329"/>
      </c>
      <c r="J90" s="388">
        <f t="shared" si="225"/>
      </c>
      <c r="K90" s="389">
        <f t="shared" si="147"/>
      </c>
      <c r="L90" s="417">
        <f t="shared" si="251"/>
      </c>
      <c r="M90" s="388">
        <f t="shared" si="95"/>
      </c>
      <c r="N90" s="389">
        <f t="shared" si="355"/>
      </c>
      <c r="O90" s="388">
        <f t="shared" si="277"/>
      </c>
      <c r="P90" s="388">
        <f t="shared" si="173"/>
      </c>
      <c r="Q90" s="389">
        <f t="shared" si="121"/>
      </c>
      <c r="R90" s="390">
        <f t="shared" si="381"/>
      </c>
      <c r="S90" s="389">
        <f t="shared" si="303"/>
      </c>
      <c r="T90" s="391">
        <f t="shared" si="199"/>
      </c>
      <c r="U90" s="392" t="s">
        <v>185</v>
      </c>
      <c r="V90" s="423" t="s">
        <v>206</v>
      </c>
      <c r="W90" s="360">
        <v>2</v>
      </c>
      <c r="X90" s="360">
        <v>5184</v>
      </c>
      <c r="Y90" s="360">
        <v>207</v>
      </c>
      <c r="Z90" s="360">
        <v>390</v>
      </c>
      <c r="AA90" s="360">
        <v>65</v>
      </c>
      <c r="AB90" s="360">
        <v>23</v>
      </c>
      <c r="AC90" s="395">
        <v>4</v>
      </c>
      <c r="AD90" s="359">
        <v>9</v>
      </c>
      <c r="AE90" s="293"/>
      <c r="AF90" s="293"/>
    </row>
    <row r="91">
      <c r="A91" s="384"/>
      <c r="B91" s="385" t="s">
        <v>201</v>
      </c>
      <c r="C91" s="369" t="s">
        <v>184</v>
      </c>
      <c r="D91" s="360">
        <f t="shared" si="14"/>
      </c>
      <c r="E91" s="360">
        <v>3256.58</v>
      </c>
      <c r="F91" s="360">
        <v>205.38</v>
      </c>
      <c r="G91" s="369">
        <v>2</v>
      </c>
      <c r="H91" s="360">
        <v>2327.5200000000004</v>
      </c>
      <c r="I91" s="387">
        <f t="shared" si="329"/>
      </c>
      <c r="J91" s="388">
        <f t="shared" si="225"/>
      </c>
      <c r="K91" s="389">
        <f t="shared" si="147"/>
      </c>
      <c r="L91" s="417">
        <f t="shared" si="251"/>
      </c>
      <c r="M91" s="388">
        <f t="shared" si="95"/>
      </c>
      <c r="N91" s="389">
        <f t="shared" si="355"/>
      </c>
      <c r="O91" s="388">
        <f t="shared" si="277"/>
      </c>
      <c r="P91" s="388">
        <f t="shared" si="173"/>
      </c>
      <c r="Q91" s="389">
        <f t="shared" si="121"/>
      </c>
      <c r="R91" s="390">
        <f t="shared" si="381"/>
      </c>
      <c r="S91" s="389">
        <f t="shared" si="303"/>
      </c>
      <c r="T91" s="391">
        <f t="shared" si="199"/>
      </c>
      <c r="U91" s="392" t="s">
        <v>185</v>
      </c>
      <c r="V91" s="423" t="s">
        <v>206</v>
      </c>
      <c r="W91" s="360">
        <v>1</v>
      </c>
      <c r="X91" s="360">
        <v>12676</v>
      </c>
      <c r="Y91" s="360">
        <v>386</v>
      </c>
      <c r="Z91" s="360">
        <v>478</v>
      </c>
      <c r="AA91" s="360">
        <v>90</v>
      </c>
      <c r="AB91" s="360">
        <v>43</v>
      </c>
      <c r="AC91" s="395">
        <v>2</v>
      </c>
      <c r="AD91" s="359">
        <v>13</v>
      </c>
      <c r="AE91" s="293"/>
      <c r="AF91" s="293"/>
    </row>
    <row r="92">
      <c r="A92" s="384"/>
      <c r="B92" s="385" t="s">
        <v>202</v>
      </c>
      <c r="C92" s="369" t="s">
        <v>184</v>
      </c>
      <c r="D92" s="360">
        <f t="shared" si="14"/>
      </c>
      <c r="E92" s="360">
        <v>1873.43</v>
      </c>
      <c r="F92" s="360">
        <v>284.33</v>
      </c>
      <c r="G92" s="369">
        <v>1</v>
      </c>
      <c r="H92" s="369">
        <v>2390.6399999999994</v>
      </c>
      <c r="I92" s="387">
        <f t="shared" si="329"/>
      </c>
      <c r="J92" s="388">
        <f t="shared" si="225"/>
      </c>
      <c r="K92" s="389">
        <f t="shared" si="147"/>
      </c>
      <c r="L92" s="417">
        <f t="shared" si="251"/>
      </c>
      <c r="M92" s="388">
        <f t="shared" si="95"/>
      </c>
      <c r="N92" s="389">
        <f t="shared" si="355"/>
      </c>
      <c r="O92" s="388">
        <f t="shared" si="277"/>
      </c>
      <c r="P92" s="388">
        <f t="shared" si="173"/>
      </c>
      <c r="Q92" s="389">
        <f t="shared" si="121"/>
      </c>
      <c r="R92" s="390">
        <f t="shared" si="381"/>
      </c>
      <c r="S92" s="389">
        <f t="shared" si="303"/>
      </c>
      <c r="T92" s="391">
        <f t="shared" si="199"/>
      </c>
      <c r="U92" s="392" t="s">
        <v>185</v>
      </c>
      <c r="V92" s="393" t="s">
        <v>186</v>
      </c>
      <c r="W92" s="360">
        <v>0</v>
      </c>
      <c r="X92" s="360">
        <v>6429</v>
      </c>
      <c r="Y92" s="360">
        <v>302</v>
      </c>
      <c r="Z92" s="360">
        <v>410</v>
      </c>
      <c r="AA92" s="360">
        <v>83</v>
      </c>
      <c r="AB92" s="360">
        <v>28</v>
      </c>
      <c r="AC92" s="395">
        <v>1</v>
      </c>
      <c r="AD92" s="359">
        <v>11</v>
      </c>
      <c r="AE92" s="293"/>
      <c r="AF92" s="293"/>
    </row>
    <row r="93">
      <c r="A93" s="384"/>
      <c r="B93" s="361" t="s">
        <v>189</v>
      </c>
      <c r="C93" s="361"/>
      <c r="D93" s="361">
        <f>SUM(D89:D92)</f>
      </c>
      <c r="E93" s="361">
        <f>SUM(E89:E92)</f>
      </c>
      <c r="F93" s="361">
        <f>SUM(F89:F92)</f>
      </c>
      <c r="G93" s="361">
        <f>SUM(G89:G92)</f>
      </c>
      <c r="H93" s="361">
        <f>SUM(H89:H92)</f>
      </c>
      <c r="I93" s="396">
        <f t="shared" si="329"/>
      </c>
      <c r="J93" s="397">
        <f t="shared" si="225"/>
      </c>
      <c r="K93" s="398">
        <f t="shared" si="147"/>
      </c>
      <c r="L93" s="418">
        <f t="shared" si="251"/>
      </c>
      <c r="M93" s="397">
        <f t="shared" si="95"/>
      </c>
      <c r="N93" s="398">
        <f t="shared" si="355"/>
      </c>
      <c r="O93" s="397">
        <f t="shared" si="277"/>
      </c>
      <c r="P93" s="397">
        <f t="shared" si="173"/>
      </c>
      <c r="Q93" s="398">
        <f t="shared" si="121"/>
      </c>
      <c r="R93" s="399">
        <f t="shared" si="381"/>
      </c>
      <c r="S93" s="398">
        <f t="shared" si="303"/>
      </c>
      <c r="T93" s="400">
        <f t="shared" si="199"/>
      </c>
      <c r="U93" s="400"/>
      <c r="V93" s="400"/>
      <c r="W93" s="361">
        <f>SUM(W89:W92)</f>
      </c>
      <c r="X93" s="361">
        <f>SUM(X89:X92)</f>
      </c>
      <c r="Y93" s="361">
        <f>SUM(Y89:Y92)</f>
      </c>
      <c r="Z93" s="361">
        <f>SUM(Z89:Z92)</f>
      </c>
      <c r="AA93" s="361">
        <f>SUM(AA89:AA92)</f>
      </c>
      <c r="AB93" s="361">
        <f>SUM(AB89:AB92)</f>
      </c>
      <c r="AC93" s="319">
        <f>SUM(AC89:AC92)</f>
      </c>
      <c r="AD93" s="320">
        <f>SUM(AD89:AD92)</f>
      </c>
      <c r="AE93" s="293"/>
      <c r="AF93" s="293"/>
    </row>
    <row r="94">
      <c r="A94" s="384"/>
      <c r="B94" s="385" t="s">
        <v>203</v>
      </c>
      <c r="C94" s="369" t="s">
        <v>197</v>
      </c>
      <c r="D94" s="360">
        <f t="shared" ref="D94:D97" si="15">E94+F94</f>
      </c>
      <c r="E94" s="360">
        <v>1280.13</v>
      </c>
      <c r="F94" s="360">
        <v>193.79</v>
      </c>
      <c r="G94" s="369">
        <v>0</v>
      </c>
      <c r="H94" s="369">
        <v>0</v>
      </c>
      <c r="I94" s="387">
        <f t="shared" si="329"/>
      </c>
      <c r="J94" s="388">
        <f t="shared" si="225"/>
      </c>
      <c r="K94" s="389">
        <f t="shared" si="147"/>
      </c>
      <c r="L94" s="417">
        <f t="shared" si="251"/>
      </c>
      <c r="M94" s="388">
        <f t="shared" si="95"/>
      </c>
      <c r="N94" s="389">
        <f t="shared" si="355"/>
      </c>
      <c r="O94" s="388">
        <f t="shared" si="277"/>
      </c>
      <c r="P94" s="388">
        <f t="shared" si="173"/>
      </c>
      <c r="Q94" s="389">
        <f t="shared" si="121"/>
      </c>
      <c r="R94" s="390">
        <f t="shared" si="381"/>
      </c>
      <c r="S94" s="389">
        <f t="shared" si="303"/>
      </c>
      <c r="T94" s="391">
        <f t="shared" si="199"/>
      </c>
      <c r="U94" s="392" t="s">
        <v>185</v>
      </c>
      <c r="V94" s="393" t="s">
        <v>186</v>
      </c>
      <c r="W94" s="360">
        <v>0</v>
      </c>
      <c r="X94" s="360">
        <v>4187</v>
      </c>
      <c r="Y94" s="360">
        <v>211</v>
      </c>
      <c r="Z94" s="360">
        <v>285</v>
      </c>
      <c r="AA94" s="360">
        <v>64</v>
      </c>
      <c r="AB94" s="360">
        <v>26</v>
      </c>
      <c r="AC94" s="395">
        <v>2</v>
      </c>
      <c r="AD94" s="359">
        <v>9</v>
      </c>
      <c r="AE94" s="293"/>
      <c r="AF94" s="293"/>
    </row>
    <row r="95">
      <c r="A95" s="384"/>
      <c r="B95" s="385" t="s">
        <v>204</v>
      </c>
      <c r="C95" s="369" t="s">
        <v>197</v>
      </c>
      <c r="D95" s="360">
        <f t="shared" si="15"/>
      </c>
      <c r="E95" s="360">
        <v>325.05</v>
      </c>
      <c r="F95" s="360">
        <v>387.69</v>
      </c>
      <c r="G95" s="369">
        <v>0</v>
      </c>
      <c r="H95" s="369">
        <v>0</v>
      </c>
      <c r="I95" s="387">
        <f t="shared" si="329"/>
      </c>
      <c r="J95" s="388">
        <f t="shared" si="225"/>
      </c>
      <c r="K95" s="389">
        <f t="shared" si="147"/>
      </c>
      <c r="L95" s="417">
        <f t="shared" si="251"/>
      </c>
      <c r="M95" s="388">
        <f t="shared" si="95"/>
      </c>
      <c r="N95" s="389">
        <f t="shared" si="355"/>
      </c>
      <c r="O95" s="388">
        <f t="shared" si="277"/>
      </c>
      <c r="P95" s="388">
        <f t="shared" si="173"/>
      </c>
      <c r="Q95" s="389">
        <f t="shared" si="121"/>
      </c>
      <c r="R95" s="390">
        <f t="shared" si="381"/>
      </c>
      <c r="S95" s="389">
        <f t="shared" si="303"/>
      </c>
      <c r="T95" s="391">
        <f t="shared" si="199"/>
      </c>
      <c r="U95" s="392" t="s">
        <v>185</v>
      </c>
      <c r="V95" s="393" t="s">
        <v>186</v>
      </c>
      <c r="W95" s="360">
        <v>0</v>
      </c>
      <c r="X95" s="360">
        <v>2778</v>
      </c>
      <c r="Y95" s="360">
        <v>229</v>
      </c>
      <c r="Z95" s="360">
        <v>378</v>
      </c>
      <c r="AA95" s="360">
        <v>65</v>
      </c>
      <c r="AB95" s="360">
        <v>10</v>
      </c>
      <c r="AC95" s="395">
        <v>0</v>
      </c>
      <c r="AD95" s="359">
        <v>2</v>
      </c>
      <c r="AE95" s="293"/>
      <c r="AF95" s="293"/>
    </row>
    <row r="96">
      <c r="A96" s="384"/>
      <c r="B96" s="385" t="s">
        <v>205</v>
      </c>
      <c r="C96" s="369" t="s">
        <v>197</v>
      </c>
      <c r="D96" s="360">
        <f t="shared" si="15"/>
      </c>
      <c r="E96" s="360">
        <v>429.55</v>
      </c>
      <c r="F96" s="360">
        <v>376.88</v>
      </c>
      <c r="G96" s="369">
        <v>2</v>
      </c>
      <c r="H96" s="369">
        <v>6961.68</v>
      </c>
      <c r="I96" s="387">
        <f t="shared" si="329"/>
      </c>
      <c r="J96" s="388">
        <f t="shared" si="225"/>
      </c>
      <c r="K96" s="389">
        <f t="shared" si="147"/>
      </c>
      <c r="L96" s="417">
        <f t="shared" si="251"/>
      </c>
      <c r="M96" s="388">
        <f t="shared" si="95"/>
      </c>
      <c r="N96" s="389">
        <f t="shared" si="355"/>
      </c>
      <c r="O96" s="388">
        <f t="shared" si="277"/>
      </c>
      <c r="P96" s="388">
        <f t="shared" si="173"/>
      </c>
      <c r="Q96" s="389">
        <f t="shared" si="121"/>
      </c>
      <c r="R96" s="390">
        <f t="shared" si="381"/>
      </c>
      <c r="S96" s="389">
        <f t="shared" si="303"/>
      </c>
      <c r="T96" s="391">
        <f t="shared" si="199"/>
      </c>
      <c r="U96" s="392" t="s">
        <v>185</v>
      </c>
      <c r="V96" s="393" t="s">
        <v>186</v>
      </c>
      <c r="W96" s="360">
        <v>1</v>
      </c>
      <c r="X96" s="360">
        <v>2774</v>
      </c>
      <c r="Y96" s="360">
        <v>210</v>
      </c>
      <c r="Z96" s="360">
        <v>349</v>
      </c>
      <c r="AA96" s="360">
        <v>80</v>
      </c>
      <c r="AB96" s="360">
        <v>24</v>
      </c>
      <c r="AC96" s="395">
        <v>2</v>
      </c>
      <c r="AD96" s="359">
        <v>11</v>
      </c>
      <c r="AE96" s="293"/>
      <c r="AF96" s="293"/>
    </row>
    <row r="97">
      <c r="A97" s="384"/>
      <c r="B97" s="419" t="s">
        <v>196</v>
      </c>
      <c r="C97" s="369" t="s">
        <v>197</v>
      </c>
      <c r="D97" s="360">
        <f t="shared" si="15"/>
      </c>
      <c r="E97" s="360">
        <v>548.12</v>
      </c>
      <c r="F97" s="360">
        <v>540.96</v>
      </c>
      <c r="G97" s="369">
        <v>1</v>
      </c>
      <c r="H97" s="369">
        <v>534.5999999999985</v>
      </c>
      <c r="I97" s="387">
        <f t="shared" si="329"/>
      </c>
      <c r="J97" s="388">
        <f t="shared" si="225"/>
      </c>
      <c r="K97" s="389">
        <f t="shared" si="147"/>
      </c>
      <c r="L97" s="417">
        <f t="shared" si="251"/>
      </c>
      <c r="M97" s="388">
        <f t="shared" si="95"/>
      </c>
      <c r="N97" s="389">
        <f t="shared" si="355"/>
      </c>
      <c r="O97" s="388">
        <f t="shared" si="277"/>
      </c>
      <c r="P97" s="388">
        <f t="shared" si="173"/>
      </c>
      <c r="Q97" s="389">
        <f t="shared" si="121"/>
      </c>
      <c r="R97" s="390">
        <f t="shared" si="381"/>
      </c>
      <c r="S97" s="389">
        <f t="shared" si="303"/>
      </c>
      <c r="T97" s="391">
        <f t="shared" si="199"/>
      </c>
      <c r="U97" s="392" t="s">
        <v>185</v>
      </c>
      <c r="V97" s="393" t="s">
        <v>186</v>
      </c>
      <c r="W97" s="360">
        <v>1</v>
      </c>
      <c r="X97" s="360">
        <v>3955</v>
      </c>
      <c r="Y97" s="360">
        <v>207</v>
      </c>
      <c r="Z97" s="360">
        <v>350</v>
      </c>
      <c r="AA97" s="360">
        <v>69</v>
      </c>
      <c r="AB97" s="360">
        <v>25</v>
      </c>
      <c r="AC97" s="395">
        <v>1</v>
      </c>
      <c r="AD97" s="359">
        <v>10</v>
      </c>
      <c r="AE97" s="293"/>
      <c r="AF97" s="293"/>
    </row>
    <row r="98">
      <c r="A98" s="384"/>
      <c r="B98" s="361" t="s">
        <v>189</v>
      </c>
      <c r="C98" s="361"/>
      <c r="D98" s="361">
        <f>SUM(D94:D97)</f>
      </c>
      <c r="E98" s="361">
        <f>SUM(E94:E97)</f>
      </c>
      <c r="F98" s="361">
        <f>SUM(F94:F97)</f>
      </c>
      <c r="G98" s="361">
        <f>SUM(G94:G97)</f>
      </c>
      <c r="H98" s="361">
        <f>SUM(H94:H97)</f>
      </c>
      <c r="I98" s="396">
        <f t="shared" si="329"/>
      </c>
      <c r="J98" s="397">
        <f t="shared" si="225"/>
      </c>
      <c r="K98" s="398">
        <f t="shared" si="147"/>
      </c>
      <c r="L98" s="418">
        <f t="shared" si="251"/>
      </c>
      <c r="M98" s="397">
        <f t="shared" si="95"/>
      </c>
      <c r="N98" s="398">
        <f t="shared" si="355"/>
      </c>
      <c r="O98" s="397">
        <f t="shared" si="277"/>
      </c>
      <c r="P98" s="397">
        <f t="shared" si="173"/>
      </c>
      <c r="Q98" s="398">
        <f t="shared" si="121"/>
      </c>
      <c r="R98" s="399">
        <f t="shared" si="381"/>
      </c>
      <c r="S98" s="398">
        <f t="shared" si="303"/>
      </c>
      <c r="T98" s="400">
        <f t="shared" si="199"/>
      </c>
      <c r="U98" s="400"/>
      <c r="V98" s="400"/>
      <c r="W98" s="361">
        <f>SUM(W94:W97)</f>
      </c>
      <c r="X98" s="361">
        <f>SUM(X94:X97)</f>
      </c>
      <c r="Y98" s="361">
        <f>SUM(Y94:Y97)</f>
      </c>
      <c r="Z98" s="361">
        <f>SUM(Z94:Z97)</f>
      </c>
      <c r="AA98" s="361">
        <f>SUM(AA94:AA97)</f>
      </c>
      <c r="AB98" s="361">
        <f>SUM(AB94:AB97)</f>
      </c>
      <c r="AC98" s="361">
        <f>SUM(AC94:AC97)</f>
      </c>
      <c r="AD98" s="361">
        <f>SUM(AD94:AD97)</f>
      </c>
      <c r="AE98" s="293"/>
      <c r="AF98" s="293"/>
    </row>
    <row r="99">
      <c r="A99" s="384"/>
      <c r="B99" s="401" t="s">
        <v>183</v>
      </c>
      <c r="C99" s="369" t="s">
        <v>198</v>
      </c>
      <c r="D99" s="356">
        <f t="shared" ref="D99:D102" si="16">E99+F99</f>
      </c>
      <c r="E99" s="356">
        <v>260.57</v>
      </c>
      <c r="F99" s="356">
        <v>520.08</v>
      </c>
      <c r="G99" s="402">
        <v>0</v>
      </c>
      <c r="H99" s="402">
        <v>0</v>
      </c>
      <c r="I99" s="420">
        <f t="shared" si="329"/>
      </c>
      <c r="J99" s="421">
        <f t="shared" si="225"/>
      </c>
      <c r="K99" s="422">
        <f t="shared" si="147"/>
      </c>
      <c r="L99" s="388">
        <f t="shared" si="251"/>
      </c>
      <c r="M99" s="388">
        <f t="shared" si="95"/>
      </c>
      <c r="N99" s="389">
        <f t="shared" si="355"/>
      </c>
      <c r="O99" s="388">
        <f t="shared" si="277"/>
      </c>
      <c r="P99" s="388">
        <f t="shared" si="173"/>
      </c>
      <c r="Q99" s="389">
        <f t="shared" si="121"/>
      </c>
      <c r="R99" s="390">
        <f t="shared" si="381"/>
      </c>
      <c r="S99" s="389">
        <f t="shared" si="303"/>
      </c>
      <c r="T99" s="391">
        <f t="shared" si="199"/>
      </c>
      <c r="U99" s="392" t="s">
        <v>185</v>
      </c>
      <c r="V99" s="393" t="s">
        <v>186</v>
      </c>
      <c r="W99" s="360">
        <v>0</v>
      </c>
      <c r="X99" s="360">
        <v>3295</v>
      </c>
      <c r="Y99" s="360">
        <v>227</v>
      </c>
      <c r="Z99" s="360">
        <v>334</v>
      </c>
      <c r="AA99" s="360">
        <v>61</v>
      </c>
      <c r="AB99" s="360">
        <v>16</v>
      </c>
      <c r="AC99" s="395">
        <v>0</v>
      </c>
      <c r="AD99" s="359">
        <v>8</v>
      </c>
      <c r="AE99" s="293"/>
      <c r="AF99" s="293"/>
    </row>
    <row r="100">
      <c r="A100" s="384"/>
      <c r="B100" s="385" t="s">
        <v>187</v>
      </c>
      <c r="C100" s="369" t="s">
        <v>198</v>
      </c>
      <c r="D100" s="360">
        <f t="shared" si="16"/>
      </c>
      <c r="E100" s="360">
        <v>277.93</v>
      </c>
      <c r="F100" s="360">
        <v>328.62</v>
      </c>
      <c r="G100" s="369">
        <v>0</v>
      </c>
      <c r="H100" s="369">
        <v>0</v>
      </c>
      <c r="I100" s="387">
        <f t="shared" si="329"/>
      </c>
      <c r="J100" s="388">
        <f t="shared" si="225"/>
      </c>
      <c r="K100" s="389">
        <f t="shared" si="147"/>
      </c>
      <c r="L100" s="388">
        <f t="shared" si="251"/>
      </c>
      <c r="M100" s="388">
        <f t="shared" si="95"/>
      </c>
      <c r="N100" s="389">
        <f t="shared" si="355"/>
      </c>
      <c r="O100" s="388">
        <f t="shared" si="277"/>
      </c>
      <c r="P100" s="388">
        <f t="shared" si="173"/>
      </c>
      <c r="Q100" s="389">
        <f t="shared" si="121"/>
      </c>
      <c r="R100" s="390">
        <f t="shared" si="381"/>
      </c>
      <c r="S100" s="389">
        <f t="shared" si="303"/>
      </c>
      <c r="T100" s="391">
        <f t="shared" si="199"/>
      </c>
      <c r="U100" s="392" t="s">
        <v>185</v>
      </c>
      <c r="V100" s="393" t="s">
        <v>186</v>
      </c>
      <c r="W100" s="360">
        <v>0</v>
      </c>
      <c r="X100" s="360">
        <v>2716</v>
      </c>
      <c r="Y100" s="360">
        <v>163</v>
      </c>
      <c r="Z100" s="360">
        <v>248</v>
      </c>
      <c r="AA100" s="360">
        <v>43</v>
      </c>
      <c r="AB100" s="360">
        <v>11</v>
      </c>
      <c r="AC100" s="395">
        <v>1</v>
      </c>
      <c r="AD100" s="359">
        <v>6</v>
      </c>
      <c r="AE100" s="293"/>
      <c r="AF100" s="293"/>
    </row>
    <row r="101">
      <c r="A101" s="384"/>
      <c r="B101" s="385" t="s">
        <v>188</v>
      </c>
      <c r="C101" s="369" t="s">
        <v>198</v>
      </c>
      <c r="D101" s="360">
        <f t="shared" si="16"/>
      </c>
      <c r="E101" s="360">
        <v>206.02</v>
      </c>
      <c r="F101" s="360">
        <v>590.37</v>
      </c>
      <c r="G101" s="369">
        <v>0</v>
      </c>
      <c r="H101" s="369">
        <v>0</v>
      </c>
      <c r="I101" s="387">
        <f t="shared" si="329"/>
      </c>
      <c r="J101" s="388">
        <f t="shared" si="225"/>
      </c>
      <c r="K101" s="389">
        <f t="shared" si="147"/>
      </c>
      <c r="L101" s="388">
        <f t="shared" si="251"/>
      </c>
      <c r="M101" s="388">
        <f t="shared" si="95"/>
      </c>
      <c r="N101" s="389">
        <f t="shared" si="355"/>
      </c>
      <c r="O101" s="388">
        <f t="shared" si="277"/>
      </c>
      <c r="P101" s="388">
        <f t="shared" si="173"/>
      </c>
      <c r="Q101" s="389">
        <f t="shared" si="121"/>
      </c>
      <c r="R101" s="390">
        <f t="shared" si="381"/>
      </c>
      <c r="S101" s="389">
        <f t="shared" si="303"/>
      </c>
      <c r="T101" s="391">
        <f t="shared" si="199"/>
      </c>
      <c r="U101" s="392" t="s">
        <v>185</v>
      </c>
      <c r="V101" s="393" t="s">
        <v>186</v>
      </c>
      <c r="W101" s="360">
        <v>0</v>
      </c>
      <c r="X101" s="360">
        <v>4012</v>
      </c>
      <c r="Y101" s="360">
        <v>258</v>
      </c>
      <c r="Z101" s="360">
        <v>428</v>
      </c>
      <c r="AA101" s="360">
        <v>62</v>
      </c>
      <c r="AB101" s="360">
        <v>19</v>
      </c>
      <c r="AC101" s="395">
        <v>0</v>
      </c>
      <c r="AD101" s="359">
        <v>9</v>
      </c>
      <c r="AE101" s="293"/>
      <c r="AF101" s="293"/>
    </row>
    <row r="102">
      <c r="A102" s="384"/>
      <c r="B102" s="403" t="s">
        <v>190</v>
      </c>
      <c r="C102" s="369" t="s">
        <v>198</v>
      </c>
      <c r="D102" s="404">
        <f t="shared" si="16"/>
      </c>
      <c r="E102" s="346">
        <v>114.84</v>
      </c>
      <c r="F102" s="347">
        <v>229.06</v>
      </c>
      <c r="G102" s="364">
        <v>1</v>
      </c>
      <c r="H102" s="364">
        <v>663.1200000000008</v>
      </c>
      <c r="I102" s="349">
        <f t="shared" si="329"/>
      </c>
      <c r="J102" s="405">
        <f t="shared" si="225"/>
      </c>
      <c r="K102" s="406">
        <f t="shared" si="147"/>
      </c>
      <c r="L102" s="405">
        <f t="shared" si="251"/>
      </c>
      <c r="M102" s="405">
        <f t="shared" si="95"/>
      </c>
      <c r="N102" s="406">
        <f t="shared" si="355"/>
      </c>
      <c r="O102" s="405">
        <f t="shared" si="277"/>
      </c>
      <c r="P102" s="405">
        <f t="shared" si="173"/>
      </c>
      <c r="Q102" s="407">
        <f t="shared" si="121"/>
      </c>
      <c r="R102" s="408">
        <f t="shared" si="381"/>
      </c>
      <c r="S102" s="407">
        <f t="shared" si="303"/>
      </c>
      <c r="T102" s="409">
        <f t="shared" si="199"/>
      </c>
      <c r="U102" s="410" t="s">
        <v>185</v>
      </c>
      <c r="V102" s="411" t="s">
        <v>186</v>
      </c>
      <c r="W102" s="348">
        <v>1</v>
      </c>
      <c r="X102" s="348">
        <v>1380</v>
      </c>
      <c r="Y102" s="348">
        <v>92</v>
      </c>
      <c r="Z102" s="348">
        <v>155</v>
      </c>
      <c r="AA102" s="348">
        <v>26</v>
      </c>
      <c r="AB102" s="348">
        <v>4</v>
      </c>
      <c r="AC102" s="359">
        <v>1</v>
      </c>
      <c r="AD102" s="359">
        <v>2</v>
      </c>
      <c r="AE102" s="293"/>
      <c r="AF102" s="293"/>
    </row>
    <row r="103">
      <c r="A103" s="384"/>
      <c r="B103" s="361" t="s">
        <v>189</v>
      </c>
      <c r="C103" s="361"/>
      <c r="D103" s="362">
        <f>SUM(D99:D102)</f>
      </c>
      <c r="E103" s="363">
        <f>SUM(E99:E102)</f>
      </c>
      <c r="F103" s="343">
        <f>SUM(F99:F102)</f>
      </c>
      <c r="G103" s="343">
        <f>SUM(G99:G102)</f>
      </c>
      <c r="H103" s="343">
        <f>SUM(H99:H102)</f>
      </c>
      <c r="I103" s="344">
        <f t="shared" si="329"/>
      </c>
      <c r="J103" s="345">
        <f t="shared" si="225"/>
      </c>
      <c r="K103" s="323">
        <f t="shared" si="147"/>
      </c>
      <c r="L103" s="322">
        <f t="shared" si="251"/>
      </c>
      <c r="M103" s="322">
        <f t="shared" si="95"/>
      </c>
      <c r="N103" s="323">
        <f t="shared" si="355"/>
      </c>
      <c r="O103" s="322">
        <f t="shared" si="277"/>
      </c>
      <c r="P103" s="322">
        <f t="shared" si="173"/>
      </c>
      <c r="Q103" s="324">
        <f t="shared" si="121"/>
      </c>
      <c r="R103" s="325">
        <f t="shared" si="381"/>
      </c>
      <c r="S103" s="324">
        <f t="shared" si="303"/>
      </c>
      <c r="T103" s="326">
        <f t="shared" si="199"/>
      </c>
      <c r="U103" s="326"/>
      <c r="V103" s="326"/>
      <c r="W103" s="320">
        <f>SUM(W99:W102)</f>
      </c>
      <c r="X103" s="320">
        <f>SUM(X99:X102)</f>
      </c>
      <c r="Y103" s="320">
        <f>SUM(Y99:Y102)</f>
      </c>
      <c r="Z103" s="320">
        <f>SUM(Z99:Z102)</f>
      </c>
      <c r="AA103" s="320">
        <f>SUM(AA99:AA102)</f>
      </c>
      <c r="AB103" s="320">
        <f>SUM(AB99:AB102)</f>
      </c>
      <c r="AC103" s="320">
        <f>SUM(AC99:AC102)</f>
      </c>
      <c r="AD103" s="320">
        <f>SUM(AD99:AD102)</f>
      </c>
      <c r="AE103" s="293"/>
      <c r="AF103" s="293"/>
    </row>
    <row r="104">
      <c r="A104" s="384"/>
      <c r="B104" s="366" t="s">
        <v>195</v>
      </c>
      <c r="C104" s="366"/>
      <c r="D104" s="367">
        <f>+D98+D93+D103</f>
      </c>
      <c r="E104" s="367">
        <f>+E98+E93+E103</f>
      </c>
      <c r="F104" s="367">
        <f>+F98+F93+F103</f>
      </c>
      <c r="G104" s="367">
        <f>+G98+G93+G103</f>
      </c>
      <c r="H104" s="367">
        <f>+H98+H93+H103</f>
      </c>
      <c r="I104" s="328">
        <f t="shared" si="329"/>
      </c>
      <c r="J104" s="329">
        <f t="shared" si="225"/>
      </c>
      <c r="K104" s="330">
        <f t="shared" si="147"/>
      </c>
      <c r="L104" s="331">
        <f t="shared" si="251"/>
      </c>
      <c r="M104" s="331">
        <f t="shared" si="95"/>
      </c>
      <c r="N104" s="330">
        <f t="shared" si="355"/>
      </c>
      <c r="O104" s="331">
        <f t="shared" si="277"/>
      </c>
      <c r="P104" s="331">
        <f t="shared" si="173"/>
      </c>
      <c r="Q104" s="330">
        <f t="shared" si="121"/>
      </c>
      <c r="R104" s="332">
        <f t="shared" si="381"/>
      </c>
      <c r="S104" s="330">
        <f t="shared" si="303"/>
      </c>
      <c r="T104" s="333">
        <f t="shared" si="199"/>
      </c>
      <c r="U104" s="333"/>
      <c r="V104" s="333"/>
      <c r="W104" s="328">
        <f>+W98+W93+W103</f>
      </c>
      <c r="X104" s="328">
        <f>+X98+X93+X103</f>
      </c>
      <c r="Y104" s="328">
        <f>+Y98+Y93+Y103</f>
      </c>
      <c r="Z104" s="328">
        <f>+Z98+Z93+Z103</f>
      </c>
      <c r="AA104" s="328">
        <f>+AA98+AA93+AA103</f>
      </c>
      <c r="AB104" s="328">
        <f>+AB98+AB93+AB103</f>
      </c>
      <c r="AC104" s="328">
        <f>+AC98+AC93+AC103</f>
      </c>
      <c r="AD104" s="328">
        <f>+AD98+AD93+AD103</f>
      </c>
      <c r="AE104" s="293"/>
      <c r="AF104" s="293"/>
    </row>
    <row r="105">
      <c r="A105" s="287" t="s">
        <v>150</v>
      </c>
      <c r="B105" s="287"/>
      <c r="C105" s="287"/>
      <c r="D105" s="334" t="s">
        <v>151</v>
      </c>
      <c r="E105" s="334"/>
      <c r="F105" s="334"/>
      <c r="G105" s="334"/>
      <c r="H105" s="334"/>
      <c r="I105" s="334"/>
      <c r="J105" s="289" t="s">
        <v>152</v>
      </c>
      <c r="K105" s="289"/>
      <c r="L105" s="289"/>
      <c r="M105" s="289"/>
      <c r="N105" s="289"/>
      <c r="O105" s="289"/>
      <c r="P105" s="289"/>
      <c r="Q105" s="289"/>
      <c r="R105" s="289"/>
      <c r="S105" s="289"/>
      <c r="T105" s="290"/>
      <c r="U105" s="290"/>
      <c r="V105" s="290"/>
      <c r="W105" s="291"/>
      <c r="X105" s="291"/>
      <c r="Y105" s="291"/>
      <c r="Z105" s="291"/>
      <c r="AA105" s="291"/>
      <c r="AB105" s="291"/>
      <c r="AC105" s="291"/>
      <c r="AD105" s="292" t="s">
        <v>153</v>
      </c>
      <c r="AE105" s="293"/>
      <c r="AF105" s="293"/>
    </row>
    <row r="106">
      <c r="A106" s="335" t="s">
        <v>154</v>
      </c>
      <c r="B106" s="424" t="s">
        <v>155</v>
      </c>
      <c r="C106" s="424" t="s">
        <v>156</v>
      </c>
      <c r="D106" s="336" t="s">
        <v>157</v>
      </c>
      <c r="E106" s="337" t="s">
        <v>158</v>
      </c>
      <c r="F106" s="337" t="s">
        <v>159</v>
      </c>
      <c r="G106" s="338" t="s">
        <v>160</v>
      </c>
      <c r="H106" s="336" t="s">
        <v>161</v>
      </c>
      <c r="I106" s="337" t="s">
        <v>162</v>
      </c>
      <c r="J106" s="339" t="s">
        <v>163</v>
      </c>
      <c r="K106" s="289" t="s">
        <v>164</v>
      </c>
      <c r="L106" s="301" t="s">
        <v>165</v>
      </c>
      <c r="M106" s="301" t="s">
        <v>166</v>
      </c>
      <c r="N106" s="289" t="s">
        <v>167</v>
      </c>
      <c r="O106" s="301" t="s">
        <v>168</v>
      </c>
      <c r="P106" s="301" t="s">
        <v>169</v>
      </c>
      <c r="Q106" s="302" t="s">
        <v>170</v>
      </c>
      <c r="R106" s="301" t="s">
        <v>171</v>
      </c>
      <c r="S106" s="302" t="s">
        <v>172</v>
      </c>
      <c r="T106" s="303" t="s">
        <v>173</v>
      </c>
      <c r="U106" s="303" t="s">
        <v>174</v>
      </c>
      <c r="V106" s="303" t="s">
        <v>175</v>
      </c>
      <c r="W106" s="304" t="s">
        <v>176</v>
      </c>
      <c r="X106" s="305" t="s">
        <v>177</v>
      </c>
      <c r="Y106" s="305" t="s">
        <v>178</v>
      </c>
      <c r="Z106" s="305" t="s">
        <v>179</v>
      </c>
      <c r="AA106" s="305" t="s">
        <v>180</v>
      </c>
      <c r="AB106" s="305" t="s">
        <v>181</v>
      </c>
      <c r="AC106" s="306" t="s">
        <v>182</v>
      </c>
      <c r="AD106" s="292"/>
      <c r="AE106" s="293"/>
      <c r="AF106" s="293"/>
    </row>
    <row r="107">
      <c r="A107" s="425">
        <v>46247</v>
      </c>
      <c r="B107" s="401" t="s">
        <v>183</v>
      </c>
      <c r="C107" s="360" t="s">
        <v>184</v>
      </c>
      <c r="D107" s="308">
        <f t="shared" ref="D107:D110" si="17">E107+F107</f>
      </c>
      <c r="E107" s="309">
        <v>731.37</v>
      </c>
      <c r="F107" s="309">
        <v>490.5</v>
      </c>
      <c r="G107" s="358">
        <v>0</v>
      </c>
      <c r="H107" s="358">
        <v>0</v>
      </c>
      <c r="I107" s="341">
        <f t="shared" ref="I107:I116" si="330">H107/D107</f>
      </c>
      <c r="J107" s="342">
        <f t="shared" ref="J107:J116" si="226">Y107/X107</f>
      </c>
      <c r="K107" s="313">
        <f t="shared" ref="K107:K116" si="148">D107/Z107</f>
      </c>
      <c r="L107" s="312">
        <f t="shared" ref="L107:L116" si="252">AA107/Z107</f>
      </c>
      <c r="M107" s="312">
        <f t="shared" ref="M107:M116" si="96">AB107/Z107</f>
      </c>
      <c r="N107" s="313">
        <f t="shared" ref="N107:N116" si="356">D107/AB107</f>
      </c>
      <c r="O107" s="312">
        <f t="shared" ref="O107:O116" si="278">AC107/AB107</f>
      </c>
      <c r="P107" s="312">
        <f t="shared" ref="P107:P116" si="174">G107/AC107</f>
      </c>
      <c r="Q107" s="314">
        <f t="shared" ref="Q107:Q116" si="122">D107/G107</f>
      </c>
      <c r="R107" s="315">
        <f t="shared" ref="R107:R116" si="382">H107/G107</f>
      </c>
      <c r="S107" s="314">
        <f t="shared" ref="S107:S116" si="304">D107/W107</f>
      </c>
      <c r="T107" s="316">
        <f t="shared" ref="T107:T116" si="200">AD107*1000/D107</f>
      </c>
      <c r="U107" s="317" t="s">
        <v>185</v>
      </c>
      <c r="V107" s="318" t="s">
        <v>186</v>
      </c>
      <c r="W107" s="310">
        <v>0</v>
      </c>
      <c r="X107" s="310">
        <v>5349</v>
      </c>
      <c r="Y107" s="310">
        <v>270</v>
      </c>
      <c r="Z107" s="310">
        <v>457</v>
      </c>
      <c r="AA107" s="310">
        <v>77</v>
      </c>
      <c r="AB107" s="310">
        <v>20</v>
      </c>
      <c r="AC107" s="359">
        <v>0</v>
      </c>
      <c r="AD107" s="359">
        <v>10</v>
      </c>
      <c r="AE107" s="293"/>
      <c r="AF107" s="293"/>
    </row>
    <row r="108">
      <c r="A108" s="425"/>
      <c r="B108" s="385" t="s">
        <v>187</v>
      </c>
      <c r="C108" s="360" t="s">
        <v>184</v>
      </c>
      <c r="D108" s="308">
        <f t="shared" si="17"/>
      </c>
      <c r="E108" s="309">
        <v>1179.51</v>
      </c>
      <c r="F108" s="309">
        <v>339.41</v>
      </c>
      <c r="G108" s="358">
        <v>0</v>
      </c>
      <c r="H108" s="358">
        <v>0</v>
      </c>
      <c r="I108" s="341">
        <f t="shared" si="330"/>
      </c>
      <c r="J108" s="342">
        <f t="shared" si="226"/>
      </c>
      <c r="K108" s="313">
        <f t="shared" si="148"/>
      </c>
      <c r="L108" s="312">
        <f t="shared" si="252"/>
      </c>
      <c r="M108" s="312">
        <f t="shared" si="96"/>
      </c>
      <c r="N108" s="313">
        <f t="shared" si="356"/>
      </c>
      <c r="O108" s="312">
        <f t="shared" si="278"/>
      </c>
      <c r="P108" s="312">
        <f t="shared" si="174"/>
      </c>
      <c r="Q108" s="314">
        <f t="shared" si="122"/>
      </c>
      <c r="R108" s="315">
        <f t="shared" si="382"/>
      </c>
      <c r="S108" s="314">
        <f t="shared" si="304"/>
      </c>
      <c r="T108" s="316">
        <f t="shared" si="200"/>
      </c>
      <c r="U108" s="317" t="s">
        <v>185</v>
      </c>
      <c r="V108" s="318" t="s">
        <v>186</v>
      </c>
      <c r="W108" s="310">
        <v>0</v>
      </c>
      <c r="X108" s="310">
        <v>7810</v>
      </c>
      <c r="Y108" s="310">
        <v>309</v>
      </c>
      <c r="Z108" s="310">
        <v>468</v>
      </c>
      <c r="AA108" s="310">
        <v>83</v>
      </c>
      <c r="AB108" s="310">
        <v>35</v>
      </c>
      <c r="AC108" s="359">
        <v>0</v>
      </c>
      <c r="AD108" s="359">
        <v>12</v>
      </c>
      <c r="AE108" s="293"/>
      <c r="AF108" s="293"/>
    </row>
    <row r="109">
      <c r="A109" s="425"/>
      <c r="B109" s="385" t="s">
        <v>188</v>
      </c>
      <c r="C109" s="360" t="s">
        <v>184</v>
      </c>
      <c r="D109" s="308">
        <f t="shared" si="17"/>
      </c>
      <c r="E109" s="309">
        <v>1686.27</v>
      </c>
      <c r="F109" s="309">
        <v>334.42</v>
      </c>
      <c r="G109" s="358">
        <v>0</v>
      </c>
      <c r="H109" s="358">
        <v>0</v>
      </c>
      <c r="I109" s="341">
        <f t="shared" si="330"/>
      </c>
      <c r="J109" s="342">
        <f t="shared" si="226"/>
      </c>
      <c r="K109" s="313">
        <f t="shared" si="148"/>
      </c>
      <c r="L109" s="312">
        <f t="shared" si="252"/>
      </c>
      <c r="M109" s="312">
        <f t="shared" si="96"/>
      </c>
      <c r="N109" s="313">
        <f t="shared" si="356"/>
      </c>
      <c r="O109" s="312">
        <f t="shared" si="278"/>
      </c>
      <c r="P109" s="312">
        <f t="shared" si="174"/>
      </c>
      <c r="Q109" s="314">
        <f t="shared" si="122"/>
      </c>
      <c r="R109" s="315">
        <f t="shared" si="382"/>
      </c>
      <c r="S109" s="314">
        <f t="shared" si="304"/>
      </c>
      <c r="T109" s="316">
        <f t="shared" si="200"/>
      </c>
      <c r="U109" s="317" t="s">
        <v>185</v>
      </c>
      <c r="V109" s="318" t="s">
        <v>186</v>
      </c>
      <c r="W109" s="310">
        <v>0</v>
      </c>
      <c r="X109" s="310">
        <v>7741</v>
      </c>
      <c r="Y109" s="310">
        <v>267</v>
      </c>
      <c r="Z109" s="310">
        <v>358</v>
      </c>
      <c r="AA109" s="310">
        <v>55</v>
      </c>
      <c r="AB109" s="310">
        <v>42</v>
      </c>
      <c r="AC109" s="359">
        <v>1</v>
      </c>
      <c r="AD109" s="359">
        <v>10</v>
      </c>
      <c r="AE109" s="293"/>
      <c r="AF109" s="293"/>
    </row>
    <row r="110">
      <c r="A110" s="425"/>
      <c r="B110" s="403" t="s">
        <v>190</v>
      </c>
      <c r="C110" s="360" t="s">
        <v>184</v>
      </c>
      <c r="D110" s="308">
        <f t="shared" si="17"/>
      </c>
      <c r="E110" s="309">
        <v>257.57</v>
      </c>
      <c r="F110" s="309">
        <v>188.01</v>
      </c>
      <c r="G110" s="358">
        <v>1</v>
      </c>
      <c r="H110" s="309">
        <v>2506.68</v>
      </c>
      <c r="I110" s="341">
        <f t="shared" si="330"/>
      </c>
      <c r="J110" s="342">
        <f t="shared" si="226"/>
      </c>
      <c r="K110" s="313">
        <f t="shared" si="148"/>
      </c>
      <c r="L110" s="312">
        <f t="shared" si="252"/>
      </c>
      <c r="M110" s="312">
        <f t="shared" si="96"/>
      </c>
      <c r="N110" s="313">
        <f t="shared" si="356"/>
      </c>
      <c r="O110" s="312">
        <f t="shared" si="278"/>
      </c>
      <c r="P110" s="312">
        <f t="shared" si="174"/>
      </c>
      <c r="Q110" s="314">
        <f t="shared" si="122"/>
      </c>
      <c r="R110" s="315">
        <f t="shared" si="382"/>
      </c>
      <c r="S110" s="314">
        <f t="shared" si="304"/>
      </c>
      <c r="T110" s="316">
        <f t="shared" si="200"/>
      </c>
      <c r="U110" s="317" t="s">
        <v>185</v>
      </c>
      <c r="V110" s="318" t="s">
        <v>186</v>
      </c>
      <c r="W110" s="310">
        <v>1</v>
      </c>
      <c r="X110" s="310">
        <v>1952</v>
      </c>
      <c r="Y110" s="310">
        <v>103</v>
      </c>
      <c r="Z110" s="310">
        <v>168</v>
      </c>
      <c r="AA110" s="310">
        <v>13</v>
      </c>
      <c r="AB110" s="310">
        <v>6</v>
      </c>
      <c r="AC110" s="359">
        <v>2</v>
      </c>
      <c r="AD110" s="359">
        <v>5</v>
      </c>
      <c r="AE110" s="293"/>
      <c r="AF110" s="293"/>
    </row>
    <row r="111">
      <c r="A111" s="425"/>
      <c r="B111" s="361" t="s">
        <v>189</v>
      </c>
      <c r="C111" s="361"/>
      <c r="D111" s="363">
        <f>SUM(D107:D110)</f>
      </c>
      <c r="E111" s="343">
        <f>SUM(E107:E110)</f>
      </c>
      <c r="F111" s="343">
        <f>SUM(F107:F110)</f>
      </c>
      <c r="G111" s="343">
        <f>SUM(G107:G110)</f>
      </c>
      <c r="H111" s="343">
        <f>SUM(H107:H110)</f>
      </c>
      <c r="I111" s="344">
        <f t="shared" si="330"/>
      </c>
      <c r="J111" s="345">
        <f t="shared" si="226"/>
      </c>
      <c r="K111" s="323">
        <f t="shared" si="148"/>
      </c>
      <c r="L111" s="322">
        <f t="shared" si="252"/>
      </c>
      <c r="M111" s="322">
        <f t="shared" si="96"/>
      </c>
      <c r="N111" s="323">
        <f t="shared" si="356"/>
      </c>
      <c r="O111" s="322">
        <f t="shared" si="278"/>
      </c>
      <c r="P111" s="322">
        <f t="shared" si="174"/>
      </c>
      <c r="Q111" s="324">
        <f t="shared" si="122"/>
      </c>
      <c r="R111" s="325">
        <f t="shared" si="382"/>
      </c>
      <c r="S111" s="324">
        <f t="shared" si="304"/>
      </c>
      <c r="T111" s="326">
        <f t="shared" si="200"/>
      </c>
      <c r="U111" s="326"/>
      <c r="V111" s="326"/>
      <c r="W111" s="320">
        <f>SUM(W107:W110)</f>
      </c>
      <c r="X111" s="320">
        <f>SUM(X107:X110)</f>
      </c>
      <c r="Y111" s="320">
        <f>SUM(Y107:Y110)</f>
      </c>
      <c r="Z111" s="320">
        <f>SUM(Z107:Z110)</f>
      </c>
      <c r="AA111" s="320">
        <f>SUM(AA107:AA110)</f>
      </c>
      <c r="AB111" s="320">
        <f>SUM(AB107:AB110)</f>
      </c>
      <c r="AC111" s="320">
        <f>SUM(AC107:AC110)</f>
      </c>
      <c r="AD111" s="320">
        <f>SUM(AD107:AD110)</f>
      </c>
      <c r="AE111" s="293"/>
      <c r="AF111" s="293"/>
    </row>
    <row r="112">
      <c r="A112" s="425"/>
      <c r="B112" s="360" t="s">
        <v>192</v>
      </c>
      <c r="C112" s="369" t="s">
        <v>191</v>
      </c>
      <c r="D112" s="346">
        <f t="shared" ref="D112:D114" si="18">E112+F112</f>
      </c>
      <c r="E112" s="347">
        <v>1518.32</v>
      </c>
      <c r="F112" s="347">
        <v>936.57</v>
      </c>
      <c r="G112" s="348">
        <v>5</v>
      </c>
      <c r="H112" s="348">
        <v>12199.92</v>
      </c>
      <c r="I112" s="349">
        <f t="shared" si="330"/>
      </c>
      <c r="J112" s="312">
        <f t="shared" si="226"/>
      </c>
      <c r="K112" s="313">
        <f t="shared" si="148"/>
      </c>
      <c r="L112" s="312">
        <f t="shared" si="252"/>
      </c>
      <c r="M112" s="312">
        <f t="shared" si="96"/>
      </c>
      <c r="N112" s="313">
        <f t="shared" si="356"/>
      </c>
      <c r="O112" s="312">
        <f t="shared" si="278"/>
      </c>
      <c r="P112" s="312">
        <f t="shared" si="174"/>
      </c>
      <c r="Q112" s="314">
        <f t="shared" si="122"/>
      </c>
      <c r="R112" s="315">
        <f t="shared" si="382"/>
      </c>
      <c r="S112" s="314">
        <f t="shared" si="304"/>
      </c>
      <c r="T112" s="316">
        <f t="shared" si="200"/>
      </c>
      <c r="U112" s="317" t="s">
        <v>185</v>
      </c>
      <c r="V112" s="318" t="s">
        <v>186</v>
      </c>
      <c r="W112" s="310">
        <v>5</v>
      </c>
      <c r="X112" s="310">
        <v>9524</v>
      </c>
      <c r="Y112" s="310">
        <v>713</v>
      </c>
      <c r="Z112" s="310">
        <v>1152</v>
      </c>
      <c r="AA112" s="310">
        <v>213</v>
      </c>
      <c r="AB112" s="310">
        <v>58</v>
      </c>
      <c r="AC112" s="359">
        <v>7</v>
      </c>
      <c r="AD112" s="359">
        <v>34</v>
      </c>
      <c r="AE112" s="293"/>
      <c r="AF112" s="293"/>
    </row>
    <row r="113">
      <c r="A113" s="425"/>
      <c r="B113" s="360" t="s">
        <v>193</v>
      </c>
      <c r="C113" s="369" t="s">
        <v>191</v>
      </c>
      <c r="D113" s="308">
        <f t="shared" si="18"/>
      </c>
      <c r="E113" s="309">
        <v>3050.7</v>
      </c>
      <c r="F113" s="309">
        <v>1016.33</v>
      </c>
      <c r="G113" s="310">
        <v>2</v>
      </c>
      <c r="H113" s="310">
        <v>1512.0000000000018</v>
      </c>
      <c r="I113" s="311">
        <f t="shared" si="330"/>
      </c>
      <c r="J113" s="312">
        <f t="shared" si="226"/>
      </c>
      <c r="K113" s="313">
        <f t="shared" si="148"/>
      </c>
      <c r="L113" s="312">
        <f t="shared" si="252"/>
      </c>
      <c r="M113" s="312">
        <f t="shared" si="96"/>
      </c>
      <c r="N113" s="313">
        <f t="shared" si="356"/>
      </c>
      <c r="O113" s="312">
        <f t="shared" si="278"/>
      </c>
      <c r="P113" s="312">
        <f t="shared" si="174"/>
      </c>
      <c r="Q113" s="314">
        <f t="shared" si="122"/>
      </c>
      <c r="R113" s="315">
        <f t="shared" si="382"/>
      </c>
      <c r="S113" s="314">
        <f t="shared" si="304"/>
      </c>
      <c r="T113" s="316">
        <f t="shared" si="200"/>
      </c>
      <c r="U113" s="317" t="s">
        <v>185</v>
      </c>
      <c r="V113" s="318" t="s">
        <v>186</v>
      </c>
      <c r="W113" s="310">
        <v>2</v>
      </c>
      <c r="X113" s="310">
        <v>14216</v>
      </c>
      <c r="Y113" s="310">
        <v>691</v>
      </c>
      <c r="Z113" s="310">
        <v>1133</v>
      </c>
      <c r="AA113" s="310">
        <v>225</v>
      </c>
      <c r="AB113" s="310">
        <v>94</v>
      </c>
      <c r="AC113" s="359">
        <v>3</v>
      </c>
      <c r="AD113" s="359">
        <v>34</v>
      </c>
      <c r="AE113" s="293"/>
      <c r="AF113" s="293"/>
    </row>
    <row r="114">
      <c r="A114" s="425"/>
      <c r="B114" s="360" t="s">
        <v>194</v>
      </c>
      <c r="C114" s="369" t="s">
        <v>191</v>
      </c>
      <c r="D114" s="308">
        <f t="shared" si="18"/>
      </c>
      <c r="E114" s="309">
        <v>2322.42</v>
      </c>
      <c r="F114" s="309">
        <v>997.07</v>
      </c>
      <c r="G114" s="310">
        <v>2</v>
      </c>
      <c r="H114" s="310">
        <v>3848.0399999999972</v>
      </c>
      <c r="I114" s="311">
        <f t="shared" si="330"/>
      </c>
      <c r="J114" s="312">
        <f t="shared" si="226"/>
      </c>
      <c r="K114" s="313">
        <f t="shared" si="148"/>
      </c>
      <c r="L114" s="312">
        <f t="shared" si="252"/>
      </c>
      <c r="M114" s="312">
        <f t="shared" si="96"/>
      </c>
      <c r="N114" s="313">
        <f t="shared" si="356"/>
      </c>
      <c r="O114" s="312">
        <f t="shared" si="278"/>
      </c>
      <c r="P114" s="312">
        <f t="shared" si="174"/>
      </c>
      <c r="Q114" s="314">
        <f t="shared" si="122"/>
      </c>
      <c r="R114" s="315">
        <f t="shared" si="382"/>
      </c>
      <c r="S114" s="314">
        <f t="shared" si="304"/>
      </c>
      <c r="T114" s="316">
        <f t="shared" si="200"/>
      </c>
      <c r="U114" s="317" t="s">
        <v>185</v>
      </c>
      <c r="V114" s="318" t="s">
        <v>186</v>
      </c>
      <c r="W114" s="310">
        <v>2</v>
      </c>
      <c r="X114" s="310">
        <v>10690</v>
      </c>
      <c r="Y114" s="310">
        <v>662</v>
      </c>
      <c r="Z114" s="310">
        <v>1096</v>
      </c>
      <c r="AA114" s="310">
        <v>247</v>
      </c>
      <c r="AB114" s="310">
        <v>43</v>
      </c>
      <c r="AC114" s="359">
        <v>2</v>
      </c>
      <c r="AD114" s="359">
        <v>33</v>
      </c>
      <c r="AE114" s="293"/>
      <c r="AF114" s="293"/>
    </row>
    <row r="115">
      <c r="A115" s="425"/>
      <c r="B115" s="361" t="s">
        <v>189</v>
      </c>
      <c r="C115" s="361"/>
      <c r="D115" s="319">
        <f>SUM(D112:D114)</f>
      </c>
      <c r="E115" s="320">
        <f>SUM(E112:E114)</f>
      </c>
      <c r="F115" s="320">
        <f>SUM(F112:F114)</f>
      </c>
      <c r="G115" s="320">
        <f>SUM(G112:G114)</f>
      </c>
      <c r="H115" s="320">
        <f>SUM(H112:H114)</f>
      </c>
      <c r="I115" s="321">
        <f t="shared" si="330"/>
      </c>
      <c r="J115" s="322">
        <f t="shared" si="226"/>
      </c>
      <c r="K115" s="323">
        <f t="shared" si="148"/>
      </c>
      <c r="L115" s="322">
        <f t="shared" si="252"/>
      </c>
      <c r="M115" s="322">
        <f t="shared" si="96"/>
      </c>
      <c r="N115" s="323">
        <f t="shared" si="356"/>
      </c>
      <c r="O115" s="322">
        <f t="shared" si="278"/>
      </c>
      <c r="P115" s="322">
        <f t="shared" si="174"/>
      </c>
      <c r="Q115" s="324">
        <f t="shared" si="122"/>
      </c>
      <c r="R115" s="325">
        <f t="shared" si="382"/>
      </c>
      <c r="S115" s="324">
        <f t="shared" si="304"/>
      </c>
      <c r="T115" s="326">
        <f t="shared" si="200"/>
      </c>
      <c r="U115" s="326"/>
      <c r="V115" s="326"/>
      <c r="W115" s="320">
        <f>SUM(W112:W114)</f>
      </c>
      <c r="X115" s="320">
        <f>SUM(X112:X114)</f>
      </c>
      <c r="Y115" s="320">
        <f>SUM(Y112:Y114)</f>
      </c>
      <c r="Z115" s="320">
        <f>SUM(Z112:Z114)</f>
      </c>
      <c r="AA115" s="320">
        <f>SUM(AA112:AA114)</f>
      </c>
      <c r="AB115" s="320">
        <f>SUM(AB112:AB114)</f>
      </c>
      <c r="AC115" s="320">
        <f>SUM(AC112:AC114)</f>
      </c>
      <c r="AD115" s="320">
        <f>SUM(AD112:AD114)</f>
      </c>
      <c r="AE115" s="293"/>
      <c r="AF115" s="293"/>
    </row>
    <row r="116">
      <c r="A116" s="425"/>
      <c r="B116" s="426" t="s">
        <v>195</v>
      </c>
      <c r="C116" s="426"/>
      <c r="D116" s="328">
        <f>+D115+D111</f>
      </c>
      <c r="E116" s="328">
        <f>+E115+E111</f>
      </c>
      <c r="F116" s="328">
        <f>+F115+F111</f>
      </c>
      <c r="G116" s="328">
        <f>+G115+G111</f>
      </c>
      <c r="H116" s="328">
        <f>+H115+H111</f>
      </c>
      <c r="I116" s="328">
        <f t="shared" si="330"/>
      </c>
      <c r="J116" s="329">
        <f t="shared" si="226"/>
      </c>
      <c r="K116" s="330">
        <f t="shared" si="148"/>
      </c>
      <c r="L116" s="331">
        <f t="shared" si="252"/>
      </c>
      <c r="M116" s="331">
        <f t="shared" si="96"/>
      </c>
      <c r="N116" s="330">
        <f t="shared" si="356"/>
      </c>
      <c r="O116" s="331">
        <f t="shared" si="278"/>
      </c>
      <c r="P116" s="331">
        <f t="shared" si="174"/>
      </c>
      <c r="Q116" s="330">
        <f t="shared" si="122"/>
      </c>
      <c r="R116" s="332">
        <f t="shared" si="382"/>
      </c>
      <c r="S116" s="330">
        <f t="shared" si="304"/>
      </c>
      <c r="T116" s="333">
        <f t="shared" si="200"/>
      </c>
      <c r="U116" s="333"/>
      <c r="V116" s="333"/>
      <c r="W116" s="328">
        <f>+W115+W111</f>
      </c>
      <c r="X116" s="328">
        <f>+X115+X111</f>
      </c>
      <c r="Y116" s="328">
        <f>+Y115+Y111</f>
      </c>
      <c r="Z116" s="328">
        <f>+Z115+Z111</f>
      </c>
      <c r="AA116" s="328">
        <f>+AA115+AA111</f>
      </c>
      <c r="AB116" s="328">
        <f>+AB115+AB111</f>
      </c>
      <c r="AC116" s="328">
        <f>+AC115+AC111</f>
      </c>
      <c r="AD116" s="328">
        <f>+AD115+AD111</f>
      </c>
      <c r="AE116" s="293"/>
      <c r="AF116" s="293"/>
    </row>
    <row r="117">
      <c r="A117" s="352" t="s">
        <v>150</v>
      </c>
      <c r="B117" s="352"/>
      <c r="C117" s="352"/>
      <c r="D117" s="334" t="s">
        <v>151</v>
      </c>
      <c r="E117" s="334"/>
      <c r="F117" s="334"/>
      <c r="G117" s="334"/>
      <c r="H117" s="334"/>
      <c r="I117" s="334"/>
      <c r="J117" s="377" t="s">
        <v>152</v>
      </c>
      <c r="K117" s="377"/>
      <c r="L117" s="377"/>
      <c r="M117" s="377"/>
      <c r="N117" s="377"/>
      <c r="O117" s="377"/>
      <c r="P117" s="377"/>
      <c r="Q117" s="377"/>
      <c r="R117" s="377"/>
      <c r="S117" s="377"/>
      <c r="T117" s="370"/>
      <c r="U117" s="370"/>
      <c r="V117" s="370"/>
      <c r="W117" s="371"/>
      <c r="X117" s="371"/>
      <c r="Y117" s="371"/>
      <c r="Z117" s="371"/>
      <c r="AA117" s="371"/>
      <c r="AB117" s="371"/>
      <c r="AC117" s="371"/>
      <c r="AD117" s="372" t="s">
        <v>153</v>
      </c>
      <c r="AE117" s="293"/>
      <c r="AF117" s="293"/>
    </row>
    <row r="118">
      <c r="A118" s="354" t="s">
        <v>154</v>
      </c>
      <c r="B118" s="352" t="s">
        <v>155</v>
      </c>
      <c r="C118" s="352" t="s">
        <v>156</v>
      </c>
      <c r="D118" s="412" t="s">
        <v>157</v>
      </c>
      <c r="E118" s="427" t="s">
        <v>158</v>
      </c>
      <c r="F118" s="427" t="s">
        <v>159</v>
      </c>
      <c r="G118" s="414" t="s">
        <v>160</v>
      </c>
      <c r="H118" s="412" t="s">
        <v>161</v>
      </c>
      <c r="I118" s="413" t="s">
        <v>162</v>
      </c>
      <c r="J118" s="415" t="s">
        <v>163</v>
      </c>
      <c r="K118" s="415" t="s">
        <v>164</v>
      </c>
      <c r="L118" s="416" t="s">
        <v>165</v>
      </c>
      <c r="M118" s="378" t="s">
        <v>166</v>
      </c>
      <c r="N118" s="377" t="s">
        <v>167</v>
      </c>
      <c r="O118" s="378" t="s">
        <v>168</v>
      </c>
      <c r="P118" s="378" t="s">
        <v>169</v>
      </c>
      <c r="Q118" s="379" t="s">
        <v>170</v>
      </c>
      <c r="R118" s="378" t="s">
        <v>171</v>
      </c>
      <c r="S118" s="379" t="s">
        <v>172</v>
      </c>
      <c r="T118" s="380" t="s">
        <v>173</v>
      </c>
      <c r="U118" s="380" t="s">
        <v>174</v>
      </c>
      <c r="V118" s="380" t="s">
        <v>175</v>
      </c>
      <c r="W118" s="381" t="s">
        <v>176</v>
      </c>
      <c r="X118" s="382" t="s">
        <v>177</v>
      </c>
      <c r="Y118" s="382" t="s">
        <v>178</v>
      </c>
      <c r="Z118" s="382" t="s">
        <v>179</v>
      </c>
      <c r="AA118" s="382" t="s">
        <v>180</v>
      </c>
      <c r="AB118" s="382" t="s">
        <v>181</v>
      </c>
      <c r="AC118" s="383" t="s">
        <v>182</v>
      </c>
      <c r="AD118" s="372"/>
      <c r="AE118" s="293"/>
      <c r="AF118" s="293"/>
    </row>
    <row r="119">
      <c r="A119" s="384">
        <v>46248</v>
      </c>
      <c r="B119" s="385" t="s">
        <v>199</v>
      </c>
      <c r="C119" s="369" t="s">
        <v>184</v>
      </c>
      <c r="D119" s="360">
        <f t="shared" ref="D119:D122" si="19">E119+F119</f>
      </c>
      <c r="E119" s="360">
        <v>2152.96</v>
      </c>
      <c r="F119" s="369">
        <v>890.38</v>
      </c>
      <c r="G119" s="369">
        <v>2</v>
      </c>
      <c r="H119" s="369">
        <v>2625.96</v>
      </c>
      <c r="I119" s="387">
        <f t="shared" ref="I119:I138" si="331">H119/D119</f>
      </c>
      <c r="J119" s="388">
        <f t="shared" ref="J119:J138" si="227">Y119/X119</f>
      </c>
      <c r="K119" s="389">
        <f t="shared" ref="K119:K138" si="149">D119/Z119</f>
      </c>
      <c r="L119" s="417">
        <f t="shared" ref="L119:L138" si="253">AA119/Z119</f>
      </c>
      <c r="M119" s="388">
        <f t="shared" ref="M119:M138" si="97">AB119/Z119</f>
      </c>
      <c r="N119" s="389">
        <f t="shared" ref="N119:N138" si="357">D119/AB119</f>
      </c>
      <c r="O119" s="388">
        <f t="shared" ref="O119:O138" si="279">AC119/AB119</f>
      </c>
      <c r="P119" s="388">
        <f t="shared" ref="P119:P138" si="175">G119/AC119</f>
      </c>
      <c r="Q119" s="389">
        <f t="shared" ref="Q119:Q138" si="123">D119/G119</f>
      </c>
      <c r="R119" s="390">
        <f t="shared" ref="R119:R138" si="383">H119/G119</f>
      </c>
      <c r="S119" s="389">
        <f t="shared" ref="S119:S138" si="305">D119/W119</f>
      </c>
      <c r="T119" s="391">
        <f t="shared" ref="T119:T138" si="201">AD119*1000/D119</f>
      </c>
      <c r="U119" s="392" t="s">
        <v>185</v>
      </c>
      <c r="V119" s="423" t="s">
        <v>207</v>
      </c>
      <c r="W119" s="360">
        <v>2</v>
      </c>
      <c r="X119" s="360">
        <v>8986</v>
      </c>
      <c r="Y119" s="360">
        <v>589</v>
      </c>
      <c r="Z119" s="360">
        <v>998</v>
      </c>
      <c r="AA119" s="360">
        <v>222</v>
      </c>
      <c r="AB119" s="360">
        <v>49</v>
      </c>
      <c r="AC119" s="394">
        <v>3</v>
      </c>
      <c r="AD119" s="364">
        <v>18</v>
      </c>
      <c r="AE119" s="293"/>
      <c r="AF119" s="293"/>
    </row>
    <row r="120">
      <c r="A120" s="384"/>
      <c r="B120" s="385" t="s">
        <v>200</v>
      </c>
      <c r="C120" s="369" t="s">
        <v>184</v>
      </c>
      <c r="D120" s="360">
        <f t="shared" si="19"/>
      </c>
      <c r="E120" s="360">
        <v>1347.04</v>
      </c>
      <c r="F120" s="360">
        <v>2269.12</v>
      </c>
      <c r="G120" s="369">
        <v>2</v>
      </c>
      <c r="H120" s="369">
        <v>3263.3999999999996</v>
      </c>
      <c r="I120" s="387">
        <f t="shared" si="331"/>
      </c>
      <c r="J120" s="388">
        <f t="shared" si="227"/>
      </c>
      <c r="K120" s="389">
        <f t="shared" si="149"/>
      </c>
      <c r="L120" s="417">
        <f t="shared" si="253"/>
      </c>
      <c r="M120" s="388">
        <f t="shared" si="97"/>
      </c>
      <c r="N120" s="389">
        <f t="shared" si="357"/>
      </c>
      <c r="O120" s="388">
        <f t="shared" si="279"/>
      </c>
      <c r="P120" s="388">
        <f t="shared" si="175"/>
      </c>
      <c r="Q120" s="389">
        <f t="shared" si="123"/>
      </c>
      <c r="R120" s="390">
        <f t="shared" si="383"/>
      </c>
      <c r="S120" s="389">
        <f t="shared" si="305"/>
      </c>
      <c r="T120" s="391">
        <f t="shared" si="201"/>
      </c>
      <c r="U120" s="392" t="s">
        <v>185</v>
      </c>
      <c r="V120" s="423" t="s">
        <v>207</v>
      </c>
      <c r="W120" s="360">
        <v>2</v>
      </c>
      <c r="X120" s="360">
        <v>10693</v>
      </c>
      <c r="Y120" s="360">
        <v>1224</v>
      </c>
      <c r="Z120" s="360">
        <v>1974</v>
      </c>
      <c r="AA120" s="360">
        <v>539</v>
      </c>
      <c r="AB120" s="360">
        <v>66</v>
      </c>
      <c r="AC120" s="395">
        <v>5</v>
      </c>
      <c r="AD120" s="359">
        <v>42</v>
      </c>
      <c r="AE120" s="293"/>
      <c r="AF120" s="293"/>
    </row>
    <row r="121">
      <c r="A121" s="384"/>
      <c r="B121" s="385" t="s">
        <v>201</v>
      </c>
      <c r="C121" s="369" t="s">
        <v>184</v>
      </c>
      <c r="D121" s="360">
        <f t="shared" si="19"/>
      </c>
      <c r="E121" s="360">
        <v>1498.88</v>
      </c>
      <c r="F121" s="360">
        <v>1644.63</v>
      </c>
      <c r="G121" s="369">
        <v>4</v>
      </c>
      <c r="H121" s="360">
        <v>11636.880000000001</v>
      </c>
      <c r="I121" s="387">
        <f t="shared" si="331"/>
      </c>
      <c r="J121" s="388">
        <f t="shared" si="227"/>
      </c>
      <c r="K121" s="389">
        <f t="shared" si="149"/>
      </c>
      <c r="L121" s="417">
        <f t="shared" si="253"/>
      </c>
      <c r="M121" s="388">
        <f t="shared" si="97"/>
      </c>
      <c r="N121" s="389">
        <f t="shared" si="357"/>
      </c>
      <c r="O121" s="388">
        <f t="shared" si="279"/>
      </c>
      <c r="P121" s="388">
        <f t="shared" si="175"/>
      </c>
      <c r="Q121" s="389">
        <f t="shared" si="123"/>
      </c>
      <c r="R121" s="390">
        <f t="shared" si="383"/>
      </c>
      <c r="S121" s="389">
        <f t="shared" si="305"/>
      </c>
      <c r="T121" s="391">
        <f t="shared" si="201"/>
      </c>
      <c r="U121" s="392" t="s">
        <v>185</v>
      </c>
      <c r="V121" s="423" t="s">
        <v>207</v>
      </c>
      <c r="W121" s="360">
        <v>3</v>
      </c>
      <c r="X121" s="360">
        <v>11252</v>
      </c>
      <c r="Y121" s="360">
        <v>751</v>
      </c>
      <c r="Z121" s="360">
        <v>1231</v>
      </c>
      <c r="AA121" s="360">
        <v>327</v>
      </c>
      <c r="AB121" s="360">
        <v>51</v>
      </c>
      <c r="AC121" s="395">
        <v>4</v>
      </c>
      <c r="AD121" s="359">
        <v>28</v>
      </c>
      <c r="AE121" s="293"/>
      <c r="AF121" s="293"/>
    </row>
    <row r="122">
      <c r="A122" s="384"/>
      <c r="B122" s="385" t="s">
        <v>202</v>
      </c>
      <c r="C122" s="369" t="s">
        <v>184</v>
      </c>
      <c r="D122" s="360">
        <f t="shared" si="19"/>
      </c>
      <c r="E122" s="360">
        <v>1556.12</v>
      </c>
      <c r="F122" s="360">
        <v>1809.64</v>
      </c>
      <c r="G122" s="369">
        <v>4</v>
      </c>
      <c r="H122" s="369">
        <v>9558.600000000002</v>
      </c>
      <c r="I122" s="387">
        <f t="shared" si="331"/>
      </c>
      <c r="J122" s="388">
        <f t="shared" si="227"/>
      </c>
      <c r="K122" s="389">
        <f t="shared" si="149"/>
      </c>
      <c r="L122" s="417">
        <f t="shared" si="253"/>
      </c>
      <c r="M122" s="388">
        <f t="shared" si="97"/>
      </c>
      <c r="N122" s="389">
        <f t="shared" si="357"/>
      </c>
      <c r="O122" s="388">
        <f t="shared" si="279"/>
      </c>
      <c r="P122" s="388">
        <f t="shared" si="175"/>
      </c>
      <c r="Q122" s="389">
        <f t="shared" si="123"/>
      </c>
      <c r="R122" s="390">
        <f t="shared" si="383"/>
      </c>
      <c r="S122" s="389">
        <f t="shared" si="305"/>
      </c>
      <c r="T122" s="391">
        <f t="shared" si="201"/>
      </c>
      <c r="U122" s="392" t="s">
        <v>185</v>
      </c>
      <c r="V122" s="423" t="s">
        <v>207</v>
      </c>
      <c r="W122" s="360">
        <v>1</v>
      </c>
      <c r="X122" s="360">
        <v>13791</v>
      </c>
      <c r="Y122" s="360">
        <v>830</v>
      </c>
      <c r="Z122" s="360">
        <v>1384</v>
      </c>
      <c r="AA122" s="360">
        <v>263</v>
      </c>
      <c r="AB122" s="360">
        <v>69</v>
      </c>
      <c r="AC122" s="395">
        <v>4</v>
      </c>
      <c r="AD122" s="359">
        <v>12</v>
      </c>
      <c r="AE122" s="293"/>
      <c r="AF122" s="293"/>
    </row>
    <row r="123">
      <c r="A123" s="384"/>
      <c r="B123" s="361" t="s">
        <v>189</v>
      </c>
      <c r="C123" s="361"/>
      <c r="D123" s="361">
        <f>SUM(D119:D122)</f>
      </c>
      <c r="E123" s="361">
        <f>SUM(E119:E122)</f>
      </c>
      <c r="F123" s="361">
        <f>SUM(F119:F122)</f>
      </c>
      <c r="G123" s="361">
        <f>SUM(G119:G122)</f>
      </c>
      <c r="H123" s="361">
        <f>SUM(H119:H122)</f>
      </c>
      <c r="I123" s="396">
        <f t="shared" si="331"/>
      </c>
      <c r="J123" s="397">
        <f t="shared" si="227"/>
      </c>
      <c r="K123" s="398">
        <f t="shared" si="149"/>
      </c>
      <c r="L123" s="418">
        <f t="shared" si="253"/>
      </c>
      <c r="M123" s="397">
        <f t="shared" si="97"/>
      </c>
      <c r="N123" s="398">
        <f t="shared" si="357"/>
      </c>
      <c r="O123" s="397">
        <f t="shared" si="279"/>
      </c>
      <c r="P123" s="397">
        <f t="shared" si="175"/>
      </c>
      <c r="Q123" s="398">
        <f t="shared" si="123"/>
      </c>
      <c r="R123" s="399">
        <f t="shared" si="383"/>
      </c>
      <c r="S123" s="398">
        <f t="shared" si="305"/>
      </c>
      <c r="T123" s="400">
        <f t="shared" si="201"/>
      </c>
      <c r="U123" s="400"/>
      <c r="V123" s="400"/>
      <c r="W123" s="361">
        <f>SUM(W119:W122)</f>
      </c>
      <c r="X123" s="361">
        <f>SUM(X119:X122)</f>
      </c>
      <c r="Y123" s="361">
        <f>SUM(Y119:Y122)</f>
      </c>
      <c r="Z123" s="361">
        <f>SUM(Z119:Z122)</f>
      </c>
      <c r="AA123" s="361">
        <f>SUM(AA119:AA122)</f>
      </c>
      <c r="AB123" s="361">
        <f>SUM(AB119:AB122)</f>
      </c>
      <c r="AC123" s="319">
        <f>SUM(AC119:AC122)</f>
      </c>
      <c r="AD123" s="320">
        <f>SUM(AD119:AD122)</f>
      </c>
      <c r="AE123" s="293"/>
      <c r="AF123" s="293"/>
    </row>
    <row r="124">
      <c r="A124" s="384"/>
      <c r="B124" s="385" t="s">
        <v>203</v>
      </c>
      <c r="C124" s="369" t="s">
        <v>197</v>
      </c>
      <c r="D124" s="360">
        <f t="shared" ref="D124:D127" si="20">E124+F124</f>
      </c>
      <c r="E124" s="360">
        <v>1520.77</v>
      </c>
      <c r="F124" s="360">
        <v>1535.98</v>
      </c>
      <c r="G124" s="369">
        <v>3</v>
      </c>
      <c r="H124" s="369">
        <v>9007.080000000002</v>
      </c>
      <c r="I124" s="387">
        <f t="shared" si="331"/>
      </c>
      <c r="J124" s="388">
        <f t="shared" si="227"/>
      </c>
      <c r="K124" s="389">
        <f t="shared" si="149"/>
      </c>
      <c r="L124" s="417">
        <f t="shared" si="253"/>
      </c>
      <c r="M124" s="388">
        <f t="shared" si="97"/>
      </c>
      <c r="N124" s="389">
        <f t="shared" si="357"/>
      </c>
      <c r="O124" s="388">
        <f t="shared" si="279"/>
      </c>
      <c r="P124" s="388">
        <f t="shared" si="175"/>
      </c>
      <c r="Q124" s="389">
        <f t="shared" si="123"/>
      </c>
      <c r="R124" s="390">
        <f t="shared" si="383"/>
      </c>
      <c r="S124" s="389">
        <f t="shared" si="305"/>
      </c>
      <c r="T124" s="391">
        <f t="shared" si="201"/>
      </c>
      <c r="U124" s="392" t="s">
        <v>185</v>
      </c>
      <c r="V124" s="393" t="s">
        <v>207</v>
      </c>
      <c r="W124" s="360">
        <v>1</v>
      </c>
      <c r="X124" s="360">
        <v>11566</v>
      </c>
      <c r="Y124" s="360">
        <v>818</v>
      </c>
      <c r="Z124" s="360">
        <v>1303</v>
      </c>
      <c r="AA124" s="360">
        <v>238</v>
      </c>
      <c r="AB124" s="360">
        <v>62</v>
      </c>
      <c r="AC124" s="395">
        <v>4</v>
      </c>
      <c r="AD124" s="359">
        <v>28</v>
      </c>
      <c r="AE124" s="293"/>
      <c r="AF124" s="293"/>
    </row>
    <row r="125">
      <c r="A125" s="384"/>
      <c r="B125" s="385" t="s">
        <v>204</v>
      </c>
      <c r="C125" s="369" t="s">
        <v>197</v>
      </c>
      <c r="D125" s="360">
        <f t="shared" si="20"/>
      </c>
      <c r="E125" s="360">
        <v>1780.72</v>
      </c>
      <c r="F125" s="360">
        <v>1864.8</v>
      </c>
      <c r="G125" s="369">
        <v>1</v>
      </c>
      <c r="H125" s="369">
        <v>1515.5999999999985</v>
      </c>
      <c r="I125" s="387">
        <f t="shared" si="331"/>
      </c>
      <c r="J125" s="388">
        <f t="shared" si="227"/>
      </c>
      <c r="K125" s="389">
        <f t="shared" si="149"/>
      </c>
      <c r="L125" s="417">
        <f t="shared" si="253"/>
      </c>
      <c r="M125" s="388">
        <f t="shared" si="97"/>
      </c>
      <c r="N125" s="389">
        <f t="shared" si="357"/>
      </c>
      <c r="O125" s="388">
        <f t="shared" si="279"/>
      </c>
      <c r="P125" s="388">
        <f t="shared" si="175"/>
      </c>
      <c r="Q125" s="389">
        <f t="shared" si="123"/>
      </c>
      <c r="R125" s="390">
        <f t="shared" si="383"/>
      </c>
      <c r="S125" s="389">
        <f t="shared" si="305"/>
      </c>
      <c r="T125" s="391">
        <f t="shared" si="201"/>
      </c>
      <c r="U125" s="392" t="s">
        <v>185</v>
      </c>
      <c r="V125" s="393" t="s">
        <v>207</v>
      </c>
      <c r="W125" s="360">
        <v>0</v>
      </c>
      <c r="X125" s="360">
        <v>11818</v>
      </c>
      <c r="Y125" s="360">
        <v>1038</v>
      </c>
      <c r="Z125" s="360">
        <v>1565</v>
      </c>
      <c r="AA125" s="360">
        <v>389</v>
      </c>
      <c r="AB125" s="360">
        <v>97</v>
      </c>
      <c r="AC125" s="395">
        <v>2</v>
      </c>
      <c r="AD125" s="359">
        <v>28</v>
      </c>
      <c r="AE125" s="293"/>
      <c r="AF125" s="293"/>
    </row>
    <row r="126">
      <c r="A126" s="384"/>
      <c r="B126" s="385" t="s">
        <v>205</v>
      </c>
      <c r="C126" s="369" t="s">
        <v>197</v>
      </c>
      <c r="D126" s="360">
        <f t="shared" si="20"/>
      </c>
      <c r="E126" s="360">
        <v>812.14</v>
      </c>
      <c r="F126" s="360">
        <v>2021.93</v>
      </c>
      <c r="G126" s="369">
        <v>3</v>
      </c>
      <c r="H126" s="369">
        <v>6498.360000000001</v>
      </c>
      <c r="I126" s="387">
        <f t="shared" si="331"/>
      </c>
      <c r="J126" s="388">
        <f t="shared" si="227"/>
      </c>
      <c r="K126" s="389">
        <f t="shared" si="149"/>
      </c>
      <c r="L126" s="417">
        <f t="shared" si="253"/>
      </c>
      <c r="M126" s="388">
        <f t="shared" si="97"/>
      </c>
      <c r="N126" s="389">
        <f t="shared" si="357"/>
      </c>
      <c r="O126" s="388">
        <f t="shared" si="279"/>
      </c>
      <c r="P126" s="388">
        <f t="shared" si="175"/>
      </c>
      <c r="Q126" s="389">
        <f t="shared" si="123"/>
      </c>
      <c r="R126" s="390">
        <f t="shared" si="383"/>
      </c>
      <c r="S126" s="389">
        <f t="shared" si="305"/>
      </c>
      <c r="T126" s="391">
        <f t="shared" si="201"/>
      </c>
      <c r="U126" s="392" t="s">
        <v>185</v>
      </c>
      <c r="V126" s="393" t="s">
        <v>186</v>
      </c>
      <c r="W126" s="360">
        <v>2</v>
      </c>
      <c r="X126" s="360">
        <v>8979</v>
      </c>
      <c r="Y126" s="360">
        <v>1246</v>
      </c>
      <c r="Z126" s="360">
        <v>2050</v>
      </c>
      <c r="AA126" s="360">
        <v>569</v>
      </c>
      <c r="AB126" s="360">
        <v>44</v>
      </c>
      <c r="AC126" s="395">
        <v>3</v>
      </c>
      <c r="AD126" s="359">
        <v>48</v>
      </c>
      <c r="AE126" s="293"/>
      <c r="AF126" s="293"/>
    </row>
    <row r="127">
      <c r="A127" s="384"/>
      <c r="B127" s="419" t="s">
        <v>196</v>
      </c>
      <c r="C127" s="369" t="s">
        <v>197</v>
      </c>
      <c r="D127" s="360">
        <f t="shared" si="20"/>
      </c>
      <c r="E127" s="360">
        <v>1372.81</v>
      </c>
      <c r="F127" s="360">
        <v>1772.77</v>
      </c>
      <c r="G127" s="369">
        <v>0</v>
      </c>
      <c r="H127" s="369">
        <v>0</v>
      </c>
      <c r="I127" s="387">
        <f t="shared" si="331"/>
      </c>
      <c r="J127" s="388">
        <f t="shared" si="227"/>
      </c>
      <c r="K127" s="389">
        <f t="shared" si="149"/>
      </c>
      <c r="L127" s="417">
        <f t="shared" si="253"/>
      </c>
      <c r="M127" s="388">
        <f t="shared" si="97"/>
      </c>
      <c r="N127" s="389">
        <f t="shared" si="357"/>
      </c>
      <c r="O127" s="388">
        <f t="shared" si="279"/>
      </c>
      <c r="P127" s="388">
        <f t="shared" si="175"/>
      </c>
      <c r="Q127" s="389">
        <f t="shared" si="123"/>
      </c>
      <c r="R127" s="390">
        <f t="shared" si="383"/>
      </c>
      <c r="S127" s="389">
        <f t="shared" si="305"/>
      </c>
      <c r="T127" s="391">
        <f t="shared" si="201"/>
      </c>
      <c r="U127" s="392" t="s">
        <v>185</v>
      </c>
      <c r="V127" s="393" t="s">
        <v>186</v>
      </c>
      <c r="W127" s="360">
        <v>0</v>
      </c>
      <c r="X127" s="360">
        <v>5776</v>
      </c>
      <c r="Y127" s="360">
        <v>801</v>
      </c>
      <c r="Z127" s="360">
        <v>1268</v>
      </c>
      <c r="AA127" s="360">
        <v>398</v>
      </c>
      <c r="AB127" s="360">
        <v>29</v>
      </c>
      <c r="AC127" s="395">
        <v>2</v>
      </c>
      <c r="AD127" s="359">
        <v>35</v>
      </c>
      <c r="AE127" s="293"/>
      <c r="AF127" s="293"/>
    </row>
    <row r="128">
      <c r="A128" s="384"/>
      <c r="B128" s="361" t="s">
        <v>189</v>
      </c>
      <c r="C128" s="361"/>
      <c r="D128" s="361">
        <f>SUM(D124:D127)</f>
      </c>
      <c r="E128" s="361">
        <f>SUM(E124:E127)</f>
      </c>
      <c r="F128" s="361">
        <f>SUM(F124:F127)</f>
      </c>
      <c r="G128" s="361">
        <f>SUM(G124:G127)</f>
      </c>
      <c r="H128" s="361">
        <f>SUM(H124:H127)</f>
      </c>
      <c r="I128" s="396">
        <f t="shared" si="331"/>
      </c>
      <c r="J128" s="397">
        <f t="shared" si="227"/>
      </c>
      <c r="K128" s="398">
        <f t="shared" si="149"/>
      </c>
      <c r="L128" s="418">
        <f t="shared" si="253"/>
      </c>
      <c r="M128" s="397">
        <f t="shared" si="97"/>
      </c>
      <c r="N128" s="398">
        <f t="shared" si="357"/>
      </c>
      <c r="O128" s="397">
        <f t="shared" si="279"/>
      </c>
      <c r="P128" s="397">
        <f t="shared" si="175"/>
      </c>
      <c r="Q128" s="398">
        <f t="shared" si="123"/>
      </c>
      <c r="R128" s="399">
        <f t="shared" si="383"/>
      </c>
      <c r="S128" s="398">
        <f t="shared" si="305"/>
      </c>
      <c r="T128" s="400">
        <f t="shared" si="201"/>
      </c>
      <c r="U128" s="400"/>
      <c r="V128" s="400"/>
      <c r="W128" s="361">
        <f>SUM(W124:W127)</f>
      </c>
      <c r="X128" s="361">
        <f>SUM(X124:X127)</f>
      </c>
      <c r="Y128" s="361">
        <f>SUM(Y124:Y127)</f>
      </c>
      <c r="Z128" s="361">
        <f>SUM(Z124:Z127)</f>
      </c>
      <c r="AA128" s="361">
        <f>SUM(AA124:AA127)</f>
      </c>
      <c r="AB128" s="361">
        <f>SUM(AB124:AB127)</f>
      </c>
      <c r="AC128" s="361">
        <f>SUM(AC124:AC127)</f>
      </c>
      <c r="AD128" s="361">
        <f>SUM(AD124:AD127)</f>
      </c>
      <c r="AE128" s="293"/>
      <c r="AF128" s="293"/>
    </row>
    <row r="129">
      <c r="A129" s="384"/>
      <c r="B129" s="401" t="s">
        <v>183</v>
      </c>
      <c r="C129" s="369" t="s">
        <v>198</v>
      </c>
      <c r="D129" s="356">
        <f t="shared" ref="D129:D132" si="21">E129+F129</f>
      </c>
      <c r="E129" s="356">
        <v>4.35</v>
      </c>
      <c r="F129" s="356">
        <v>1651.69</v>
      </c>
      <c r="G129" s="402">
        <v>1</v>
      </c>
      <c r="H129" s="402">
        <v>739.8000000000029</v>
      </c>
      <c r="I129" s="420">
        <f t="shared" si="331"/>
      </c>
      <c r="J129" s="421">
        <f t="shared" si="227"/>
      </c>
      <c r="K129" s="422">
        <f t="shared" si="149"/>
      </c>
      <c r="L129" s="388">
        <f t="shared" si="253"/>
      </c>
      <c r="M129" s="388">
        <f t="shared" si="97"/>
      </c>
      <c r="N129" s="389">
        <f t="shared" si="357"/>
      </c>
      <c r="O129" s="388">
        <f t="shared" si="279"/>
      </c>
      <c r="P129" s="388">
        <f t="shared" si="175"/>
      </c>
      <c r="Q129" s="389">
        <f t="shared" si="123"/>
      </c>
      <c r="R129" s="390">
        <f t="shared" si="383"/>
      </c>
      <c r="S129" s="389">
        <f t="shared" si="305"/>
      </c>
      <c r="T129" s="391">
        <f t="shared" si="201"/>
      </c>
      <c r="U129" s="392" t="s">
        <v>185</v>
      </c>
      <c r="V129" s="393" t="s">
        <v>186</v>
      </c>
      <c r="W129" s="360">
        <v>1</v>
      </c>
      <c r="X129" s="360">
        <v>4270</v>
      </c>
      <c r="Y129" s="360">
        <v>927</v>
      </c>
      <c r="Z129" s="360">
        <v>1672</v>
      </c>
      <c r="AA129" s="360">
        <v>503</v>
      </c>
      <c r="AB129" s="360">
        <v>14</v>
      </c>
      <c r="AC129" s="395">
        <v>2</v>
      </c>
      <c r="AD129" s="359">
        <v>29</v>
      </c>
      <c r="AE129" s="293"/>
      <c r="AF129" s="293"/>
    </row>
    <row r="130">
      <c r="A130" s="384"/>
      <c r="B130" s="385" t="s">
        <v>187</v>
      </c>
      <c r="C130" s="369" t="s">
        <v>198</v>
      </c>
      <c r="D130" s="360">
        <f t="shared" si="21"/>
      </c>
      <c r="E130" s="360">
        <v>352.53</v>
      </c>
      <c r="F130" s="360">
        <v>3393.88</v>
      </c>
      <c r="G130" s="369">
        <v>4</v>
      </c>
      <c r="H130" s="369">
        <v>4919.519999999997</v>
      </c>
      <c r="I130" s="387">
        <f t="shared" si="331"/>
      </c>
      <c r="J130" s="388">
        <f t="shared" si="227"/>
      </c>
      <c r="K130" s="389">
        <f t="shared" si="149"/>
      </c>
      <c r="L130" s="388">
        <f t="shared" si="253"/>
      </c>
      <c r="M130" s="388">
        <f t="shared" si="97"/>
      </c>
      <c r="N130" s="389">
        <f t="shared" si="357"/>
      </c>
      <c r="O130" s="388">
        <f t="shared" si="279"/>
      </c>
      <c r="P130" s="388">
        <f t="shared" si="175"/>
      </c>
      <c r="Q130" s="389">
        <f t="shared" si="123"/>
      </c>
      <c r="R130" s="390">
        <f t="shared" si="383"/>
      </c>
      <c r="S130" s="389">
        <f t="shared" si="305"/>
      </c>
      <c r="T130" s="391">
        <f t="shared" si="201"/>
      </c>
      <c r="U130" s="392" t="s">
        <v>185</v>
      </c>
      <c r="V130" s="393" t="s">
        <v>186</v>
      </c>
      <c r="W130" s="360">
        <v>4</v>
      </c>
      <c r="X130" s="360">
        <v>13228</v>
      </c>
      <c r="Y130" s="360">
        <v>2032</v>
      </c>
      <c r="Z130" s="360">
        <v>3678</v>
      </c>
      <c r="AA130" s="360">
        <v>987</v>
      </c>
      <c r="AB130" s="360">
        <v>37</v>
      </c>
      <c r="AC130" s="395">
        <v>5</v>
      </c>
      <c r="AD130" s="359">
        <v>49</v>
      </c>
      <c r="AE130" s="293"/>
      <c r="AF130" s="293"/>
    </row>
    <row r="131">
      <c r="A131" s="384"/>
      <c r="B131" s="385" t="s">
        <v>188</v>
      </c>
      <c r="C131" s="369" t="s">
        <v>198</v>
      </c>
      <c r="D131" s="360">
        <f t="shared" si="21"/>
      </c>
      <c r="E131" s="360">
        <v>1264.4</v>
      </c>
      <c r="F131" s="360">
        <v>5220.06</v>
      </c>
      <c r="G131" s="369">
        <v>3</v>
      </c>
      <c r="H131" s="369">
        <v>7383.959999999999</v>
      </c>
      <c r="I131" s="387">
        <f t="shared" si="331"/>
      </c>
      <c r="J131" s="388">
        <f t="shared" si="227"/>
      </c>
      <c r="K131" s="389">
        <f t="shared" si="149"/>
      </c>
      <c r="L131" s="388">
        <f t="shared" si="253"/>
      </c>
      <c r="M131" s="388">
        <f t="shared" si="97"/>
      </c>
      <c r="N131" s="389">
        <f t="shared" si="357"/>
      </c>
      <c r="O131" s="388">
        <f t="shared" si="279"/>
      </c>
      <c r="P131" s="388">
        <f t="shared" si="175"/>
      </c>
      <c r="Q131" s="389">
        <f t="shared" si="123"/>
      </c>
      <c r="R131" s="390">
        <f t="shared" si="383"/>
      </c>
      <c r="S131" s="389">
        <f t="shared" si="305"/>
      </c>
      <c r="T131" s="391">
        <f t="shared" si="201"/>
      </c>
      <c r="U131" s="392" t="s">
        <v>185</v>
      </c>
      <c r="V131" s="393" t="s">
        <v>186</v>
      </c>
      <c r="W131" s="360">
        <v>3</v>
      </c>
      <c r="X131" s="360">
        <v>18681</v>
      </c>
      <c r="Y131" s="360">
        <v>2521</v>
      </c>
      <c r="Z131" s="360">
        <v>4923</v>
      </c>
      <c r="AA131" s="360">
        <v>1240</v>
      </c>
      <c r="AB131" s="360">
        <v>50</v>
      </c>
      <c r="AC131" s="395">
        <v>4</v>
      </c>
      <c r="AD131" s="359">
        <v>85</v>
      </c>
      <c r="AE131" s="293"/>
      <c r="AF131" s="293"/>
    </row>
    <row r="132">
      <c r="A132" s="384"/>
      <c r="B132" s="403" t="s">
        <v>190</v>
      </c>
      <c r="C132" s="369" t="s">
        <v>198</v>
      </c>
      <c r="D132" s="404">
        <f t="shared" si="21"/>
      </c>
      <c r="E132" s="346">
        <v>1004.52</v>
      </c>
      <c r="F132" s="347">
        <v>1886.35</v>
      </c>
      <c r="G132" s="364">
        <v>1</v>
      </c>
      <c r="H132" s="364">
        <v>1259.760000000002</v>
      </c>
      <c r="I132" s="349">
        <f t="shared" si="331"/>
      </c>
      <c r="J132" s="405">
        <f t="shared" si="227"/>
      </c>
      <c r="K132" s="406">
        <f t="shared" si="149"/>
      </c>
      <c r="L132" s="405">
        <f t="shared" si="253"/>
      </c>
      <c r="M132" s="405">
        <f t="shared" si="97"/>
      </c>
      <c r="N132" s="406">
        <f t="shared" si="357"/>
      </c>
      <c r="O132" s="405">
        <f t="shared" si="279"/>
      </c>
      <c r="P132" s="405">
        <f t="shared" si="175"/>
      </c>
      <c r="Q132" s="407">
        <f t="shared" si="123"/>
      </c>
      <c r="R132" s="408">
        <f t="shared" si="383"/>
      </c>
      <c r="S132" s="407">
        <f t="shared" si="305"/>
      </c>
      <c r="T132" s="409">
        <f t="shared" si="201"/>
      </c>
      <c r="U132" s="410" t="s">
        <v>185</v>
      </c>
      <c r="V132" s="411" t="s">
        <v>186</v>
      </c>
      <c r="W132" s="348">
        <v>0</v>
      </c>
      <c r="X132" s="348">
        <v>8259</v>
      </c>
      <c r="Y132" s="348">
        <v>1020</v>
      </c>
      <c r="Z132" s="348">
        <v>1803</v>
      </c>
      <c r="AA132" s="348">
        <v>485</v>
      </c>
      <c r="AB132" s="348">
        <v>30</v>
      </c>
      <c r="AC132" s="359">
        <v>2</v>
      </c>
      <c r="AD132" s="359">
        <v>26</v>
      </c>
      <c r="AE132" s="293"/>
      <c r="AF132" s="293"/>
    </row>
    <row r="133">
      <c r="A133" s="384"/>
      <c r="B133" s="361" t="s">
        <v>189</v>
      </c>
      <c r="C133" s="361"/>
      <c r="D133" s="362">
        <f>SUM(D129:D132)</f>
      </c>
      <c r="E133" s="363">
        <f>SUM(E129:E132)</f>
      </c>
      <c r="F133" s="343">
        <f>SUM(F129:F132)</f>
      </c>
      <c r="G133" s="343">
        <f>SUM(G129:G132)</f>
      </c>
      <c r="H133" s="343">
        <f>SUM(H129:H132)</f>
      </c>
      <c r="I133" s="344">
        <f t="shared" si="331"/>
      </c>
      <c r="J133" s="345">
        <f t="shared" si="227"/>
      </c>
      <c r="K133" s="323">
        <f t="shared" si="149"/>
      </c>
      <c r="L133" s="322">
        <f t="shared" si="253"/>
      </c>
      <c r="M133" s="322">
        <f t="shared" si="97"/>
      </c>
      <c r="N133" s="323">
        <f t="shared" si="357"/>
      </c>
      <c r="O133" s="322">
        <f t="shared" si="279"/>
      </c>
      <c r="P133" s="322">
        <f t="shared" si="175"/>
      </c>
      <c r="Q133" s="324">
        <f t="shared" si="123"/>
      </c>
      <c r="R133" s="325">
        <f t="shared" si="383"/>
      </c>
      <c r="S133" s="324">
        <f t="shared" si="305"/>
      </c>
      <c r="T133" s="326">
        <f t="shared" si="201"/>
      </c>
      <c r="U133" s="326"/>
      <c r="V133" s="326"/>
      <c r="W133" s="320">
        <f>SUM(W129:W132)</f>
      </c>
      <c r="X133" s="320">
        <f>SUM(X129:X132)</f>
      </c>
      <c r="Y133" s="320">
        <f>SUM(Y129:Y132)</f>
      </c>
      <c r="Z133" s="320">
        <f>SUM(Z129:Z132)</f>
      </c>
      <c r="AA133" s="320">
        <f>SUM(AA129:AA132)</f>
      </c>
      <c r="AB133" s="320">
        <f>SUM(AB129:AB132)</f>
      </c>
      <c r="AC133" s="320">
        <f>SUM(AC129:AC132)</f>
      </c>
      <c r="AD133" s="320">
        <f>SUM(AD129:AD132)</f>
      </c>
      <c r="AE133" s="293"/>
      <c r="AF133" s="293"/>
    </row>
    <row customHeight="true" ht="18.452380952380953" r="134">
      <c r="A134" s="384"/>
      <c r="B134" s="360" t="s">
        <v>192</v>
      </c>
      <c r="C134" s="369" t="s">
        <v>208</v>
      </c>
      <c r="D134" s="346">
        <f t="shared" ref="D134:D136" si="22">E134+F134</f>
      </c>
      <c r="E134" s="347">
        <v>618.64</v>
      </c>
      <c r="F134" s="347">
        <v>3514.22</v>
      </c>
      <c r="G134" s="348">
        <v>2</v>
      </c>
      <c r="H134" s="348">
        <v>3920.040000000001</v>
      </c>
      <c r="I134" s="349">
        <f t="shared" si="331"/>
      </c>
      <c r="J134" s="312">
        <f t="shared" si="227"/>
      </c>
      <c r="K134" s="313">
        <f t="shared" si="149"/>
      </c>
      <c r="L134" s="312">
        <f t="shared" si="253"/>
      </c>
      <c r="M134" s="312">
        <f t="shared" si="97"/>
      </c>
      <c r="N134" s="313">
        <f t="shared" si="357"/>
      </c>
      <c r="O134" s="312">
        <f t="shared" si="279"/>
      </c>
      <c r="P134" s="312">
        <f t="shared" si="175"/>
      </c>
      <c r="Q134" s="314">
        <f t="shared" si="123"/>
      </c>
      <c r="R134" s="315">
        <f t="shared" si="383"/>
      </c>
      <c r="S134" s="314">
        <f t="shared" si="305"/>
      </c>
      <c r="T134" s="316">
        <f t="shared" si="201"/>
      </c>
      <c r="U134" s="317" t="s">
        <v>185</v>
      </c>
      <c r="V134" s="318" t="s">
        <v>186</v>
      </c>
      <c r="W134" s="310">
        <v>2</v>
      </c>
      <c r="X134" s="310">
        <v>14654</v>
      </c>
      <c r="Y134" s="310">
        <v>1740</v>
      </c>
      <c r="Z134" s="310">
        <v>3310</v>
      </c>
      <c r="AA134" s="310">
        <v>852</v>
      </c>
      <c r="AB134" s="310">
        <v>47</v>
      </c>
      <c r="AC134" s="359">
        <v>3</v>
      </c>
      <c r="AD134" s="359">
        <v>72</v>
      </c>
      <c r="AE134" s="293"/>
      <c r="AF134" s="293"/>
    </row>
    <row customHeight="true" ht="18.452380952380953" r="135">
      <c r="A135" s="384"/>
      <c r="B135" s="360" t="s">
        <v>193</v>
      </c>
      <c r="C135" s="369" t="s">
        <v>208</v>
      </c>
      <c r="D135" s="308">
        <f t="shared" si="22"/>
      </c>
      <c r="E135" s="309">
        <v>1012.14</v>
      </c>
      <c r="F135" s="309">
        <v>1763.73</v>
      </c>
      <c r="G135" s="359">
        <v>0</v>
      </c>
      <c r="H135" s="359">
        <v>0</v>
      </c>
      <c r="I135" s="311">
        <f t="shared" si="331"/>
      </c>
      <c r="J135" s="312">
        <f t="shared" si="227"/>
      </c>
      <c r="K135" s="313">
        <f t="shared" si="149"/>
      </c>
      <c r="L135" s="312">
        <f t="shared" si="253"/>
      </c>
      <c r="M135" s="312">
        <f t="shared" si="97"/>
      </c>
      <c r="N135" s="313">
        <f t="shared" si="357"/>
      </c>
      <c r="O135" s="312">
        <f t="shared" si="279"/>
      </c>
      <c r="P135" s="312">
        <f t="shared" si="175"/>
      </c>
      <c r="Q135" s="314">
        <f t="shared" si="123"/>
      </c>
      <c r="R135" s="315">
        <f t="shared" si="383"/>
      </c>
      <c r="S135" s="314">
        <f t="shared" si="305"/>
      </c>
      <c r="T135" s="316">
        <f t="shared" si="201"/>
      </c>
      <c r="U135" s="317" t="s">
        <v>185</v>
      </c>
      <c r="V135" s="318" t="s">
        <v>186</v>
      </c>
      <c r="W135" s="310">
        <v>0</v>
      </c>
      <c r="X135" s="310">
        <v>12163</v>
      </c>
      <c r="Y135" s="310">
        <v>1016</v>
      </c>
      <c r="Z135" s="310">
        <v>1912</v>
      </c>
      <c r="AA135" s="310">
        <v>444</v>
      </c>
      <c r="AB135" s="310">
        <v>48</v>
      </c>
      <c r="AC135" s="359">
        <v>1</v>
      </c>
      <c r="AD135" s="359">
        <v>23</v>
      </c>
      <c r="AE135" s="293"/>
      <c r="AF135" s="293"/>
    </row>
    <row customHeight="true" ht="18.452380952380953" r="136">
      <c r="A136" s="384"/>
      <c r="B136" s="360" t="s">
        <v>194</v>
      </c>
      <c r="C136" s="369" t="s">
        <v>208</v>
      </c>
      <c r="D136" s="308">
        <f t="shared" si="22"/>
      </c>
      <c r="E136" s="309">
        <v>635.15</v>
      </c>
      <c r="F136" s="309">
        <v>1667.77</v>
      </c>
      <c r="G136" s="310">
        <v>2</v>
      </c>
      <c r="H136" s="310">
        <v>3318.2400000000052</v>
      </c>
      <c r="I136" s="311">
        <f t="shared" si="331"/>
      </c>
      <c r="J136" s="312">
        <f t="shared" si="227"/>
      </c>
      <c r="K136" s="313">
        <f t="shared" si="149"/>
      </c>
      <c r="L136" s="312">
        <f t="shared" si="253"/>
      </c>
      <c r="M136" s="312">
        <f t="shared" si="97"/>
      </c>
      <c r="N136" s="313">
        <f t="shared" si="357"/>
      </c>
      <c r="O136" s="312">
        <f t="shared" si="279"/>
      </c>
      <c r="P136" s="312">
        <f t="shared" si="175"/>
      </c>
      <c r="Q136" s="314">
        <f t="shared" si="123"/>
      </c>
      <c r="R136" s="315">
        <f t="shared" si="383"/>
      </c>
      <c r="S136" s="314">
        <f t="shared" si="305"/>
      </c>
      <c r="T136" s="316">
        <f t="shared" si="201"/>
      </c>
      <c r="U136" s="317" t="s">
        <v>185</v>
      </c>
      <c r="V136" s="318" t="s">
        <v>186</v>
      </c>
      <c r="W136" s="310">
        <v>2</v>
      </c>
      <c r="X136" s="310">
        <v>9235</v>
      </c>
      <c r="Y136" s="310">
        <v>831</v>
      </c>
      <c r="Z136" s="310">
        <v>1780</v>
      </c>
      <c r="AA136" s="310">
        <v>361</v>
      </c>
      <c r="AB136" s="310">
        <v>28</v>
      </c>
      <c r="AC136" s="359">
        <v>2</v>
      </c>
      <c r="AD136" s="359">
        <v>23</v>
      </c>
      <c r="AE136" s="293"/>
      <c r="AF136" s="293"/>
    </row>
    <row customHeight="true" ht="18.452380952380953" r="137">
      <c r="A137" s="384"/>
      <c r="B137" s="361" t="s">
        <v>189</v>
      </c>
      <c r="C137" s="361"/>
      <c r="D137" s="319">
        <f>SUM(D134:D136)</f>
      </c>
      <c r="E137" s="320">
        <f>SUM(E134:E136)</f>
      </c>
      <c r="F137" s="320">
        <f>SUM(F134:F136)</f>
      </c>
      <c r="G137" s="320">
        <f>SUM(G134:G136)</f>
      </c>
      <c r="H137" s="320">
        <f>SUM(H134:H136)</f>
      </c>
      <c r="I137" s="321">
        <f t="shared" si="331"/>
      </c>
      <c r="J137" s="322">
        <f t="shared" si="227"/>
      </c>
      <c r="K137" s="323">
        <f t="shared" si="149"/>
      </c>
      <c r="L137" s="322">
        <f t="shared" si="253"/>
      </c>
      <c r="M137" s="322">
        <f t="shared" si="97"/>
      </c>
      <c r="N137" s="323">
        <f t="shared" si="357"/>
      </c>
      <c r="O137" s="322">
        <f t="shared" si="279"/>
      </c>
      <c r="P137" s="322">
        <f t="shared" si="175"/>
      </c>
      <c r="Q137" s="324">
        <f t="shared" si="123"/>
      </c>
      <c r="R137" s="325">
        <f t="shared" si="383"/>
      </c>
      <c r="S137" s="324">
        <f t="shared" si="305"/>
      </c>
      <c r="T137" s="326">
        <f t="shared" si="201"/>
      </c>
      <c r="U137" s="326"/>
      <c r="V137" s="326"/>
      <c r="W137" s="320">
        <f>SUM(W134:W136)</f>
      </c>
      <c r="X137" s="320">
        <f>SUM(X134:X136)</f>
      </c>
      <c r="Y137" s="320">
        <f>SUM(Y134:Y136)</f>
      </c>
      <c r="Z137" s="320">
        <f>SUM(Z134:Z136)</f>
      </c>
      <c r="AA137" s="320">
        <f>SUM(AA134:AA136)</f>
      </c>
      <c r="AB137" s="320">
        <f>SUM(AB134:AB136)</f>
      </c>
      <c r="AC137" s="320">
        <f>SUM(AC134:AC136)</f>
      </c>
      <c r="AD137" s="320">
        <f>SUM(AD134:AD136)</f>
      </c>
      <c r="AE137" s="293"/>
      <c r="AF137" s="293"/>
    </row>
    <row r="138">
      <c r="A138" s="384"/>
      <c r="B138" s="366" t="s">
        <v>195</v>
      </c>
      <c r="C138" s="366"/>
      <c r="D138" s="367">
        <f>+D128+D123+D133+D137</f>
      </c>
      <c r="E138" s="367">
        <f>+E128+E123+E133+E137</f>
      </c>
      <c r="F138" s="367">
        <f>+F128+F123+F133+F137</f>
      </c>
      <c r="G138" s="367">
        <f>+G128+G123+G133+G137</f>
      </c>
      <c r="H138" s="367">
        <f>+H128+H123+H133+H137</f>
      </c>
      <c r="I138" s="328">
        <f t="shared" si="331"/>
      </c>
      <c r="J138" s="329">
        <f t="shared" si="227"/>
      </c>
      <c r="K138" s="330">
        <f t="shared" si="149"/>
      </c>
      <c r="L138" s="331">
        <f t="shared" si="253"/>
      </c>
      <c r="M138" s="331">
        <f t="shared" si="97"/>
      </c>
      <c r="N138" s="330">
        <f t="shared" si="357"/>
      </c>
      <c r="O138" s="331">
        <f t="shared" si="279"/>
      </c>
      <c r="P138" s="331">
        <f t="shared" si="175"/>
      </c>
      <c r="Q138" s="330">
        <f t="shared" si="123"/>
      </c>
      <c r="R138" s="332">
        <f t="shared" si="383"/>
      </c>
      <c r="S138" s="330">
        <f t="shared" si="305"/>
      </c>
      <c r="T138" s="333">
        <f t="shared" si="201"/>
      </c>
      <c r="U138" s="333"/>
      <c r="V138" s="333"/>
      <c r="W138" s="328">
        <f>+W128+W123+W133+W137</f>
      </c>
      <c r="X138" s="328">
        <f>+X128+X123+X133+X137</f>
      </c>
      <c r="Y138" s="328">
        <f>+Y128+Y123+Y133+Y137</f>
      </c>
      <c r="Z138" s="328">
        <f>+Z128+Z123+Z133+Z137</f>
      </c>
      <c r="AA138" s="328">
        <f>+AA128+AA123+AA133+AA137</f>
      </c>
      <c r="AB138" s="328">
        <f>+AB128+AB123+AB133+AB137</f>
      </c>
      <c r="AC138" s="328">
        <f>+AC128+AC123+AC133+AC137</f>
      </c>
      <c r="AD138" s="328">
        <f>+AD128+AD123+AD133+AD137</f>
      </c>
      <c r="AE138" s="293"/>
      <c r="AF138" s="293"/>
    </row>
    <row r="139">
      <c r="A139" s="352" t="s">
        <v>150</v>
      </c>
      <c r="B139" s="352"/>
      <c r="C139" s="352"/>
      <c r="D139" s="334" t="s">
        <v>151</v>
      </c>
      <c r="E139" s="334"/>
      <c r="F139" s="334"/>
      <c r="G139" s="334"/>
      <c r="H139" s="334"/>
      <c r="I139" s="334"/>
      <c r="J139" s="377" t="s">
        <v>152</v>
      </c>
      <c r="K139" s="377"/>
      <c r="L139" s="377"/>
      <c r="M139" s="377"/>
      <c r="N139" s="377"/>
      <c r="O139" s="377"/>
      <c r="P139" s="377"/>
      <c r="Q139" s="377"/>
      <c r="R139" s="377"/>
      <c r="S139" s="377"/>
      <c r="T139" s="370"/>
      <c r="U139" s="370"/>
      <c r="V139" s="370"/>
      <c r="W139" s="371"/>
      <c r="X139" s="371"/>
      <c r="Y139" s="371"/>
      <c r="Z139" s="371"/>
      <c r="AA139" s="371"/>
      <c r="AB139" s="371"/>
      <c r="AC139" s="371"/>
      <c r="AD139" s="372" t="s">
        <v>153</v>
      </c>
      <c r="AE139" s="293"/>
      <c r="AF139" s="293"/>
    </row>
    <row r="140">
      <c r="A140" s="354" t="s">
        <v>154</v>
      </c>
      <c r="B140" s="352" t="s">
        <v>155</v>
      </c>
      <c r="C140" s="352" t="s">
        <v>156</v>
      </c>
      <c r="D140" s="412" t="s">
        <v>157</v>
      </c>
      <c r="E140" s="427" t="s">
        <v>158</v>
      </c>
      <c r="F140" s="427" t="s">
        <v>159</v>
      </c>
      <c r="G140" s="414" t="s">
        <v>160</v>
      </c>
      <c r="H140" s="412" t="s">
        <v>161</v>
      </c>
      <c r="I140" s="413" t="s">
        <v>162</v>
      </c>
      <c r="J140" s="415" t="s">
        <v>163</v>
      </c>
      <c r="K140" s="415" t="s">
        <v>164</v>
      </c>
      <c r="L140" s="416" t="s">
        <v>165</v>
      </c>
      <c r="M140" s="378" t="s">
        <v>166</v>
      </c>
      <c r="N140" s="377" t="s">
        <v>167</v>
      </c>
      <c r="O140" s="378" t="s">
        <v>168</v>
      </c>
      <c r="P140" s="378" t="s">
        <v>169</v>
      </c>
      <c r="Q140" s="379" t="s">
        <v>170</v>
      </c>
      <c r="R140" s="378" t="s">
        <v>171</v>
      </c>
      <c r="S140" s="379" t="s">
        <v>172</v>
      </c>
      <c r="T140" s="380" t="s">
        <v>173</v>
      </c>
      <c r="U140" s="380" t="s">
        <v>174</v>
      </c>
      <c r="V140" s="380" t="s">
        <v>175</v>
      </c>
      <c r="W140" s="381" t="s">
        <v>176</v>
      </c>
      <c r="X140" s="382" t="s">
        <v>177</v>
      </c>
      <c r="Y140" s="382" t="s">
        <v>178</v>
      </c>
      <c r="Z140" s="382" t="s">
        <v>179</v>
      </c>
      <c r="AA140" s="382" t="s">
        <v>180</v>
      </c>
      <c r="AB140" s="382" t="s">
        <v>181</v>
      </c>
      <c r="AC140" s="383" t="s">
        <v>182</v>
      </c>
      <c r="AD140" s="372"/>
      <c r="AE140" s="293"/>
      <c r="AF140" s="293"/>
    </row>
    <row r="141">
      <c r="A141" s="384">
        <v>46249</v>
      </c>
      <c r="B141" s="385" t="s">
        <v>199</v>
      </c>
      <c r="C141" s="369" t="s">
        <v>184</v>
      </c>
      <c r="D141" s="360">
        <f t="shared" ref="D141:D144" si="23">E141+F141</f>
      </c>
      <c r="E141" s="360">
        <v>1500</v>
      </c>
      <c r="F141" s="369">
        <v>1500</v>
      </c>
      <c r="G141" s="369">
        <v>3</v>
      </c>
      <c r="H141" s="369">
        <v>3669.36</v>
      </c>
      <c r="I141" s="387">
        <f t="shared" ref="I141:I160" si="332">H141/D141</f>
      </c>
      <c r="J141" s="388">
        <f t="shared" ref="J141:J160" si="228">Y141/X141</f>
      </c>
      <c r="K141" s="389">
        <f t="shared" ref="K141:K160" si="150">D141/Z141</f>
      </c>
      <c r="L141" s="417">
        <f t="shared" ref="L141:L160" si="254">AA141/Z141</f>
      </c>
      <c r="M141" s="388">
        <f t="shared" ref="M141:M160" si="98">AB141/Z141</f>
      </c>
      <c r="N141" s="389">
        <f t="shared" ref="N141:N160" si="358">D141/AB141</f>
      </c>
      <c r="O141" s="388">
        <f t="shared" ref="O141:O160" si="280">AC141/AB141</f>
      </c>
      <c r="P141" s="388">
        <f t="shared" ref="P141:P160" si="176">G141/AC141</f>
      </c>
      <c r="Q141" s="389">
        <f t="shared" ref="Q141:Q160" si="124">D141/G141</f>
      </c>
      <c r="R141" s="390">
        <f t="shared" ref="R141:R160" si="384">H141/G141</f>
      </c>
      <c r="S141" s="389">
        <f t="shared" ref="S141:S160" si="306">D141/W141</f>
      </c>
      <c r="T141" s="391">
        <f t="shared" ref="T141:T160" si="202">AD141*1000/D141</f>
      </c>
      <c r="U141" s="392" t="s">
        <v>185</v>
      </c>
      <c r="V141" s="423" t="s">
        <v>207</v>
      </c>
      <c r="W141" s="360">
        <v>1</v>
      </c>
      <c r="X141" s="360">
        <v>9053</v>
      </c>
      <c r="Y141" s="360">
        <v>867</v>
      </c>
      <c r="Z141" s="360">
        <v>1464</v>
      </c>
      <c r="AA141" s="360">
        <v>398</v>
      </c>
      <c r="AB141" s="360">
        <v>55</v>
      </c>
      <c r="AC141" s="394">
        <v>7</v>
      </c>
      <c r="AD141" s="364">
        <v>26</v>
      </c>
      <c r="AE141" s="293"/>
      <c r="AF141" s="293"/>
    </row>
    <row r="142">
      <c r="A142" s="384"/>
      <c r="B142" s="385" t="s">
        <v>200</v>
      </c>
      <c r="C142" s="369" t="s">
        <v>184</v>
      </c>
      <c r="D142" s="360">
        <f t="shared" si="23"/>
      </c>
      <c r="E142" s="360">
        <v>2677.8</v>
      </c>
      <c r="F142" s="360">
        <v>535.66</v>
      </c>
      <c r="G142" s="369">
        <v>0</v>
      </c>
      <c r="H142" s="369">
        <v>0</v>
      </c>
      <c r="I142" s="387">
        <f t="shared" si="332"/>
      </c>
      <c r="J142" s="388">
        <f t="shared" si="228"/>
      </c>
      <c r="K142" s="389">
        <f t="shared" si="150"/>
      </c>
      <c r="L142" s="417">
        <f t="shared" si="254"/>
      </c>
      <c r="M142" s="388">
        <f t="shared" si="98"/>
      </c>
      <c r="N142" s="389">
        <f t="shared" si="358"/>
      </c>
      <c r="O142" s="388">
        <f t="shared" si="280"/>
      </c>
      <c r="P142" s="388">
        <f t="shared" si="176"/>
      </c>
      <c r="Q142" s="389">
        <f t="shared" si="124"/>
      </c>
      <c r="R142" s="390">
        <f t="shared" si="384"/>
      </c>
      <c r="S142" s="389">
        <f t="shared" si="306"/>
      </c>
      <c r="T142" s="391">
        <f t="shared" si="202"/>
      </c>
      <c r="U142" s="392" t="s">
        <v>185</v>
      </c>
      <c r="V142" s="423" t="s">
        <v>207</v>
      </c>
      <c r="W142" s="360">
        <v>0</v>
      </c>
      <c r="X142" s="360">
        <v>11376</v>
      </c>
      <c r="Y142" s="360">
        <v>246</v>
      </c>
      <c r="Z142" s="360">
        <v>259</v>
      </c>
      <c r="AA142" s="360">
        <v>60</v>
      </c>
      <c r="AB142" s="360">
        <v>60</v>
      </c>
      <c r="AC142" s="395">
        <v>0</v>
      </c>
      <c r="AD142" s="359">
        <v>13</v>
      </c>
      <c r="AE142" s="293"/>
      <c r="AF142" s="293"/>
    </row>
    <row r="143">
      <c r="A143" s="384"/>
      <c r="B143" s="385" t="s">
        <v>201</v>
      </c>
      <c r="C143" s="369" t="s">
        <v>184</v>
      </c>
      <c r="D143" s="360">
        <f t="shared" si="23"/>
      </c>
      <c r="E143" s="360">
        <v>2539.23</v>
      </c>
      <c r="F143" s="360">
        <v>680.88</v>
      </c>
      <c r="G143" s="369">
        <v>2</v>
      </c>
      <c r="H143" s="360">
        <v>7718.4</v>
      </c>
      <c r="I143" s="387">
        <f t="shared" si="332"/>
      </c>
      <c r="J143" s="388">
        <f t="shared" si="228"/>
      </c>
      <c r="K143" s="389">
        <f t="shared" si="150"/>
      </c>
      <c r="L143" s="417">
        <f t="shared" si="254"/>
      </c>
      <c r="M143" s="388">
        <f t="shared" si="98"/>
      </c>
      <c r="N143" s="389">
        <f t="shared" si="358"/>
      </c>
      <c r="O143" s="388">
        <f t="shared" si="280"/>
      </c>
      <c r="P143" s="388">
        <f t="shared" si="176"/>
      </c>
      <c r="Q143" s="389">
        <f t="shared" si="124"/>
      </c>
      <c r="R143" s="390">
        <f t="shared" si="384"/>
      </c>
      <c r="S143" s="389">
        <f t="shared" si="306"/>
      </c>
      <c r="T143" s="391">
        <f t="shared" si="202"/>
      </c>
      <c r="U143" s="392" t="s">
        <v>185</v>
      </c>
      <c r="V143" s="423" t="s">
        <v>207</v>
      </c>
      <c r="W143" s="360">
        <v>2</v>
      </c>
      <c r="X143" s="360">
        <v>9656</v>
      </c>
      <c r="Y143" s="360">
        <v>577</v>
      </c>
      <c r="Z143" s="360">
        <v>800</v>
      </c>
      <c r="AA143" s="360">
        <v>201</v>
      </c>
      <c r="AB143" s="360">
        <v>45</v>
      </c>
      <c r="AC143" s="395">
        <v>3</v>
      </c>
      <c r="AD143" s="359">
        <v>28</v>
      </c>
      <c r="AE143" s="293"/>
      <c r="AF143" s="293"/>
    </row>
    <row r="144">
      <c r="A144" s="384"/>
      <c r="B144" s="385" t="s">
        <v>202</v>
      </c>
      <c r="C144" s="369" t="s">
        <v>184</v>
      </c>
      <c r="D144" s="360">
        <f t="shared" si="23"/>
      </c>
      <c r="E144" s="360">
        <v>1774.13</v>
      </c>
      <c r="F144" s="360">
        <v>1156.83</v>
      </c>
      <c r="G144" s="369">
        <v>0</v>
      </c>
      <c r="H144" s="369">
        <v>0</v>
      </c>
      <c r="I144" s="387">
        <f t="shared" si="332"/>
      </c>
      <c r="J144" s="388">
        <f t="shared" si="228"/>
      </c>
      <c r="K144" s="389">
        <f t="shared" si="150"/>
      </c>
      <c r="L144" s="417">
        <f t="shared" si="254"/>
      </c>
      <c r="M144" s="388">
        <f t="shared" si="98"/>
      </c>
      <c r="N144" s="389">
        <f t="shared" si="358"/>
      </c>
      <c r="O144" s="388">
        <f t="shared" si="280"/>
      </c>
      <c r="P144" s="388">
        <f t="shared" si="176"/>
      </c>
      <c r="Q144" s="389">
        <f t="shared" si="124"/>
      </c>
      <c r="R144" s="390">
        <f t="shared" si="384"/>
      </c>
      <c r="S144" s="389">
        <f t="shared" si="306"/>
      </c>
      <c r="T144" s="391">
        <f t="shared" si="202"/>
      </c>
      <c r="U144" s="392" t="s">
        <v>185</v>
      </c>
      <c r="V144" s="423" t="s">
        <v>207</v>
      </c>
      <c r="W144" s="360">
        <v>0</v>
      </c>
      <c r="X144" s="360">
        <v>8594</v>
      </c>
      <c r="Y144" s="360">
        <v>860</v>
      </c>
      <c r="Z144" s="360">
        <v>1317</v>
      </c>
      <c r="AA144" s="360">
        <v>356</v>
      </c>
      <c r="AB144" s="360">
        <v>24</v>
      </c>
      <c r="AC144" s="395">
        <v>2</v>
      </c>
      <c r="AD144" s="359">
        <v>18</v>
      </c>
      <c r="AE144" s="293"/>
      <c r="AF144" s="293"/>
    </row>
    <row r="145">
      <c r="A145" s="384"/>
      <c r="B145" s="361" t="s">
        <v>189</v>
      </c>
      <c r="C145" s="361"/>
      <c r="D145" s="361">
        <f>SUM(D141:D144)</f>
      </c>
      <c r="E145" s="361">
        <f>SUM(E141:E144)</f>
      </c>
      <c r="F145" s="361">
        <f>SUM(F141:F144)</f>
      </c>
      <c r="G145" s="361">
        <f>SUM(G141:G144)</f>
      </c>
      <c r="H145" s="361">
        <f>SUM(H141:H144)</f>
      </c>
      <c r="I145" s="396">
        <f t="shared" si="332"/>
      </c>
      <c r="J145" s="397">
        <f t="shared" si="228"/>
      </c>
      <c r="K145" s="398">
        <f t="shared" si="150"/>
      </c>
      <c r="L145" s="418">
        <f t="shared" si="254"/>
      </c>
      <c r="M145" s="397">
        <f t="shared" si="98"/>
      </c>
      <c r="N145" s="398">
        <f t="shared" si="358"/>
      </c>
      <c r="O145" s="397">
        <f t="shared" si="280"/>
      </c>
      <c r="P145" s="397">
        <f t="shared" si="176"/>
      </c>
      <c r="Q145" s="398">
        <f t="shared" si="124"/>
      </c>
      <c r="R145" s="399">
        <f t="shared" si="384"/>
      </c>
      <c r="S145" s="398">
        <f t="shared" si="306"/>
      </c>
      <c r="T145" s="400">
        <f t="shared" si="202"/>
      </c>
      <c r="U145" s="400"/>
      <c r="V145" s="400"/>
      <c r="W145" s="361">
        <f>SUM(W141:W144)</f>
      </c>
      <c r="X145" s="361">
        <f>SUM(X141:X144)</f>
      </c>
      <c r="Y145" s="361">
        <f>SUM(Y141:Y144)</f>
      </c>
      <c r="Z145" s="361">
        <f>SUM(Z141:Z144)</f>
      </c>
      <c r="AA145" s="361">
        <f>SUM(AA141:AA144)</f>
      </c>
      <c r="AB145" s="361">
        <f>SUM(AB141:AB144)</f>
      </c>
      <c r="AC145" s="319">
        <f>SUM(AC141:AC144)</f>
      </c>
      <c r="AD145" s="320">
        <f>SUM(AD141:AD144)</f>
      </c>
      <c r="AE145" s="293"/>
      <c r="AF145" s="293"/>
    </row>
    <row r="146">
      <c r="A146" s="384"/>
      <c r="B146" s="385" t="s">
        <v>203</v>
      </c>
      <c r="C146" s="369" t="s">
        <v>197</v>
      </c>
      <c r="D146" s="360">
        <f t="shared" ref="D146:D149" si="24">E146+F146</f>
      </c>
      <c r="E146" s="360">
        <v>1249.59</v>
      </c>
      <c r="F146" s="360">
        <v>961.53</v>
      </c>
      <c r="G146" s="369">
        <v>1</v>
      </c>
      <c r="H146" s="369">
        <v>1233</v>
      </c>
      <c r="I146" s="387">
        <f t="shared" si="332"/>
      </c>
      <c r="J146" s="388">
        <f t="shared" si="228"/>
      </c>
      <c r="K146" s="389">
        <f t="shared" si="150"/>
      </c>
      <c r="L146" s="417">
        <f t="shared" si="254"/>
      </c>
      <c r="M146" s="388">
        <f t="shared" si="98"/>
      </c>
      <c r="N146" s="389">
        <f t="shared" si="358"/>
      </c>
      <c r="O146" s="388">
        <f t="shared" si="280"/>
      </c>
      <c r="P146" s="388">
        <f t="shared" si="176"/>
      </c>
      <c r="Q146" s="389">
        <f t="shared" si="124"/>
      </c>
      <c r="R146" s="390">
        <f t="shared" si="384"/>
      </c>
      <c r="S146" s="389">
        <f t="shared" si="306"/>
      </c>
      <c r="T146" s="391">
        <f t="shared" si="202"/>
      </c>
      <c r="U146" s="392" t="s">
        <v>185</v>
      </c>
      <c r="V146" s="393" t="s">
        <v>207</v>
      </c>
      <c r="W146" s="360">
        <v>1</v>
      </c>
      <c r="X146" s="360">
        <v>5160</v>
      </c>
      <c r="Y146" s="360">
        <v>660</v>
      </c>
      <c r="Z146" s="360">
        <v>1027</v>
      </c>
      <c r="AA146" s="360">
        <v>272</v>
      </c>
      <c r="AB146" s="360">
        <v>33</v>
      </c>
      <c r="AC146" s="395">
        <v>4</v>
      </c>
      <c r="AD146" s="359">
        <v>20</v>
      </c>
      <c r="AE146" s="293"/>
      <c r="AF146" s="293"/>
    </row>
    <row r="147">
      <c r="A147" s="384"/>
      <c r="B147" s="385" t="s">
        <v>204</v>
      </c>
      <c r="C147" s="369" t="s">
        <v>197</v>
      </c>
      <c r="D147" s="360">
        <f t="shared" si="24"/>
      </c>
      <c r="E147" s="360">
        <v>1362.83</v>
      </c>
      <c r="F147" s="360">
        <v>615.55</v>
      </c>
      <c r="G147" s="369">
        <v>1</v>
      </c>
      <c r="H147" s="369">
        <v>2172.960000000001</v>
      </c>
      <c r="I147" s="387">
        <f t="shared" si="332"/>
      </c>
      <c r="J147" s="388">
        <f t="shared" si="228"/>
      </c>
      <c r="K147" s="389">
        <f t="shared" si="150"/>
      </c>
      <c r="L147" s="417">
        <f t="shared" si="254"/>
      </c>
      <c r="M147" s="388">
        <f t="shared" si="98"/>
      </c>
      <c r="N147" s="389">
        <f t="shared" si="358"/>
      </c>
      <c r="O147" s="388">
        <f t="shared" si="280"/>
      </c>
      <c r="P147" s="388">
        <f t="shared" si="176"/>
      </c>
      <c r="Q147" s="389">
        <f t="shared" si="124"/>
      </c>
      <c r="R147" s="390">
        <f t="shared" si="384"/>
      </c>
      <c r="S147" s="389">
        <f t="shared" si="306"/>
      </c>
      <c r="T147" s="391">
        <f t="shared" si="202"/>
      </c>
      <c r="U147" s="392" t="s">
        <v>185</v>
      </c>
      <c r="V147" s="393" t="s">
        <v>207</v>
      </c>
      <c r="W147" s="360">
        <v>1</v>
      </c>
      <c r="X147" s="360">
        <v>5790</v>
      </c>
      <c r="Y147" s="360">
        <v>567</v>
      </c>
      <c r="Z147" s="360">
        <v>938</v>
      </c>
      <c r="AA147" s="360">
        <v>225</v>
      </c>
      <c r="AB147" s="360">
        <v>37</v>
      </c>
      <c r="AC147" s="395">
        <v>1</v>
      </c>
      <c r="AD147" s="359">
        <v>19</v>
      </c>
      <c r="AE147" s="293"/>
      <c r="AF147" s="293"/>
    </row>
    <row r="148">
      <c r="A148" s="384"/>
      <c r="B148" s="385" t="s">
        <v>205</v>
      </c>
      <c r="C148" s="369" t="s">
        <v>197</v>
      </c>
      <c r="D148" s="360">
        <f t="shared" si="24"/>
      </c>
      <c r="E148" s="360">
        <v>1808.65</v>
      </c>
      <c r="F148" s="360">
        <v>302.57</v>
      </c>
      <c r="G148" s="369">
        <v>2</v>
      </c>
      <c r="H148" s="369">
        <v>3102.720000000001</v>
      </c>
      <c r="I148" s="387">
        <f t="shared" si="332"/>
      </c>
      <c r="J148" s="388">
        <f t="shared" si="228"/>
      </c>
      <c r="K148" s="389">
        <f t="shared" si="150"/>
      </c>
      <c r="L148" s="417">
        <f t="shared" si="254"/>
      </c>
      <c r="M148" s="388">
        <f t="shared" si="98"/>
      </c>
      <c r="N148" s="389">
        <f t="shared" si="358"/>
      </c>
      <c r="O148" s="388">
        <f t="shared" si="280"/>
      </c>
      <c r="P148" s="388">
        <f t="shared" si="176"/>
      </c>
      <c r="Q148" s="389">
        <f t="shared" si="124"/>
      </c>
      <c r="R148" s="390">
        <f t="shared" si="384"/>
      </c>
      <c r="S148" s="389">
        <f t="shared" si="306"/>
      </c>
      <c r="T148" s="391">
        <f t="shared" si="202"/>
      </c>
      <c r="U148" s="392" t="s">
        <v>185</v>
      </c>
      <c r="V148" s="393" t="s">
        <v>186</v>
      </c>
      <c r="W148" s="360">
        <v>1</v>
      </c>
      <c r="X148" s="360">
        <v>5266</v>
      </c>
      <c r="Y148" s="360">
        <v>294</v>
      </c>
      <c r="Z148" s="360">
        <v>394</v>
      </c>
      <c r="AA148" s="360">
        <v>105</v>
      </c>
      <c r="AB148" s="360">
        <v>36</v>
      </c>
      <c r="AC148" s="395">
        <v>2</v>
      </c>
      <c r="AD148" s="359">
        <v>11</v>
      </c>
      <c r="AE148" s="293"/>
      <c r="AF148" s="293"/>
    </row>
    <row r="149">
      <c r="A149" s="384"/>
      <c r="B149" s="419" t="s">
        <v>196</v>
      </c>
      <c r="C149" s="369" t="s">
        <v>197</v>
      </c>
      <c r="D149" s="360">
        <f t="shared" si="24"/>
      </c>
      <c r="E149" s="360">
        <v>1331.4</v>
      </c>
      <c r="F149" s="360">
        <v>313.08</v>
      </c>
      <c r="G149" s="369">
        <v>0</v>
      </c>
      <c r="H149" s="369">
        <v>0</v>
      </c>
      <c r="I149" s="387">
        <f t="shared" si="332"/>
      </c>
      <c r="J149" s="388">
        <f t="shared" si="228"/>
      </c>
      <c r="K149" s="389">
        <f t="shared" si="150"/>
      </c>
      <c r="L149" s="417">
        <f t="shared" si="254"/>
      </c>
      <c r="M149" s="388">
        <f t="shared" si="98"/>
      </c>
      <c r="N149" s="389">
        <f t="shared" si="358"/>
      </c>
      <c r="O149" s="388">
        <f t="shared" si="280"/>
      </c>
      <c r="P149" s="388">
        <f t="shared" si="176"/>
      </c>
      <c r="Q149" s="389">
        <f t="shared" si="124"/>
      </c>
      <c r="R149" s="390">
        <f t="shared" si="384"/>
      </c>
      <c r="S149" s="389">
        <f t="shared" si="306"/>
      </c>
      <c r="T149" s="391">
        <f t="shared" si="202"/>
      </c>
      <c r="U149" s="392" t="s">
        <v>185</v>
      </c>
      <c r="V149" s="393" t="s">
        <v>186</v>
      </c>
      <c r="W149" s="360">
        <v>0</v>
      </c>
      <c r="X149" s="360">
        <v>4618</v>
      </c>
      <c r="Y149" s="360">
        <v>336</v>
      </c>
      <c r="Z149" s="360">
        <v>551</v>
      </c>
      <c r="AA149" s="360">
        <v>117</v>
      </c>
      <c r="AB149" s="360">
        <v>26</v>
      </c>
      <c r="AC149" s="395">
        <v>0</v>
      </c>
      <c r="AD149" s="359">
        <v>9</v>
      </c>
      <c r="AE149" s="293"/>
      <c r="AF149" s="293"/>
    </row>
    <row r="150">
      <c r="A150" s="384"/>
      <c r="B150" s="361" t="s">
        <v>189</v>
      </c>
      <c r="C150" s="361"/>
      <c r="D150" s="361">
        <f>SUM(D146:D149)</f>
      </c>
      <c r="E150" s="361">
        <f>SUM(E146:E149)</f>
      </c>
      <c r="F150" s="361">
        <f>SUM(F146:F149)</f>
      </c>
      <c r="G150" s="361">
        <f>SUM(G146:G149)</f>
      </c>
      <c r="H150" s="361">
        <f>SUM(H146:H149)</f>
      </c>
      <c r="I150" s="396">
        <f t="shared" si="332"/>
      </c>
      <c r="J150" s="397">
        <f t="shared" si="228"/>
      </c>
      <c r="K150" s="398">
        <f t="shared" si="150"/>
      </c>
      <c r="L150" s="418">
        <f t="shared" si="254"/>
      </c>
      <c r="M150" s="397">
        <f t="shared" si="98"/>
      </c>
      <c r="N150" s="398">
        <f t="shared" si="358"/>
      </c>
      <c r="O150" s="397">
        <f t="shared" si="280"/>
      </c>
      <c r="P150" s="397">
        <f t="shared" si="176"/>
      </c>
      <c r="Q150" s="398">
        <f t="shared" si="124"/>
      </c>
      <c r="R150" s="399">
        <f t="shared" si="384"/>
      </c>
      <c r="S150" s="398">
        <f t="shared" si="306"/>
      </c>
      <c r="T150" s="400">
        <f t="shared" si="202"/>
      </c>
      <c r="U150" s="400"/>
      <c r="V150" s="400"/>
      <c r="W150" s="361">
        <f>SUM(W146:W149)</f>
      </c>
      <c r="X150" s="361">
        <f>SUM(X146:X149)</f>
      </c>
      <c r="Y150" s="361">
        <f>SUM(Y146:Y149)</f>
      </c>
      <c r="Z150" s="361">
        <f>SUM(Z146:Z149)</f>
      </c>
      <c r="AA150" s="361">
        <f>SUM(AA146:AA149)</f>
      </c>
      <c r="AB150" s="361">
        <f>SUM(AB146:AB149)</f>
      </c>
      <c r="AC150" s="361">
        <f>SUM(AC146:AC149)</f>
      </c>
      <c r="AD150" s="361">
        <f>SUM(AD146:AD149)</f>
      </c>
      <c r="AE150" s="293"/>
      <c r="AF150" s="293"/>
    </row>
    <row r="151">
      <c r="A151" s="384"/>
      <c r="B151" s="401" t="s">
        <v>183</v>
      </c>
      <c r="C151" s="369" t="s">
        <v>198</v>
      </c>
      <c r="D151" s="356">
        <f t="shared" ref="D151:D153" si="25">E151+F151</f>
      </c>
      <c r="E151" s="356">
        <v>721.68</v>
      </c>
      <c r="F151" s="356">
        <v>360.06</v>
      </c>
      <c r="G151" s="402">
        <v>0</v>
      </c>
      <c r="H151" s="402">
        <v>0</v>
      </c>
      <c r="I151" s="420">
        <f t="shared" si="332"/>
      </c>
      <c r="J151" s="421">
        <f t="shared" si="228"/>
      </c>
      <c r="K151" s="422">
        <f t="shared" si="150"/>
      </c>
      <c r="L151" s="388">
        <f t="shared" si="254"/>
      </c>
      <c r="M151" s="388">
        <f t="shared" si="98"/>
      </c>
      <c r="N151" s="389">
        <f t="shared" si="358"/>
      </c>
      <c r="O151" s="388">
        <f t="shared" si="280"/>
      </c>
      <c r="P151" s="388">
        <f t="shared" si="176"/>
      </c>
      <c r="Q151" s="389">
        <f t="shared" si="124"/>
      </c>
      <c r="R151" s="390">
        <f t="shared" si="384"/>
      </c>
      <c r="S151" s="389">
        <f t="shared" si="306"/>
      </c>
      <c r="T151" s="391">
        <f t="shared" si="202"/>
      </c>
      <c r="U151" s="392" t="s">
        <v>185</v>
      </c>
      <c r="V151" s="393" t="s">
        <v>186</v>
      </c>
      <c r="W151" s="360">
        <v>0</v>
      </c>
      <c r="X151" s="360">
        <v>3030</v>
      </c>
      <c r="Y151" s="360">
        <v>332</v>
      </c>
      <c r="Z151" s="360">
        <v>523</v>
      </c>
      <c r="AA151" s="360">
        <v>116</v>
      </c>
      <c r="AB151" s="360">
        <v>10</v>
      </c>
      <c r="AC151" s="395">
        <v>0</v>
      </c>
      <c r="AD151" s="359">
        <v>6</v>
      </c>
      <c r="AE151" s="293"/>
      <c r="AF151" s="293"/>
    </row>
    <row r="152">
      <c r="A152" s="384"/>
      <c r="B152" s="385" t="s">
        <v>187</v>
      </c>
      <c r="C152" s="369" t="s">
        <v>198</v>
      </c>
      <c r="D152" s="360">
        <f t="shared" si="25"/>
      </c>
      <c r="E152" s="360">
        <v>609.3</v>
      </c>
      <c r="F152" s="360">
        <v>507.94</v>
      </c>
      <c r="G152" s="369">
        <v>1</v>
      </c>
      <c r="H152" s="369">
        <v>1401.2999999999993</v>
      </c>
      <c r="I152" s="387">
        <f t="shared" si="332"/>
      </c>
      <c r="J152" s="388">
        <f t="shared" si="228"/>
      </c>
      <c r="K152" s="389">
        <f t="shared" si="150"/>
      </c>
      <c r="L152" s="388">
        <f t="shared" si="254"/>
      </c>
      <c r="M152" s="388">
        <f t="shared" si="98"/>
      </c>
      <c r="N152" s="389">
        <f t="shared" si="358"/>
      </c>
      <c r="O152" s="388">
        <f t="shared" si="280"/>
      </c>
      <c r="P152" s="388">
        <f t="shared" si="176"/>
      </c>
      <c r="Q152" s="389">
        <f t="shared" si="124"/>
      </c>
      <c r="R152" s="390">
        <f t="shared" si="384"/>
      </c>
      <c r="S152" s="389">
        <f t="shared" si="306"/>
      </c>
      <c r="T152" s="391">
        <f t="shared" si="202"/>
      </c>
      <c r="U152" s="392" t="s">
        <v>185</v>
      </c>
      <c r="V152" s="393" t="s">
        <v>186</v>
      </c>
      <c r="W152" s="360">
        <v>0</v>
      </c>
      <c r="X152" s="360">
        <v>3804</v>
      </c>
      <c r="Y152" s="360">
        <v>321</v>
      </c>
      <c r="Z152" s="360">
        <v>655</v>
      </c>
      <c r="AA152" s="360">
        <v>120</v>
      </c>
      <c r="AB152" s="360">
        <v>11</v>
      </c>
      <c r="AC152" s="395">
        <v>1</v>
      </c>
      <c r="AD152" s="359">
        <v>14</v>
      </c>
      <c r="AE152" s="293"/>
      <c r="AF152" s="293"/>
    </row>
    <row r="153">
      <c r="A153" s="384"/>
      <c r="B153" s="385" t="s">
        <v>188</v>
      </c>
      <c r="C153" s="369" t="s">
        <v>198</v>
      </c>
      <c r="D153" s="360">
        <f t="shared" si="25"/>
      </c>
      <c r="E153" s="360">
        <v>454.92</v>
      </c>
      <c r="F153" s="360">
        <v>477.55</v>
      </c>
      <c r="G153" s="369">
        <v>0</v>
      </c>
      <c r="H153" s="369">
        <v>0</v>
      </c>
      <c r="I153" s="387">
        <f t="shared" si="332"/>
      </c>
      <c r="J153" s="388">
        <f t="shared" si="228"/>
      </c>
      <c r="K153" s="389">
        <f t="shared" si="150"/>
      </c>
      <c r="L153" s="388">
        <f t="shared" si="254"/>
      </c>
      <c r="M153" s="388">
        <f t="shared" si="98"/>
      </c>
      <c r="N153" s="389">
        <f t="shared" si="358"/>
      </c>
      <c r="O153" s="388">
        <f t="shared" si="280"/>
      </c>
      <c r="P153" s="388">
        <f t="shared" si="176"/>
      </c>
      <c r="Q153" s="389">
        <f t="shared" si="124"/>
      </c>
      <c r="R153" s="390">
        <f t="shared" si="384"/>
      </c>
      <c r="S153" s="389">
        <f t="shared" si="306"/>
      </c>
      <c r="T153" s="391">
        <f t="shared" si="202"/>
      </c>
      <c r="U153" s="392" t="s">
        <v>185</v>
      </c>
      <c r="V153" s="393" t="s">
        <v>186</v>
      </c>
      <c r="W153" s="360">
        <v>0</v>
      </c>
      <c r="X153" s="360">
        <v>3703</v>
      </c>
      <c r="Y153" s="360">
        <v>304</v>
      </c>
      <c r="Z153" s="360">
        <v>572</v>
      </c>
      <c r="AA153" s="360">
        <v>105</v>
      </c>
      <c r="AB153" s="360">
        <v>18</v>
      </c>
      <c r="AC153" s="395">
        <v>0</v>
      </c>
      <c r="AD153" s="359">
        <v>8</v>
      </c>
      <c r="AE153" s="293"/>
      <c r="AF153" s="293"/>
    </row>
    <row r="154">
      <c r="A154" s="384"/>
      <c r="B154" s="361" t="s">
        <v>189</v>
      </c>
      <c r="C154" s="361"/>
      <c r="D154" s="362">
        <f>SUM(D151:D153)</f>
      </c>
      <c r="E154" s="362">
        <f>SUM(E151:E153)</f>
      </c>
      <c r="F154" s="362">
        <f>SUM(F151:F153)</f>
      </c>
      <c r="G154" s="343">
        <f>SUM(G151:G153)</f>
      </c>
      <c r="H154" s="343">
        <f>SUM(H151:H153)</f>
      </c>
      <c r="I154" s="344">
        <f t="shared" si="332"/>
      </c>
      <c r="J154" s="345">
        <f t="shared" si="228"/>
      </c>
      <c r="K154" s="323">
        <f t="shared" si="150"/>
      </c>
      <c r="L154" s="322">
        <f t="shared" si="254"/>
      </c>
      <c r="M154" s="322">
        <f t="shared" si="98"/>
      </c>
      <c r="N154" s="323">
        <f t="shared" si="358"/>
      </c>
      <c r="O154" s="322">
        <f t="shared" si="280"/>
      </c>
      <c r="P154" s="322">
        <f t="shared" si="176"/>
      </c>
      <c r="Q154" s="324">
        <f t="shared" si="124"/>
      </c>
      <c r="R154" s="325">
        <f t="shared" si="384"/>
      </c>
      <c r="S154" s="324">
        <f t="shared" si="306"/>
      </c>
      <c r="T154" s="326">
        <f t="shared" si="202"/>
      </c>
      <c r="U154" s="326"/>
      <c r="V154" s="326"/>
      <c r="W154" s="320">
        <f>SUM(W151:W153)</f>
      </c>
      <c r="X154" s="320">
        <f>SUM(X151:X153)</f>
      </c>
      <c r="Y154" s="320">
        <f>SUM(Y151:Y153)</f>
      </c>
      <c r="Z154" s="320">
        <f>SUM(Z151:Z153)</f>
      </c>
      <c r="AA154" s="320">
        <f>SUM(AA151:AA153)</f>
      </c>
      <c r="AB154" s="320">
        <f>SUM(AB151:AB153)</f>
      </c>
      <c r="AC154" s="320">
        <f>SUM(AC151:AC153)</f>
      </c>
      <c r="AD154" s="320">
        <f>SUM(AD151:AD153)</f>
      </c>
      <c r="AE154" s="293"/>
      <c r="AF154" s="293"/>
    </row>
    <row customHeight="true" ht="18.452380952380953" r="155">
      <c r="A155" s="384"/>
      <c r="B155" s="403" t="s">
        <v>190</v>
      </c>
      <c r="C155" s="369" t="s">
        <v>208</v>
      </c>
      <c r="D155" s="360">
        <f t="shared" ref="D155:D158" si="26">E155+F155</f>
      </c>
      <c r="E155" s="347">
        <v>303.99</v>
      </c>
      <c r="F155" s="347">
        <v>560.55</v>
      </c>
      <c r="G155" s="364">
        <v>0</v>
      </c>
      <c r="H155" s="364">
        <v>0</v>
      </c>
      <c r="I155" s="349">
        <f t="shared" si="332"/>
      </c>
      <c r="J155" s="312">
        <f t="shared" si="228"/>
      </c>
      <c r="K155" s="313">
        <f t="shared" si="150"/>
      </c>
      <c r="L155" s="312">
        <f t="shared" si="254"/>
      </c>
      <c r="M155" s="312">
        <f t="shared" si="98"/>
      </c>
      <c r="N155" s="313">
        <f t="shared" si="358"/>
      </c>
      <c r="O155" s="312">
        <f t="shared" si="280"/>
      </c>
      <c r="P155" s="312">
        <f t="shared" si="176"/>
      </c>
      <c r="Q155" s="314">
        <f t="shared" si="124"/>
      </c>
      <c r="R155" s="315">
        <f t="shared" si="384"/>
      </c>
      <c r="S155" s="314">
        <f t="shared" si="306"/>
      </c>
      <c r="T155" s="316">
        <f t="shared" si="202"/>
      </c>
      <c r="U155" s="317" t="s">
        <v>185</v>
      </c>
      <c r="V155" s="318" t="s">
        <v>186</v>
      </c>
      <c r="W155" s="310">
        <v>0</v>
      </c>
      <c r="X155" s="310">
        <v>3114</v>
      </c>
      <c r="Y155" s="310">
        <v>320</v>
      </c>
      <c r="Z155" s="310">
        <v>569</v>
      </c>
      <c r="AA155" s="310">
        <v>133</v>
      </c>
      <c r="AB155" s="310">
        <v>8</v>
      </c>
      <c r="AC155" s="359">
        <v>0</v>
      </c>
      <c r="AD155" s="359">
        <v>12</v>
      </c>
      <c r="AE155" s="293"/>
      <c r="AF155" s="293"/>
    </row>
    <row r="156">
      <c r="A156" s="384"/>
      <c r="B156" s="360" t="s">
        <v>192</v>
      </c>
      <c r="C156" s="369" t="s">
        <v>208</v>
      </c>
      <c r="D156" s="360">
        <f t="shared" si="26"/>
      </c>
      <c r="E156" s="347">
        <v>505.96</v>
      </c>
      <c r="F156" s="347">
        <v>630.53</v>
      </c>
      <c r="G156" s="364">
        <v>0</v>
      </c>
      <c r="H156" s="364">
        <v>0</v>
      </c>
      <c r="I156" s="349">
        <f t="shared" si="332"/>
      </c>
      <c r="J156" s="312">
        <f t="shared" si="228"/>
      </c>
      <c r="K156" s="313">
        <f t="shared" si="150"/>
      </c>
      <c r="L156" s="312">
        <f t="shared" si="254"/>
      </c>
      <c r="M156" s="312">
        <f t="shared" si="98"/>
      </c>
      <c r="N156" s="313">
        <f t="shared" si="358"/>
      </c>
      <c r="O156" s="312">
        <f t="shared" si="280"/>
      </c>
      <c r="P156" s="312">
        <f t="shared" si="176"/>
      </c>
      <c r="Q156" s="314">
        <f t="shared" si="124"/>
      </c>
      <c r="R156" s="315">
        <f t="shared" si="384"/>
      </c>
      <c r="S156" s="314">
        <f t="shared" si="306"/>
      </c>
      <c r="T156" s="316">
        <f t="shared" si="202"/>
      </c>
      <c r="U156" s="317" t="s">
        <v>185</v>
      </c>
      <c r="V156" s="318" t="s">
        <v>186</v>
      </c>
      <c r="W156" s="310">
        <v>0</v>
      </c>
      <c r="X156" s="310">
        <v>3190</v>
      </c>
      <c r="Y156" s="310">
        <v>474</v>
      </c>
      <c r="Z156" s="310">
        <v>858</v>
      </c>
      <c r="AA156" s="310">
        <v>179</v>
      </c>
      <c r="AB156" s="310">
        <v>15</v>
      </c>
      <c r="AC156" s="359">
        <v>0</v>
      </c>
      <c r="AD156" s="359">
        <v>15</v>
      </c>
      <c r="AE156" s="293"/>
      <c r="AF156" s="293"/>
    </row>
    <row r="157">
      <c r="A157" s="384"/>
      <c r="B157" s="360" t="s">
        <v>193</v>
      </c>
      <c r="C157" s="369" t="s">
        <v>208</v>
      </c>
      <c r="D157" s="360">
        <f t="shared" si="26"/>
      </c>
      <c r="E157" s="309">
        <v>692.63</v>
      </c>
      <c r="F157" s="309">
        <v>829.56</v>
      </c>
      <c r="G157" s="359">
        <v>2</v>
      </c>
      <c r="H157" s="359">
        <v>4289.759999999998</v>
      </c>
      <c r="I157" s="311">
        <f t="shared" si="332"/>
      </c>
      <c r="J157" s="312">
        <f t="shared" si="228"/>
      </c>
      <c r="K157" s="313">
        <f t="shared" si="150"/>
      </c>
      <c r="L157" s="312">
        <f t="shared" si="254"/>
      </c>
      <c r="M157" s="312">
        <f t="shared" si="98"/>
      </c>
      <c r="N157" s="313">
        <f t="shared" si="358"/>
      </c>
      <c r="O157" s="312">
        <f t="shared" si="280"/>
      </c>
      <c r="P157" s="312">
        <f t="shared" si="176"/>
      </c>
      <c r="Q157" s="314">
        <f t="shared" si="124"/>
      </c>
      <c r="R157" s="315">
        <f t="shared" si="384"/>
      </c>
      <c r="S157" s="314">
        <f t="shared" si="306"/>
      </c>
      <c r="T157" s="316">
        <f t="shared" si="202"/>
      </c>
      <c r="U157" s="317" t="s">
        <v>185</v>
      </c>
      <c r="V157" s="318" t="s">
        <v>186</v>
      </c>
      <c r="W157" s="310">
        <v>3</v>
      </c>
      <c r="X157" s="310">
        <v>6164</v>
      </c>
      <c r="Y157" s="310">
        <v>549</v>
      </c>
      <c r="Z157" s="310">
        <v>933</v>
      </c>
      <c r="AA157" s="310">
        <v>171</v>
      </c>
      <c r="AB157" s="310">
        <v>24</v>
      </c>
      <c r="AC157" s="359">
        <v>2</v>
      </c>
      <c r="AD157" s="359">
        <v>17</v>
      </c>
      <c r="AE157" s="293"/>
      <c r="AF157" s="293"/>
    </row>
    <row r="158">
      <c r="A158" s="384"/>
      <c r="B158" s="360" t="s">
        <v>194</v>
      </c>
      <c r="C158" s="369" t="s">
        <v>208</v>
      </c>
      <c r="D158" s="360">
        <f t="shared" si="26"/>
      </c>
      <c r="E158" s="309">
        <v>585.43</v>
      </c>
      <c r="F158" s="309">
        <v>417.85</v>
      </c>
      <c r="G158" s="310">
        <v>1</v>
      </c>
      <c r="H158" s="310">
        <v>948.2400000000016</v>
      </c>
      <c r="I158" s="311">
        <f t="shared" si="332"/>
      </c>
      <c r="J158" s="312">
        <f t="shared" si="228"/>
      </c>
      <c r="K158" s="313">
        <f t="shared" si="150"/>
      </c>
      <c r="L158" s="312">
        <f t="shared" si="254"/>
      </c>
      <c r="M158" s="312">
        <f t="shared" si="98"/>
      </c>
      <c r="N158" s="313">
        <f t="shared" si="358"/>
      </c>
      <c r="O158" s="312">
        <f t="shared" si="280"/>
      </c>
      <c r="P158" s="312">
        <f t="shared" si="176"/>
      </c>
      <c r="Q158" s="314">
        <f t="shared" si="124"/>
      </c>
      <c r="R158" s="315">
        <f t="shared" si="384"/>
      </c>
      <c r="S158" s="314">
        <f t="shared" si="306"/>
      </c>
      <c r="T158" s="316">
        <f t="shared" si="202"/>
      </c>
      <c r="U158" s="317" t="s">
        <v>185</v>
      </c>
      <c r="V158" s="318" t="s">
        <v>186</v>
      </c>
      <c r="W158" s="310">
        <v>0</v>
      </c>
      <c r="X158" s="310">
        <v>3093</v>
      </c>
      <c r="Y158" s="310">
        <v>335</v>
      </c>
      <c r="Z158" s="310">
        <v>665</v>
      </c>
      <c r="AA158" s="310">
        <v>123</v>
      </c>
      <c r="AB158" s="310">
        <v>14</v>
      </c>
      <c r="AC158" s="359">
        <v>1</v>
      </c>
      <c r="AD158" s="359">
        <v>13</v>
      </c>
      <c r="AE158" s="293"/>
      <c r="AF158" s="293"/>
    </row>
    <row r="159">
      <c r="A159" s="384"/>
      <c r="B159" s="361" t="s">
        <v>189</v>
      </c>
      <c r="C159" s="361"/>
      <c r="D159" s="361">
        <f>SUM(D155:D158)</f>
      </c>
      <c r="E159" s="319">
        <f>SUM(E155:E158)</f>
      </c>
      <c r="F159" s="319">
        <f>SUM(F155:F158)</f>
      </c>
      <c r="G159" s="319">
        <f>SUM(G155:G158)</f>
      </c>
      <c r="H159" s="319">
        <f>SUM(H155:H158)</f>
      </c>
      <c r="I159" s="321">
        <f t="shared" si="332"/>
      </c>
      <c r="J159" s="322">
        <f t="shared" si="228"/>
      </c>
      <c r="K159" s="323">
        <f t="shared" si="150"/>
      </c>
      <c r="L159" s="322">
        <f t="shared" si="254"/>
      </c>
      <c r="M159" s="322">
        <f t="shared" si="98"/>
      </c>
      <c r="N159" s="323">
        <f t="shared" si="358"/>
      </c>
      <c r="O159" s="322">
        <f t="shared" si="280"/>
      </c>
      <c r="P159" s="322">
        <f t="shared" si="176"/>
      </c>
      <c r="Q159" s="324">
        <f t="shared" si="124"/>
      </c>
      <c r="R159" s="325">
        <f t="shared" si="384"/>
      </c>
      <c r="S159" s="324">
        <f t="shared" si="306"/>
      </c>
      <c r="T159" s="326">
        <f t="shared" si="202"/>
      </c>
      <c r="U159" s="326"/>
      <c r="V159" s="326"/>
      <c r="W159" s="320">
        <f>SUM(W155:W158)</f>
      </c>
      <c r="X159" s="320">
        <f>SUM(X155:X158)</f>
      </c>
      <c r="Y159" s="320">
        <f>SUM(Y155:Y158)</f>
      </c>
      <c r="Z159" s="320">
        <f>SUM(Z155:Z158)</f>
      </c>
      <c r="AA159" s="320">
        <f>SUM(AA155:AA158)</f>
      </c>
      <c r="AB159" s="320">
        <f>SUM(AB155:AB158)</f>
      </c>
      <c r="AC159" s="320">
        <f>SUM(AC155:AC158)</f>
      </c>
      <c r="AD159" s="320">
        <f>SUM(AD155:AD158)</f>
      </c>
      <c r="AE159" s="293"/>
      <c r="AF159" s="293"/>
    </row>
    <row r="160">
      <c r="A160" s="384"/>
      <c r="B160" s="366" t="s">
        <v>195</v>
      </c>
      <c r="C160" s="366"/>
      <c r="D160" s="367">
        <f>+D150+D145+D154+D159</f>
      </c>
      <c r="E160" s="367">
        <f>+E150+E145+E154+E159</f>
      </c>
      <c r="F160" s="367">
        <f>+F150+F145+F154+F159</f>
      </c>
      <c r="G160" s="367">
        <f>+G150+G145+G154+G159</f>
      </c>
      <c r="H160" s="367">
        <f>+H150+H145+H154+H159</f>
      </c>
      <c r="I160" s="328">
        <f t="shared" si="332"/>
      </c>
      <c r="J160" s="329">
        <f t="shared" si="228"/>
      </c>
      <c r="K160" s="330">
        <f t="shared" si="150"/>
      </c>
      <c r="L160" s="331">
        <f t="shared" si="254"/>
      </c>
      <c r="M160" s="331">
        <f t="shared" si="98"/>
      </c>
      <c r="N160" s="330">
        <f t="shared" si="358"/>
      </c>
      <c r="O160" s="331">
        <f t="shared" si="280"/>
      </c>
      <c r="P160" s="331">
        <f t="shared" si="176"/>
      </c>
      <c r="Q160" s="330">
        <f t="shared" si="124"/>
      </c>
      <c r="R160" s="332">
        <f t="shared" si="384"/>
      </c>
      <c r="S160" s="330">
        <f t="shared" si="306"/>
      </c>
      <c r="T160" s="333">
        <f t="shared" si="202"/>
      </c>
      <c r="U160" s="333"/>
      <c r="V160" s="333"/>
      <c r="W160" s="328">
        <f>+W150+W145+W154+W159</f>
      </c>
      <c r="X160" s="328">
        <f>+X150+X145+X154+X159</f>
      </c>
      <c r="Y160" s="328">
        <f>+Y150+Y145+Y154+Y159</f>
      </c>
      <c r="Z160" s="328">
        <f>+Z150+Z145+Z154+Z159</f>
      </c>
      <c r="AA160" s="328">
        <f>+AA150+AA145+AA154+AA159</f>
      </c>
      <c r="AB160" s="328">
        <f>+AB150+AB145+AB154+AB159</f>
      </c>
      <c r="AC160" s="328">
        <f>+AC150+AC145+AC154+AC159</f>
      </c>
      <c r="AD160" s="328">
        <f>+AD150+AD145+AD154+AD159</f>
      </c>
      <c r="AE160" s="293"/>
      <c r="AF160" s="293"/>
    </row>
    <row r="161">
      <c r="A161" s="352" t="s">
        <v>150</v>
      </c>
      <c r="B161" s="352"/>
      <c r="C161" s="352"/>
      <c r="D161" s="334" t="s">
        <v>151</v>
      </c>
      <c r="E161" s="334"/>
      <c r="F161" s="334"/>
      <c r="G161" s="334"/>
      <c r="H161" s="334"/>
      <c r="I161" s="334"/>
      <c r="J161" s="377" t="s">
        <v>152</v>
      </c>
      <c r="K161" s="377"/>
      <c r="L161" s="377"/>
      <c r="M161" s="377"/>
      <c r="N161" s="377"/>
      <c r="O161" s="377"/>
      <c r="P161" s="377"/>
      <c r="Q161" s="377"/>
      <c r="R161" s="377"/>
      <c r="S161" s="377"/>
      <c r="T161" s="370"/>
      <c r="U161" s="370"/>
      <c r="V161" s="370"/>
      <c r="W161" s="371"/>
      <c r="X161" s="371"/>
      <c r="Y161" s="371"/>
      <c r="Z161" s="371"/>
      <c r="AA161" s="371"/>
      <c r="AB161" s="371"/>
      <c r="AC161" s="371"/>
      <c r="AD161" s="372" t="s">
        <v>153</v>
      </c>
      <c r="AE161" s="293"/>
      <c r="AF161" s="293"/>
    </row>
    <row r="162">
      <c r="A162" s="354" t="s">
        <v>154</v>
      </c>
      <c r="B162" s="352" t="s">
        <v>155</v>
      </c>
      <c r="C162" s="352" t="s">
        <v>156</v>
      </c>
      <c r="D162" s="428" t="s">
        <v>157</v>
      </c>
      <c r="E162" s="427" t="s">
        <v>158</v>
      </c>
      <c r="F162" s="427" t="s">
        <v>159</v>
      </c>
      <c r="G162" s="414" t="s">
        <v>160</v>
      </c>
      <c r="H162" s="412" t="s">
        <v>161</v>
      </c>
      <c r="I162" s="413" t="s">
        <v>162</v>
      </c>
      <c r="J162" s="415" t="s">
        <v>163</v>
      </c>
      <c r="K162" s="415" t="s">
        <v>164</v>
      </c>
      <c r="L162" s="416" t="s">
        <v>165</v>
      </c>
      <c r="M162" s="378" t="s">
        <v>166</v>
      </c>
      <c r="N162" s="377" t="s">
        <v>167</v>
      </c>
      <c r="O162" s="378" t="s">
        <v>168</v>
      </c>
      <c r="P162" s="378" t="s">
        <v>169</v>
      </c>
      <c r="Q162" s="379" t="s">
        <v>170</v>
      </c>
      <c r="R162" s="378" t="s">
        <v>171</v>
      </c>
      <c r="S162" s="379" t="s">
        <v>172</v>
      </c>
      <c r="T162" s="380" t="s">
        <v>173</v>
      </c>
      <c r="U162" s="380" t="s">
        <v>174</v>
      </c>
      <c r="V162" s="380" t="s">
        <v>175</v>
      </c>
      <c r="W162" s="381" t="s">
        <v>176</v>
      </c>
      <c r="X162" s="382" t="s">
        <v>177</v>
      </c>
      <c r="Y162" s="382" t="s">
        <v>178</v>
      </c>
      <c r="Z162" s="382" t="s">
        <v>179</v>
      </c>
      <c r="AA162" s="382" t="s">
        <v>180</v>
      </c>
      <c r="AB162" s="382" t="s">
        <v>181</v>
      </c>
      <c r="AC162" s="383" t="s">
        <v>182</v>
      </c>
      <c r="AD162" s="372"/>
      <c r="AE162" s="293"/>
      <c r="AF162" s="293"/>
    </row>
    <row r="163">
      <c r="A163" s="384">
        <v>46250</v>
      </c>
      <c r="B163" s="385" t="s">
        <v>199</v>
      </c>
      <c r="C163" s="369" t="s">
        <v>197</v>
      </c>
      <c r="D163" s="360">
        <f t="shared" ref="D163:D166" si="27">E163+F163</f>
      </c>
      <c r="E163" s="360">
        <v>1059.83</v>
      </c>
      <c r="F163" s="369">
        <v>1179.41</v>
      </c>
      <c r="G163" s="369">
        <v>1</v>
      </c>
      <c r="H163" s="369">
        <v>467.64</v>
      </c>
      <c r="I163" s="387">
        <f t="shared" ref="I163:I182" si="333">H163/D163</f>
      </c>
      <c r="J163" s="388">
        <f t="shared" ref="J163:J182" si="229">Y163/X163</f>
      </c>
      <c r="K163" s="389">
        <f t="shared" ref="K163:K182" si="151">D163/Z163</f>
      </c>
      <c r="L163" s="417">
        <f t="shared" ref="L163:L182" si="255">AA163/Z163</f>
      </c>
      <c r="M163" s="388">
        <f t="shared" ref="M163:M182" si="99">AB163/Z163</f>
      </c>
      <c r="N163" s="389">
        <f t="shared" ref="N163:N182" si="359">D163/AB163</f>
      </c>
      <c r="O163" s="388">
        <f t="shared" ref="O163:O182" si="281">AC163/AB163</f>
      </c>
      <c r="P163" s="388">
        <f t="shared" ref="P163:P182" si="177">G163/AC163</f>
      </c>
      <c r="Q163" s="389">
        <f t="shared" ref="Q163:Q182" si="125">D163/G163</f>
      </c>
      <c r="R163" s="390">
        <f t="shared" ref="R163:R182" si="385">H163/G163</f>
      </c>
      <c r="S163" s="389">
        <f t="shared" ref="S163:S182" si="307">D163/W163</f>
      </c>
      <c r="T163" s="391">
        <f t="shared" ref="T163:T182" si="203">AD163*1000/D163</f>
      </c>
      <c r="U163" s="392" t="s">
        <v>185</v>
      </c>
      <c r="V163" s="423" t="s">
        <v>207</v>
      </c>
      <c r="W163" s="360">
        <v>1</v>
      </c>
      <c r="X163" s="360">
        <v>6121</v>
      </c>
      <c r="Y163" s="360">
        <v>678</v>
      </c>
      <c r="Z163" s="360">
        <v>1171</v>
      </c>
      <c r="AA163" s="360">
        <v>279</v>
      </c>
      <c r="AB163" s="360">
        <v>4</v>
      </c>
      <c r="AC163" s="394">
        <v>2</v>
      </c>
      <c r="AD163" s="364">
        <v>29</v>
      </c>
      <c r="AE163" s="293"/>
      <c r="AF163" s="293"/>
    </row>
    <row r="164">
      <c r="A164" s="384"/>
      <c r="B164" s="385" t="s">
        <v>200</v>
      </c>
      <c r="C164" s="369" t="s">
        <v>197</v>
      </c>
      <c r="D164" s="360">
        <f t="shared" si="27"/>
      </c>
      <c r="E164" s="360">
        <v>916.01</v>
      </c>
      <c r="F164" s="360">
        <v>2000.49</v>
      </c>
      <c r="G164" s="369">
        <v>2</v>
      </c>
      <c r="H164" s="369">
        <v>4370.28</v>
      </c>
      <c r="I164" s="387">
        <f t="shared" si="333"/>
      </c>
      <c r="J164" s="388">
        <f t="shared" si="229"/>
      </c>
      <c r="K164" s="389">
        <f t="shared" si="151"/>
      </c>
      <c r="L164" s="417">
        <f t="shared" si="255"/>
      </c>
      <c r="M164" s="388">
        <f t="shared" si="99"/>
      </c>
      <c r="N164" s="389">
        <f t="shared" si="359"/>
      </c>
      <c r="O164" s="388">
        <f t="shared" si="281"/>
      </c>
      <c r="P164" s="388">
        <f t="shared" si="177"/>
      </c>
      <c r="Q164" s="389">
        <f t="shared" si="125"/>
      </c>
      <c r="R164" s="390">
        <f t="shared" si="385"/>
      </c>
      <c r="S164" s="389">
        <f t="shared" si="307"/>
      </c>
      <c r="T164" s="391">
        <f t="shared" si="203"/>
      </c>
      <c r="U164" s="392" t="s">
        <v>185</v>
      </c>
      <c r="V164" s="423" t="s">
        <v>207</v>
      </c>
      <c r="W164" s="360">
        <v>1</v>
      </c>
      <c r="X164" s="360">
        <v>7360</v>
      </c>
      <c r="Y164" s="360">
        <v>1145</v>
      </c>
      <c r="Z164" s="360">
        <v>1810</v>
      </c>
      <c r="AA164" s="360">
        <v>528</v>
      </c>
      <c r="AB164" s="360">
        <v>28</v>
      </c>
      <c r="AC164" s="395">
        <v>4</v>
      </c>
      <c r="AD164" s="359">
        <v>26</v>
      </c>
      <c r="AE164" s="293"/>
      <c r="AF164" s="293"/>
    </row>
    <row r="165">
      <c r="A165" s="384"/>
      <c r="B165" s="385" t="s">
        <v>201</v>
      </c>
      <c r="C165" s="369" t="s">
        <v>197</v>
      </c>
      <c r="D165" s="360">
        <f t="shared" si="27"/>
      </c>
      <c r="E165" s="360">
        <v>1013.45</v>
      </c>
      <c r="F165" s="360">
        <v>2034.76</v>
      </c>
      <c r="G165" s="369">
        <v>2</v>
      </c>
      <c r="H165" s="360">
        <v>5876.280000000001</v>
      </c>
      <c r="I165" s="387">
        <f t="shared" si="333"/>
      </c>
      <c r="J165" s="388">
        <f t="shared" si="229"/>
      </c>
      <c r="K165" s="389">
        <f t="shared" si="151"/>
      </c>
      <c r="L165" s="417">
        <f t="shared" si="255"/>
      </c>
      <c r="M165" s="388">
        <f t="shared" si="99"/>
      </c>
      <c r="N165" s="389">
        <f t="shared" si="359"/>
      </c>
      <c r="O165" s="388">
        <f t="shared" si="281"/>
      </c>
      <c r="P165" s="388">
        <f t="shared" si="177"/>
      </c>
      <c r="Q165" s="389">
        <f t="shared" si="125"/>
      </c>
      <c r="R165" s="390">
        <f t="shared" si="385"/>
      </c>
      <c r="S165" s="389">
        <f t="shared" si="307"/>
      </c>
      <c r="T165" s="391">
        <f t="shared" si="203"/>
      </c>
      <c r="U165" s="392" t="s">
        <v>185</v>
      </c>
      <c r="V165" s="423" t="s">
        <v>207</v>
      </c>
      <c r="W165" s="360">
        <v>3</v>
      </c>
      <c r="X165" s="360">
        <v>7771</v>
      </c>
      <c r="Y165" s="360">
        <v>1144</v>
      </c>
      <c r="Z165" s="360">
        <v>1938</v>
      </c>
      <c r="AA165" s="360">
        <v>499</v>
      </c>
      <c r="AB165" s="360">
        <v>31</v>
      </c>
      <c r="AC165" s="395">
        <v>4</v>
      </c>
      <c r="AD165" s="359">
        <v>21</v>
      </c>
      <c r="AE165" s="293"/>
      <c r="AF165" s="293"/>
    </row>
    <row r="166">
      <c r="A166" s="384"/>
      <c r="B166" s="385" t="s">
        <v>202</v>
      </c>
      <c r="C166" s="369" t="s">
        <v>197</v>
      </c>
      <c r="D166" s="360">
        <f t="shared" si="27"/>
      </c>
      <c r="E166" s="360">
        <v>1.3</v>
      </c>
      <c r="F166" s="360">
        <v>2852.62</v>
      </c>
      <c r="G166" s="369">
        <v>2</v>
      </c>
      <c r="H166" s="369">
        <v>5337.639999999999</v>
      </c>
      <c r="I166" s="387">
        <f t="shared" si="333"/>
      </c>
      <c r="J166" s="388">
        <f t="shared" si="229"/>
      </c>
      <c r="K166" s="389">
        <f t="shared" si="151"/>
      </c>
      <c r="L166" s="417">
        <f t="shared" si="255"/>
      </c>
      <c r="M166" s="388">
        <f t="shared" si="99"/>
      </c>
      <c r="N166" s="389">
        <f t="shared" si="359"/>
      </c>
      <c r="O166" s="388">
        <f t="shared" si="281"/>
      </c>
      <c r="P166" s="388">
        <f t="shared" si="177"/>
      </c>
      <c r="Q166" s="389">
        <f t="shared" si="125"/>
      </c>
      <c r="R166" s="390">
        <f t="shared" si="385"/>
      </c>
      <c r="S166" s="389">
        <f t="shared" si="307"/>
      </c>
      <c r="T166" s="391">
        <f t="shared" si="203"/>
      </c>
      <c r="U166" s="392" t="s">
        <v>185</v>
      </c>
      <c r="V166" s="423" t="s">
        <v>207</v>
      </c>
      <c r="W166" s="360">
        <v>2</v>
      </c>
      <c r="X166" s="360">
        <v>8257</v>
      </c>
      <c r="Y166" s="360">
        <v>1493</v>
      </c>
      <c r="Z166" s="360">
        <v>2642</v>
      </c>
      <c r="AA166" s="360">
        <v>601</v>
      </c>
      <c r="AB166" s="360">
        <v>24</v>
      </c>
      <c r="AC166" s="395">
        <v>3</v>
      </c>
      <c r="AD166" s="359">
        <v>30</v>
      </c>
      <c r="AE166" s="293"/>
      <c r="AF166" s="293"/>
    </row>
    <row r="167">
      <c r="A167" s="384"/>
      <c r="B167" s="361" t="s">
        <v>189</v>
      </c>
      <c r="C167" s="361"/>
      <c r="D167" s="361">
        <f>SUM(D163:D166)</f>
      </c>
      <c r="E167" s="361">
        <f>SUM(E163:E166)</f>
      </c>
      <c r="F167" s="361">
        <f>SUM(F163:F166)</f>
      </c>
      <c r="G167" s="361">
        <f>SUM(G163:G166)</f>
      </c>
      <c r="H167" s="361">
        <f>SUM(H163:H166)</f>
      </c>
      <c r="I167" s="396">
        <f t="shared" si="333"/>
      </c>
      <c r="J167" s="397">
        <f t="shared" si="229"/>
      </c>
      <c r="K167" s="398">
        <f t="shared" si="151"/>
      </c>
      <c r="L167" s="418">
        <f t="shared" si="255"/>
      </c>
      <c r="M167" s="397">
        <f t="shared" si="99"/>
      </c>
      <c r="N167" s="398">
        <f t="shared" si="359"/>
      </c>
      <c r="O167" s="397">
        <f t="shared" si="281"/>
      </c>
      <c r="P167" s="397">
        <f t="shared" si="177"/>
      </c>
      <c r="Q167" s="398">
        <f t="shared" si="125"/>
      </c>
      <c r="R167" s="399">
        <f t="shared" si="385"/>
      </c>
      <c r="S167" s="398">
        <f t="shared" si="307"/>
      </c>
      <c r="T167" s="400">
        <f t="shared" si="203"/>
      </c>
      <c r="U167" s="400"/>
      <c r="V167" s="400"/>
      <c r="W167" s="361">
        <f>SUM(W163:W166)</f>
      </c>
      <c r="X167" s="361">
        <f>SUM(X163:X166)</f>
      </c>
      <c r="Y167" s="361">
        <f>SUM(Y163:Y166)</f>
      </c>
      <c r="Z167" s="361">
        <f>SUM(Z163:Z166)</f>
      </c>
      <c r="AA167" s="361">
        <f>SUM(AA163:AA166)</f>
      </c>
      <c r="AB167" s="361">
        <f>SUM(AB163:AB166)</f>
      </c>
      <c r="AC167" s="319">
        <f>SUM(AC163:AC166)</f>
      </c>
      <c r="AD167" s="320">
        <f>SUM(AD163:AD166)</f>
      </c>
      <c r="AE167" s="293"/>
      <c r="AF167" s="293"/>
    </row>
    <row r="168">
      <c r="A168" s="384"/>
      <c r="B168" s="385" t="s">
        <v>203</v>
      </c>
      <c r="C168" s="369" t="s">
        <v>184</v>
      </c>
      <c r="D168" s="360">
        <f t="shared" ref="D168:D171" si="28">E168+F168</f>
      </c>
      <c r="E168" s="360">
        <v>9.41</v>
      </c>
      <c r="F168" s="360">
        <v>2293.98</v>
      </c>
      <c r="G168" s="369">
        <v>0</v>
      </c>
      <c r="H168" s="369">
        <v>0</v>
      </c>
      <c r="I168" s="387">
        <f t="shared" si="333"/>
      </c>
      <c r="J168" s="388">
        <f t="shared" si="229"/>
      </c>
      <c r="K168" s="389">
        <f t="shared" si="151"/>
      </c>
      <c r="L168" s="417">
        <f t="shared" si="255"/>
      </c>
      <c r="M168" s="388">
        <f t="shared" si="99"/>
      </c>
      <c r="N168" s="389">
        <f t="shared" si="359"/>
      </c>
      <c r="O168" s="388">
        <f t="shared" si="281"/>
      </c>
      <c r="P168" s="388">
        <f t="shared" si="177"/>
      </c>
      <c r="Q168" s="389">
        <f t="shared" si="125"/>
      </c>
      <c r="R168" s="390">
        <f t="shared" si="385"/>
      </c>
      <c r="S168" s="389">
        <f t="shared" si="307"/>
      </c>
      <c r="T168" s="391">
        <f t="shared" si="203"/>
      </c>
      <c r="U168" s="392" t="s">
        <v>185</v>
      </c>
      <c r="V168" s="393" t="s">
        <v>207</v>
      </c>
      <c r="W168" s="360">
        <v>0</v>
      </c>
      <c r="X168" s="360">
        <v>7909</v>
      </c>
      <c r="Y168" s="360">
        <v>1173</v>
      </c>
      <c r="Z168" s="360">
        <v>2142</v>
      </c>
      <c r="AA168" s="360">
        <v>470</v>
      </c>
      <c r="AB168" s="360">
        <v>23</v>
      </c>
      <c r="AC168" s="395">
        <v>5</v>
      </c>
      <c r="AD168" s="359">
        <v>20</v>
      </c>
      <c r="AE168" s="293"/>
      <c r="AF168" s="293"/>
    </row>
    <row r="169">
      <c r="A169" s="384"/>
      <c r="B169" s="385" t="s">
        <v>204</v>
      </c>
      <c r="C169" s="369" t="s">
        <v>184</v>
      </c>
      <c r="D169" s="360">
        <f t="shared" si="28"/>
      </c>
      <c r="E169" s="360">
        <v>155.54</v>
      </c>
      <c r="F169" s="360">
        <v>1600.83</v>
      </c>
      <c r="G169" s="369">
        <v>0</v>
      </c>
      <c r="H169" s="369">
        <v>0</v>
      </c>
      <c r="I169" s="387">
        <f t="shared" si="333"/>
      </c>
      <c r="J169" s="388">
        <f t="shared" si="229"/>
      </c>
      <c r="K169" s="389">
        <f t="shared" si="151"/>
      </c>
      <c r="L169" s="417">
        <f t="shared" si="255"/>
      </c>
      <c r="M169" s="388">
        <f t="shared" si="99"/>
      </c>
      <c r="N169" s="389">
        <f t="shared" si="359"/>
      </c>
      <c r="O169" s="388">
        <f t="shared" si="281"/>
      </c>
      <c r="P169" s="388">
        <f t="shared" si="177"/>
      </c>
      <c r="Q169" s="389">
        <f t="shared" si="125"/>
      </c>
      <c r="R169" s="390">
        <f t="shared" si="385"/>
      </c>
      <c r="S169" s="389">
        <f t="shared" si="307"/>
      </c>
      <c r="T169" s="391">
        <f t="shared" si="203"/>
      </c>
      <c r="U169" s="392" t="s">
        <v>185</v>
      </c>
      <c r="V169" s="393" t="s">
        <v>207</v>
      </c>
      <c r="W169" s="360">
        <v>0</v>
      </c>
      <c r="X169" s="360">
        <v>6937</v>
      </c>
      <c r="Y169" s="360">
        <v>837</v>
      </c>
      <c r="Z169" s="360">
        <v>1552</v>
      </c>
      <c r="AA169" s="360">
        <v>349</v>
      </c>
      <c r="AB169" s="360">
        <v>60</v>
      </c>
      <c r="AC169" s="395">
        <v>0</v>
      </c>
      <c r="AD169" s="359">
        <v>11</v>
      </c>
      <c r="AE169" s="293"/>
      <c r="AF169" s="293"/>
    </row>
    <row r="170">
      <c r="A170" s="384"/>
      <c r="B170" s="385" t="s">
        <v>205</v>
      </c>
      <c r="C170" s="369" t="s">
        <v>184</v>
      </c>
      <c r="D170" s="360">
        <f t="shared" si="28"/>
      </c>
      <c r="E170" s="360">
        <v>164.09</v>
      </c>
      <c r="F170" s="360">
        <v>1431.05</v>
      </c>
      <c r="G170" s="369">
        <v>1</v>
      </c>
      <c r="H170" s="369">
        <v>467.6399999999994</v>
      </c>
      <c r="I170" s="387">
        <f t="shared" si="333"/>
      </c>
      <c r="J170" s="388">
        <f t="shared" si="229"/>
      </c>
      <c r="K170" s="389">
        <f t="shared" si="151"/>
      </c>
      <c r="L170" s="417">
        <f t="shared" si="255"/>
      </c>
      <c r="M170" s="388">
        <f t="shared" si="99"/>
      </c>
      <c r="N170" s="389">
        <f t="shared" si="359"/>
      </c>
      <c r="O170" s="388">
        <f t="shared" si="281"/>
      </c>
      <c r="P170" s="388">
        <f t="shared" si="177"/>
      </c>
      <c r="Q170" s="389">
        <f t="shared" si="125"/>
      </c>
      <c r="R170" s="390">
        <f t="shared" si="385"/>
      </c>
      <c r="S170" s="389">
        <f t="shared" si="307"/>
      </c>
      <c r="T170" s="391">
        <f t="shared" si="203"/>
      </c>
      <c r="U170" s="392" t="s">
        <v>185</v>
      </c>
      <c r="V170" s="393" t="s">
        <v>186</v>
      </c>
      <c r="W170" s="360">
        <v>1</v>
      </c>
      <c r="X170" s="360">
        <v>4789</v>
      </c>
      <c r="Y170" s="360">
        <v>755</v>
      </c>
      <c r="Z170" s="360">
        <v>1477</v>
      </c>
      <c r="AA170" s="360">
        <v>350</v>
      </c>
      <c r="AB170" s="360">
        <v>30</v>
      </c>
      <c r="AC170" s="395">
        <v>1</v>
      </c>
      <c r="AD170" s="359">
        <v>21</v>
      </c>
      <c r="AE170" s="293"/>
      <c r="AF170" s="293"/>
    </row>
    <row r="171">
      <c r="A171" s="384"/>
      <c r="B171" s="419" t="s">
        <v>196</v>
      </c>
      <c r="C171" s="369" t="s">
        <v>184</v>
      </c>
      <c r="D171" s="360">
        <f t="shared" si="28"/>
      </c>
      <c r="E171" s="360">
        <v>778.86</v>
      </c>
      <c r="F171" s="360">
        <v>2029.07</v>
      </c>
      <c r="G171" s="369">
        <v>0</v>
      </c>
      <c r="H171" s="369">
        <v>0</v>
      </c>
      <c r="I171" s="387">
        <f t="shared" si="333"/>
      </c>
      <c r="J171" s="388">
        <f t="shared" si="229"/>
      </c>
      <c r="K171" s="389">
        <f t="shared" si="151"/>
      </c>
      <c r="L171" s="417">
        <f t="shared" si="255"/>
      </c>
      <c r="M171" s="388">
        <f t="shared" si="99"/>
      </c>
      <c r="N171" s="389">
        <f t="shared" si="359"/>
      </c>
      <c r="O171" s="388">
        <f t="shared" si="281"/>
      </c>
      <c r="P171" s="388">
        <f t="shared" si="177"/>
      </c>
      <c r="Q171" s="389">
        <f t="shared" si="125"/>
      </c>
      <c r="R171" s="390">
        <f t="shared" si="385"/>
      </c>
      <c r="S171" s="389">
        <f t="shared" si="307"/>
      </c>
      <c r="T171" s="391">
        <f t="shared" si="203"/>
      </c>
      <c r="U171" s="392" t="s">
        <v>185</v>
      </c>
      <c r="V171" s="393" t="s">
        <v>186</v>
      </c>
      <c r="W171" s="360">
        <v>0</v>
      </c>
      <c r="X171" s="360">
        <v>7460</v>
      </c>
      <c r="Y171" s="360">
        <v>1351</v>
      </c>
      <c r="Z171" s="360">
        <v>2440</v>
      </c>
      <c r="AA171" s="360">
        <v>709</v>
      </c>
      <c r="AB171" s="360">
        <v>24</v>
      </c>
      <c r="AC171" s="395">
        <v>1</v>
      </c>
      <c r="AD171" s="359">
        <v>30</v>
      </c>
      <c r="AE171" s="293"/>
      <c r="AF171" s="293"/>
    </row>
    <row r="172">
      <c r="A172" s="384"/>
      <c r="B172" s="361" t="s">
        <v>189</v>
      </c>
      <c r="C172" s="361"/>
      <c r="D172" s="361">
        <f>SUM(D168:D171)</f>
      </c>
      <c r="E172" s="361">
        <f>SUM(E168:E171)</f>
      </c>
      <c r="F172" s="361">
        <f>SUM(F168:F171)</f>
      </c>
      <c r="G172" s="361">
        <f>SUM(G168:G171)</f>
      </c>
      <c r="H172" s="361">
        <f>SUM(H168:H171)</f>
      </c>
      <c r="I172" s="396">
        <f t="shared" si="333"/>
      </c>
      <c r="J172" s="397">
        <f t="shared" si="229"/>
      </c>
      <c r="K172" s="398">
        <f t="shared" si="151"/>
      </c>
      <c r="L172" s="418">
        <f t="shared" si="255"/>
      </c>
      <c r="M172" s="397">
        <f t="shared" si="99"/>
      </c>
      <c r="N172" s="398">
        <f t="shared" si="359"/>
      </c>
      <c r="O172" s="397">
        <f t="shared" si="281"/>
      </c>
      <c r="P172" s="397">
        <f t="shared" si="177"/>
      </c>
      <c r="Q172" s="398">
        <f t="shared" si="125"/>
      </c>
      <c r="R172" s="399">
        <f t="shared" si="385"/>
      </c>
      <c r="S172" s="398">
        <f t="shared" si="307"/>
      </c>
      <c r="T172" s="400">
        <f t="shared" si="203"/>
      </c>
      <c r="U172" s="400"/>
      <c r="V172" s="400"/>
      <c r="W172" s="361">
        <f>SUM(W168:W171)</f>
      </c>
      <c r="X172" s="361">
        <f>SUM(X168:X171)</f>
      </c>
      <c r="Y172" s="361">
        <f>SUM(Y168:Y171)</f>
      </c>
      <c r="Z172" s="361">
        <f>SUM(Z168:Z171)</f>
      </c>
      <c r="AA172" s="361">
        <f>SUM(AA168:AA171)</f>
      </c>
      <c r="AB172" s="361">
        <f>SUM(AB168:AB171)</f>
      </c>
      <c r="AC172" s="361">
        <f>SUM(AC168:AC171)</f>
      </c>
      <c r="AD172" s="361">
        <f>SUM(AD168:AD171)</f>
      </c>
      <c r="AE172" s="293"/>
      <c r="AF172" s="293"/>
    </row>
    <row r="173">
      <c r="A173" s="384"/>
      <c r="B173" s="401" t="s">
        <v>183</v>
      </c>
      <c r="C173" s="369" t="s">
        <v>198</v>
      </c>
      <c r="D173" s="360">
        <f t="shared" ref="D173:D176" si="29">E173+F173</f>
      </c>
      <c r="E173" s="356">
        <v>546.54</v>
      </c>
      <c r="F173" s="356">
        <v>1104.55</v>
      </c>
      <c r="G173" s="402">
        <v>0</v>
      </c>
      <c r="H173" s="402">
        <v>0</v>
      </c>
      <c r="I173" s="420">
        <f t="shared" si="333"/>
      </c>
      <c r="J173" s="421">
        <f t="shared" si="229"/>
      </c>
      <c r="K173" s="422">
        <f t="shared" si="151"/>
      </c>
      <c r="L173" s="388">
        <f t="shared" si="255"/>
      </c>
      <c r="M173" s="388">
        <f t="shared" si="99"/>
      </c>
      <c r="N173" s="389">
        <f t="shared" si="359"/>
      </c>
      <c r="O173" s="388">
        <f t="shared" si="281"/>
      </c>
      <c r="P173" s="388">
        <f t="shared" si="177"/>
      </c>
      <c r="Q173" s="389">
        <f t="shared" si="125"/>
      </c>
      <c r="R173" s="390">
        <f t="shared" si="385"/>
      </c>
      <c r="S173" s="389">
        <f t="shared" si="307"/>
      </c>
      <c r="T173" s="391">
        <f t="shared" si="203"/>
      </c>
      <c r="U173" s="392" t="s">
        <v>185</v>
      </c>
      <c r="V173" s="393" t="s">
        <v>186</v>
      </c>
      <c r="W173" s="360">
        <v>0</v>
      </c>
      <c r="X173" s="360">
        <v>2858</v>
      </c>
      <c r="Y173" s="360">
        <v>464</v>
      </c>
      <c r="Z173" s="360">
        <v>872</v>
      </c>
      <c r="AA173" s="360">
        <v>227</v>
      </c>
      <c r="AB173" s="360">
        <v>12</v>
      </c>
      <c r="AC173" s="395">
        <v>0</v>
      </c>
      <c r="AD173" s="359">
        <v>11</v>
      </c>
      <c r="AE173" s="293"/>
      <c r="AF173" s="293"/>
    </row>
    <row r="174">
      <c r="A174" s="384"/>
      <c r="B174" s="385" t="s">
        <v>187</v>
      </c>
      <c r="C174" s="369" t="s">
        <v>198</v>
      </c>
      <c r="D174" s="360">
        <f t="shared" si="29"/>
      </c>
      <c r="E174" s="360">
        <v>624.89</v>
      </c>
      <c r="F174" s="360">
        <v>742.74</v>
      </c>
      <c r="G174" s="369">
        <v>0</v>
      </c>
      <c r="H174" s="369">
        <v>0</v>
      </c>
      <c r="I174" s="387">
        <f t="shared" si="333"/>
      </c>
      <c r="J174" s="388">
        <f t="shared" si="229"/>
      </c>
      <c r="K174" s="389">
        <f t="shared" si="151"/>
      </c>
      <c r="L174" s="388">
        <f t="shared" si="255"/>
      </c>
      <c r="M174" s="388">
        <f t="shared" si="99"/>
      </c>
      <c r="N174" s="389">
        <f t="shared" si="359"/>
      </c>
      <c r="O174" s="388">
        <f t="shared" si="281"/>
      </c>
      <c r="P174" s="388">
        <f t="shared" si="177"/>
      </c>
      <c r="Q174" s="389">
        <f t="shared" si="125"/>
      </c>
      <c r="R174" s="390">
        <f t="shared" si="385"/>
      </c>
      <c r="S174" s="389">
        <f t="shared" si="307"/>
      </c>
      <c r="T174" s="391">
        <f t="shared" si="203"/>
      </c>
      <c r="U174" s="392" t="s">
        <v>185</v>
      </c>
      <c r="V174" s="393" t="s">
        <v>186</v>
      </c>
      <c r="W174" s="360">
        <v>0</v>
      </c>
      <c r="X174" s="360">
        <v>4668</v>
      </c>
      <c r="Y174" s="360">
        <v>687</v>
      </c>
      <c r="Z174" s="360">
        <v>1365</v>
      </c>
      <c r="AA174" s="360">
        <v>278</v>
      </c>
      <c r="AB174" s="360">
        <v>17</v>
      </c>
      <c r="AC174" s="395">
        <v>0</v>
      </c>
      <c r="AD174" s="359">
        <v>12</v>
      </c>
      <c r="AE174" s="293"/>
      <c r="AF174" s="293"/>
    </row>
    <row customHeight="true" ht="18.452380952380953" r="175">
      <c r="A175" s="384"/>
      <c r="B175" s="385" t="s">
        <v>188</v>
      </c>
      <c r="C175" s="369" t="s">
        <v>198</v>
      </c>
      <c r="D175" s="360">
        <f t="shared" si="29"/>
      </c>
      <c r="E175" s="360">
        <v>341.17</v>
      </c>
      <c r="F175" s="360">
        <v>488.91</v>
      </c>
      <c r="G175" s="369">
        <v>0</v>
      </c>
      <c r="H175" s="369">
        <v>0</v>
      </c>
      <c r="I175" s="387">
        <f t="shared" si="333"/>
      </c>
      <c r="J175" s="388">
        <f t="shared" si="229"/>
      </c>
      <c r="K175" s="389">
        <f t="shared" si="151"/>
      </c>
      <c r="L175" s="388">
        <f t="shared" si="255"/>
      </c>
      <c r="M175" s="388">
        <f t="shared" si="99"/>
      </c>
      <c r="N175" s="389">
        <f t="shared" si="359"/>
      </c>
      <c r="O175" s="388">
        <f t="shared" si="281"/>
      </c>
      <c r="P175" s="388">
        <f t="shared" si="177"/>
      </c>
      <c r="Q175" s="389">
        <f t="shared" si="125"/>
      </c>
      <c r="R175" s="390">
        <f t="shared" si="385"/>
      </c>
      <c r="S175" s="389">
        <f t="shared" si="307"/>
      </c>
      <c r="T175" s="391">
        <f t="shared" si="203"/>
      </c>
      <c r="U175" s="392" t="s">
        <v>185</v>
      </c>
      <c r="V175" s="393" t="s">
        <v>186</v>
      </c>
      <c r="W175" s="360">
        <v>0</v>
      </c>
      <c r="X175" s="360">
        <v>3129</v>
      </c>
      <c r="Y175" s="360">
        <v>457</v>
      </c>
      <c r="Z175" s="360">
        <v>856</v>
      </c>
      <c r="AA175" s="360">
        <v>178</v>
      </c>
      <c r="AB175" s="360">
        <v>6</v>
      </c>
      <c r="AC175" s="395">
        <v>1</v>
      </c>
      <c r="AD175" s="359">
        <v>15</v>
      </c>
      <c r="AE175" s="293"/>
      <c r="AF175" s="293"/>
    </row>
    <row r="176">
      <c r="A176" s="384"/>
      <c r="B176" s="385" t="s">
        <v>190</v>
      </c>
      <c r="C176" s="369" t="s">
        <v>198</v>
      </c>
      <c r="D176" s="360">
        <f t="shared" si="29"/>
      </c>
      <c r="E176" s="360">
        <v>442.22</v>
      </c>
      <c r="F176" s="360">
        <v>521.51</v>
      </c>
      <c r="G176" s="369">
        <v>2</v>
      </c>
      <c r="H176" s="369">
        <v>2661.079999999998</v>
      </c>
      <c r="I176" s="387">
        <f t="shared" si="333"/>
      </c>
      <c r="J176" s="388">
        <f t="shared" si="229"/>
      </c>
      <c r="K176" s="389">
        <f t="shared" si="151"/>
      </c>
      <c r="L176" s="388">
        <f t="shared" si="255"/>
      </c>
      <c r="M176" s="388">
        <f t="shared" si="99"/>
      </c>
      <c r="N176" s="389">
        <f t="shared" si="359"/>
      </c>
      <c r="O176" s="388">
        <f t="shared" si="281"/>
      </c>
      <c r="P176" s="388">
        <f t="shared" si="177"/>
      </c>
      <c r="Q176" s="389">
        <f t="shared" si="125"/>
      </c>
      <c r="R176" s="390">
        <f t="shared" si="385"/>
      </c>
      <c r="S176" s="389">
        <f t="shared" si="307"/>
      </c>
      <c r="T176" s="391">
        <f t="shared" si="203"/>
      </c>
      <c r="U176" s="392" t="s">
        <v>185</v>
      </c>
      <c r="V176" s="393" t="s">
        <v>186</v>
      </c>
      <c r="W176" s="360">
        <v>1</v>
      </c>
      <c r="X176" s="360">
        <v>2889</v>
      </c>
      <c r="Y176" s="360">
        <v>472</v>
      </c>
      <c r="Z176" s="360">
        <v>926</v>
      </c>
      <c r="AA176" s="360">
        <v>166</v>
      </c>
      <c r="AB176" s="360">
        <v>7</v>
      </c>
      <c r="AC176" s="395">
        <v>3</v>
      </c>
      <c r="AD176" s="359">
        <v>20</v>
      </c>
      <c r="AE176" s="293"/>
      <c r="AF176" s="293"/>
    </row>
    <row r="177">
      <c r="A177" s="384"/>
      <c r="B177" s="361" t="s">
        <v>189</v>
      </c>
      <c r="C177" s="361"/>
      <c r="D177" s="361">
        <f>SUM(D173:D176)</f>
      </c>
      <c r="E177" s="362">
        <f>SUM(E173:E176)</f>
      </c>
      <c r="F177" s="362">
        <f>SUM(F173:F176)</f>
      </c>
      <c r="G177" s="343">
        <f>SUM(G173:G176)</f>
      </c>
      <c r="H177" s="343">
        <f>SUM(H173:H176)</f>
      </c>
      <c r="I177" s="344">
        <f t="shared" si="333"/>
      </c>
      <c r="J177" s="345">
        <f t="shared" si="229"/>
      </c>
      <c r="K177" s="323">
        <f t="shared" si="151"/>
      </c>
      <c r="L177" s="322">
        <f t="shared" si="255"/>
      </c>
      <c r="M177" s="322">
        <f t="shared" si="99"/>
      </c>
      <c r="N177" s="323">
        <f t="shared" si="359"/>
      </c>
      <c r="O177" s="322">
        <f t="shared" si="281"/>
      </c>
      <c r="P177" s="322">
        <f t="shared" si="177"/>
      </c>
      <c r="Q177" s="324">
        <f t="shared" si="125"/>
      </c>
      <c r="R177" s="325">
        <f t="shared" si="385"/>
      </c>
      <c r="S177" s="324">
        <f t="shared" si="307"/>
      </c>
      <c r="T177" s="326">
        <f t="shared" si="203"/>
      </c>
      <c r="U177" s="326"/>
      <c r="V177" s="326"/>
      <c r="W177" s="320">
        <f>SUM(W173:W176)</f>
      </c>
      <c r="X177" s="320">
        <f>SUM(X173:X176)</f>
      </c>
      <c r="Y177" s="320">
        <f>SUM(Y173:Y176)</f>
      </c>
      <c r="Z177" s="320">
        <f>SUM(Z173:Z176)</f>
      </c>
      <c r="AA177" s="320">
        <f>SUM(AA173:AA176)</f>
      </c>
      <c r="AB177" s="320">
        <f>SUM(AB173:AB176)</f>
      </c>
      <c r="AC177" s="320">
        <f>SUM(AC173:AC176)</f>
      </c>
      <c r="AD177" s="320">
        <f>SUM(AD173:AD176)</f>
      </c>
      <c r="AE177" s="293"/>
      <c r="AF177" s="293"/>
    </row>
    <row r="178">
      <c r="A178" s="384"/>
      <c r="B178" s="360" t="s">
        <v>192</v>
      </c>
      <c r="C178" s="369" t="s">
        <v>208</v>
      </c>
      <c r="D178" s="346">
        <f t="shared" ref="D178:D180" si="30">E178+F178</f>
      </c>
      <c r="E178" s="347">
        <v>432.16</v>
      </c>
      <c r="F178" s="347">
        <v>915.28</v>
      </c>
      <c r="G178" s="364">
        <v>0</v>
      </c>
      <c r="H178" s="364">
        <v>0</v>
      </c>
      <c r="I178" s="349">
        <f t="shared" si="333"/>
      </c>
      <c r="J178" s="312">
        <f t="shared" si="229"/>
      </c>
      <c r="K178" s="313">
        <f t="shared" si="151"/>
      </c>
      <c r="L178" s="312">
        <f t="shared" si="255"/>
      </c>
      <c r="M178" s="312">
        <f t="shared" si="99"/>
      </c>
      <c r="N178" s="313">
        <f t="shared" si="359"/>
      </c>
      <c r="O178" s="312">
        <f t="shared" si="281"/>
      </c>
      <c r="P178" s="312">
        <f t="shared" si="177"/>
      </c>
      <c r="Q178" s="314">
        <f t="shared" si="125"/>
      </c>
      <c r="R178" s="315">
        <f t="shared" si="385"/>
      </c>
      <c r="S178" s="314">
        <f t="shared" si="307"/>
      </c>
      <c r="T178" s="316">
        <f t="shared" si="203"/>
      </c>
      <c r="U178" s="317" t="s">
        <v>185</v>
      </c>
      <c r="V178" s="318" t="s">
        <v>186</v>
      </c>
      <c r="W178" s="310">
        <v>0</v>
      </c>
      <c r="X178" s="310">
        <v>6472</v>
      </c>
      <c r="Y178" s="310">
        <v>703</v>
      </c>
      <c r="Z178" s="310">
        <v>1262</v>
      </c>
      <c r="AA178" s="310">
        <v>243</v>
      </c>
      <c r="AB178" s="310">
        <v>14</v>
      </c>
      <c r="AC178" s="359">
        <v>1</v>
      </c>
      <c r="AD178" s="359">
        <v>13</v>
      </c>
      <c r="AE178" s="293"/>
      <c r="AF178" s="293"/>
    </row>
    <row r="179">
      <c r="A179" s="384"/>
      <c r="B179" s="360" t="s">
        <v>193</v>
      </c>
      <c r="C179" s="369" t="s">
        <v>208</v>
      </c>
      <c r="D179" s="346">
        <f t="shared" si="30"/>
      </c>
      <c r="E179" s="309">
        <v>448.87</v>
      </c>
      <c r="F179" s="309">
        <v>1060.74</v>
      </c>
      <c r="G179" s="359">
        <v>0</v>
      </c>
      <c r="H179" s="359">
        <v>0</v>
      </c>
      <c r="I179" s="311">
        <f t="shared" si="333"/>
      </c>
      <c r="J179" s="312">
        <f t="shared" si="229"/>
      </c>
      <c r="K179" s="313">
        <f t="shared" si="151"/>
      </c>
      <c r="L179" s="312">
        <f t="shared" si="255"/>
      </c>
      <c r="M179" s="312">
        <f t="shared" si="99"/>
      </c>
      <c r="N179" s="313">
        <f t="shared" si="359"/>
      </c>
      <c r="O179" s="312">
        <f t="shared" si="281"/>
      </c>
      <c r="P179" s="312">
        <f t="shared" si="177"/>
      </c>
      <c r="Q179" s="314">
        <f t="shared" si="125"/>
      </c>
      <c r="R179" s="315">
        <f t="shared" si="385"/>
      </c>
      <c r="S179" s="314">
        <f t="shared" si="307"/>
      </c>
      <c r="T179" s="316">
        <f t="shared" si="203"/>
      </c>
      <c r="U179" s="317" t="s">
        <v>185</v>
      </c>
      <c r="V179" s="318" t="s">
        <v>186</v>
      </c>
      <c r="W179" s="310">
        <v>0</v>
      </c>
      <c r="X179" s="310">
        <v>7021</v>
      </c>
      <c r="Y179" s="310">
        <v>827</v>
      </c>
      <c r="Z179" s="310">
        <v>1444</v>
      </c>
      <c r="AA179" s="310">
        <v>257</v>
      </c>
      <c r="AB179" s="310">
        <v>30</v>
      </c>
      <c r="AC179" s="359">
        <v>1</v>
      </c>
      <c r="AD179" s="359">
        <v>13</v>
      </c>
      <c r="AE179" s="293"/>
      <c r="AF179" s="293"/>
    </row>
    <row r="180">
      <c r="A180" s="384"/>
      <c r="B180" s="360" t="s">
        <v>194</v>
      </c>
      <c r="C180" s="369" t="s">
        <v>208</v>
      </c>
      <c r="D180" s="346">
        <f t="shared" si="30"/>
      </c>
      <c r="E180" s="309">
        <v>177.59</v>
      </c>
      <c r="F180" s="309">
        <v>465.38</v>
      </c>
      <c r="G180" s="310">
        <v>1</v>
      </c>
      <c r="H180" s="310">
        <v>948.2400000000016</v>
      </c>
      <c r="I180" s="311">
        <f t="shared" si="333"/>
      </c>
      <c r="J180" s="312">
        <f t="shared" si="229"/>
      </c>
      <c r="K180" s="313">
        <f t="shared" si="151"/>
      </c>
      <c r="L180" s="312">
        <f t="shared" si="255"/>
      </c>
      <c r="M180" s="312">
        <f t="shared" si="99"/>
      </c>
      <c r="N180" s="313">
        <f t="shared" si="359"/>
      </c>
      <c r="O180" s="312">
        <f t="shared" si="281"/>
      </c>
      <c r="P180" s="312">
        <f t="shared" si="177"/>
      </c>
      <c r="Q180" s="314">
        <f t="shared" si="125"/>
      </c>
      <c r="R180" s="315">
        <f t="shared" si="385"/>
      </c>
      <c r="S180" s="314">
        <f t="shared" si="307"/>
      </c>
      <c r="T180" s="316">
        <f t="shared" si="203"/>
      </c>
      <c r="U180" s="317" t="s">
        <v>185</v>
      </c>
      <c r="V180" s="318" t="s">
        <v>186</v>
      </c>
      <c r="W180" s="310">
        <v>1</v>
      </c>
      <c r="X180" s="310">
        <v>2864</v>
      </c>
      <c r="Y180" s="310">
        <v>332</v>
      </c>
      <c r="Z180" s="310">
        <v>612</v>
      </c>
      <c r="AA180" s="310">
        <v>96</v>
      </c>
      <c r="AB180" s="310">
        <v>14</v>
      </c>
      <c r="AC180" s="359">
        <v>1</v>
      </c>
      <c r="AD180" s="359">
        <v>8</v>
      </c>
      <c r="AE180" s="293"/>
      <c r="AF180" s="293"/>
    </row>
    <row r="181">
      <c r="A181" s="384"/>
      <c r="B181" s="361" t="s">
        <v>189</v>
      </c>
      <c r="C181" s="361"/>
      <c r="D181" s="319">
        <f>SUM(D178:D180)</f>
      </c>
      <c r="E181" s="319">
        <f>SUM(E178:E180)</f>
      </c>
      <c r="F181" s="319">
        <f>SUM(F178:F180)</f>
      </c>
      <c r="G181" s="319">
        <f>SUM(G178:G180)</f>
      </c>
      <c r="H181" s="319">
        <f>SUM(H178:H180)</f>
      </c>
      <c r="I181" s="321">
        <f t="shared" si="333"/>
      </c>
      <c r="J181" s="322">
        <f t="shared" si="229"/>
      </c>
      <c r="K181" s="323">
        <f t="shared" si="151"/>
      </c>
      <c r="L181" s="322">
        <f t="shared" si="255"/>
      </c>
      <c r="M181" s="322">
        <f t="shared" si="99"/>
      </c>
      <c r="N181" s="323">
        <f t="shared" si="359"/>
      </c>
      <c r="O181" s="322">
        <f t="shared" si="281"/>
      </c>
      <c r="P181" s="322">
        <f t="shared" si="177"/>
      </c>
      <c r="Q181" s="324">
        <f t="shared" si="125"/>
      </c>
      <c r="R181" s="325">
        <f t="shared" si="385"/>
      </c>
      <c r="S181" s="324">
        <f t="shared" si="307"/>
      </c>
      <c r="T181" s="326">
        <f t="shared" si="203"/>
      </c>
      <c r="U181" s="326"/>
      <c r="V181" s="326"/>
      <c r="W181" s="320">
        <f>SUM(W178:W180)</f>
      </c>
      <c r="X181" s="320">
        <f>SUM(X178:X180)</f>
      </c>
      <c r="Y181" s="320">
        <f>SUM(Y178:Y180)</f>
      </c>
      <c r="Z181" s="320">
        <f>SUM(Z178:Z180)</f>
      </c>
      <c r="AA181" s="320">
        <f>SUM(AA178:AA180)</f>
      </c>
      <c r="AB181" s="320">
        <f>SUM(AB178:AB180)</f>
      </c>
      <c r="AC181" s="320">
        <f>SUM(AC178:AC180)</f>
      </c>
      <c r="AD181" s="320">
        <f>SUM(AD178:AD180)</f>
      </c>
      <c r="AE181" s="293"/>
      <c r="AF181" s="293"/>
    </row>
    <row r="182">
      <c r="A182" s="384"/>
      <c r="B182" s="366" t="s">
        <v>195</v>
      </c>
      <c r="C182" s="366"/>
      <c r="D182" s="367">
        <f>+D172+D167+D177+D181</f>
      </c>
      <c r="E182" s="367">
        <f>+E172+E167+E177+E181</f>
      </c>
      <c r="F182" s="367">
        <f>+F172+F167+F177+F181</f>
      </c>
      <c r="G182" s="367">
        <f>+G172+G167+G177+G181</f>
      </c>
      <c r="H182" s="367">
        <f>+H172+H167+H177+H181</f>
      </c>
      <c r="I182" s="328">
        <f t="shared" si="333"/>
      </c>
      <c r="J182" s="329">
        <f t="shared" si="229"/>
      </c>
      <c r="K182" s="330">
        <f t="shared" si="151"/>
      </c>
      <c r="L182" s="331">
        <f t="shared" si="255"/>
      </c>
      <c r="M182" s="331">
        <f t="shared" si="99"/>
      </c>
      <c r="N182" s="330">
        <f t="shared" si="359"/>
      </c>
      <c r="O182" s="331">
        <f t="shared" si="281"/>
      </c>
      <c r="P182" s="331">
        <f t="shared" si="177"/>
      </c>
      <c r="Q182" s="330">
        <f t="shared" si="125"/>
      </c>
      <c r="R182" s="332">
        <f t="shared" si="385"/>
      </c>
      <c r="S182" s="330">
        <f t="shared" si="307"/>
      </c>
      <c r="T182" s="333">
        <f t="shared" si="203"/>
      </c>
      <c r="U182" s="333"/>
      <c r="V182" s="333"/>
      <c r="W182" s="328">
        <f>+W172+W167+W177+W181</f>
      </c>
      <c r="X182" s="328">
        <f>+X172+X167+X177+X181</f>
      </c>
      <c r="Y182" s="328">
        <f>+Y172+Y167+Y177+Y181</f>
      </c>
      <c r="Z182" s="328">
        <f>+Z172+Z167+Z177+Z181</f>
      </c>
      <c r="AA182" s="328">
        <f>+AA172+AA167+AA177+AA181</f>
      </c>
      <c r="AB182" s="328">
        <f>+AB172+AB167+AB177+AB181</f>
      </c>
      <c r="AC182" s="328">
        <f>+AC172+AC167+AC177+AC181</f>
      </c>
      <c r="AD182" s="328">
        <f>+AD172+AD167+AD177+AD181</f>
      </c>
      <c r="AE182" s="293"/>
      <c r="AF182" s="293"/>
    </row>
    <row r="183">
      <c r="A183" s="352" t="s">
        <v>150</v>
      </c>
      <c r="B183" s="352"/>
      <c r="C183" s="352"/>
      <c r="D183" s="334" t="s">
        <v>151</v>
      </c>
      <c r="E183" s="334"/>
      <c r="F183" s="334"/>
      <c r="G183" s="334"/>
      <c r="H183" s="334"/>
      <c r="I183" s="334"/>
      <c r="J183" s="377" t="s">
        <v>152</v>
      </c>
      <c r="K183" s="377"/>
      <c r="L183" s="377"/>
      <c r="M183" s="377"/>
      <c r="N183" s="377"/>
      <c r="O183" s="377"/>
      <c r="P183" s="377"/>
      <c r="Q183" s="377"/>
      <c r="R183" s="377"/>
      <c r="S183" s="377"/>
      <c r="T183" s="370"/>
      <c r="U183" s="370"/>
      <c r="V183" s="370"/>
      <c r="W183" s="371"/>
      <c r="X183" s="371"/>
      <c r="Y183" s="371"/>
      <c r="Z183" s="371"/>
      <c r="AA183" s="371"/>
      <c r="AB183" s="371"/>
      <c r="AC183" s="371"/>
      <c r="AD183" s="372" t="s">
        <v>153</v>
      </c>
      <c r="AE183" s="293"/>
      <c r="AF183" s="293"/>
    </row>
    <row r="184">
      <c r="A184" s="354" t="s">
        <v>154</v>
      </c>
      <c r="B184" s="352" t="s">
        <v>155</v>
      </c>
      <c r="C184" s="352" t="s">
        <v>156</v>
      </c>
      <c r="D184" s="428" t="s">
        <v>157</v>
      </c>
      <c r="E184" s="427" t="s">
        <v>158</v>
      </c>
      <c r="F184" s="427" t="s">
        <v>159</v>
      </c>
      <c r="G184" s="414" t="s">
        <v>160</v>
      </c>
      <c r="H184" s="412" t="s">
        <v>161</v>
      </c>
      <c r="I184" s="413" t="s">
        <v>162</v>
      </c>
      <c r="J184" s="415" t="s">
        <v>163</v>
      </c>
      <c r="K184" s="415" t="s">
        <v>164</v>
      </c>
      <c r="L184" s="416" t="s">
        <v>165</v>
      </c>
      <c r="M184" s="378" t="s">
        <v>166</v>
      </c>
      <c r="N184" s="377" t="s">
        <v>167</v>
      </c>
      <c r="O184" s="378" t="s">
        <v>168</v>
      </c>
      <c r="P184" s="378" t="s">
        <v>169</v>
      </c>
      <c r="Q184" s="379" t="s">
        <v>170</v>
      </c>
      <c r="R184" s="378" t="s">
        <v>171</v>
      </c>
      <c r="S184" s="379" t="s">
        <v>172</v>
      </c>
      <c r="T184" s="380" t="s">
        <v>173</v>
      </c>
      <c r="U184" s="380" t="s">
        <v>174</v>
      </c>
      <c r="V184" s="380" t="s">
        <v>175</v>
      </c>
      <c r="W184" s="381" t="s">
        <v>176</v>
      </c>
      <c r="X184" s="382" t="s">
        <v>177</v>
      </c>
      <c r="Y184" s="382" t="s">
        <v>178</v>
      </c>
      <c r="Z184" s="382" t="s">
        <v>179</v>
      </c>
      <c r="AA184" s="382" t="s">
        <v>180</v>
      </c>
      <c r="AB184" s="382" t="s">
        <v>181</v>
      </c>
      <c r="AC184" s="383" t="s">
        <v>182</v>
      </c>
      <c r="AD184" s="372"/>
      <c r="AE184" s="293"/>
      <c r="AF184" s="293"/>
    </row>
    <row r="185">
      <c r="A185" s="384">
        <v>46251</v>
      </c>
      <c r="B185" s="385" t="s">
        <v>199</v>
      </c>
      <c r="C185" s="369" t="s">
        <v>184</v>
      </c>
      <c r="D185" s="360">
        <f t="shared" ref="D185:D188" si="31">E185+F185</f>
      </c>
      <c r="E185" s="402">
        <v>471.08</v>
      </c>
      <c r="F185" s="369">
        <v>957.71</v>
      </c>
      <c r="G185" s="369">
        <v>0</v>
      </c>
      <c r="H185" s="369">
        <v>0</v>
      </c>
      <c r="I185" s="387">
        <f t="shared" ref="I185:I204" si="334">H185/D185</f>
      </c>
      <c r="J185" s="388">
        <f t="shared" ref="J185:J204" si="230">Y185/X185</f>
      </c>
      <c r="K185" s="389">
        <f t="shared" ref="K185:K204" si="152">D185/Z185</f>
      </c>
      <c r="L185" s="417">
        <f t="shared" ref="L185:L204" si="256">AA185/Z185</f>
      </c>
      <c r="M185" s="388">
        <f t="shared" ref="M185:M204" si="100">AB185/Z185</f>
      </c>
      <c r="N185" s="389">
        <f t="shared" ref="N185:N204" si="360">D185/AB185</f>
      </c>
      <c r="O185" s="388">
        <f t="shared" ref="O185:O204" si="282">AC185/AB185</f>
      </c>
      <c r="P185" s="388">
        <f t="shared" ref="P185:P204" si="178">G185/AC185</f>
      </c>
      <c r="Q185" s="389">
        <f t="shared" ref="Q185:Q204" si="126">D185/G185</f>
      </c>
      <c r="R185" s="390">
        <f t="shared" ref="R185:R204" si="386">H185/G185</f>
      </c>
      <c r="S185" s="389">
        <f t="shared" ref="S185:S204" si="308">D185/W185</f>
      </c>
      <c r="T185" s="391">
        <f t="shared" ref="T185:T204" si="204">AD185*1000/D185</f>
      </c>
      <c r="U185" s="392" t="s">
        <v>185</v>
      </c>
      <c r="V185" s="423" t="s">
        <v>209</v>
      </c>
      <c r="W185" s="360">
        <v>0</v>
      </c>
      <c r="X185" s="360">
        <v>4032</v>
      </c>
      <c r="Y185" s="360">
        <v>647</v>
      </c>
      <c r="Z185" s="360">
        <v>1131</v>
      </c>
      <c r="AA185" s="360">
        <v>304</v>
      </c>
      <c r="AB185" s="360">
        <v>13</v>
      </c>
      <c r="AC185" s="394">
        <v>6</v>
      </c>
      <c r="AD185" s="364">
        <v>9</v>
      </c>
      <c r="AE185" s="293"/>
      <c r="AF185" s="293"/>
    </row>
    <row r="186">
      <c r="A186" s="384"/>
      <c r="B186" s="385" t="s">
        <v>200</v>
      </c>
      <c r="C186" s="369" t="s">
        <v>184</v>
      </c>
      <c r="D186" s="360">
        <f t="shared" si="31"/>
      </c>
      <c r="E186" s="360">
        <v>662.55</v>
      </c>
      <c r="F186" s="360">
        <v>800.71</v>
      </c>
      <c r="G186" s="369">
        <v>0</v>
      </c>
      <c r="H186" s="369">
        <v>0</v>
      </c>
      <c r="I186" s="387">
        <f t="shared" si="334"/>
      </c>
      <c r="J186" s="388">
        <f t="shared" si="230"/>
      </c>
      <c r="K186" s="389">
        <f t="shared" si="152"/>
      </c>
      <c r="L186" s="417">
        <f t="shared" si="256"/>
      </c>
      <c r="M186" s="388">
        <f t="shared" si="100"/>
      </c>
      <c r="N186" s="389">
        <f t="shared" si="360"/>
      </c>
      <c r="O186" s="388">
        <f t="shared" si="282"/>
      </c>
      <c r="P186" s="388">
        <f t="shared" si="178"/>
      </c>
      <c r="Q186" s="389">
        <f t="shared" si="126"/>
      </c>
      <c r="R186" s="390">
        <f t="shared" si="386"/>
      </c>
      <c r="S186" s="389">
        <f t="shared" si="308"/>
      </c>
      <c r="T186" s="391">
        <f t="shared" si="204"/>
      </c>
      <c r="U186" s="392" t="s">
        <v>185</v>
      </c>
      <c r="V186" s="423" t="s">
        <v>209</v>
      </c>
      <c r="W186" s="360">
        <v>0</v>
      </c>
      <c r="X186" s="360">
        <v>2981</v>
      </c>
      <c r="Y186" s="360">
        <v>562</v>
      </c>
      <c r="Z186" s="360">
        <v>1058</v>
      </c>
      <c r="AA186" s="360">
        <v>253</v>
      </c>
      <c r="AB186" s="360">
        <v>14</v>
      </c>
      <c r="AC186" s="395">
        <v>0</v>
      </c>
      <c r="AD186" s="359">
        <v>10</v>
      </c>
      <c r="AE186" s="293"/>
      <c r="AF186" s="293"/>
    </row>
    <row r="187">
      <c r="A187" s="384"/>
      <c r="B187" s="385" t="s">
        <v>201</v>
      </c>
      <c r="C187" s="369" t="s">
        <v>184</v>
      </c>
      <c r="D187" s="360">
        <f t="shared" si="31"/>
      </c>
      <c r="E187" s="360">
        <v>1929.38</v>
      </c>
      <c r="F187" s="360">
        <v>668.65</v>
      </c>
      <c r="G187" s="369">
        <v>2</v>
      </c>
      <c r="H187" s="360">
        <v>3771.36</v>
      </c>
      <c r="I187" s="387">
        <f t="shared" si="334"/>
      </c>
      <c r="J187" s="388">
        <f t="shared" si="230"/>
      </c>
      <c r="K187" s="389">
        <f t="shared" si="152"/>
      </c>
      <c r="L187" s="417">
        <f t="shared" si="256"/>
      </c>
      <c r="M187" s="388">
        <f t="shared" si="100"/>
      </c>
      <c r="N187" s="389">
        <f t="shared" si="360"/>
      </c>
      <c r="O187" s="388">
        <f t="shared" si="282"/>
      </c>
      <c r="P187" s="388">
        <f t="shared" si="178"/>
      </c>
      <c r="Q187" s="389">
        <f t="shared" si="126"/>
      </c>
      <c r="R187" s="390">
        <f t="shared" si="386"/>
      </c>
      <c r="S187" s="389">
        <f t="shared" si="308"/>
      </c>
      <c r="T187" s="391">
        <f t="shared" si="204"/>
      </c>
      <c r="U187" s="392" t="s">
        <v>185</v>
      </c>
      <c r="V187" s="423" t="s">
        <v>209</v>
      </c>
      <c r="W187" s="360">
        <v>1</v>
      </c>
      <c r="X187" s="360">
        <v>5591</v>
      </c>
      <c r="Y187" s="360">
        <v>586</v>
      </c>
      <c r="Z187" s="360">
        <v>1009</v>
      </c>
      <c r="AA187" s="360">
        <v>267</v>
      </c>
      <c r="AB187" s="360">
        <v>33</v>
      </c>
      <c r="AC187" s="395">
        <v>5</v>
      </c>
      <c r="AD187" s="359">
        <v>15</v>
      </c>
      <c r="AE187" s="293"/>
      <c r="AF187" s="293"/>
    </row>
    <row r="188">
      <c r="A188" s="384"/>
      <c r="B188" s="385" t="s">
        <v>202</v>
      </c>
      <c r="C188" s="369" t="s">
        <v>184</v>
      </c>
      <c r="D188" s="360">
        <f t="shared" si="31"/>
      </c>
      <c r="E188" s="360">
        <v>1859.9299999999998</v>
      </c>
      <c r="F188" s="360">
        <v>598.89</v>
      </c>
      <c r="G188" s="369">
        <v>3</v>
      </c>
      <c r="H188" s="369">
        <v>8045.639999999999</v>
      </c>
      <c r="I188" s="387">
        <f t="shared" si="334"/>
      </c>
      <c r="J188" s="388">
        <f t="shared" si="230"/>
      </c>
      <c r="K188" s="389">
        <f t="shared" si="152"/>
      </c>
      <c r="L188" s="417">
        <f t="shared" si="256"/>
      </c>
      <c r="M188" s="388">
        <f t="shared" si="100"/>
      </c>
      <c r="N188" s="389">
        <f t="shared" si="360"/>
      </c>
      <c r="O188" s="388">
        <f t="shared" si="282"/>
      </c>
      <c r="P188" s="388">
        <f t="shared" si="178"/>
      </c>
      <c r="Q188" s="389">
        <f t="shared" si="126"/>
      </c>
      <c r="R188" s="390">
        <f t="shared" si="386"/>
      </c>
      <c r="S188" s="389">
        <f t="shared" si="308"/>
      </c>
      <c r="T188" s="391">
        <f t="shared" si="204"/>
      </c>
      <c r="U188" s="392" t="s">
        <v>185</v>
      </c>
      <c r="V188" s="423" t="s">
        <v>209</v>
      </c>
      <c r="W188" s="360">
        <v>1</v>
      </c>
      <c r="X188" s="360">
        <v>7891</v>
      </c>
      <c r="Y188" s="360">
        <v>553</v>
      </c>
      <c r="Z188" s="360">
        <v>852</v>
      </c>
      <c r="AA188" s="360">
        <v>194</v>
      </c>
      <c r="AB188" s="360">
        <v>22</v>
      </c>
      <c r="AC188" s="395">
        <v>3</v>
      </c>
      <c r="AD188" s="359">
        <v>15</v>
      </c>
      <c r="AE188" s="293"/>
      <c r="AF188" s="293"/>
    </row>
    <row r="189">
      <c r="A189" s="384"/>
      <c r="B189" s="361" t="s">
        <v>189</v>
      </c>
      <c r="C189" s="361"/>
      <c r="D189" s="361">
        <f>SUM(D185:D188)</f>
      </c>
      <c r="E189" s="361">
        <f>SUM(E185:E188)</f>
      </c>
      <c r="F189" s="361">
        <f>SUM(F185:F188)</f>
      </c>
      <c r="G189" s="361">
        <f>SUM(G185:G188)</f>
      </c>
      <c r="H189" s="361">
        <f>SUM(H185:H188)</f>
      </c>
      <c r="I189" s="396">
        <f t="shared" si="334"/>
      </c>
      <c r="J189" s="397">
        <f t="shared" si="230"/>
      </c>
      <c r="K189" s="398">
        <f t="shared" si="152"/>
      </c>
      <c r="L189" s="418">
        <f t="shared" si="256"/>
      </c>
      <c r="M189" s="397">
        <f t="shared" si="100"/>
      </c>
      <c r="N189" s="398">
        <f t="shared" si="360"/>
      </c>
      <c r="O189" s="397">
        <f t="shared" si="282"/>
      </c>
      <c r="P189" s="397">
        <f t="shared" si="178"/>
      </c>
      <c r="Q189" s="398">
        <f t="shared" si="126"/>
      </c>
      <c r="R189" s="399">
        <f t="shared" si="386"/>
      </c>
      <c r="S189" s="398">
        <f t="shared" si="308"/>
      </c>
      <c r="T189" s="400">
        <f t="shared" si="204"/>
      </c>
      <c r="U189" s="400"/>
      <c r="V189" s="400"/>
      <c r="W189" s="361">
        <f>SUM(W185:W188)</f>
      </c>
      <c r="X189" s="361">
        <f>SUM(X185:X188)</f>
      </c>
      <c r="Y189" s="361">
        <f>SUM(Y185:Y188)</f>
      </c>
      <c r="Z189" s="361">
        <f>SUM(Z185:Z188)</f>
      </c>
      <c r="AA189" s="361">
        <f>SUM(AA185:AA188)</f>
      </c>
      <c r="AB189" s="361">
        <f>SUM(AB185:AB188)</f>
      </c>
      <c r="AC189" s="319">
        <f>SUM(AC185:AC188)</f>
      </c>
      <c r="AD189" s="320">
        <f>SUM(AD185:AD188)</f>
      </c>
      <c r="AE189" s="293"/>
      <c r="AF189" s="293"/>
    </row>
    <row r="190">
      <c r="A190" s="384"/>
      <c r="B190" s="385" t="s">
        <v>203</v>
      </c>
      <c r="C190" s="369" t="s">
        <v>197</v>
      </c>
      <c r="D190" s="360">
        <f t="shared" ref="D190:D193" si="32">E190+F190</f>
      </c>
      <c r="E190" s="360">
        <v>1445.14</v>
      </c>
      <c r="F190" s="360">
        <v>525.43</v>
      </c>
      <c r="G190" s="369">
        <v>1</v>
      </c>
      <c r="H190" s="369">
        <v>739.7999999999993</v>
      </c>
      <c r="I190" s="387">
        <f t="shared" si="334"/>
      </c>
      <c r="J190" s="388">
        <f t="shared" si="230"/>
      </c>
      <c r="K190" s="389">
        <f t="shared" si="152"/>
      </c>
      <c r="L190" s="417">
        <f t="shared" si="256"/>
      </c>
      <c r="M190" s="388">
        <f t="shared" si="100"/>
      </c>
      <c r="N190" s="389">
        <f t="shared" si="360"/>
      </c>
      <c r="O190" s="388">
        <f t="shared" si="282"/>
      </c>
      <c r="P190" s="388">
        <f t="shared" si="178"/>
      </c>
      <c r="Q190" s="389">
        <f t="shared" si="126"/>
      </c>
      <c r="R190" s="390">
        <f t="shared" si="386"/>
      </c>
      <c r="S190" s="389">
        <f t="shared" si="308"/>
      </c>
      <c r="T190" s="391">
        <f t="shared" si="204"/>
      </c>
      <c r="U190" s="392" t="s">
        <v>185</v>
      </c>
      <c r="V190" s="423" t="s">
        <v>209</v>
      </c>
      <c r="W190" s="360">
        <v>1</v>
      </c>
      <c r="X190" s="360">
        <v>5405</v>
      </c>
      <c r="Y190" s="360">
        <v>494</v>
      </c>
      <c r="Z190" s="360">
        <v>852</v>
      </c>
      <c r="AA190" s="360">
        <v>181</v>
      </c>
      <c r="AB190" s="360">
        <v>14</v>
      </c>
      <c r="AC190" s="395">
        <v>4</v>
      </c>
      <c r="AD190" s="359">
        <v>19</v>
      </c>
      <c r="AE190" s="293"/>
      <c r="AF190" s="293"/>
    </row>
    <row r="191">
      <c r="A191" s="384"/>
      <c r="B191" s="385" t="s">
        <v>204</v>
      </c>
      <c r="C191" s="369" t="s">
        <v>197</v>
      </c>
      <c r="D191" s="360">
        <f t="shared" si="32"/>
      </c>
      <c r="E191" s="360">
        <v>1227.23</v>
      </c>
      <c r="F191" s="360">
        <v>462.78</v>
      </c>
      <c r="G191" s="369">
        <v>0</v>
      </c>
      <c r="H191" s="369">
        <v>0</v>
      </c>
      <c r="I191" s="387">
        <f t="shared" si="334"/>
      </c>
      <c r="J191" s="388">
        <f t="shared" si="230"/>
      </c>
      <c r="K191" s="389">
        <f t="shared" si="152"/>
      </c>
      <c r="L191" s="417">
        <f t="shared" si="256"/>
      </c>
      <c r="M191" s="388">
        <f t="shared" si="100"/>
      </c>
      <c r="N191" s="389">
        <f t="shared" si="360"/>
      </c>
      <c r="O191" s="388">
        <f t="shared" si="282"/>
      </c>
      <c r="P191" s="388">
        <f t="shared" si="178"/>
      </c>
      <c r="Q191" s="389">
        <f t="shared" si="126"/>
      </c>
      <c r="R191" s="390">
        <f t="shared" si="386"/>
      </c>
      <c r="S191" s="389">
        <f t="shared" si="308"/>
      </c>
      <c r="T191" s="391">
        <f t="shared" si="204"/>
      </c>
      <c r="U191" s="392" t="s">
        <v>185</v>
      </c>
      <c r="V191" s="423" t="s">
        <v>209</v>
      </c>
      <c r="W191" s="360">
        <v>0</v>
      </c>
      <c r="X191" s="360">
        <v>3967</v>
      </c>
      <c r="Y191" s="360">
        <v>443</v>
      </c>
      <c r="Z191" s="360">
        <v>719</v>
      </c>
      <c r="AA191" s="360">
        <v>179</v>
      </c>
      <c r="AB191" s="360">
        <v>21</v>
      </c>
      <c r="AC191" s="395">
        <v>2</v>
      </c>
      <c r="AD191" s="359">
        <v>17</v>
      </c>
      <c r="AE191" s="293"/>
      <c r="AF191" s="293"/>
    </row>
    <row r="192">
      <c r="A192" s="384"/>
      <c r="B192" s="385" t="s">
        <v>205</v>
      </c>
      <c r="C192" s="369" t="s">
        <v>197</v>
      </c>
      <c r="D192" s="360">
        <f t="shared" si="32"/>
      </c>
      <c r="E192" s="360">
        <v>926.25</v>
      </c>
      <c r="F192" s="360">
        <v>698.1</v>
      </c>
      <c r="G192" s="369">
        <v>2</v>
      </c>
      <c r="H192" s="369">
        <v>6637.920000000002</v>
      </c>
      <c r="I192" s="387">
        <f t="shared" si="334"/>
      </c>
      <c r="J192" s="388">
        <f t="shared" si="230"/>
      </c>
      <c r="K192" s="389">
        <f t="shared" si="152"/>
      </c>
      <c r="L192" s="417">
        <f t="shared" si="256"/>
      </c>
      <c r="M192" s="388">
        <f t="shared" si="100"/>
      </c>
      <c r="N192" s="389">
        <f t="shared" si="360"/>
      </c>
      <c r="O192" s="388">
        <f t="shared" si="282"/>
      </c>
      <c r="P192" s="388">
        <f t="shared" si="178"/>
      </c>
      <c r="Q192" s="389">
        <f t="shared" si="126"/>
      </c>
      <c r="R192" s="390">
        <f t="shared" si="386"/>
      </c>
      <c r="S192" s="389">
        <f t="shared" si="308"/>
      </c>
      <c r="T192" s="391">
        <f t="shared" si="204"/>
      </c>
      <c r="U192" s="392" t="s">
        <v>185</v>
      </c>
      <c r="V192" s="393" t="s">
        <v>186</v>
      </c>
      <c r="W192" s="360">
        <v>1</v>
      </c>
      <c r="X192" s="360">
        <v>4102</v>
      </c>
      <c r="Y192" s="360">
        <v>539</v>
      </c>
      <c r="Z192" s="360">
        <v>931</v>
      </c>
      <c r="AA192" s="360">
        <v>204</v>
      </c>
      <c r="AB192" s="360">
        <v>21</v>
      </c>
      <c r="AC192" s="395">
        <v>2</v>
      </c>
      <c r="AD192" s="359">
        <v>18</v>
      </c>
      <c r="AE192" s="293"/>
      <c r="AF192" s="293"/>
    </row>
    <row r="193">
      <c r="A193" s="384"/>
      <c r="B193" s="419" t="s">
        <v>196</v>
      </c>
      <c r="C193" s="369" t="s">
        <v>197</v>
      </c>
      <c r="D193" s="360">
        <f t="shared" si="32"/>
      </c>
      <c r="E193" s="360">
        <v>1311.55</v>
      </c>
      <c r="F193" s="360">
        <v>830.89</v>
      </c>
      <c r="G193" s="369">
        <v>0</v>
      </c>
      <c r="H193" s="369">
        <v>0</v>
      </c>
      <c r="I193" s="387">
        <f t="shared" si="334"/>
      </c>
      <c r="J193" s="388">
        <f t="shared" si="230"/>
      </c>
      <c r="K193" s="389">
        <f t="shared" si="152"/>
      </c>
      <c r="L193" s="417">
        <f t="shared" si="256"/>
      </c>
      <c r="M193" s="388">
        <f t="shared" si="100"/>
      </c>
      <c r="N193" s="389">
        <f t="shared" si="360"/>
      </c>
      <c r="O193" s="388">
        <f t="shared" si="282"/>
      </c>
      <c r="P193" s="388">
        <f t="shared" si="178"/>
      </c>
      <c r="Q193" s="389">
        <f t="shared" si="126"/>
      </c>
      <c r="R193" s="390">
        <f t="shared" si="386"/>
      </c>
      <c r="S193" s="389">
        <f t="shared" si="308"/>
      </c>
      <c r="T193" s="391">
        <f t="shared" si="204"/>
      </c>
      <c r="U193" s="392" t="s">
        <v>185</v>
      </c>
      <c r="V193" s="393" t="s">
        <v>186</v>
      </c>
      <c r="W193" s="360">
        <v>0</v>
      </c>
      <c r="X193" s="360">
        <v>4690</v>
      </c>
      <c r="Y193" s="360">
        <v>661</v>
      </c>
      <c r="Z193" s="360">
        <v>1169</v>
      </c>
      <c r="AA193" s="360">
        <v>288</v>
      </c>
      <c r="AB193" s="360">
        <v>23</v>
      </c>
      <c r="AC193" s="395">
        <v>0</v>
      </c>
      <c r="AD193" s="359">
        <v>31</v>
      </c>
      <c r="AE193" s="293"/>
      <c r="AF193" s="293"/>
    </row>
    <row r="194">
      <c r="A194" s="384"/>
      <c r="B194" s="361" t="s">
        <v>189</v>
      </c>
      <c r="C194" s="361"/>
      <c r="D194" s="361">
        <f>SUM(D190:D193)</f>
      </c>
      <c r="E194" s="361">
        <f>SUM(E190:E193)</f>
      </c>
      <c r="F194" s="361">
        <f>SUM(F190:F193)</f>
      </c>
      <c r="G194" s="361">
        <f>SUM(G190:G193)</f>
      </c>
      <c r="H194" s="361">
        <f>SUM(H190:H193)</f>
      </c>
      <c r="I194" s="396">
        <f t="shared" si="334"/>
      </c>
      <c r="J194" s="397">
        <f t="shared" si="230"/>
      </c>
      <c r="K194" s="398">
        <f t="shared" si="152"/>
      </c>
      <c r="L194" s="418">
        <f t="shared" si="256"/>
      </c>
      <c r="M194" s="397">
        <f t="shared" si="100"/>
      </c>
      <c r="N194" s="398">
        <f t="shared" si="360"/>
      </c>
      <c r="O194" s="397">
        <f t="shared" si="282"/>
      </c>
      <c r="P194" s="397">
        <f t="shared" si="178"/>
      </c>
      <c r="Q194" s="398">
        <f t="shared" si="126"/>
      </c>
      <c r="R194" s="399">
        <f t="shared" si="386"/>
      </c>
      <c r="S194" s="398">
        <f t="shared" si="308"/>
      </c>
      <c r="T194" s="400">
        <f t="shared" si="204"/>
      </c>
      <c r="U194" s="400"/>
      <c r="V194" s="400"/>
      <c r="W194" s="361">
        <f>SUM(W190:W193)</f>
      </c>
      <c r="X194" s="361">
        <f>SUM(X190:X193)</f>
      </c>
      <c r="Y194" s="361">
        <f>SUM(Y190:Y193)</f>
      </c>
      <c r="Z194" s="361">
        <f>SUM(Z190:Z193)</f>
      </c>
      <c r="AA194" s="361">
        <f>SUM(AA190:AA193)</f>
      </c>
      <c r="AB194" s="361">
        <f>SUM(AB190:AB193)</f>
      </c>
      <c r="AC194" s="361">
        <f>SUM(AC190:AC193)</f>
      </c>
      <c r="AD194" s="361">
        <f>SUM(AD190:AD193)</f>
      </c>
      <c r="AE194" s="293"/>
      <c r="AF194" s="293"/>
    </row>
    <row r="195">
      <c r="A195" s="384"/>
      <c r="B195" s="401" t="s">
        <v>183</v>
      </c>
      <c r="C195" s="369" t="s">
        <v>198</v>
      </c>
      <c r="D195" s="360">
        <f t="shared" ref="D195:D198" si="33">E195+F195</f>
      </c>
      <c r="E195" s="356">
        <v>992.14</v>
      </c>
      <c r="F195" s="356">
        <v>516.68</v>
      </c>
      <c r="G195" s="402">
        <v>1</v>
      </c>
      <c r="H195" s="402">
        <v>7041.5999999999985</v>
      </c>
      <c r="I195" s="420">
        <f t="shared" si="334"/>
      </c>
      <c r="J195" s="421">
        <f t="shared" si="230"/>
      </c>
      <c r="K195" s="422">
        <f t="shared" si="152"/>
      </c>
      <c r="L195" s="388">
        <f t="shared" si="256"/>
      </c>
      <c r="M195" s="388">
        <f t="shared" si="100"/>
      </c>
      <c r="N195" s="389">
        <f t="shared" si="360"/>
      </c>
      <c r="O195" s="388">
        <f t="shared" si="282"/>
      </c>
      <c r="P195" s="388">
        <f t="shared" si="178"/>
      </c>
      <c r="Q195" s="389">
        <f t="shared" si="126"/>
      </c>
      <c r="R195" s="390">
        <f t="shared" si="386"/>
      </c>
      <c r="S195" s="389">
        <f t="shared" si="308"/>
      </c>
      <c r="T195" s="391">
        <f t="shared" si="204"/>
      </c>
      <c r="U195" s="392" t="s">
        <v>185</v>
      </c>
      <c r="V195" s="393" t="s">
        <v>186</v>
      </c>
      <c r="W195" s="360">
        <v>1</v>
      </c>
      <c r="X195" s="360">
        <v>4402</v>
      </c>
      <c r="Y195" s="360">
        <v>492</v>
      </c>
      <c r="Z195" s="360">
        <v>973</v>
      </c>
      <c r="AA195" s="360">
        <v>218</v>
      </c>
      <c r="AB195" s="360">
        <v>9</v>
      </c>
      <c r="AC195" s="395">
        <v>2</v>
      </c>
      <c r="AD195" s="359">
        <v>22</v>
      </c>
      <c r="AE195" s="293"/>
      <c r="AF195" s="293"/>
    </row>
    <row r="196">
      <c r="A196" s="384"/>
      <c r="B196" s="385" t="s">
        <v>187</v>
      </c>
      <c r="C196" s="369" t="s">
        <v>198</v>
      </c>
      <c r="D196" s="360">
        <f t="shared" si="33"/>
      </c>
      <c r="E196" s="360">
        <v>1458.02</v>
      </c>
      <c r="F196" s="360">
        <v>309.28</v>
      </c>
      <c r="G196" s="369">
        <v>1</v>
      </c>
      <c r="H196" s="369">
        <v>2315.1600000000035</v>
      </c>
      <c r="I196" s="387">
        <f t="shared" si="334"/>
      </c>
      <c r="J196" s="388">
        <f t="shared" si="230"/>
      </c>
      <c r="K196" s="389">
        <f t="shared" si="152"/>
      </c>
      <c r="L196" s="388">
        <f t="shared" si="256"/>
      </c>
      <c r="M196" s="388">
        <f t="shared" si="100"/>
      </c>
      <c r="N196" s="389">
        <f t="shared" si="360"/>
      </c>
      <c r="O196" s="388">
        <f t="shared" si="282"/>
      </c>
      <c r="P196" s="388">
        <f t="shared" si="178"/>
      </c>
      <c r="Q196" s="389">
        <f t="shared" si="126"/>
      </c>
      <c r="R196" s="390">
        <f t="shared" si="386"/>
      </c>
      <c r="S196" s="389">
        <f t="shared" si="308"/>
      </c>
      <c r="T196" s="391">
        <f t="shared" si="204"/>
      </c>
      <c r="U196" s="392" t="s">
        <v>185</v>
      </c>
      <c r="V196" s="393" t="s">
        <v>186</v>
      </c>
      <c r="W196" s="360">
        <v>1</v>
      </c>
      <c r="X196" s="360">
        <v>4122</v>
      </c>
      <c r="Y196" s="360">
        <v>448</v>
      </c>
      <c r="Z196" s="360">
        <v>724</v>
      </c>
      <c r="AA196" s="360">
        <v>179</v>
      </c>
      <c r="AB196" s="360">
        <v>11</v>
      </c>
      <c r="AC196" s="395">
        <v>1</v>
      </c>
      <c r="AD196" s="359">
        <v>21</v>
      </c>
      <c r="AE196" s="293"/>
      <c r="AF196" s="293"/>
    </row>
    <row r="197">
      <c r="A197" s="384"/>
      <c r="B197" s="385" t="s">
        <v>188</v>
      </c>
      <c r="C197" s="369" t="s">
        <v>198</v>
      </c>
      <c r="D197" s="360">
        <f t="shared" si="33"/>
      </c>
      <c r="E197" s="360">
        <v>1450.28</v>
      </c>
      <c r="F197" s="360">
        <v>198.31</v>
      </c>
      <c r="G197" s="369">
        <v>0</v>
      </c>
      <c r="H197" s="369">
        <v>0</v>
      </c>
      <c r="I197" s="387">
        <f t="shared" si="334"/>
      </c>
      <c r="J197" s="388">
        <f t="shared" si="230"/>
      </c>
      <c r="K197" s="389">
        <f t="shared" si="152"/>
      </c>
      <c r="L197" s="388">
        <f t="shared" si="256"/>
      </c>
      <c r="M197" s="388">
        <f t="shared" si="100"/>
      </c>
      <c r="N197" s="389">
        <f t="shared" si="360"/>
      </c>
      <c r="O197" s="388">
        <f t="shared" si="282"/>
      </c>
      <c r="P197" s="388">
        <f t="shared" si="178"/>
      </c>
      <c r="Q197" s="389">
        <f t="shared" si="126"/>
      </c>
      <c r="R197" s="390">
        <f t="shared" si="386"/>
      </c>
      <c r="S197" s="389">
        <f t="shared" si="308"/>
      </c>
      <c r="T197" s="391">
        <f t="shared" si="204"/>
      </c>
      <c r="U197" s="392" t="s">
        <v>185</v>
      </c>
      <c r="V197" s="393" t="s">
        <v>186</v>
      </c>
      <c r="W197" s="360">
        <v>0</v>
      </c>
      <c r="X197" s="360">
        <v>3267</v>
      </c>
      <c r="Y197" s="360">
        <v>449</v>
      </c>
      <c r="Z197" s="360">
        <v>634</v>
      </c>
      <c r="AA197" s="360">
        <v>149</v>
      </c>
      <c r="AB197" s="360">
        <v>3</v>
      </c>
      <c r="AC197" s="395">
        <v>0</v>
      </c>
      <c r="AD197" s="359">
        <v>10</v>
      </c>
      <c r="AE197" s="293"/>
      <c r="AF197" s="293"/>
    </row>
    <row r="198">
      <c r="A198" s="384"/>
      <c r="B198" s="385" t="s">
        <v>190</v>
      </c>
      <c r="C198" s="369" t="s">
        <v>198</v>
      </c>
      <c r="D198" s="360">
        <f t="shared" si="33"/>
      </c>
      <c r="E198" s="360">
        <v>1574.5700000000002</v>
      </c>
      <c r="F198" s="360">
        <v>363.17</v>
      </c>
      <c r="G198" s="369">
        <v>1</v>
      </c>
      <c r="H198" s="369">
        <v>3703.3199999999997</v>
      </c>
      <c r="I198" s="387">
        <f t="shared" si="334"/>
      </c>
      <c r="J198" s="388">
        <f t="shared" si="230"/>
      </c>
      <c r="K198" s="389">
        <f t="shared" si="152"/>
      </c>
      <c r="L198" s="388">
        <f t="shared" si="256"/>
      </c>
      <c r="M198" s="388">
        <f t="shared" si="100"/>
      </c>
      <c r="N198" s="389">
        <f t="shared" si="360"/>
      </c>
      <c r="O198" s="388">
        <f t="shared" si="282"/>
      </c>
      <c r="P198" s="388">
        <f t="shared" si="178"/>
      </c>
      <c r="Q198" s="389">
        <f t="shared" si="126"/>
      </c>
      <c r="R198" s="390">
        <f t="shared" si="386"/>
      </c>
      <c r="S198" s="389">
        <f t="shared" si="308"/>
      </c>
      <c r="T198" s="391">
        <f t="shared" si="204"/>
      </c>
      <c r="U198" s="392" t="s">
        <v>185</v>
      </c>
      <c r="V198" s="393" t="s">
        <v>186</v>
      </c>
      <c r="W198" s="360">
        <v>1</v>
      </c>
      <c r="X198" s="360">
        <v>5477</v>
      </c>
      <c r="Y198" s="360">
        <v>592</v>
      </c>
      <c r="Z198" s="360">
        <v>964</v>
      </c>
      <c r="AA198" s="360">
        <v>222</v>
      </c>
      <c r="AB198" s="360">
        <v>11</v>
      </c>
      <c r="AC198" s="395">
        <v>1</v>
      </c>
      <c r="AD198" s="359">
        <v>17</v>
      </c>
      <c r="AE198" s="293"/>
      <c r="AF198" s="293"/>
    </row>
    <row r="199">
      <c r="A199" s="384"/>
      <c r="B199" s="361" t="s">
        <v>189</v>
      </c>
      <c r="C199" s="361"/>
      <c r="D199" s="361">
        <f>SUM(D195:D198)</f>
      </c>
      <c r="E199" s="362">
        <f>SUM(E195:E198)</f>
      </c>
      <c r="F199" s="362">
        <f>SUM(F195:F198)</f>
      </c>
      <c r="G199" s="343">
        <f>SUM(G195:G198)</f>
      </c>
      <c r="H199" s="343">
        <f>SUM(H195:H198)</f>
      </c>
      <c r="I199" s="344">
        <f t="shared" si="334"/>
      </c>
      <c r="J199" s="345">
        <f t="shared" si="230"/>
      </c>
      <c r="K199" s="323">
        <f t="shared" si="152"/>
      </c>
      <c r="L199" s="322">
        <f t="shared" si="256"/>
      </c>
      <c r="M199" s="322">
        <f t="shared" si="100"/>
      </c>
      <c r="N199" s="323">
        <f t="shared" si="360"/>
      </c>
      <c r="O199" s="322">
        <f t="shared" si="282"/>
      </c>
      <c r="P199" s="322">
        <f t="shared" si="178"/>
      </c>
      <c r="Q199" s="324">
        <f t="shared" si="126"/>
      </c>
      <c r="R199" s="325">
        <f t="shared" si="386"/>
      </c>
      <c r="S199" s="324">
        <f t="shared" si="308"/>
      </c>
      <c r="T199" s="326">
        <f t="shared" si="204"/>
      </c>
      <c r="U199" s="326"/>
      <c r="V199" s="326"/>
      <c r="W199" s="320">
        <f>SUM(W195:W198)</f>
      </c>
      <c r="X199" s="320">
        <f>SUM(X195:X198)</f>
      </c>
      <c r="Y199" s="320">
        <f>SUM(Y195:Y198)</f>
      </c>
      <c r="Z199" s="320">
        <f>SUM(Z195:Z198)</f>
      </c>
      <c r="AA199" s="320">
        <f>SUM(AA195:AA198)</f>
      </c>
      <c r="AB199" s="320">
        <f>SUM(AB195:AB198)</f>
      </c>
      <c r="AC199" s="320">
        <f>SUM(AC195:AC198)</f>
      </c>
      <c r="AD199" s="320">
        <f>SUM(AD195:AD198)</f>
      </c>
      <c r="AE199" s="293"/>
      <c r="AF199" s="293"/>
    </row>
    <row r="200">
      <c r="A200" s="384"/>
      <c r="B200" s="360" t="s">
        <v>192</v>
      </c>
      <c r="C200" s="369" t="s">
        <v>210</v>
      </c>
      <c r="D200" s="346">
        <f t="shared" ref="D200:D202" si="34">E200+F200</f>
      </c>
      <c r="E200" s="347">
        <v>3436.1</v>
      </c>
      <c r="F200" s="347">
        <v>421.69</v>
      </c>
      <c r="G200" s="364">
        <v>2</v>
      </c>
      <c r="H200" s="364">
        <v>1896.4800000000032</v>
      </c>
      <c r="I200" s="349">
        <f t="shared" si="334"/>
      </c>
      <c r="J200" s="312">
        <f t="shared" si="230"/>
      </c>
      <c r="K200" s="313">
        <f t="shared" si="152"/>
      </c>
      <c r="L200" s="312">
        <f t="shared" si="256"/>
      </c>
      <c r="M200" s="312">
        <f t="shared" si="100"/>
      </c>
      <c r="N200" s="313">
        <f t="shared" si="360"/>
      </c>
      <c r="O200" s="312">
        <f t="shared" si="282"/>
      </c>
      <c r="P200" s="312">
        <f t="shared" si="178"/>
      </c>
      <c r="Q200" s="314">
        <f t="shared" si="126"/>
      </c>
      <c r="R200" s="315">
        <f t="shared" si="386"/>
      </c>
      <c r="S200" s="314">
        <f t="shared" si="308"/>
      </c>
      <c r="T200" s="316">
        <f t="shared" si="204"/>
      </c>
      <c r="U200" s="317" t="s">
        <v>185</v>
      </c>
      <c r="V200" s="318" t="s">
        <v>186</v>
      </c>
      <c r="W200" s="310">
        <v>2</v>
      </c>
      <c r="X200" s="310">
        <v>10641</v>
      </c>
      <c r="Y200" s="310">
        <v>651</v>
      </c>
      <c r="Z200" s="310">
        <v>1040</v>
      </c>
      <c r="AA200" s="310">
        <v>216</v>
      </c>
      <c r="AB200" s="310">
        <v>9</v>
      </c>
      <c r="AC200" s="359">
        <v>2</v>
      </c>
      <c r="AD200" s="359">
        <v>30</v>
      </c>
      <c r="AE200" s="293"/>
      <c r="AF200" s="293"/>
    </row>
    <row r="201">
      <c r="A201" s="384"/>
      <c r="B201" s="360" t="s">
        <v>193</v>
      </c>
      <c r="C201" s="369" t="s">
        <v>210</v>
      </c>
      <c r="D201" s="346">
        <f t="shared" si="34"/>
      </c>
      <c r="E201" s="309">
        <v>3018.25</v>
      </c>
      <c r="F201" s="309">
        <v>344.53</v>
      </c>
      <c r="G201" s="359">
        <v>0</v>
      </c>
      <c r="H201" s="359">
        <v>0</v>
      </c>
      <c r="I201" s="311">
        <f t="shared" si="334"/>
      </c>
      <c r="J201" s="312">
        <f t="shared" si="230"/>
      </c>
      <c r="K201" s="313">
        <f t="shared" si="152"/>
      </c>
      <c r="L201" s="312">
        <f t="shared" si="256"/>
      </c>
      <c r="M201" s="312">
        <f t="shared" si="100"/>
      </c>
      <c r="N201" s="313">
        <f t="shared" si="360"/>
      </c>
      <c r="O201" s="312">
        <f t="shared" si="282"/>
      </c>
      <c r="P201" s="312">
        <f t="shared" si="178"/>
      </c>
      <c r="Q201" s="314">
        <f t="shared" si="126"/>
      </c>
      <c r="R201" s="315">
        <f t="shared" si="386"/>
      </c>
      <c r="S201" s="314">
        <f t="shared" si="308"/>
      </c>
      <c r="T201" s="316">
        <f t="shared" si="204"/>
      </c>
      <c r="U201" s="317" t="s">
        <v>185</v>
      </c>
      <c r="V201" s="318" t="s">
        <v>186</v>
      </c>
      <c r="W201" s="310">
        <v>0</v>
      </c>
      <c r="X201" s="310">
        <v>7610</v>
      </c>
      <c r="Y201" s="310">
        <v>717</v>
      </c>
      <c r="Z201" s="310">
        <v>1022</v>
      </c>
      <c r="AA201" s="310">
        <v>222</v>
      </c>
      <c r="AB201" s="310">
        <v>14</v>
      </c>
      <c r="AC201" s="359">
        <v>1</v>
      </c>
      <c r="AD201" s="359">
        <v>24</v>
      </c>
      <c r="AE201" s="293"/>
      <c r="AF201" s="293"/>
    </row>
    <row r="202">
      <c r="A202" s="384"/>
      <c r="B202" s="360" t="s">
        <v>194</v>
      </c>
      <c r="C202" s="369" t="s">
        <v>210</v>
      </c>
      <c r="D202" s="346">
        <f t="shared" si="34"/>
      </c>
      <c r="E202" s="309">
        <v>1229.71</v>
      </c>
      <c r="F202" s="309">
        <v>223.7</v>
      </c>
      <c r="G202" s="359">
        <v>0</v>
      </c>
      <c r="H202" s="359">
        <v>0</v>
      </c>
      <c r="I202" s="311">
        <f t="shared" si="334"/>
      </c>
      <c r="J202" s="312">
        <f t="shared" si="230"/>
      </c>
      <c r="K202" s="313">
        <f t="shared" si="152"/>
      </c>
      <c r="L202" s="312">
        <f t="shared" si="256"/>
      </c>
      <c r="M202" s="312">
        <f t="shared" si="100"/>
      </c>
      <c r="N202" s="313">
        <f t="shared" si="360"/>
      </c>
      <c r="O202" s="312">
        <f t="shared" si="282"/>
      </c>
      <c r="P202" s="312">
        <f t="shared" si="178"/>
      </c>
      <c r="Q202" s="314">
        <f t="shared" si="126"/>
      </c>
      <c r="R202" s="315">
        <f t="shared" si="386"/>
      </c>
      <c r="S202" s="314">
        <f t="shared" si="308"/>
      </c>
      <c r="T202" s="316">
        <f t="shared" si="204"/>
      </c>
      <c r="U202" s="317" t="s">
        <v>185</v>
      </c>
      <c r="V202" s="318" t="s">
        <v>186</v>
      </c>
      <c r="W202" s="310">
        <v>0</v>
      </c>
      <c r="X202" s="310">
        <v>3286</v>
      </c>
      <c r="Y202" s="310">
        <v>401</v>
      </c>
      <c r="Z202" s="310">
        <v>654</v>
      </c>
      <c r="AA202" s="310">
        <v>126</v>
      </c>
      <c r="AB202" s="310">
        <v>9</v>
      </c>
      <c r="AC202" s="359">
        <v>0</v>
      </c>
      <c r="AD202" s="359">
        <v>19</v>
      </c>
      <c r="AE202" s="293"/>
      <c r="AF202" s="293"/>
    </row>
    <row r="203">
      <c r="A203" s="384"/>
      <c r="B203" s="361" t="s">
        <v>189</v>
      </c>
      <c r="C203" s="361"/>
      <c r="D203" s="319">
        <f>SUM(D200:D202)</f>
      </c>
      <c r="E203" s="319">
        <f>SUM(E200:E202)</f>
      </c>
      <c r="F203" s="319">
        <f>SUM(F200:F202)</f>
      </c>
      <c r="G203" s="319">
        <f>SUM(G200:G202)</f>
      </c>
      <c r="H203" s="319">
        <f>SUM(H200:H202)</f>
      </c>
      <c r="I203" s="321">
        <f t="shared" si="334"/>
      </c>
      <c r="J203" s="322">
        <f t="shared" si="230"/>
      </c>
      <c r="K203" s="323">
        <f t="shared" si="152"/>
      </c>
      <c r="L203" s="322">
        <f t="shared" si="256"/>
      </c>
      <c r="M203" s="322">
        <f t="shared" si="100"/>
      </c>
      <c r="N203" s="323">
        <f t="shared" si="360"/>
      </c>
      <c r="O203" s="322">
        <f t="shared" si="282"/>
      </c>
      <c r="P203" s="322">
        <f t="shared" si="178"/>
      </c>
      <c r="Q203" s="324">
        <f t="shared" si="126"/>
      </c>
      <c r="R203" s="325">
        <f t="shared" si="386"/>
      </c>
      <c r="S203" s="324">
        <f t="shared" si="308"/>
      </c>
      <c r="T203" s="326">
        <f t="shared" si="204"/>
      </c>
      <c r="U203" s="326"/>
      <c r="V203" s="326"/>
      <c r="W203" s="320">
        <f>SUM(W200:W202)</f>
      </c>
      <c r="X203" s="320">
        <f>SUM(X200:X202)</f>
      </c>
      <c r="Y203" s="320">
        <f>SUM(Y200:Y202)</f>
      </c>
      <c r="Z203" s="320">
        <f>SUM(Z200:Z202)</f>
      </c>
      <c r="AA203" s="320">
        <f>SUM(AA200:AA202)</f>
      </c>
      <c r="AB203" s="320">
        <f>SUM(AB200:AB202)</f>
      </c>
      <c r="AC203" s="320">
        <f>SUM(AC200:AC202)</f>
      </c>
      <c r="AD203" s="320">
        <f>SUM(AD200:AD202)</f>
      </c>
      <c r="AE203" s="293"/>
      <c r="AF203" s="293"/>
    </row>
    <row r="204">
      <c r="A204" s="384"/>
      <c r="B204" s="366" t="s">
        <v>195</v>
      </c>
      <c r="C204" s="366"/>
      <c r="D204" s="367">
        <f>+D194+D189+D199+D203</f>
      </c>
      <c r="E204" s="367">
        <f>+E194+E189+E199+E203</f>
      </c>
      <c r="F204" s="367">
        <f>+F194+F189+F199+F203</f>
      </c>
      <c r="G204" s="367">
        <f>+G194+G189+G199+G203</f>
      </c>
      <c r="H204" s="367">
        <f>+H194+H189+H199+H203</f>
      </c>
      <c r="I204" s="328">
        <f t="shared" si="334"/>
      </c>
      <c r="J204" s="329">
        <f t="shared" si="230"/>
      </c>
      <c r="K204" s="330">
        <f t="shared" si="152"/>
      </c>
      <c r="L204" s="331">
        <f t="shared" si="256"/>
      </c>
      <c r="M204" s="331">
        <f t="shared" si="100"/>
      </c>
      <c r="N204" s="330">
        <f t="shared" si="360"/>
      </c>
      <c r="O204" s="331">
        <f t="shared" si="282"/>
      </c>
      <c r="P204" s="331">
        <f t="shared" si="178"/>
      </c>
      <c r="Q204" s="330">
        <f t="shared" si="126"/>
      </c>
      <c r="R204" s="332">
        <f t="shared" si="386"/>
      </c>
      <c r="S204" s="330">
        <f t="shared" si="308"/>
      </c>
      <c r="T204" s="333">
        <f t="shared" si="204"/>
      </c>
      <c r="U204" s="333"/>
      <c r="V204" s="333"/>
      <c r="W204" s="328">
        <f>+W194+W189+W199+W203</f>
      </c>
      <c r="X204" s="328">
        <f>+X194+X189+X199+X203</f>
      </c>
      <c r="Y204" s="328">
        <f>+Y194+Y189+Y199+Y203</f>
      </c>
      <c r="Z204" s="328">
        <f>+Z194+Z189+Z199+Z203</f>
      </c>
      <c r="AA204" s="328">
        <f>+AA194+AA189+AA199+AA203</f>
      </c>
      <c r="AB204" s="328">
        <f>+AB194+AB189+AB199+AB203</f>
      </c>
      <c r="AC204" s="328">
        <f>+AC194+AC189+AC199+AC203</f>
      </c>
      <c r="AD204" s="328">
        <f>+AD194+AD189+AD199+AD203</f>
      </c>
      <c r="AE204" s="293"/>
      <c r="AF204" s="293"/>
    </row>
    <row r="205">
      <c r="A205" s="352" t="s">
        <v>150</v>
      </c>
      <c r="B205" s="352"/>
      <c r="C205" s="352"/>
      <c r="D205" s="334" t="s">
        <v>151</v>
      </c>
      <c r="E205" s="334"/>
      <c r="F205" s="334"/>
      <c r="G205" s="334"/>
      <c r="H205" s="334"/>
      <c r="I205" s="334"/>
      <c r="J205" s="377" t="s">
        <v>152</v>
      </c>
      <c r="K205" s="377"/>
      <c r="L205" s="377"/>
      <c r="M205" s="377"/>
      <c r="N205" s="377"/>
      <c r="O205" s="377"/>
      <c r="P205" s="377"/>
      <c r="Q205" s="377"/>
      <c r="R205" s="377"/>
      <c r="S205" s="377"/>
      <c r="T205" s="370"/>
      <c r="U205" s="370"/>
      <c r="V205" s="370"/>
      <c r="W205" s="371"/>
      <c r="X205" s="371"/>
      <c r="Y205" s="371"/>
      <c r="Z205" s="371"/>
      <c r="AA205" s="371"/>
      <c r="AB205" s="371"/>
      <c r="AC205" s="371"/>
      <c r="AD205" s="372" t="s">
        <v>153</v>
      </c>
      <c r="AE205" s="293"/>
      <c r="AF205" s="293"/>
    </row>
    <row r="206">
      <c r="A206" s="354" t="s">
        <v>154</v>
      </c>
      <c r="B206" s="352" t="s">
        <v>155</v>
      </c>
      <c r="C206" s="352" t="s">
        <v>156</v>
      </c>
      <c r="D206" s="428" t="s">
        <v>157</v>
      </c>
      <c r="E206" s="427" t="s">
        <v>158</v>
      </c>
      <c r="F206" s="427" t="s">
        <v>159</v>
      </c>
      <c r="G206" s="414" t="s">
        <v>160</v>
      </c>
      <c r="H206" s="412" t="s">
        <v>161</v>
      </c>
      <c r="I206" s="413" t="s">
        <v>162</v>
      </c>
      <c r="J206" s="415" t="s">
        <v>163</v>
      </c>
      <c r="K206" s="415" t="s">
        <v>164</v>
      </c>
      <c r="L206" s="416" t="s">
        <v>165</v>
      </c>
      <c r="M206" s="378" t="s">
        <v>166</v>
      </c>
      <c r="N206" s="377" t="s">
        <v>167</v>
      </c>
      <c r="O206" s="378" t="s">
        <v>168</v>
      </c>
      <c r="P206" s="378" t="s">
        <v>169</v>
      </c>
      <c r="Q206" s="379" t="s">
        <v>170</v>
      </c>
      <c r="R206" s="378" t="s">
        <v>171</v>
      </c>
      <c r="S206" s="379" t="s">
        <v>172</v>
      </c>
      <c r="T206" s="380" t="s">
        <v>173</v>
      </c>
      <c r="U206" s="380" t="s">
        <v>174</v>
      </c>
      <c r="V206" s="380" t="s">
        <v>175</v>
      </c>
      <c r="W206" s="381" t="s">
        <v>176</v>
      </c>
      <c r="X206" s="382" t="s">
        <v>177</v>
      </c>
      <c r="Y206" s="382" t="s">
        <v>178</v>
      </c>
      <c r="Z206" s="382" t="s">
        <v>179</v>
      </c>
      <c r="AA206" s="382" t="s">
        <v>180</v>
      </c>
      <c r="AB206" s="382" t="s">
        <v>181</v>
      </c>
      <c r="AC206" s="383" t="s">
        <v>182</v>
      </c>
      <c r="AD206" s="372"/>
      <c r="AE206" s="293"/>
      <c r="AF206" s="293"/>
    </row>
    <row r="207">
      <c r="A207" s="384">
        <v>46252</v>
      </c>
      <c r="B207" s="385" t="s">
        <v>199</v>
      </c>
      <c r="C207" s="369" t="s">
        <v>184</v>
      </c>
      <c r="D207" s="360">
        <f t="shared" ref="D207:D210" si="35">E207+F207</f>
      </c>
      <c r="E207" s="402">
        <v>1692.49</v>
      </c>
      <c r="F207" s="369">
        <v>388.44</v>
      </c>
      <c r="G207" s="369">
        <v>1</v>
      </c>
      <c r="H207" s="369">
        <v>2162.4</v>
      </c>
      <c r="I207" s="387">
        <f t="shared" ref="I207:I226" si="335">H207/D207</f>
      </c>
      <c r="J207" s="388">
        <f t="shared" ref="J207:J226" si="231">Y207/X207</f>
      </c>
      <c r="K207" s="389">
        <f t="shared" ref="K207:K226" si="153">D207/Z207</f>
      </c>
      <c r="L207" s="417">
        <f t="shared" ref="L207:L226" si="257">AA207/Z207</f>
      </c>
      <c r="M207" s="388">
        <f t="shared" ref="M207:M226" si="101">AB207/Z207</f>
      </c>
      <c r="N207" s="389">
        <f t="shared" ref="N207:N226" si="361">D207/AB207</f>
      </c>
      <c r="O207" s="388">
        <f t="shared" ref="O207:O226" si="283">AC207/AB207</f>
      </c>
      <c r="P207" s="388">
        <f t="shared" ref="P207:P226" si="179">G207/AC207</f>
      </c>
      <c r="Q207" s="389">
        <f t="shared" ref="Q207:Q226" si="127">D207/G207</f>
      </c>
      <c r="R207" s="390">
        <f t="shared" ref="R207:R226" si="387">H207/G207</f>
      </c>
      <c r="S207" s="389">
        <f t="shared" ref="S207:S226" si="309">D207/W207</f>
      </c>
      <c r="T207" s="391">
        <f t="shared" ref="T207:T226" si="205">AD207*1000/D207</f>
      </c>
      <c r="U207" s="392" t="s">
        <v>185</v>
      </c>
      <c r="V207" s="423" t="s">
        <v>209</v>
      </c>
      <c r="W207" s="360">
        <v>0</v>
      </c>
      <c r="X207" s="360">
        <v>4496</v>
      </c>
      <c r="Y207" s="360">
        <v>517</v>
      </c>
      <c r="Z207" s="360">
        <v>859</v>
      </c>
      <c r="AA207" s="360">
        <v>213</v>
      </c>
      <c r="AB207" s="360">
        <v>15</v>
      </c>
      <c r="AC207" s="394">
        <v>1</v>
      </c>
      <c r="AD207" s="364">
        <v>19</v>
      </c>
      <c r="AE207" s="293"/>
      <c r="AF207" s="293"/>
    </row>
    <row r="208">
      <c r="A208" s="384"/>
      <c r="B208" s="385" t="s">
        <v>200</v>
      </c>
      <c r="C208" s="369" t="s">
        <v>184</v>
      </c>
      <c r="D208" s="360">
        <f t="shared" si="35"/>
      </c>
      <c r="E208" s="360">
        <v>997.5</v>
      </c>
      <c r="F208" s="360">
        <v>630.92</v>
      </c>
      <c r="G208" s="369">
        <v>1</v>
      </c>
      <c r="H208" s="369">
        <v>2032.44</v>
      </c>
      <c r="I208" s="387">
        <f t="shared" si="335"/>
      </c>
      <c r="J208" s="388">
        <f t="shared" si="231"/>
      </c>
      <c r="K208" s="389">
        <f t="shared" si="153"/>
      </c>
      <c r="L208" s="417">
        <f t="shared" si="257"/>
      </c>
      <c r="M208" s="388">
        <f t="shared" si="101"/>
      </c>
      <c r="N208" s="389">
        <f t="shared" si="361"/>
      </c>
      <c r="O208" s="388">
        <f t="shared" si="283"/>
      </c>
      <c r="P208" s="388">
        <f t="shared" si="179"/>
      </c>
      <c r="Q208" s="389">
        <f t="shared" si="127"/>
      </c>
      <c r="R208" s="390">
        <f t="shared" si="387"/>
      </c>
      <c r="S208" s="389">
        <f t="shared" si="309"/>
      </c>
      <c r="T208" s="391">
        <f t="shared" si="205"/>
      </c>
      <c r="U208" s="392" t="s">
        <v>185</v>
      </c>
      <c r="V208" s="423" t="s">
        <v>209</v>
      </c>
      <c r="W208" s="360">
        <v>0</v>
      </c>
      <c r="X208" s="360">
        <v>3661</v>
      </c>
      <c r="Y208" s="360">
        <v>560</v>
      </c>
      <c r="Z208" s="360">
        <v>950</v>
      </c>
      <c r="AA208" s="360">
        <v>217</v>
      </c>
      <c r="AB208" s="360">
        <v>8</v>
      </c>
      <c r="AC208" s="395">
        <v>2</v>
      </c>
      <c r="AD208" s="359">
        <v>11</v>
      </c>
      <c r="AE208" s="293"/>
      <c r="AF208" s="293"/>
    </row>
    <row r="209">
      <c r="A209" s="384"/>
      <c r="B209" s="385" t="s">
        <v>201</v>
      </c>
      <c r="C209" s="369" t="s">
        <v>184</v>
      </c>
      <c r="D209" s="360">
        <f t="shared" si="35"/>
      </c>
      <c r="E209" s="360">
        <v>3542.94</v>
      </c>
      <c r="F209" s="360">
        <v>642.42</v>
      </c>
      <c r="G209" s="369">
        <v>2</v>
      </c>
      <c r="H209" s="360">
        <v>3713.16</v>
      </c>
      <c r="I209" s="387">
        <f t="shared" si="335"/>
      </c>
      <c r="J209" s="388">
        <f t="shared" si="231"/>
      </c>
      <c r="K209" s="389">
        <f t="shared" si="153"/>
      </c>
      <c r="L209" s="417">
        <f t="shared" si="257"/>
      </c>
      <c r="M209" s="388">
        <f t="shared" si="101"/>
      </c>
      <c r="N209" s="389">
        <f t="shared" si="361"/>
      </c>
      <c r="O209" s="388">
        <f t="shared" si="283"/>
      </c>
      <c r="P209" s="388">
        <f t="shared" si="179"/>
      </c>
      <c r="Q209" s="389">
        <f t="shared" si="127"/>
      </c>
      <c r="R209" s="390">
        <f t="shared" si="387"/>
      </c>
      <c r="S209" s="389">
        <f t="shared" si="309"/>
      </c>
      <c r="T209" s="391">
        <f t="shared" si="205"/>
      </c>
      <c r="U209" s="392" t="s">
        <v>185</v>
      </c>
      <c r="V209" s="423" t="s">
        <v>209</v>
      </c>
      <c r="W209" s="360">
        <v>2</v>
      </c>
      <c r="X209" s="360">
        <v>9914</v>
      </c>
      <c r="Y209" s="360">
        <v>628</v>
      </c>
      <c r="Z209" s="360">
        <v>1050</v>
      </c>
      <c r="AA209" s="360">
        <v>252</v>
      </c>
      <c r="AB209" s="360">
        <v>64</v>
      </c>
      <c r="AC209" s="395">
        <v>6</v>
      </c>
      <c r="AD209" s="359">
        <v>34</v>
      </c>
      <c r="AE209" s="293"/>
      <c r="AF209" s="293"/>
    </row>
    <row r="210">
      <c r="A210" s="384"/>
      <c r="B210" s="385" t="s">
        <v>202</v>
      </c>
      <c r="C210" s="369" t="s">
        <v>184</v>
      </c>
      <c r="D210" s="360">
        <f t="shared" si="35"/>
      </c>
      <c r="E210" s="360">
        <v>1976.45</v>
      </c>
      <c r="F210" s="360">
        <v>549.24</v>
      </c>
      <c r="G210" s="369">
        <v>1</v>
      </c>
      <c r="H210" s="369">
        <v>2725.5599999999995</v>
      </c>
      <c r="I210" s="387">
        <f t="shared" si="335"/>
      </c>
      <c r="J210" s="388">
        <f t="shared" si="231"/>
      </c>
      <c r="K210" s="389">
        <f t="shared" si="153"/>
      </c>
      <c r="L210" s="417">
        <f t="shared" si="257"/>
      </c>
      <c r="M210" s="388">
        <f t="shared" si="101"/>
      </c>
      <c r="N210" s="389">
        <f t="shared" si="361"/>
      </c>
      <c r="O210" s="388">
        <f t="shared" si="283"/>
      </c>
      <c r="P210" s="388">
        <f t="shared" si="179"/>
      </c>
      <c r="Q210" s="389">
        <f t="shared" si="127"/>
      </c>
      <c r="R210" s="390">
        <f t="shared" si="387"/>
      </c>
      <c r="S210" s="389">
        <f t="shared" si="309"/>
      </c>
      <c r="T210" s="391">
        <f t="shared" si="205"/>
      </c>
      <c r="U210" s="392" t="s">
        <v>185</v>
      </c>
      <c r="V210" s="423" t="s">
        <v>209</v>
      </c>
      <c r="W210" s="360">
        <v>1</v>
      </c>
      <c r="X210" s="360">
        <v>8379</v>
      </c>
      <c r="Y210" s="360">
        <v>467</v>
      </c>
      <c r="Z210" s="360">
        <v>808</v>
      </c>
      <c r="AA210" s="360">
        <v>183</v>
      </c>
      <c r="AB210" s="360">
        <v>42</v>
      </c>
      <c r="AC210" s="395">
        <v>7</v>
      </c>
      <c r="AD210" s="359">
        <v>19</v>
      </c>
      <c r="AE210" s="293"/>
      <c r="AF210" s="293"/>
    </row>
    <row r="211">
      <c r="A211" s="384"/>
      <c r="B211" s="361" t="s">
        <v>189</v>
      </c>
      <c r="C211" s="361"/>
      <c r="D211" s="361">
        <f>SUM(D207:D210)</f>
      </c>
      <c r="E211" s="361">
        <f>SUM(E207:E210)</f>
      </c>
      <c r="F211" s="361">
        <f>SUM(F207:F210)</f>
      </c>
      <c r="G211" s="361">
        <f>SUM(G207:G210)</f>
      </c>
      <c r="H211" s="361">
        <f>SUM(H207:H210)</f>
      </c>
      <c r="I211" s="396">
        <f t="shared" si="335"/>
      </c>
      <c r="J211" s="397">
        <f t="shared" si="231"/>
      </c>
      <c r="K211" s="398">
        <f t="shared" si="153"/>
      </c>
      <c r="L211" s="418">
        <f t="shared" si="257"/>
      </c>
      <c r="M211" s="397">
        <f t="shared" si="101"/>
      </c>
      <c r="N211" s="398">
        <f t="shared" si="361"/>
      </c>
      <c r="O211" s="397">
        <f t="shared" si="283"/>
      </c>
      <c r="P211" s="397">
        <f t="shared" si="179"/>
      </c>
      <c r="Q211" s="398">
        <f t="shared" si="127"/>
      </c>
      <c r="R211" s="399">
        <f t="shared" si="387"/>
      </c>
      <c r="S211" s="398">
        <f t="shared" si="309"/>
      </c>
      <c r="T211" s="400">
        <f t="shared" si="205"/>
      </c>
      <c r="U211" s="400"/>
      <c r="V211" s="400"/>
      <c r="W211" s="361">
        <f>SUM(W207:W210)</f>
      </c>
      <c r="X211" s="361">
        <f>SUM(X207:X210)</f>
      </c>
      <c r="Y211" s="361">
        <f>SUM(Y207:Y210)</f>
      </c>
      <c r="Z211" s="361">
        <f>SUM(Z207:Z210)</f>
      </c>
      <c r="AA211" s="361">
        <f>SUM(AA207:AA210)</f>
      </c>
      <c r="AB211" s="361">
        <f>SUM(AB207:AB210)</f>
      </c>
      <c r="AC211" s="319">
        <f>SUM(AC207:AC210)</f>
      </c>
      <c r="AD211" s="320">
        <f>SUM(AD207:AD210)</f>
      </c>
      <c r="AE211" s="293"/>
      <c r="AF211" s="293"/>
    </row>
    <row r="212">
      <c r="A212" s="384"/>
      <c r="B212" s="385" t="s">
        <v>203</v>
      </c>
      <c r="C212" s="369" t="s">
        <v>197</v>
      </c>
      <c r="D212" s="360">
        <f t="shared" ref="D212:D215" si="36">E212+F212</f>
      </c>
      <c r="E212" s="360">
        <v>2047.3200000000002</v>
      </c>
      <c r="F212" s="360">
        <v>463.12</v>
      </c>
      <c r="G212" s="369">
        <v>3</v>
      </c>
      <c r="H212" s="369">
        <v>6762.000000000002</v>
      </c>
      <c r="I212" s="387">
        <f t="shared" si="335"/>
      </c>
      <c r="J212" s="388">
        <f t="shared" si="231"/>
      </c>
      <c r="K212" s="389">
        <f t="shared" si="153"/>
      </c>
      <c r="L212" s="417">
        <f t="shared" si="257"/>
      </c>
      <c r="M212" s="388">
        <f t="shared" si="101"/>
      </c>
      <c r="N212" s="389">
        <f t="shared" si="361"/>
      </c>
      <c r="O212" s="388">
        <f t="shared" si="283"/>
      </c>
      <c r="P212" s="388">
        <f t="shared" si="179"/>
      </c>
      <c r="Q212" s="389">
        <f t="shared" si="127"/>
      </c>
      <c r="R212" s="390">
        <f t="shared" si="387"/>
      </c>
      <c r="S212" s="389">
        <f t="shared" si="309"/>
      </c>
      <c r="T212" s="391">
        <f t="shared" si="205"/>
      </c>
      <c r="U212" s="392" t="s">
        <v>185</v>
      </c>
      <c r="V212" s="423" t="s">
        <v>209</v>
      </c>
      <c r="W212" s="360">
        <v>3</v>
      </c>
      <c r="X212" s="360">
        <v>5536</v>
      </c>
      <c r="Y212" s="360">
        <v>380</v>
      </c>
      <c r="Z212" s="360">
        <v>618</v>
      </c>
      <c r="AA212" s="360">
        <v>149</v>
      </c>
      <c r="AB212" s="360">
        <v>38</v>
      </c>
      <c r="AC212" s="395">
        <v>5</v>
      </c>
      <c r="AD212" s="359">
        <v>22</v>
      </c>
      <c r="AE212" s="293"/>
      <c r="AF212" s="293"/>
    </row>
    <row r="213">
      <c r="A213" s="384"/>
      <c r="B213" s="385" t="s">
        <v>204</v>
      </c>
      <c r="C213" s="369" t="s">
        <v>197</v>
      </c>
      <c r="D213" s="360">
        <f t="shared" si="36"/>
      </c>
      <c r="E213" s="360">
        <v>2634.67</v>
      </c>
      <c r="F213" s="360">
        <v>453.8</v>
      </c>
      <c r="G213" s="369">
        <v>6</v>
      </c>
      <c r="H213" s="369">
        <v>23478.24</v>
      </c>
      <c r="I213" s="387">
        <f t="shared" si="335"/>
      </c>
      <c r="J213" s="388">
        <f t="shared" si="231"/>
      </c>
      <c r="K213" s="389">
        <f t="shared" si="153"/>
      </c>
      <c r="L213" s="417">
        <f t="shared" si="257"/>
      </c>
      <c r="M213" s="388">
        <f t="shared" si="101"/>
      </c>
      <c r="N213" s="389">
        <f t="shared" si="361"/>
      </c>
      <c r="O213" s="388">
        <f t="shared" si="283"/>
      </c>
      <c r="P213" s="388">
        <f t="shared" si="179"/>
      </c>
      <c r="Q213" s="389">
        <f t="shared" si="127"/>
      </c>
      <c r="R213" s="390">
        <f t="shared" si="387"/>
      </c>
      <c r="S213" s="389">
        <f t="shared" si="309"/>
      </c>
      <c r="T213" s="391">
        <f t="shared" si="205"/>
      </c>
      <c r="U213" s="392" t="s">
        <v>185</v>
      </c>
      <c r="V213" s="423" t="s">
        <v>209</v>
      </c>
      <c r="W213" s="360">
        <v>3</v>
      </c>
      <c r="X213" s="360">
        <v>8007</v>
      </c>
      <c r="Y213" s="360">
        <v>456</v>
      </c>
      <c r="Z213" s="360">
        <v>749</v>
      </c>
      <c r="AA213" s="360">
        <v>195</v>
      </c>
      <c r="AB213" s="360">
        <v>41</v>
      </c>
      <c r="AC213" s="395">
        <v>9</v>
      </c>
      <c r="AD213" s="359">
        <v>19</v>
      </c>
      <c r="AE213" s="293"/>
      <c r="AF213" s="293"/>
    </row>
    <row r="214">
      <c r="A214" s="384"/>
      <c r="B214" s="385" t="s">
        <v>205</v>
      </c>
      <c r="C214" s="369" t="s">
        <v>197</v>
      </c>
      <c r="D214" s="360">
        <f t="shared" si="36"/>
      </c>
      <c r="E214" s="360">
        <v>2910.89</v>
      </c>
      <c r="F214" s="360">
        <v>414.51</v>
      </c>
      <c r="G214" s="369">
        <v>1</v>
      </c>
      <c r="H214" s="369">
        <v>1035.719999999994</v>
      </c>
      <c r="I214" s="387">
        <f t="shared" si="335"/>
      </c>
      <c r="J214" s="388">
        <f t="shared" si="231"/>
      </c>
      <c r="K214" s="389">
        <f t="shared" si="153"/>
      </c>
      <c r="L214" s="417">
        <f t="shared" si="257"/>
      </c>
      <c r="M214" s="388">
        <f t="shared" si="101"/>
      </c>
      <c r="N214" s="389">
        <f t="shared" si="361"/>
      </c>
      <c r="O214" s="388">
        <f t="shared" si="283"/>
      </c>
      <c r="P214" s="388">
        <f t="shared" si="179"/>
      </c>
      <c r="Q214" s="389">
        <f t="shared" si="127"/>
      </c>
      <c r="R214" s="390">
        <f t="shared" si="387"/>
      </c>
      <c r="S214" s="389">
        <f t="shared" si="309"/>
      </c>
      <c r="T214" s="391">
        <f t="shared" si="205"/>
      </c>
      <c r="U214" s="392" t="s">
        <v>185</v>
      </c>
      <c r="V214" s="393" t="s">
        <v>186</v>
      </c>
      <c r="W214" s="360">
        <v>1</v>
      </c>
      <c r="X214" s="360">
        <v>7602</v>
      </c>
      <c r="Y214" s="360">
        <v>422</v>
      </c>
      <c r="Z214" s="360">
        <v>632</v>
      </c>
      <c r="AA214" s="360">
        <v>178</v>
      </c>
      <c r="AB214" s="360">
        <v>59</v>
      </c>
      <c r="AC214" s="395">
        <v>2</v>
      </c>
      <c r="AD214" s="359">
        <v>26</v>
      </c>
      <c r="AE214" s="293"/>
      <c r="AF214" s="293"/>
    </row>
    <row r="215">
      <c r="A215" s="384"/>
      <c r="B215" s="419" t="s">
        <v>196</v>
      </c>
      <c r="C215" s="369" t="s">
        <v>197</v>
      </c>
      <c r="D215" s="360">
        <f t="shared" si="36"/>
      </c>
      <c r="E215" s="360">
        <v>3210.37</v>
      </c>
      <c r="F215" s="360">
        <v>724.02</v>
      </c>
      <c r="G215" s="369">
        <v>2</v>
      </c>
      <c r="H215" s="369">
        <v>1962.3600000000006</v>
      </c>
      <c r="I215" s="387">
        <f t="shared" si="335"/>
      </c>
      <c r="J215" s="388">
        <f t="shared" si="231"/>
      </c>
      <c r="K215" s="389">
        <f t="shared" si="153"/>
      </c>
      <c r="L215" s="417">
        <f t="shared" si="257"/>
      </c>
      <c r="M215" s="388">
        <f t="shared" si="101"/>
      </c>
      <c r="N215" s="389">
        <f t="shared" si="361"/>
      </c>
      <c r="O215" s="388">
        <f t="shared" si="283"/>
      </c>
      <c r="P215" s="388">
        <f t="shared" si="179"/>
      </c>
      <c r="Q215" s="389">
        <f t="shared" si="127"/>
      </c>
      <c r="R215" s="390">
        <f t="shared" si="387"/>
      </c>
      <c r="S215" s="389">
        <f t="shared" si="309"/>
      </c>
      <c r="T215" s="391">
        <f t="shared" si="205"/>
      </c>
      <c r="U215" s="392" t="s">
        <v>185</v>
      </c>
      <c r="V215" s="393" t="s">
        <v>186</v>
      </c>
      <c r="W215" s="360">
        <v>2</v>
      </c>
      <c r="X215" s="360">
        <v>9907</v>
      </c>
      <c r="Y215" s="360">
        <v>522</v>
      </c>
      <c r="Z215" s="360">
        <v>871</v>
      </c>
      <c r="AA215" s="360">
        <v>205</v>
      </c>
      <c r="AB215" s="360">
        <v>60</v>
      </c>
      <c r="AC215" s="395">
        <v>3</v>
      </c>
      <c r="AD215" s="359">
        <v>25</v>
      </c>
      <c r="AE215" s="293"/>
      <c r="AF215" s="293"/>
    </row>
    <row r="216">
      <c r="A216" s="384"/>
      <c r="B216" s="361" t="s">
        <v>189</v>
      </c>
      <c r="C216" s="361"/>
      <c r="D216" s="361">
        <f>SUM(D212:D215)</f>
      </c>
      <c r="E216" s="361">
        <f>SUM(E212:E215)</f>
      </c>
      <c r="F216" s="361">
        <f>SUM(F212:F215)</f>
      </c>
      <c r="G216" s="361">
        <f>SUM(G212:G215)</f>
      </c>
      <c r="H216" s="361">
        <f>SUM(H212:H215)</f>
      </c>
      <c r="I216" s="396">
        <f t="shared" si="335"/>
      </c>
      <c r="J216" s="397">
        <f t="shared" si="231"/>
      </c>
      <c r="K216" s="398">
        <f t="shared" si="153"/>
      </c>
      <c r="L216" s="418">
        <f t="shared" si="257"/>
      </c>
      <c r="M216" s="397">
        <f t="shared" si="101"/>
      </c>
      <c r="N216" s="398">
        <f t="shared" si="361"/>
      </c>
      <c r="O216" s="397">
        <f t="shared" si="283"/>
      </c>
      <c r="P216" s="397">
        <f t="shared" si="179"/>
      </c>
      <c r="Q216" s="398">
        <f t="shared" si="127"/>
      </c>
      <c r="R216" s="399">
        <f t="shared" si="387"/>
      </c>
      <c r="S216" s="398">
        <f t="shared" si="309"/>
      </c>
      <c r="T216" s="400">
        <f t="shared" si="205"/>
      </c>
      <c r="U216" s="400"/>
      <c r="V216" s="400"/>
      <c r="W216" s="361">
        <f>SUM(W212:W215)</f>
      </c>
      <c r="X216" s="361">
        <f>SUM(X212:X215)</f>
      </c>
      <c r="Y216" s="361">
        <f>SUM(Y212:Y215)</f>
      </c>
      <c r="Z216" s="361">
        <f>SUM(Z212:Z215)</f>
      </c>
      <c r="AA216" s="361">
        <f>SUM(AA212:AA215)</f>
      </c>
      <c r="AB216" s="361">
        <f>SUM(AB212:AB215)</f>
      </c>
      <c r="AC216" s="361">
        <f>SUM(AC212:AC215)</f>
      </c>
      <c r="AD216" s="361">
        <f>SUM(AD212:AD215)</f>
      </c>
      <c r="AE216" s="293"/>
      <c r="AF216" s="293"/>
    </row>
    <row r="217">
      <c r="A217" s="384"/>
      <c r="B217" s="401" t="s">
        <v>183</v>
      </c>
      <c r="C217" s="369" t="s">
        <v>210</v>
      </c>
      <c r="D217" s="360">
        <f t="shared" ref="D217:D220" si="37">E217+F217</f>
      </c>
      <c r="E217" s="356">
        <v>3154.75</v>
      </c>
      <c r="F217" s="356">
        <v>671.71</v>
      </c>
      <c r="G217" s="402">
        <v>0</v>
      </c>
      <c r="H217" s="402">
        <v>0</v>
      </c>
      <c r="I217" s="420">
        <f t="shared" si="335"/>
      </c>
      <c r="J217" s="421">
        <f t="shared" si="231"/>
      </c>
      <c r="K217" s="422">
        <f t="shared" si="153"/>
      </c>
      <c r="L217" s="388">
        <f t="shared" si="257"/>
      </c>
      <c r="M217" s="388">
        <f t="shared" si="101"/>
      </c>
      <c r="N217" s="389">
        <f t="shared" si="361"/>
      </c>
      <c r="O217" s="388">
        <f t="shared" si="283"/>
      </c>
      <c r="P217" s="388">
        <f t="shared" si="179"/>
      </c>
      <c r="Q217" s="389">
        <f t="shared" si="127"/>
      </c>
      <c r="R217" s="390">
        <f t="shared" si="387"/>
      </c>
      <c r="S217" s="389">
        <f t="shared" si="309"/>
      </c>
      <c r="T217" s="391">
        <f t="shared" si="205"/>
      </c>
      <c r="U217" s="392" t="s">
        <v>185</v>
      </c>
      <c r="V217" s="393" t="s">
        <v>186</v>
      </c>
      <c r="W217" s="360">
        <v>0</v>
      </c>
      <c r="X217" s="360">
        <v>13373</v>
      </c>
      <c r="Y217" s="360">
        <v>499</v>
      </c>
      <c r="Z217" s="360">
        <v>880</v>
      </c>
      <c r="AA217" s="360">
        <v>177</v>
      </c>
      <c r="AB217" s="360">
        <v>70</v>
      </c>
      <c r="AC217" s="395">
        <v>2</v>
      </c>
      <c r="AD217" s="359">
        <v>25</v>
      </c>
      <c r="AE217" s="293"/>
      <c r="AF217" s="293"/>
    </row>
    <row r="218">
      <c r="A218" s="384"/>
      <c r="B218" s="385" t="s">
        <v>187</v>
      </c>
      <c r="C218" s="369" t="s">
        <v>210</v>
      </c>
      <c r="D218" s="360">
        <f t="shared" si="37"/>
      </c>
      <c r="E218" s="360">
        <v>1676.1100000000001</v>
      </c>
      <c r="F218" s="360">
        <v>446.11</v>
      </c>
      <c r="G218" s="369">
        <v>1</v>
      </c>
      <c r="H218" s="369">
        <v>948.239999999998</v>
      </c>
      <c r="I218" s="387">
        <f t="shared" si="335"/>
      </c>
      <c r="J218" s="388">
        <f t="shared" si="231"/>
      </c>
      <c r="K218" s="389">
        <f t="shared" si="153"/>
      </c>
      <c r="L218" s="388">
        <f t="shared" si="257"/>
      </c>
      <c r="M218" s="388">
        <f t="shared" si="101"/>
      </c>
      <c r="N218" s="389">
        <f t="shared" si="361"/>
      </c>
      <c r="O218" s="388">
        <f t="shared" si="283"/>
      </c>
      <c r="P218" s="388">
        <f t="shared" si="179"/>
      </c>
      <c r="Q218" s="389">
        <f t="shared" si="127"/>
      </c>
      <c r="R218" s="390">
        <f t="shared" si="387"/>
      </c>
      <c r="S218" s="389">
        <f t="shared" si="309"/>
      </c>
      <c r="T218" s="391">
        <f t="shared" si="205"/>
      </c>
      <c r="U218" s="392" t="s">
        <v>185</v>
      </c>
      <c r="V218" s="393" t="s">
        <v>186</v>
      </c>
      <c r="W218" s="360">
        <v>1</v>
      </c>
      <c r="X218" s="360">
        <v>9090</v>
      </c>
      <c r="Y218" s="360">
        <v>373</v>
      </c>
      <c r="Z218" s="360">
        <v>602</v>
      </c>
      <c r="AA218" s="360">
        <v>124</v>
      </c>
      <c r="AB218" s="360">
        <v>45</v>
      </c>
      <c r="AC218" s="395">
        <v>3</v>
      </c>
      <c r="AD218" s="359">
        <v>14</v>
      </c>
      <c r="AE218" s="293"/>
      <c r="AF218" s="293"/>
    </row>
    <row r="219">
      <c r="A219" s="384"/>
      <c r="B219" s="385" t="s">
        <v>188</v>
      </c>
      <c r="C219" s="369" t="s">
        <v>210</v>
      </c>
      <c r="D219" s="360">
        <f t="shared" si="37"/>
      </c>
      <c r="E219" s="360">
        <v>1742.83</v>
      </c>
      <c r="F219" s="360">
        <v>633.95</v>
      </c>
      <c r="G219" s="369">
        <v>1</v>
      </c>
      <c r="H219" s="369">
        <v>9259.200000000004</v>
      </c>
      <c r="I219" s="387">
        <f t="shared" si="335"/>
      </c>
      <c r="J219" s="388">
        <f t="shared" si="231"/>
      </c>
      <c r="K219" s="389">
        <f t="shared" si="153"/>
      </c>
      <c r="L219" s="388">
        <f t="shared" si="257"/>
      </c>
      <c r="M219" s="388">
        <f t="shared" si="101"/>
      </c>
      <c r="N219" s="389">
        <f t="shared" si="361"/>
      </c>
      <c r="O219" s="388">
        <f t="shared" si="283"/>
      </c>
      <c r="P219" s="388">
        <f t="shared" si="179"/>
      </c>
      <c r="Q219" s="389">
        <f t="shared" si="127"/>
      </c>
      <c r="R219" s="390">
        <f t="shared" si="387"/>
      </c>
      <c r="S219" s="389">
        <f t="shared" si="309"/>
      </c>
      <c r="T219" s="391">
        <f t="shared" si="205"/>
      </c>
      <c r="U219" s="392" t="s">
        <v>185</v>
      </c>
      <c r="V219" s="393" t="s">
        <v>186</v>
      </c>
      <c r="W219" s="360">
        <v>1</v>
      </c>
      <c r="X219" s="360">
        <v>12909</v>
      </c>
      <c r="Y219" s="360">
        <v>489</v>
      </c>
      <c r="Z219" s="360">
        <v>839</v>
      </c>
      <c r="AA219" s="360">
        <v>172</v>
      </c>
      <c r="AB219" s="360">
        <v>62</v>
      </c>
      <c r="AC219" s="395">
        <v>2</v>
      </c>
      <c r="AD219" s="359">
        <v>18</v>
      </c>
      <c r="AE219" s="293"/>
      <c r="AF219" s="293"/>
    </row>
    <row r="220">
      <c r="A220" s="384"/>
      <c r="B220" s="385" t="s">
        <v>190</v>
      </c>
      <c r="C220" s="369" t="s">
        <v>210</v>
      </c>
      <c r="D220" s="360">
        <f t="shared" si="37"/>
      </c>
      <c r="E220" s="360">
        <v>2362.06</v>
      </c>
      <c r="F220" s="360">
        <v>770.1</v>
      </c>
      <c r="G220" s="369">
        <v>2</v>
      </c>
      <c r="H220" s="369">
        <v>5422.68</v>
      </c>
      <c r="I220" s="387">
        <f t="shared" si="335"/>
      </c>
      <c r="J220" s="388">
        <f t="shared" si="231"/>
      </c>
      <c r="K220" s="389">
        <f t="shared" si="153"/>
      </c>
      <c r="L220" s="388">
        <f t="shared" si="257"/>
      </c>
      <c r="M220" s="388">
        <f t="shared" si="101"/>
      </c>
      <c r="N220" s="389">
        <f t="shared" si="361"/>
      </c>
      <c r="O220" s="388">
        <f t="shared" si="283"/>
      </c>
      <c r="P220" s="388">
        <f t="shared" si="179"/>
      </c>
      <c r="Q220" s="389">
        <f t="shared" si="127"/>
      </c>
      <c r="R220" s="390">
        <f t="shared" si="387"/>
      </c>
      <c r="S220" s="389">
        <f t="shared" si="309"/>
      </c>
      <c r="T220" s="391">
        <f t="shared" si="205"/>
      </c>
      <c r="U220" s="392" t="s">
        <v>185</v>
      </c>
      <c r="V220" s="393" t="s">
        <v>186</v>
      </c>
      <c r="W220" s="360">
        <v>2</v>
      </c>
      <c r="X220" s="360">
        <v>14195</v>
      </c>
      <c r="Y220" s="360">
        <v>567</v>
      </c>
      <c r="Z220" s="360">
        <v>960</v>
      </c>
      <c r="AA220" s="360">
        <v>215</v>
      </c>
      <c r="AB220" s="360">
        <v>67</v>
      </c>
      <c r="AC220" s="395">
        <v>3</v>
      </c>
      <c r="AD220" s="359">
        <v>21</v>
      </c>
      <c r="AE220" s="293"/>
      <c r="AF220" s="293"/>
    </row>
    <row r="221">
      <c r="A221" s="384"/>
      <c r="B221" s="361" t="s">
        <v>189</v>
      </c>
      <c r="C221" s="361"/>
      <c r="D221" s="361">
        <f>SUM(D217:D220)</f>
      </c>
      <c r="E221" s="362">
        <f>SUM(E217:E220)</f>
      </c>
      <c r="F221" s="362">
        <f>SUM(F217:F220)</f>
      </c>
      <c r="G221" s="343">
        <f>SUM(G217:G220)</f>
      </c>
      <c r="H221" s="343">
        <f>SUM(H217:H220)</f>
      </c>
      <c r="I221" s="344">
        <f t="shared" si="335"/>
      </c>
      <c r="J221" s="345">
        <f t="shared" si="231"/>
      </c>
      <c r="K221" s="323">
        <f t="shared" si="153"/>
      </c>
      <c r="L221" s="322">
        <f t="shared" si="257"/>
      </c>
      <c r="M221" s="322">
        <f t="shared" si="101"/>
      </c>
      <c r="N221" s="323">
        <f t="shared" si="361"/>
      </c>
      <c r="O221" s="322">
        <f t="shared" si="283"/>
      </c>
      <c r="P221" s="322">
        <f t="shared" si="179"/>
      </c>
      <c r="Q221" s="324">
        <f t="shared" si="127"/>
      </c>
      <c r="R221" s="325">
        <f t="shared" si="387"/>
      </c>
      <c r="S221" s="324">
        <f t="shared" si="309"/>
      </c>
      <c r="T221" s="326">
        <f t="shared" si="205"/>
      </c>
      <c r="U221" s="326"/>
      <c r="V221" s="326"/>
      <c r="W221" s="320">
        <f>SUM(W217:W220)</f>
      </c>
      <c r="X221" s="320">
        <f>SUM(X217:X220)</f>
      </c>
      <c r="Y221" s="320">
        <f>SUM(Y217:Y220)</f>
      </c>
      <c r="Z221" s="320">
        <f>SUM(Z217:Z220)</f>
      </c>
      <c r="AA221" s="320">
        <f>SUM(AA217:AA220)</f>
      </c>
      <c r="AB221" s="320">
        <f>SUM(AB217:AB220)</f>
      </c>
      <c r="AC221" s="320">
        <f>SUM(AC217:AC220)</f>
      </c>
      <c r="AD221" s="320">
        <f>SUM(AD217:AD220)</f>
      </c>
      <c r="AE221" s="293"/>
      <c r="AF221" s="293"/>
    </row>
    <row r="222">
      <c r="A222" s="384"/>
      <c r="B222" s="360" t="s">
        <v>192</v>
      </c>
      <c r="C222" s="369" t="s">
        <v>208</v>
      </c>
      <c r="D222" s="346">
        <f t="shared" ref="D222:D224" si="38">E222+F222</f>
      </c>
      <c r="E222" s="347">
        <v>1607.7700000000002</v>
      </c>
      <c r="F222" s="347">
        <v>710</v>
      </c>
      <c r="G222" s="364">
        <v>1</v>
      </c>
      <c r="H222" s="364">
        <v>685</v>
      </c>
      <c r="I222" s="349">
        <f t="shared" si="335"/>
      </c>
      <c r="J222" s="312">
        <f t="shared" si="231"/>
      </c>
      <c r="K222" s="313">
        <f t="shared" si="153"/>
      </c>
      <c r="L222" s="312">
        <f t="shared" si="257"/>
      </c>
      <c r="M222" s="312">
        <f t="shared" si="101"/>
      </c>
      <c r="N222" s="313">
        <f t="shared" si="361"/>
      </c>
      <c r="O222" s="312">
        <f t="shared" si="283"/>
      </c>
      <c r="P222" s="312">
        <f t="shared" si="179"/>
      </c>
      <c r="Q222" s="314">
        <f t="shared" si="127"/>
      </c>
      <c r="R222" s="315">
        <f t="shared" si="387"/>
      </c>
      <c r="S222" s="314">
        <f t="shared" si="309"/>
      </c>
      <c r="T222" s="316">
        <f t="shared" si="205"/>
      </c>
      <c r="U222" s="317" t="s">
        <v>185</v>
      </c>
      <c r="V222" s="318" t="s">
        <v>186</v>
      </c>
      <c r="W222" s="310">
        <v>1</v>
      </c>
      <c r="X222" s="310">
        <v>11814</v>
      </c>
      <c r="Y222" s="310">
        <v>565</v>
      </c>
      <c r="Z222" s="310">
        <v>951</v>
      </c>
      <c r="AA222" s="310">
        <v>173</v>
      </c>
      <c r="AB222" s="310">
        <v>40</v>
      </c>
      <c r="AC222" s="359">
        <v>2</v>
      </c>
      <c r="AD222" s="359">
        <v>19</v>
      </c>
      <c r="AE222" s="293"/>
      <c r="AF222" s="293"/>
    </row>
    <row r="223">
      <c r="A223" s="384"/>
      <c r="B223" s="360" t="s">
        <v>193</v>
      </c>
      <c r="C223" s="369" t="s">
        <v>208</v>
      </c>
      <c r="D223" s="346">
        <f t="shared" si="38"/>
      </c>
      <c r="E223" s="309">
        <v>2656.19</v>
      </c>
      <c r="F223" s="309">
        <v>989.62</v>
      </c>
      <c r="G223" s="359">
        <v>3</v>
      </c>
      <c r="H223" s="359">
        <v>2668.959999999999</v>
      </c>
      <c r="I223" s="311">
        <f t="shared" si="335"/>
      </c>
      <c r="J223" s="312">
        <f t="shared" si="231"/>
      </c>
      <c r="K223" s="313">
        <f t="shared" si="153"/>
      </c>
      <c r="L223" s="312">
        <f t="shared" si="257"/>
      </c>
      <c r="M223" s="312">
        <f t="shared" si="101"/>
      </c>
      <c r="N223" s="313">
        <f t="shared" si="361"/>
      </c>
      <c r="O223" s="312">
        <f t="shared" si="283"/>
      </c>
      <c r="P223" s="312">
        <f t="shared" si="179"/>
      </c>
      <c r="Q223" s="314">
        <f t="shared" si="127"/>
      </c>
      <c r="R223" s="315">
        <f t="shared" si="387"/>
      </c>
      <c r="S223" s="314">
        <f t="shared" si="309"/>
      </c>
      <c r="T223" s="316">
        <f t="shared" si="205"/>
      </c>
      <c r="U223" s="317" t="s">
        <v>185</v>
      </c>
      <c r="V223" s="318" t="s">
        <v>186</v>
      </c>
      <c r="W223" s="310">
        <v>2</v>
      </c>
      <c r="X223" s="310">
        <v>16961</v>
      </c>
      <c r="Y223" s="310">
        <v>680</v>
      </c>
      <c r="Z223" s="310">
        <v>1020</v>
      </c>
      <c r="AA223" s="310">
        <v>193</v>
      </c>
      <c r="AB223" s="310">
        <v>76</v>
      </c>
      <c r="AC223" s="359">
        <v>5</v>
      </c>
      <c r="AD223" s="359">
        <v>24</v>
      </c>
      <c r="AE223" s="293"/>
      <c r="AF223" s="293"/>
    </row>
    <row r="224">
      <c r="A224" s="384"/>
      <c r="B224" s="360" t="s">
        <v>194</v>
      </c>
      <c r="C224" s="369" t="s">
        <v>208</v>
      </c>
      <c r="D224" s="346">
        <f t="shared" si="38"/>
      </c>
      <c r="E224" s="309">
        <v>2448.21</v>
      </c>
      <c r="F224" s="309">
        <v>559.38</v>
      </c>
      <c r="G224" s="359">
        <v>2</v>
      </c>
      <c r="H224" s="359">
        <v>6016.799999999996</v>
      </c>
      <c r="I224" s="311">
        <f t="shared" si="335"/>
      </c>
      <c r="J224" s="312">
        <f t="shared" si="231"/>
      </c>
      <c r="K224" s="313">
        <f t="shared" si="153"/>
      </c>
      <c r="L224" s="312">
        <f t="shared" si="257"/>
      </c>
      <c r="M224" s="312">
        <f t="shared" si="101"/>
      </c>
      <c r="N224" s="313">
        <f t="shared" si="361"/>
      </c>
      <c r="O224" s="312">
        <f t="shared" si="283"/>
      </c>
      <c r="P224" s="312">
        <f t="shared" si="179"/>
      </c>
      <c r="Q224" s="314">
        <f t="shared" si="127"/>
      </c>
      <c r="R224" s="315">
        <f t="shared" si="387"/>
      </c>
      <c r="S224" s="314">
        <f t="shared" si="309"/>
      </c>
      <c r="T224" s="316">
        <f t="shared" si="205"/>
      </c>
      <c r="U224" s="317" t="s">
        <v>185</v>
      </c>
      <c r="V224" s="318" t="s">
        <v>186</v>
      </c>
      <c r="W224" s="310">
        <v>1</v>
      </c>
      <c r="X224" s="310">
        <v>9884</v>
      </c>
      <c r="Y224" s="310">
        <v>487</v>
      </c>
      <c r="Z224" s="310">
        <v>630</v>
      </c>
      <c r="AA224" s="310">
        <v>125</v>
      </c>
      <c r="AB224" s="310">
        <v>51</v>
      </c>
      <c r="AC224" s="359">
        <v>4</v>
      </c>
      <c r="AD224" s="359">
        <v>20</v>
      </c>
      <c r="AE224" s="293"/>
      <c r="AF224" s="293"/>
    </row>
    <row r="225">
      <c r="A225" s="384"/>
      <c r="B225" s="361" t="s">
        <v>189</v>
      </c>
      <c r="C225" s="361"/>
      <c r="D225" s="319">
        <f>SUM(D222:D224)</f>
      </c>
      <c r="E225" s="319">
        <f>SUM(E222:E224)</f>
      </c>
      <c r="F225" s="319">
        <f>SUM(F222:F224)</f>
      </c>
      <c r="G225" s="319">
        <f>SUM(G222:G224)</f>
      </c>
      <c r="H225" s="319">
        <f>SUM(H222:H224)</f>
      </c>
      <c r="I225" s="321">
        <f t="shared" si="335"/>
      </c>
      <c r="J225" s="322">
        <f t="shared" si="231"/>
      </c>
      <c r="K225" s="323">
        <f t="shared" si="153"/>
      </c>
      <c r="L225" s="322">
        <f t="shared" si="257"/>
      </c>
      <c r="M225" s="322">
        <f t="shared" si="101"/>
      </c>
      <c r="N225" s="323">
        <f t="shared" si="361"/>
      </c>
      <c r="O225" s="322">
        <f t="shared" si="283"/>
      </c>
      <c r="P225" s="322">
        <f t="shared" si="179"/>
      </c>
      <c r="Q225" s="324">
        <f t="shared" si="127"/>
      </c>
      <c r="R225" s="325">
        <f t="shared" si="387"/>
      </c>
      <c r="S225" s="324">
        <f t="shared" si="309"/>
      </c>
      <c r="T225" s="326">
        <f t="shared" si="205"/>
      </c>
      <c r="U225" s="326"/>
      <c r="V225" s="326"/>
      <c r="W225" s="320">
        <f>SUM(W222:W224)</f>
      </c>
      <c r="X225" s="320">
        <f>SUM(X222:X224)</f>
      </c>
      <c r="Y225" s="320">
        <f>SUM(Y222:Y224)</f>
      </c>
      <c r="Z225" s="320">
        <f>SUM(Z222:Z224)</f>
      </c>
      <c r="AA225" s="320">
        <f>SUM(AA222:AA224)</f>
      </c>
      <c r="AB225" s="320">
        <f>SUM(AB222:AB224)</f>
      </c>
      <c r="AC225" s="320">
        <f>SUM(AC222:AC224)</f>
      </c>
      <c r="AD225" s="320">
        <f>SUM(AD222:AD224)</f>
      </c>
      <c r="AE225" s="293"/>
      <c r="AF225" s="293"/>
    </row>
    <row r="226">
      <c r="A226" s="384"/>
      <c r="B226" s="366" t="s">
        <v>195</v>
      </c>
      <c r="C226" s="366"/>
      <c r="D226" s="367">
        <f>+D216+D211+D221+D225</f>
      </c>
      <c r="E226" s="367">
        <f>+E216+E211+E221+E225</f>
      </c>
      <c r="F226" s="367">
        <f>+F216+F211+F221+F225</f>
      </c>
      <c r="G226" s="367">
        <f>+G216+G211+G221+G225</f>
      </c>
      <c r="H226" s="367">
        <f>+H216+H211+H221+H225</f>
      </c>
      <c r="I226" s="328">
        <f t="shared" si="335"/>
      </c>
      <c r="J226" s="329">
        <f t="shared" si="231"/>
      </c>
      <c r="K226" s="330">
        <f t="shared" si="153"/>
      </c>
      <c r="L226" s="331">
        <f t="shared" si="257"/>
      </c>
      <c r="M226" s="331">
        <f t="shared" si="101"/>
      </c>
      <c r="N226" s="330">
        <f t="shared" si="361"/>
      </c>
      <c r="O226" s="331">
        <f t="shared" si="283"/>
      </c>
      <c r="P226" s="331">
        <f t="shared" si="179"/>
      </c>
      <c r="Q226" s="330">
        <f t="shared" si="127"/>
      </c>
      <c r="R226" s="332">
        <f t="shared" si="387"/>
      </c>
      <c r="S226" s="330">
        <f t="shared" si="309"/>
      </c>
      <c r="T226" s="333">
        <f t="shared" si="205"/>
      </c>
      <c r="U226" s="333"/>
      <c r="V226" s="333"/>
      <c r="W226" s="328">
        <f>+W216+W211+W221+W225</f>
      </c>
      <c r="X226" s="328">
        <f>+X216+X211+X221+X225</f>
      </c>
      <c r="Y226" s="328">
        <f>+Y216+Y211+Y221+Y225</f>
      </c>
      <c r="Z226" s="328">
        <f>+Z216+Z211+Z221+Z225</f>
      </c>
      <c r="AA226" s="328">
        <f>+AA216+AA211+AA221+AA225</f>
      </c>
      <c r="AB226" s="328">
        <f>+AB216+AB211+AB221+AB225</f>
      </c>
      <c r="AC226" s="328">
        <f>+AC216+AC211+AC221+AC225</f>
      </c>
      <c r="AD226" s="328">
        <f>+AD216+AD211+AD221+AD225</f>
      </c>
      <c r="AE226" s="293"/>
      <c r="AF226" s="293"/>
    </row>
    <row r="227">
      <c r="A227" s="352" t="s">
        <v>150</v>
      </c>
      <c r="B227" s="352"/>
      <c r="C227" s="352"/>
      <c r="D227" s="334" t="s">
        <v>151</v>
      </c>
      <c r="E227" s="334"/>
      <c r="F227" s="334"/>
      <c r="G227" s="334"/>
      <c r="H227" s="334"/>
      <c r="I227" s="334"/>
      <c r="J227" s="377" t="s">
        <v>152</v>
      </c>
      <c r="K227" s="377"/>
      <c r="L227" s="377"/>
      <c r="M227" s="377"/>
      <c r="N227" s="377"/>
      <c r="O227" s="377"/>
      <c r="P227" s="377"/>
      <c r="Q227" s="377"/>
      <c r="R227" s="377"/>
      <c r="S227" s="377"/>
      <c r="T227" s="370"/>
      <c r="U227" s="370"/>
      <c r="V227" s="370"/>
      <c r="W227" s="371"/>
      <c r="X227" s="371"/>
      <c r="Y227" s="371"/>
      <c r="Z227" s="371"/>
      <c r="AA227" s="371"/>
      <c r="AB227" s="371"/>
      <c r="AC227" s="371"/>
      <c r="AD227" s="372" t="s">
        <v>153</v>
      </c>
      <c r="AE227" s="293"/>
      <c r="AF227" s="293"/>
    </row>
    <row r="228">
      <c r="A228" s="354" t="s">
        <v>154</v>
      </c>
      <c r="B228" s="352" t="s">
        <v>155</v>
      </c>
      <c r="C228" s="352" t="s">
        <v>156</v>
      </c>
      <c r="D228" s="428" t="s">
        <v>157</v>
      </c>
      <c r="E228" s="427" t="s">
        <v>158</v>
      </c>
      <c r="F228" s="427" t="s">
        <v>159</v>
      </c>
      <c r="G228" s="414" t="s">
        <v>160</v>
      </c>
      <c r="H228" s="412" t="s">
        <v>161</v>
      </c>
      <c r="I228" s="413" t="s">
        <v>162</v>
      </c>
      <c r="J228" s="415" t="s">
        <v>163</v>
      </c>
      <c r="K228" s="415" t="s">
        <v>164</v>
      </c>
      <c r="L228" s="416" t="s">
        <v>165</v>
      </c>
      <c r="M228" s="378" t="s">
        <v>166</v>
      </c>
      <c r="N228" s="377" t="s">
        <v>167</v>
      </c>
      <c r="O228" s="378" t="s">
        <v>168</v>
      </c>
      <c r="P228" s="378" t="s">
        <v>169</v>
      </c>
      <c r="Q228" s="379" t="s">
        <v>170</v>
      </c>
      <c r="R228" s="378" t="s">
        <v>171</v>
      </c>
      <c r="S228" s="379" t="s">
        <v>172</v>
      </c>
      <c r="T228" s="380" t="s">
        <v>173</v>
      </c>
      <c r="U228" s="380" t="s">
        <v>174</v>
      </c>
      <c r="V228" s="380" t="s">
        <v>175</v>
      </c>
      <c r="W228" s="381" t="s">
        <v>176</v>
      </c>
      <c r="X228" s="382" t="s">
        <v>177</v>
      </c>
      <c r="Y228" s="382" t="s">
        <v>178</v>
      </c>
      <c r="Z228" s="382" t="s">
        <v>179</v>
      </c>
      <c r="AA228" s="382" t="s">
        <v>180</v>
      </c>
      <c r="AB228" s="382" t="s">
        <v>181</v>
      </c>
      <c r="AC228" s="383" t="s">
        <v>182</v>
      </c>
      <c r="AD228" s="372"/>
      <c r="AE228" s="293"/>
      <c r="AF228" s="293"/>
    </row>
    <row r="229">
      <c r="A229" s="384">
        <v>46253</v>
      </c>
      <c r="B229" s="385" t="s">
        <v>199</v>
      </c>
      <c r="C229" s="369" t="s">
        <v>184</v>
      </c>
      <c r="D229" s="360">
        <f t="shared" ref="D229:D232" si="39">E229+F229</f>
      </c>
      <c r="E229" s="402">
        <v>4333.3</v>
      </c>
      <c r="F229" s="369">
        <v>662.29</v>
      </c>
      <c r="G229" s="369">
        <v>3</v>
      </c>
      <c r="H229" s="369">
        <v>8791.92</v>
      </c>
      <c r="I229" s="387">
        <f t="shared" ref="I229:I248" si="336">H229/D229</f>
      </c>
      <c r="J229" s="388">
        <f t="shared" ref="J229:J248" si="232">Y229/X229</f>
      </c>
      <c r="K229" s="389">
        <f t="shared" ref="K229:K248" si="154">D229/Z229</f>
      </c>
      <c r="L229" s="417">
        <f t="shared" ref="L229:L248" si="258">AA229/Z229</f>
      </c>
      <c r="M229" s="388">
        <f t="shared" ref="M229:M248" si="102">AB229/Z229</f>
      </c>
      <c r="N229" s="389">
        <f t="shared" ref="N229:N248" si="362">D229/AB229</f>
      </c>
      <c r="O229" s="388">
        <f t="shared" ref="O229:O248" si="284">AC229/AB229</f>
      </c>
      <c r="P229" s="388">
        <f t="shared" ref="P229:P248" si="180">G229/AC229</f>
      </c>
      <c r="Q229" s="389">
        <f t="shared" ref="Q229:Q248" si="128">D229/G229</f>
      </c>
      <c r="R229" s="390">
        <f t="shared" ref="R229:R248" si="388">H229/G229</f>
      </c>
      <c r="S229" s="389">
        <f t="shared" ref="S229:S248" si="310">D229/W229</f>
      </c>
      <c r="T229" s="391">
        <f t="shared" ref="T229:T248" si="206">AD229*1000/D229</f>
      </c>
      <c r="U229" s="392" t="s">
        <v>185</v>
      </c>
      <c r="V229" s="423" t="s">
        <v>207</v>
      </c>
      <c r="W229" s="360">
        <v>3</v>
      </c>
      <c r="X229" s="360">
        <v>15318</v>
      </c>
      <c r="Y229" s="360">
        <v>785</v>
      </c>
      <c r="Z229" s="360">
        <v>1068</v>
      </c>
      <c r="AA229" s="360">
        <v>267</v>
      </c>
      <c r="AB229" s="360">
        <v>108</v>
      </c>
      <c r="AC229" s="394">
        <v>5</v>
      </c>
      <c r="AD229" s="364">
        <v>35</v>
      </c>
      <c r="AE229" s="293"/>
      <c r="AF229" s="293"/>
    </row>
    <row r="230">
      <c r="A230" s="384"/>
      <c r="B230" s="385" t="s">
        <v>200</v>
      </c>
      <c r="C230" s="369" t="s">
        <v>184</v>
      </c>
      <c r="D230" s="360">
        <f t="shared" si="39"/>
      </c>
      <c r="E230" s="360">
        <v>3272.83</v>
      </c>
      <c r="F230" s="360">
        <v>551.01</v>
      </c>
      <c r="G230" s="369">
        <v>2</v>
      </c>
      <c r="H230" s="369">
        <v>2397.3199999999997</v>
      </c>
      <c r="I230" s="387">
        <f t="shared" si="336"/>
      </c>
      <c r="J230" s="388">
        <f t="shared" si="232"/>
      </c>
      <c r="K230" s="389">
        <f t="shared" si="154"/>
      </c>
      <c r="L230" s="417">
        <f t="shared" si="258"/>
      </c>
      <c r="M230" s="388">
        <f t="shared" si="102"/>
      </c>
      <c r="N230" s="389">
        <f t="shared" si="362"/>
      </c>
      <c r="O230" s="388">
        <f t="shared" si="284"/>
      </c>
      <c r="P230" s="388">
        <f t="shared" si="180"/>
      </c>
      <c r="Q230" s="389">
        <f t="shared" si="128"/>
      </c>
      <c r="R230" s="390">
        <f t="shared" si="388"/>
      </c>
      <c r="S230" s="389">
        <f t="shared" si="310"/>
      </c>
      <c r="T230" s="391">
        <f t="shared" si="206"/>
      </c>
      <c r="U230" s="392" t="s">
        <v>185</v>
      </c>
      <c r="V230" s="423" t="s">
        <v>207</v>
      </c>
      <c r="W230" s="360">
        <v>1</v>
      </c>
      <c r="X230" s="360">
        <v>10886</v>
      </c>
      <c r="Y230" s="360">
        <v>629</v>
      </c>
      <c r="Z230" s="360">
        <v>890</v>
      </c>
      <c r="AA230" s="360">
        <v>247</v>
      </c>
      <c r="AB230" s="360">
        <v>73</v>
      </c>
      <c r="AC230" s="395">
        <v>5</v>
      </c>
      <c r="AD230" s="359">
        <v>13</v>
      </c>
      <c r="AE230" s="293"/>
      <c r="AF230" s="293"/>
    </row>
    <row r="231">
      <c r="A231" s="384"/>
      <c r="B231" s="385" t="s">
        <v>201</v>
      </c>
      <c r="C231" s="369" t="s">
        <v>184</v>
      </c>
      <c r="D231" s="360">
        <f t="shared" si="39"/>
      </c>
      <c r="E231" s="360">
        <v>3283.0200000000004</v>
      </c>
      <c r="F231" s="360">
        <v>676.52</v>
      </c>
      <c r="G231" s="369">
        <v>2</v>
      </c>
      <c r="H231" s="360">
        <v>3422.16</v>
      </c>
      <c r="I231" s="387">
        <f t="shared" si="336"/>
      </c>
      <c r="J231" s="388">
        <f t="shared" si="232"/>
      </c>
      <c r="K231" s="389">
        <f t="shared" si="154"/>
      </c>
      <c r="L231" s="417">
        <f t="shared" si="258"/>
      </c>
      <c r="M231" s="388">
        <f t="shared" si="102"/>
      </c>
      <c r="N231" s="389">
        <f t="shared" si="362"/>
      </c>
      <c r="O231" s="388">
        <f t="shared" si="284"/>
      </c>
      <c r="P231" s="388">
        <f t="shared" si="180"/>
      </c>
      <c r="Q231" s="389">
        <f t="shared" si="128"/>
      </c>
      <c r="R231" s="390">
        <f t="shared" si="388"/>
      </c>
      <c r="S231" s="389">
        <f t="shared" si="310"/>
      </c>
      <c r="T231" s="391">
        <f t="shared" si="206"/>
      </c>
      <c r="U231" s="392" t="s">
        <v>185</v>
      </c>
      <c r="V231" s="423" t="s">
        <v>207</v>
      </c>
      <c r="W231" s="360">
        <v>3</v>
      </c>
      <c r="X231" s="360">
        <v>13126</v>
      </c>
      <c r="Y231" s="360">
        <v>621</v>
      </c>
      <c r="Z231" s="360">
        <v>899</v>
      </c>
      <c r="AA231" s="360">
        <v>229</v>
      </c>
      <c r="AB231" s="360">
        <v>96</v>
      </c>
      <c r="AC231" s="395">
        <v>5</v>
      </c>
      <c r="AD231" s="359">
        <v>26</v>
      </c>
      <c r="AE231" s="293"/>
      <c r="AF231" s="293"/>
    </row>
    <row r="232">
      <c r="A232" s="384"/>
      <c r="B232" s="385" t="s">
        <v>202</v>
      </c>
      <c r="C232" s="369" t="s">
        <v>184</v>
      </c>
      <c r="D232" s="360">
        <f t="shared" si="39"/>
      </c>
      <c r="E232" s="360">
        <v>5269.25</v>
      </c>
      <c r="F232" s="360">
        <v>569.84</v>
      </c>
      <c r="G232" s="369">
        <v>2</v>
      </c>
      <c r="H232" s="369">
        <v>11613.000000000002</v>
      </c>
      <c r="I232" s="387">
        <f t="shared" si="336"/>
      </c>
      <c r="J232" s="388">
        <f t="shared" si="232"/>
      </c>
      <c r="K232" s="389">
        <f t="shared" si="154"/>
      </c>
      <c r="L232" s="417">
        <f t="shared" si="258"/>
      </c>
      <c r="M232" s="388">
        <f t="shared" si="102"/>
      </c>
      <c r="N232" s="389">
        <f t="shared" si="362"/>
      </c>
      <c r="O232" s="388">
        <f t="shared" si="284"/>
      </c>
      <c r="P232" s="388">
        <f t="shared" si="180"/>
      </c>
      <c r="Q232" s="389">
        <f t="shared" si="128"/>
      </c>
      <c r="R232" s="390">
        <f t="shared" si="388"/>
      </c>
      <c r="S232" s="389">
        <f t="shared" si="310"/>
      </c>
      <c r="T232" s="391">
        <f t="shared" si="206"/>
      </c>
      <c r="U232" s="392" t="s">
        <v>185</v>
      </c>
      <c r="V232" s="423" t="s">
        <v>207</v>
      </c>
      <c r="W232" s="360">
        <v>1</v>
      </c>
      <c r="X232" s="360">
        <v>24118</v>
      </c>
      <c r="Y232" s="360">
        <v>737</v>
      </c>
      <c r="Z232" s="360">
        <v>981</v>
      </c>
      <c r="AA232" s="360">
        <v>254</v>
      </c>
      <c r="AB232" s="360">
        <v>137</v>
      </c>
      <c r="AC232" s="395">
        <v>5</v>
      </c>
      <c r="AD232" s="359">
        <v>36</v>
      </c>
      <c r="AE232" s="293"/>
      <c r="AF232" s="293"/>
    </row>
    <row r="233">
      <c r="A233" s="384"/>
      <c r="B233" s="361" t="s">
        <v>189</v>
      </c>
      <c r="C233" s="361"/>
      <c r="D233" s="361">
        <f>SUM(D229:D232)</f>
      </c>
      <c r="E233" s="361">
        <f>SUM(E229:E232)</f>
      </c>
      <c r="F233" s="361">
        <f>SUM(F229:F232)</f>
      </c>
      <c r="G233" s="361">
        <f>SUM(G229:G232)</f>
      </c>
      <c r="H233" s="361">
        <f>SUM(H229:H232)</f>
      </c>
      <c r="I233" s="396">
        <f t="shared" si="336"/>
      </c>
      <c r="J233" s="397">
        <f t="shared" si="232"/>
      </c>
      <c r="K233" s="398">
        <f t="shared" si="154"/>
      </c>
      <c r="L233" s="418">
        <f t="shared" si="258"/>
      </c>
      <c r="M233" s="397">
        <f t="shared" si="102"/>
      </c>
      <c r="N233" s="398">
        <f t="shared" si="362"/>
      </c>
      <c r="O233" s="397">
        <f t="shared" si="284"/>
      </c>
      <c r="P233" s="397">
        <f t="shared" si="180"/>
      </c>
      <c r="Q233" s="398">
        <f t="shared" si="128"/>
      </c>
      <c r="R233" s="399">
        <f t="shared" si="388"/>
      </c>
      <c r="S233" s="398">
        <f t="shared" si="310"/>
      </c>
      <c r="T233" s="400">
        <f t="shared" si="206"/>
      </c>
      <c r="U233" s="400"/>
      <c r="V233" s="400"/>
      <c r="W233" s="361">
        <f>SUM(W229:W232)</f>
      </c>
      <c r="X233" s="361">
        <f>SUM(X229:X232)</f>
      </c>
      <c r="Y233" s="361">
        <f>SUM(Y229:Y232)</f>
      </c>
      <c r="Z233" s="361">
        <f>SUM(Z229:Z232)</f>
      </c>
      <c r="AA233" s="361">
        <f>SUM(AA229:AA232)</f>
      </c>
      <c r="AB233" s="361">
        <f>SUM(AB229:AB232)</f>
      </c>
      <c r="AC233" s="319">
        <f>SUM(AC229:AC232)</f>
      </c>
      <c r="AD233" s="320">
        <f>SUM(AD229:AD232)</f>
      </c>
      <c r="AE233" s="293"/>
      <c r="AF233" s="293"/>
    </row>
    <row r="234">
      <c r="A234" s="384"/>
      <c r="B234" s="385" t="s">
        <v>203</v>
      </c>
      <c r="C234" s="369" t="s">
        <v>197</v>
      </c>
      <c r="D234" s="360">
        <f t="shared" ref="D234:D237" si="40">E234+F234</f>
      </c>
      <c r="E234" s="360">
        <v>3939.36</v>
      </c>
      <c r="F234" s="360">
        <v>163.04</v>
      </c>
      <c r="G234" s="369">
        <v>3</v>
      </c>
      <c r="H234" s="369">
        <v>5245.25</v>
      </c>
      <c r="I234" s="387">
        <f t="shared" si="336"/>
      </c>
      <c r="J234" s="388">
        <f t="shared" si="232"/>
      </c>
      <c r="K234" s="389">
        <f t="shared" si="154"/>
      </c>
      <c r="L234" s="417">
        <f t="shared" si="258"/>
      </c>
      <c r="M234" s="388">
        <f t="shared" si="102"/>
      </c>
      <c r="N234" s="389">
        <f t="shared" si="362"/>
      </c>
      <c r="O234" s="388">
        <f t="shared" si="284"/>
      </c>
      <c r="P234" s="388">
        <f t="shared" si="180"/>
      </c>
      <c r="Q234" s="389">
        <f t="shared" si="128"/>
      </c>
      <c r="R234" s="390">
        <f t="shared" si="388"/>
      </c>
      <c r="S234" s="389">
        <f t="shared" si="310"/>
      </c>
      <c r="T234" s="391">
        <f t="shared" si="206"/>
      </c>
      <c r="U234" s="392" t="s">
        <v>185</v>
      </c>
      <c r="V234" s="423" t="s">
        <v>207</v>
      </c>
      <c r="W234" s="360">
        <v>1</v>
      </c>
      <c r="X234" s="360">
        <v>14838</v>
      </c>
      <c r="Y234" s="360">
        <v>633</v>
      </c>
      <c r="Z234" s="360">
        <v>737</v>
      </c>
      <c r="AA234" s="360">
        <v>206</v>
      </c>
      <c r="AB234" s="360">
        <v>95</v>
      </c>
      <c r="AC234" s="395">
        <v>4</v>
      </c>
      <c r="AD234" s="359">
        <v>41</v>
      </c>
      <c r="AE234" s="293"/>
      <c r="AF234" s="293"/>
    </row>
    <row r="235">
      <c r="A235" s="384"/>
      <c r="B235" s="385" t="s">
        <v>204</v>
      </c>
      <c r="C235" s="369" t="s">
        <v>197</v>
      </c>
      <c r="D235" s="360">
        <f t="shared" si="40"/>
      </c>
      <c r="E235" s="360">
        <v>2240.18</v>
      </c>
      <c r="F235" s="360">
        <v>398.93</v>
      </c>
      <c r="G235" s="369">
        <v>1</v>
      </c>
      <c r="H235" s="369">
        <v>853.4399999999987</v>
      </c>
      <c r="I235" s="387">
        <f t="shared" si="336"/>
      </c>
      <c r="J235" s="388">
        <f t="shared" si="232"/>
      </c>
      <c r="K235" s="389">
        <f t="shared" si="154"/>
      </c>
      <c r="L235" s="417">
        <f t="shared" si="258"/>
      </c>
      <c r="M235" s="388">
        <f t="shared" si="102"/>
      </c>
      <c r="N235" s="389">
        <f t="shared" si="362"/>
      </c>
      <c r="O235" s="388">
        <f t="shared" si="284"/>
      </c>
      <c r="P235" s="388">
        <f t="shared" si="180"/>
      </c>
      <c r="Q235" s="389">
        <f t="shared" si="128"/>
      </c>
      <c r="R235" s="390">
        <f t="shared" si="388"/>
      </c>
      <c r="S235" s="389">
        <f t="shared" si="310"/>
      </c>
      <c r="T235" s="391">
        <f t="shared" si="206"/>
      </c>
      <c r="U235" s="392" t="s">
        <v>185</v>
      </c>
      <c r="V235" s="423" t="s">
        <v>207</v>
      </c>
      <c r="W235" s="360">
        <v>0</v>
      </c>
      <c r="X235" s="360">
        <v>7594</v>
      </c>
      <c r="Y235" s="360">
        <v>587</v>
      </c>
      <c r="Z235" s="360">
        <v>791</v>
      </c>
      <c r="AA235" s="360">
        <v>222</v>
      </c>
      <c r="AB235" s="360">
        <v>58</v>
      </c>
      <c r="AC235" s="395">
        <v>4</v>
      </c>
      <c r="AD235" s="359">
        <v>22</v>
      </c>
      <c r="AE235" s="293"/>
      <c r="AF235" s="293"/>
    </row>
    <row r="236">
      <c r="A236" s="384"/>
      <c r="B236" s="385" t="s">
        <v>205</v>
      </c>
      <c r="C236" s="369" t="s">
        <v>197</v>
      </c>
      <c r="D236" s="360">
        <f t="shared" si="40"/>
      </c>
      <c r="E236" s="360">
        <v>2844.3</v>
      </c>
      <c r="F236" s="360">
        <v>274.81</v>
      </c>
      <c r="G236" s="369">
        <v>2</v>
      </c>
      <c r="H236" s="369">
        <v>3729.2400000000016</v>
      </c>
      <c r="I236" s="387">
        <f t="shared" si="336"/>
      </c>
      <c r="J236" s="388">
        <f t="shared" si="232"/>
      </c>
      <c r="K236" s="389">
        <f t="shared" si="154"/>
      </c>
      <c r="L236" s="417">
        <f t="shared" si="258"/>
      </c>
      <c r="M236" s="388">
        <f t="shared" si="102"/>
      </c>
      <c r="N236" s="389">
        <f t="shared" si="362"/>
      </c>
      <c r="O236" s="388">
        <f t="shared" si="284"/>
      </c>
      <c r="P236" s="388">
        <f t="shared" si="180"/>
      </c>
      <c r="Q236" s="389">
        <f t="shared" si="128"/>
      </c>
      <c r="R236" s="390">
        <f t="shared" si="388"/>
      </c>
      <c r="S236" s="389">
        <f t="shared" si="310"/>
      </c>
      <c r="T236" s="391">
        <f t="shared" si="206"/>
      </c>
      <c r="U236" s="392" t="s">
        <v>185</v>
      </c>
      <c r="V236" s="423" t="s">
        <v>207</v>
      </c>
      <c r="W236" s="360">
        <v>3</v>
      </c>
      <c r="X236" s="360">
        <v>9091</v>
      </c>
      <c r="Y236" s="360">
        <v>563</v>
      </c>
      <c r="Z236" s="360">
        <v>758</v>
      </c>
      <c r="AA236" s="360">
        <v>214</v>
      </c>
      <c r="AB236" s="360">
        <v>88</v>
      </c>
      <c r="AC236" s="395">
        <v>3</v>
      </c>
      <c r="AD236" s="359">
        <v>17</v>
      </c>
      <c r="AE236" s="293"/>
      <c r="AF236" s="293"/>
    </row>
    <row r="237">
      <c r="A237" s="384"/>
      <c r="B237" s="419" t="s">
        <v>196</v>
      </c>
      <c r="C237" s="369" t="s">
        <v>197</v>
      </c>
      <c r="D237" s="360">
        <f t="shared" si="40"/>
      </c>
      <c r="E237" s="360">
        <v>1551.1399999999999</v>
      </c>
      <c r="F237" s="360">
        <v>174.47</v>
      </c>
      <c r="G237" s="369">
        <v>3</v>
      </c>
      <c r="H237" s="369">
        <v>3810.239999999998</v>
      </c>
      <c r="I237" s="387">
        <f t="shared" si="336"/>
      </c>
      <c r="J237" s="388">
        <f t="shared" si="232"/>
      </c>
      <c r="K237" s="389">
        <f t="shared" si="154"/>
      </c>
      <c r="L237" s="417">
        <f t="shared" si="258"/>
      </c>
      <c r="M237" s="388">
        <f t="shared" si="102"/>
      </c>
      <c r="N237" s="389">
        <f t="shared" si="362"/>
      </c>
      <c r="O237" s="388">
        <f t="shared" si="284"/>
      </c>
      <c r="P237" s="388">
        <f t="shared" si="180"/>
      </c>
      <c r="Q237" s="389">
        <f t="shared" si="128"/>
      </c>
      <c r="R237" s="390">
        <f t="shared" si="388"/>
      </c>
      <c r="S237" s="389">
        <f t="shared" si="310"/>
      </c>
      <c r="T237" s="391">
        <f t="shared" si="206"/>
      </c>
      <c r="U237" s="392" t="s">
        <v>185</v>
      </c>
      <c r="V237" s="393" t="s">
        <v>186</v>
      </c>
      <c r="W237" s="360">
        <v>2</v>
      </c>
      <c r="X237" s="360">
        <v>4407</v>
      </c>
      <c r="Y237" s="360">
        <v>434</v>
      </c>
      <c r="Z237" s="360">
        <v>578</v>
      </c>
      <c r="AA237" s="360">
        <v>166</v>
      </c>
      <c r="AB237" s="360">
        <v>21</v>
      </c>
      <c r="AC237" s="395">
        <v>3</v>
      </c>
      <c r="AD237" s="359">
        <v>13</v>
      </c>
      <c r="AE237" s="293"/>
      <c r="AF237" s="293"/>
    </row>
    <row r="238">
      <c r="A238" s="384"/>
      <c r="B238" s="361" t="s">
        <v>189</v>
      </c>
      <c r="C238" s="361"/>
      <c r="D238" s="361">
        <f>SUM(D234:D237)</f>
      </c>
      <c r="E238" s="361">
        <f>SUM(E234:E237)</f>
      </c>
      <c r="F238" s="361">
        <f>SUM(F234:F237)</f>
      </c>
      <c r="G238" s="361">
        <f>SUM(G234:G237)</f>
      </c>
      <c r="H238" s="361">
        <f>SUM(H234:H237)</f>
      </c>
      <c r="I238" s="396">
        <f t="shared" si="336"/>
      </c>
      <c r="J238" s="397">
        <f t="shared" si="232"/>
      </c>
      <c r="K238" s="398">
        <f t="shared" si="154"/>
      </c>
      <c r="L238" s="418">
        <f t="shared" si="258"/>
      </c>
      <c r="M238" s="397">
        <f t="shared" si="102"/>
      </c>
      <c r="N238" s="398">
        <f t="shared" si="362"/>
      </c>
      <c r="O238" s="397">
        <f t="shared" si="284"/>
      </c>
      <c r="P238" s="397">
        <f t="shared" si="180"/>
      </c>
      <c r="Q238" s="398">
        <f t="shared" si="128"/>
      </c>
      <c r="R238" s="399">
        <f t="shared" si="388"/>
      </c>
      <c r="S238" s="398">
        <f t="shared" si="310"/>
      </c>
      <c r="T238" s="400">
        <f t="shared" si="206"/>
      </c>
      <c r="U238" s="400"/>
      <c r="V238" s="400"/>
      <c r="W238" s="361">
        <f>SUM(W234:W237)</f>
      </c>
      <c r="X238" s="361">
        <f>SUM(X234:X237)</f>
      </c>
      <c r="Y238" s="361">
        <f>SUM(Y234:Y237)</f>
      </c>
      <c r="Z238" s="361">
        <f>SUM(Z234:Z237)</f>
      </c>
      <c r="AA238" s="361">
        <f>SUM(AA234:AA237)</f>
      </c>
      <c r="AB238" s="361">
        <f>SUM(AB234:AB237)</f>
      </c>
      <c r="AC238" s="361">
        <f>SUM(AC234:AC237)</f>
      </c>
      <c r="AD238" s="361">
        <f>SUM(AD234:AD237)</f>
      </c>
      <c r="AE238" s="293"/>
      <c r="AF238" s="293"/>
    </row>
    <row r="239">
      <c r="A239" s="384"/>
      <c r="B239" s="401" t="s">
        <v>183</v>
      </c>
      <c r="C239" s="369" t="s">
        <v>198</v>
      </c>
      <c r="D239" s="360">
        <f t="shared" ref="D239:D242" si="41">E239+F239</f>
      </c>
      <c r="E239" s="356">
        <v>2718.8</v>
      </c>
      <c r="F239" s="356">
        <v>102.36</v>
      </c>
      <c r="G239" s="402">
        <v>0</v>
      </c>
      <c r="H239" s="402">
        <v>0</v>
      </c>
      <c r="I239" s="420">
        <f t="shared" si="336"/>
      </c>
      <c r="J239" s="421">
        <f t="shared" si="232"/>
      </c>
      <c r="K239" s="422">
        <f t="shared" si="154"/>
      </c>
      <c r="L239" s="388">
        <f t="shared" si="258"/>
      </c>
      <c r="M239" s="388">
        <f t="shared" si="102"/>
      </c>
      <c r="N239" s="389">
        <f t="shared" si="362"/>
      </c>
      <c r="O239" s="388">
        <f t="shared" si="284"/>
      </c>
      <c r="P239" s="388">
        <f t="shared" si="180"/>
      </c>
      <c r="Q239" s="389">
        <f t="shared" si="128"/>
      </c>
      <c r="R239" s="390">
        <f t="shared" si="388"/>
      </c>
      <c r="S239" s="389">
        <f t="shared" si="310"/>
      </c>
      <c r="T239" s="391">
        <f t="shared" si="206"/>
      </c>
      <c r="U239" s="392" t="s">
        <v>185</v>
      </c>
      <c r="V239" s="393" t="s">
        <v>186</v>
      </c>
      <c r="W239" s="360">
        <v>0</v>
      </c>
      <c r="X239" s="360">
        <v>6910</v>
      </c>
      <c r="Y239" s="360">
        <v>596</v>
      </c>
      <c r="Z239" s="360">
        <v>705</v>
      </c>
      <c r="AA239" s="360">
        <v>232</v>
      </c>
      <c r="AB239" s="360">
        <v>40</v>
      </c>
      <c r="AC239" s="395">
        <v>0</v>
      </c>
      <c r="AD239" s="359">
        <v>25</v>
      </c>
      <c r="AE239" s="293"/>
      <c r="AF239" s="293"/>
    </row>
    <row r="240">
      <c r="A240" s="384"/>
      <c r="B240" s="385" t="s">
        <v>187</v>
      </c>
      <c r="C240" s="369" t="s">
        <v>198</v>
      </c>
      <c r="D240" s="360">
        <f t="shared" si="41"/>
      </c>
      <c r="E240" s="360">
        <v>1860.31</v>
      </c>
      <c r="F240" s="360">
        <v>262.64</v>
      </c>
      <c r="G240" s="369">
        <v>1</v>
      </c>
      <c r="H240" s="369">
        <v>3601.199999999997</v>
      </c>
      <c r="I240" s="387">
        <f t="shared" si="336"/>
      </c>
      <c r="J240" s="388">
        <f t="shared" si="232"/>
      </c>
      <c r="K240" s="389">
        <f t="shared" si="154"/>
      </c>
      <c r="L240" s="388">
        <f t="shared" si="258"/>
      </c>
      <c r="M240" s="388">
        <f t="shared" si="102"/>
      </c>
      <c r="N240" s="389">
        <f t="shared" si="362"/>
      </c>
      <c r="O240" s="388">
        <f t="shared" si="284"/>
      </c>
      <c r="P240" s="388">
        <f t="shared" si="180"/>
      </c>
      <c r="Q240" s="389">
        <f t="shared" si="128"/>
      </c>
      <c r="R240" s="390">
        <f t="shared" si="388"/>
      </c>
      <c r="S240" s="389">
        <f t="shared" si="310"/>
      </c>
      <c r="T240" s="391">
        <f t="shared" si="206"/>
      </c>
      <c r="U240" s="392" t="s">
        <v>185</v>
      </c>
      <c r="V240" s="393" t="s">
        <v>186</v>
      </c>
      <c r="W240" s="360">
        <v>0</v>
      </c>
      <c r="X240" s="360">
        <v>4655</v>
      </c>
      <c r="Y240" s="360">
        <v>692</v>
      </c>
      <c r="Z240" s="360">
        <v>939</v>
      </c>
      <c r="AA240" s="360">
        <v>264</v>
      </c>
      <c r="AB240" s="360">
        <v>16</v>
      </c>
      <c r="AC240" s="395">
        <v>2</v>
      </c>
      <c r="AD240" s="359">
        <v>14</v>
      </c>
      <c r="AE240" s="293"/>
      <c r="AF240" s="293"/>
    </row>
    <row r="241">
      <c r="A241" s="384"/>
      <c r="B241" s="385" t="s">
        <v>188</v>
      </c>
      <c r="C241" s="369" t="s">
        <v>198</v>
      </c>
      <c r="D241" s="360">
        <f t="shared" si="41"/>
      </c>
      <c r="E241" s="360">
        <v>1847.3000000000002</v>
      </c>
      <c r="F241" s="360">
        <v>176.35</v>
      </c>
      <c r="G241" s="369">
        <v>1</v>
      </c>
      <c r="H241" s="369">
        <v>1222.560000000005</v>
      </c>
      <c r="I241" s="387">
        <f t="shared" si="336"/>
      </c>
      <c r="J241" s="388">
        <f t="shared" si="232"/>
      </c>
      <c r="K241" s="389">
        <f t="shared" si="154"/>
      </c>
      <c r="L241" s="388">
        <f t="shared" si="258"/>
      </c>
      <c r="M241" s="388">
        <f t="shared" si="102"/>
      </c>
      <c r="N241" s="389">
        <f t="shared" si="362"/>
      </c>
      <c r="O241" s="388">
        <f t="shared" si="284"/>
      </c>
      <c r="P241" s="388">
        <f t="shared" si="180"/>
      </c>
      <c r="Q241" s="389">
        <f t="shared" si="128"/>
      </c>
      <c r="R241" s="390">
        <f t="shared" si="388"/>
      </c>
      <c r="S241" s="389">
        <f t="shared" si="310"/>
      </c>
      <c r="T241" s="391">
        <f t="shared" si="206"/>
      </c>
      <c r="U241" s="392" t="s">
        <v>185</v>
      </c>
      <c r="V241" s="393" t="s">
        <v>186</v>
      </c>
      <c r="W241" s="360">
        <v>1</v>
      </c>
      <c r="X241" s="360">
        <v>3181</v>
      </c>
      <c r="Y241" s="360">
        <v>575</v>
      </c>
      <c r="Z241" s="360">
        <v>797</v>
      </c>
      <c r="AA241" s="360">
        <v>218</v>
      </c>
      <c r="AB241" s="360">
        <v>9</v>
      </c>
      <c r="AC241" s="395">
        <v>3</v>
      </c>
      <c r="AD241" s="359">
        <v>19</v>
      </c>
      <c r="AE241" s="293"/>
      <c r="AF241" s="293"/>
    </row>
    <row r="242">
      <c r="A242" s="384"/>
      <c r="B242" s="385" t="s">
        <v>190</v>
      </c>
      <c r="C242" s="369" t="s">
        <v>198</v>
      </c>
      <c r="D242" s="360">
        <f t="shared" si="41"/>
      </c>
      <c r="E242" s="360">
        <v>1503.0500000000002</v>
      </c>
      <c r="F242" s="360">
        <v>161.46</v>
      </c>
      <c r="G242" s="369">
        <v>3</v>
      </c>
      <c r="H242" s="369">
        <v>5679.239999999998</v>
      </c>
      <c r="I242" s="387">
        <f t="shared" si="336"/>
      </c>
      <c r="J242" s="388">
        <f t="shared" si="232"/>
      </c>
      <c r="K242" s="389">
        <f t="shared" si="154"/>
      </c>
      <c r="L242" s="388">
        <f t="shared" si="258"/>
      </c>
      <c r="M242" s="388">
        <f t="shared" si="102"/>
      </c>
      <c r="N242" s="389">
        <f t="shared" si="362"/>
      </c>
      <c r="O242" s="388">
        <f t="shared" si="284"/>
      </c>
      <c r="P242" s="388">
        <f t="shared" si="180"/>
      </c>
      <c r="Q242" s="389">
        <f t="shared" si="128"/>
      </c>
      <c r="R242" s="390">
        <f t="shared" si="388"/>
      </c>
      <c r="S242" s="389">
        <f t="shared" si="310"/>
      </c>
      <c r="T242" s="391">
        <f t="shared" si="206"/>
      </c>
      <c r="U242" s="392" t="s">
        <v>185</v>
      </c>
      <c r="V242" s="393" t="s">
        <v>186</v>
      </c>
      <c r="W242" s="360">
        <v>2</v>
      </c>
      <c r="X242" s="360">
        <v>3024</v>
      </c>
      <c r="Y242" s="360">
        <v>522</v>
      </c>
      <c r="Z242" s="360">
        <v>807</v>
      </c>
      <c r="AA242" s="360">
        <v>211</v>
      </c>
      <c r="AB242" s="360">
        <v>12</v>
      </c>
      <c r="AC242" s="395">
        <v>4</v>
      </c>
      <c r="AD242" s="359">
        <v>21</v>
      </c>
      <c r="AE242" s="293"/>
      <c r="AF242" s="293"/>
    </row>
    <row r="243">
      <c r="A243" s="384"/>
      <c r="B243" s="361" t="s">
        <v>189</v>
      </c>
      <c r="C243" s="361"/>
      <c r="D243" s="361">
        <f>SUM(D239:D242)</f>
      </c>
      <c r="E243" s="362">
        <f>SUM(E239:E242)</f>
      </c>
      <c r="F243" s="362">
        <f>SUM(F239:F242)</f>
      </c>
      <c r="G243" s="343">
        <f>SUM(G239:G242)</f>
      </c>
      <c r="H243" s="343">
        <f>SUM(H239:H242)</f>
      </c>
      <c r="I243" s="344">
        <f t="shared" si="336"/>
      </c>
      <c r="J243" s="345">
        <f t="shared" si="232"/>
      </c>
      <c r="K243" s="323">
        <f t="shared" si="154"/>
      </c>
      <c r="L243" s="322">
        <f t="shared" si="258"/>
      </c>
      <c r="M243" s="322">
        <f t="shared" si="102"/>
      </c>
      <c r="N243" s="323">
        <f t="shared" si="362"/>
      </c>
      <c r="O243" s="322">
        <f t="shared" si="284"/>
      </c>
      <c r="P243" s="322">
        <f t="shared" si="180"/>
      </c>
      <c r="Q243" s="324">
        <f t="shared" si="128"/>
      </c>
      <c r="R243" s="325">
        <f t="shared" si="388"/>
      </c>
      <c r="S243" s="324">
        <f t="shared" si="310"/>
      </c>
      <c r="T243" s="326">
        <f t="shared" si="206"/>
      </c>
      <c r="U243" s="326"/>
      <c r="V243" s="326"/>
      <c r="W243" s="320">
        <f>SUM(W239:W242)</f>
      </c>
      <c r="X243" s="320">
        <f>SUM(X239:X242)</f>
      </c>
      <c r="Y243" s="320">
        <f>SUM(Y239:Y242)</f>
      </c>
      <c r="Z243" s="320">
        <f>SUM(Z239:Z242)</f>
      </c>
      <c r="AA243" s="320">
        <f>SUM(AA239:AA242)</f>
      </c>
      <c r="AB243" s="320">
        <f>SUM(AB239:AB242)</f>
      </c>
      <c r="AC243" s="320">
        <f>SUM(AC239:AC242)</f>
      </c>
      <c r="AD243" s="320">
        <f>SUM(AD239:AD242)</f>
      </c>
      <c r="AE243" s="293"/>
      <c r="AF243" s="293"/>
    </row>
    <row r="244">
      <c r="A244" s="384"/>
      <c r="B244" s="360" t="s">
        <v>192</v>
      </c>
      <c r="C244" s="369" t="s">
        <v>210</v>
      </c>
      <c r="D244" s="346">
        <f t="shared" ref="D244:D246" si="42">E244+F244</f>
      </c>
      <c r="E244" s="347">
        <v>1855.5</v>
      </c>
      <c r="F244" s="347">
        <v>403.82</v>
      </c>
      <c r="G244" s="364">
        <v>1</v>
      </c>
      <c r="H244" s="364">
        <v>611</v>
      </c>
      <c r="I244" s="349">
        <f t="shared" si="336"/>
      </c>
      <c r="J244" s="312">
        <f t="shared" si="232"/>
      </c>
      <c r="K244" s="313">
        <f t="shared" si="154"/>
      </c>
      <c r="L244" s="312">
        <f t="shared" si="258"/>
      </c>
      <c r="M244" s="312">
        <f t="shared" si="102"/>
      </c>
      <c r="N244" s="313">
        <f t="shared" si="362"/>
      </c>
      <c r="O244" s="312">
        <f t="shared" si="284"/>
      </c>
      <c r="P244" s="312">
        <f t="shared" si="180"/>
      </c>
      <c r="Q244" s="314">
        <f t="shared" si="128"/>
      </c>
      <c r="R244" s="315">
        <f t="shared" si="388"/>
      </c>
      <c r="S244" s="314">
        <f t="shared" si="310"/>
      </c>
      <c r="T244" s="316">
        <f t="shared" si="206"/>
      </c>
      <c r="U244" s="317" t="s">
        <v>185</v>
      </c>
      <c r="V244" s="318" t="s">
        <v>186</v>
      </c>
      <c r="W244" s="310">
        <v>1</v>
      </c>
      <c r="X244" s="310">
        <v>4885</v>
      </c>
      <c r="Y244" s="310">
        <v>577</v>
      </c>
      <c r="Z244" s="310">
        <v>868</v>
      </c>
      <c r="AA244" s="310">
        <v>199</v>
      </c>
      <c r="AB244" s="310">
        <v>28</v>
      </c>
      <c r="AC244" s="359">
        <v>1</v>
      </c>
      <c r="AD244" s="359">
        <v>17</v>
      </c>
      <c r="AE244" s="293"/>
      <c r="AF244" s="293"/>
    </row>
    <row r="245">
      <c r="A245" s="384"/>
      <c r="B245" s="360" t="s">
        <v>193</v>
      </c>
      <c r="C245" s="369" t="s">
        <v>210</v>
      </c>
      <c r="D245" s="346">
        <f t="shared" si="42"/>
      </c>
      <c r="E245" s="309">
        <v>2361.0699999999997</v>
      </c>
      <c r="F245" s="309">
        <v>385.62</v>
      </c>
      <c r="G245" s="359">
        <v>2</v>
      </c>
      <c r="H245" s="359">
        <v>2929.4400000000023</v>
      </c>
      <c r="I245" s="311">
        <f t="shared" si="336"/>
      </c>
      <c r="J245" s="312">
        <f t="shared" si="232"/>
      </c>
      <c r="K245" s="313">
        <f t="shared" si="154"/>
      </c>
      <c r="L245" s="312">
        <f t="shared" si="258"/>
      </c>
      <c r="M245" s="312">
        <f t="shared" si="102"/>
      </c>
      <c r="N245" s="313">
        <f t="shared" si="362"/>
      </c>
      <c r="O245" s="312">
        <f t="shared" si="284"/>
      </c>
      <c r="P245" s="312">
        <f t="shared" si="180"/>
      </c>
      <c r="Q245" s="314">
        <f t="shared" si="128"/>
      </c>
      <c r="R245" s="315">
        <f t="shared" si="388"/>
      </c>
      <c r="S245" s="314">
        <f t="shared" si="310"/>
      </c>
      <c r="T245" s="316">
        <f t="shared" si="206"/>
      </c>
      <c r="U245" s="317" t="s">
        <v>185</v>
      </c>
      <c r="V245" s="318" t="s">
        <v>186</v>
      </c>
      <c r="W245" s="310">
        <v>1</v>
      </c>
      <c r="X245" s="310">
        <v>6199</v>
      </c>
      <c r="Y245" s="310">
        <v>599</v>
      </c>
      <c r="Z245" s="310">
        <v>866</v>
      </c>
      <c r="AA245" s="310">
        <v>198</v>
      </c>
      <c r="AB245" s="310">
        <v>50</v>
      </c>
      <c r="AC245" s="359">
        <v>3</v>
      </c>
      <c r="AD245" s="359">
        <v>30</v>
      </c>
      <c r="AE245" s="293"/>
      <c r="AF245" s="293"/>
    </row>
    <row r="246">
      <c r="A246" s="384"/>
      <c r="B246" s="360" t="s">
        <v>194</v>
      </c>
      <c r="C246" s="369" t="s">
        <v>210</v>
      </c>
      <c r="D246" s="346">
        <f t="shared" si="42"/>
      </c>
      <c r="E246" s="309">
        <v>1786.33</v>
      </c>
      <c r="F246" s="309">
        <v>261.8</v>
      </c>
      <c r="G246" s="359">
        <v>0</v>
      </c>
      <c r="H246" s="359">
        <v>0</v>
      </c>
      <c r="I246" s="311">
        <f t="shared" si="336"/>
      </c>
      <c r="J246" s="312">
        <f t="shared" si="232"/>
      </c>
      <c r="K246" s="313">
        <f t="shared" si="154"/>
      </c>
      <c r="L246" s="312">
        <f t="shared" si="258"/>
      </c>
      <c r="M246" s="312">
        <f t="shared" si="102"/>
      </c>
      <c r="N246" s="313">
        <f t="shared" si="362"/>
      </c>
      <c r="O246" s="312">
        <f t="shared" si="284"/>
      </c>
      <c r="P246" s="312">
        <f t="shared" si="180"/>
      </c>
      <c r="Q246" s="314">
        <f t="shared" si="128"/>
      </c>
      <c r="R246" s="315">
        <f t="shared" si="388"/>
      </c>
      <c r="S246" s="314">
        <f t="shared" si="310"/>
      </c>
      <c r="T246" s="316">
        <f t="shared" si="206"/>
      </c>
      <c r="U246" s="317" t="s">
        <v>185</v>
      </c>
      <c r="V246" s="318" t="s">
        <v>186</v>
      </c>
      <c r="W246" s="310">
        <v>0</v>
      </c>
      <c r="X246" s="310">
        <v>5139</v>
      </c>
      <c r="Y246" s="310">
        <v>500</v>
      </c>
      <c r="Z246" s="310">
        <v>695</v>
      </c>
      <c r="AA246" s="310">
        <v>143</v>
      </c>
      <c r="AB246" s="310">
        <v>50</v>
      </c>
      <c r="AC246" s="359">
        <v>0</v>
      </c>
      <c r="AD246" s="359">
        <v>13</v>
      </c>
      <c r="AE246" s="293"/>
      <c r="AF246" s="293"/>
    </row>
    <row r="247">
      <c r="A247" s="384"/>
      <c r="B247" s="361" t="s">
        <v>189</v>
      </c>
      <c r="C247" s="361"/>
      <c r="D247" s="319">
        <f>SUM(D244:D246)</f>
      </c>
      <c r="E247" s="319">
        <f>SUM(E244:E246)</f>
      </c>
      <c r="F247" s="319">
        <f>SUM(F244:F246)</f>
      </c>
      <c r="G247" s="319">
        <f>SUM(G244:G246)</f>
      </c>
      <c r="H247" s="319">
        <f>SUM(H244:H246)</f>
      </c>
      <c r="I247" s="321">
        <f t="shared" si="336"/>
      </c>
      <c r="J247" s="322">
        <f t="shared" si="232"/>
      </c>
      <c r="K247" s="323">
        <f t="shared" si="154"/>
      </c>
      <c r="L247" s="322">
        <f t="shared" si="258"/>
      </c>
      <c r="M247" s="322">
        <f t="shared" si="102"/>
      </c>
      <c r="N247" s="323">
        <f t="shared" si="362"/>
      </c>
      <c r="O247" s="322">
        <f t="shared" si="284"/>
      </c>
      <c r="P247" s="322">
        <f t="shared" si="180"/>
      </c>
      <c r="Q247" s="324">
        <f t="shared" si="128"/>
      </c>
      <c r="R247" s="325">
        <f t="shared" si="388"/>
      </c>
      <c r="S247" s="324">
        <f t="shared" si="310"/>
      </c>
      <c r="T247" s="326">
        <f t="shared" si="206"/>
      </c>
      <c r="U247" s="326"/>
      <c r="V247" s="326"/>
      <c r="W247" s="320">
        <f>SUM(W244:W246)</f>
      </c>
      <c r="X247" s="320">
        <f>SUM(X244:X246)</f>
      </c>
      <c r="Y247" s="320">
        <f>SUM(Y244:Y246)</f>
      </c>
      <c r="Z247" s="320">
        <f>SUM(Z244:Z246)</f>
      </c>
      <c r="AA247" s="320">
        <f>SUM(AA244:AA246)</f>
      </c>
      <c r="AB247" s="320">
        <f>SUM(AB244:AB246)</f>
      </c>
      <c r="AC247" s="320">
        <f>SUM(AC244:AC246)</f>
      </c>
      <c r="AD247" s="320">
        <f>SUM(AD244:AD246)</f>
      </c>
      <c r="AE247" s="293"/>
      <c r="AF247" s="293"/>
    </row>
    <row r="248">
      <c r="A248" s="384"/>
      <c r="B248" s="366" t="s">
        <v>195</v>
      </c>
      <c r="C248" s="366"/>
      <c r="D248" s="367">
        <f>+D238+D233+D243+D247</f>
      </c>
      <c r="E248" s="367">
        <f>+E238+E233+E243+E247</f>
      </c>
      <c r="F248" s="367">
        <f>+F238+F233+F243+F247</f>
      </c>
      <c r="G248" s="367">
        <f>+G238+G233+G243+G247</f>
      </c>
      <c r="H248" s="367">
        <f>+H238+H233+H243+H247</f>
      </c>
      <c r="I248" s="328">
        <f t="shared" si="336"/>
      </c>
      <c r="J248" s="329">
        <f t="shared" si="232"/>
      </c>
      <c r="K248" s="330">
        <f t="shared" si="154"/>
      </c>
      <c r="L248" s="331">
        <f t="shared" si="258"/>
      </c>
      <c r="M248" s="331">
        <f t="shared" si="102"/>
      </c>
      <c r="N248" s="330">
        <f t="shared" si="362"/>
      </c>
      <c r="O248" s="331">
        <f t="shared" si="284"/>
      </c>
      <c r="P248" s="331">
        <f t="shared" si="180"/>
      </c>
      <c r="Q248" s="330">
        <f t="shared" si="128"/>
      </c>
      <c r="R248" s="332">
        <f t="shared" si="388"/>
      </c>
      <c r="S248" s="330">
        <f t="shared" si="310"/>
      </c>
      <c r="T248" s="333">
        <f t="shared" si="206"/>
      </c>
      <c r="U248" s="333"/>
      <c r="V248" s="333"/>
      <c r="W248" s="328">
        <f>+W238+W233+W243+W247</f>
      </c>
      <c r="X248" s="328">
        <f>+X238+X233+X243+X247</f>
      </c>
      <c r="Y248" s="328">
        <f>+Y238+Y233+Y243+Y247</f>
      </c>
      <c r="Z248" s="328">
        <f>+Z238+Z233+Z243+Z247</f>
      </c>
      <c r="AA248" s="328">
        <f>+AA238+AA233+AA243+AA247</f>
      </c>
      <c r="AB248" s="328">
        <f>+AB238+AB233+AB243+AB247</f>
      </c>
      <c r="AC248" s="328">
        <f>+AC238+AC233+AC243+AC247</f>
      </c>
      <c r="AD248" s="328">
        <f>+AD238+AD233+AD243+AD247</f>
      </c>
      <c r="AE248" s="293"/>
      <c r="AF248" s="293"/>
    </row>
    <row r="249">
      <c r="A249" s="352" t="s">
        <v>150</v>
      </c>
      <c r="B249" s="352"/>
      <c r="C249" s="352"/>
      <c r="D249" s="334" t="s">
        <v>151</v>
      </c>
      <c r="E249" s="334"/>
      <c r="F249" s="334"/>
      <c r="G249" s="334"/>
      <c r="H249" s="334"/>
      <c r="I249" s="334"/>
      <c r="J249" s="377" t="s">
        <v>152</v>
      </c>
      <c r="K249" s="377"/>
      <c r="L249" s="377"/>
      <c r="M249" s="377"/>
      <c r="N249" s="377"/>
      <c r="O249" s="377"/>
      <c r="P249" s="377"/>
      <c r="Q249" s="377"/>
      <c r="R249" s="377"/>
      <c r="S249" s="377"/>
      <c r="T249" s="370"/>
      <c r="U249" s="370"/>
      <c r="V249" s="370"/>
      <c r="W249" s="371"/>
      <c r="X249" s="371"/>
      <c r="Y249" s="371"/>
      <c r="Z249" s="371"/>
      <c r="AA249" s="371"/>
      <c r="AB249" s="371"/>
      <c r="AC249" s="371"/>
      <c r="AD249" s="372" t="s">
        <v>153</v>
      </c>
      <c r="AE249" s="293"/>
      <c r="AF249" s="293"/>
    </row>
    <row r="250">
      <c r="A250" s="354" t="s">
        <v>154</v>
      </c>
      <c r="B250" s="352" t="s">
        <v>155</v>
      </c>
      <c r="C250" s="352" t="s">
        <v>156</v>
      </c>
      <c r="D250" s="428" t="s">
        <v>157</v>
      </c>
      <c r="E250" s="427" t="s">
        <v>158</v>
      </c>
      <c r="F250" s="427" t="s">
        <v>159</v>
      </c>
      <c r="G250" s="414" t="s">
        <v>160</v>
      </c>
      <c r="H250" s="412" t="s">
        <v>161</v>
      </c>
      <c r="I250" s="413" t="s">
        <v>162</v>
      </c>
      <c r="J250" s="415" t="s">
        <v>163</v>
      </c>
      <c r="K250" s="415" t="s">
        <v>164</v>
      </c>
      <c r="L250" s="416" t="s">
        <v>165</v>
      </c>
      <c r="M250" s="378" t="s">
        <v>166</v>
      </c>
      <c r="N250" s="377" t="s">
        <v>167</v>
      </c>
      <c r="O250" s="378" t="s">
        <v>168</v>
      </c>
      <c r="P250" s="378" t="s">
        <v>169</v>
      </c>
      <c r="Q250" s="379" t="s">
        <v>170</v>
      </c>
      <c r="R250" s="378" t="s">
        <v>171</v>
      </c>
      <c r="S250" s="379" t="s">
        <v>172</v>
      </c>
      <c r="T250" s="380" t="s">
        <v>173</v>
      </c>
      <c r="U250" s="380" t="s">
        <v>174</v>
      </c>
      <c r="V250" s="380" t="s">
        <v>175</v>
      </c>
      <c r="W250" s="381" t="s">
        <v>176</v>
      </c>
      <c r="X250" s="382" t="s">
        <v>177</v>
      </c>
      <c r="Y250" s="382" t="s">
        <v>178</v>
      </c>
      <c r="Z250" s="382" t="s">
        <v>179</v>
      </c>
      <c r="AA250" s="382" t="s">
        <v>180</v>
      </c>
      <c r="AB250" s="382" t="s">
        <v>181</v>
      </c>
      <c r="AC250" s="383" t="s">
        <v>182</v>
      </c>
      <c r="AD250" s="372"/>
      <c r="AE250" s="293"/>
      <c r="AF250" s="293"/>
    </row>
    <row r="251">
      <c r="A251" s="384">
        <v>46254</v>
      </c>
      <c r="B251" s="385" t="s">
        <v>199</v>
      </c>
      <c r="C251" s="369" t="s">
        <v>184</v>
      </c>
      <c r="D251" s="360">
        <f t="shared" ref="D251:D254" si="43">E251+F251</f>
      </c>
      <c r="E251" s="402">
        <v>2915.65</v>
      </c>
      <c r="F251" s="369">
        <v>428.36</v>
      </c>
      <c r="G251" s="369">
        <v>1</v>
      </c>
      <c r="H251" s="369">
        <v>459</v>
      </c>
      <c r="I251" s="387">
        <f t="shared" ref="I251:I270" si="337">H251/D251</f>
      </c>
      <c r="J251" s="388">
        <f t="shared" ref="J251:J270" si="233">Y251/X251</f>
      </c>
      <c r="K251" s="389">
        <f t="shared" ref="K251:K270" si="155">D251/Z251</f>
      </c>
      <c r="L251" s="417">
        <f t="shared" ref="L251:L270" si="259">AA251/Z251</f>
      </c>
      <c r="M251" s="388">
        <f t="shared" ref="M251:M270" si="103">AB251/Z251</f>
      </c>
      <c r="N251" s="389">
        <f t="shared" ref="N251:N270" si="363">D251/AB251</f>
      </c>
      <c r="O251" s="388">
        <f t="shared" ref="O251:O270" si="285">AC251/AB251</f>
      </c>
      <c r="P251" s="388">
        <f t="shared" ref="P251:P270" si="181">G251/AC251</f>
      </c>
      <c r="Q251" s="389">
        <f t="shared" ref="Q251:Q270" si="129">D251/G251</f>
      </c>
      <c r="R251" s="390">
        <f t="shared" ref="R251:R270" si="389">H251/G251</f>
      </c>
      <c r="S251" s="389">
        <f t="shared" ref="S251:S270" si="311">D251/W251</f>
      </c>
      <c r="T251" s="391">
        <f t="shared" ref="T251:T270" si="207">AD251*1000/D251</f>
      </c>
      <c r="U251" s="392" t="s">
        <v>185</v>
      </c>
      <c r="V251" s="423" t="s">
        <v>209</v>
      </c>
      <c r="W251" s="369">
        <v>1</v>
      </c>
      <c r="X251" s="360">
        <v>10016</v>
      </c>
      <c r="Y251" s="360">
        <v>769</v>
      </c>
      <c r="Z251" s="360">
        <v>1049</v>
      </c>
      <c r="AA251" s="360">
        <v>212</v>
      </c>
      <c r="AB251" s="360">
        <v>51</v>
      </c>
      <c r="AC251" s="394">
        <v>1</v>
      </c>
      <c r="AD251" s="364">
        <v>27</v>
      </c>
      <c r="AE251" s="293"/>
      <c r="AF251" s="293"/>
    </row>
    <row r="252">
      <c r="A252" s="384"/>
      <c r="B252" s="385" t="s">
        <v>200</v>
      </c>
      <c r="C252" s="369" t="s">
        <v>184</v>
      </c>
      <c r="D252" s="360">
        <f t="shared" si="43"/>
      </c>
      <c r="E252" s="360">
        <v>2748.54</v>
      </c>
      <c r="F252" s="360">
        <v>980.35</v>
      </c>
      <c r="G252" s="369">
        <v>2</v>
      </c>
      <c r="H252" s="369">
        <v>6210</v>
      </c>
      <c r="I252" s="387">
        <f t="shared" si="337"/>
      </c>
      <c r="J252" s="388">
        <f t="shared" si="233"/>
      </c>
      <c r="K252" s="389">
        <f t="shared" si="155"/>
      </c>
      <c r="L252" s="417">
        <f t="shared" si="259"/>
      </c>
      <c r="M252" s="388">
        <f t="shared" si="103"/>
      </c>
      <c r="N252" s="389">
        <f t="shared" si="363"/>
      </c>
      <c r="O252" s="388">
        <f t="shared" si="285"/>
      </c>
      <c r="P252" s="388">
        <f t="shared" si="181"/>
      </c>
      <c r="Q252" s="389">
        <f t="shared" si="129"/>
      </c>
      <c r="R252" s="390">
        <f t="shared" si="389"/>
      </c>
      <c r="S252" s="389">
        <f t="shared" si="311"/>
      </c>
      <c r="T252" s="391">
        <f t="shared" si="207"/>
      </c>
      <c r="U252" s="392" t="s">
        <v>185</v>
      </c>
      <c r="V252" s="423" t="s">
        <v>209</v>
      </c>
      <c r="W252" s="360">
        <v>2</v>
      </c>
      <c r="X252" s="360">
        <v>7521</v>
      </c>
      <c r="Y252" s="360">
        <v>903</v>
      </c>
      <c r="Z252" s="360">
        <v>1265</v>
      </c>
      <c r="AA252" s="360">
        <v>323</v>
      </c>
      <c r="AB252" s="360">
        <v>36</v>
      </c>
      <c r="AC252" s="395">
        <v>3</v>
      </c>
      <c r="AD252" s="359">
        <v>29</v>
      </c>
      <c r="AE252" s="293"/>
      <c r="AF252" s="293"/>
    </row>
    <row r="253">
      <c r="A253" s="384"/>
      <c r="B253" s="385" t="s">
        <v>201</v>
      </c>
      <c r="C253" s="369" t="s">
        <v>184</v>
      </c>
      <c r="D253" s="360">
        <f t="shared" si="43"/>
      </c>
      <c r="E253" s="360">
        <v>2895.56</v>
      </c>
      <c r="F253" s="360">
        <v>921.11</v>
      </c>
      <c r="G253" s="369">
        <v>6</v>
      </c>
      <c r="H253" s="360">
        <v>15169.919999999998</v>
      </c>
      <c r="I253" s="387">
        <f t="shared" si="337"/>
      </c>
      <c r="J253" s="388">
        <f t="shared" si="233"/>
      </c>
      <c r="K253" s="389">
        <f t="shared" si="155"/>
      </c>
      <c r="L253" s="417">
        <f t="shared" si="259"/>
      </c>
      <c r="M253" s="388">
        <f t="shared" si="103"/>
      </c>
      <c r="N253" s="389">
        <f t="shared" si="363"/>
      </c>
      <c r="O253" s="388">
        <f t="shared" si="285"/>
      </c>
      <c r="P253" s="388">
        <f t="shared" si="181"/>
      </c>
      <c r="Q253" s="389">
        <f t="shared" si="129"/>
      </c>
      <c r="R253" s="390">
        <f t="shared" si="389"/>
      </c>
      <c r="S253" s="389">
        <f t="shared" si="311"/>
      </c>
      <c r="T253" s="391">
        <f t="shared" si="207"/>
      </c>
      <c r="U253" s="392" t="s">
        <v>185</v>
      </c>
      <c r="V253" s="423" t="s">
        <v>209</v>
      </c>
      <c r="W253" s="360">
        <v>5</v>
      </c>
      <c r="X253" s="360">
        <v>8623</v>
      </c>
      <c r="Y253" s="360">
        <v>1041</v>
      </c>
      <c r="Z253" s="360">
        <v>1444</v>
      </c>
      <c r="AA253" s="360">
        <v>338</v>
      </c>
      <c r="AB253" s="360">
        <v>53</v>
      </c>
      <c r="AC253" s="395">
        <v>7</v>
      </c>
      <c r="AD253" s="359">
        <v>76</v>
      </c>
      <c r="AE253" s="293"/>
      <c r="AF253" s="293"/>
    </row>
    <row r="254">
      <c r="A254" s="384"/>
      <c r="B254" s="385" t="s">
        <v>202</v>
      </c>
      <c r="C254" s="369" t="s">
        <v>184</v>
      </c>
      <c r="D254" s="360">
        <f t="shared" si="43"/>
      </c>
      <c r="E254" s="360">
        <v>2707.46</v>
      </c>
      <c r="F254" s="360">
        <v>1150.93</v>
      </c>
      <c r="G254" s="369">
        <v>3</v>
      </c>
      <c r="H254" s="369">
        <v>10615.2</v>
      </c>
      <c r="I254" s="387">
        <f t="shared" si="337"/>
      </c>
      <c r="J254" s="388">
        <f t="shared" si="233"/>
      </c>
      <c r="K254" s="389">
        <f t="shared" si="155"/>
      </c>
      <c r="L254" s="417">
        <f t="shared" si="259"/>
      </c>
      <c r="M254" s="388">
        <f t="shared" si="103"/>
      </c>
      <c r="N254" s="389">
        <f t="shared" si="363"/>
      </c>
      <c r="O254" s="388">
        <f t="shared" si="285"/>
      </c>
      <c r="P254" s="388">
        <f t="shared" si="181"/>
      </c>
      <c r="Q254" s="389">
        <f t="shared" si="129"/>
      </c>
      <c r="R254" s="390">
        <f t="shared" si="389"/>
      </c>
      <c r="S254" s="389">
        <f t="shared" si="311"/>
      </c>
      <c r="T254" s="391">
        <f t="shared" si="207"/>
      </c>
      <c r="U254" s="392" t="s">
        <v>185</v>
      </c>
      <c r="V254" s="423" t="s">
        <v>209</v>
      </c>
      <c r="W254" s="360">
        <v>2</v>
      </c>
      <c r="X254" s="360">
        <v>11713</v>
      </c>
      <c r="Y254" s="360">
        <v>1274</v>
      </c>
      <c r="Z254" s="360">
        <v>1673</v>
      </c>
      <c r="AA254" s="360">
        <v>361</v>
      </c>
      <c r="AB254" s="360">
        <v>44</v>
      </c>
      <c r="AC254" s="395">
        <v>4</v>
      </c>
      <c r="AD254" s="359">
        <v>75</v>
      </c>
      <c r="AE254" s="293"/>
      <c r="AF254" s="293"/>
    </row>
    <row r="255">
      <c r="A255" s="384"/>
      <c r="B255" s="361" t="s">
        <v>189</v>
      </c>
      <c r="C255" s="361"/>
      <c r="D255" s="361">
        <f>SUM(D251:D254)</f>
      </c>
      <c r="E255" s="361">
        <f>SUM(E251:E254)</f>
      </c>
      <c r="F255" s="361">
        <f>SUM(F251:F254)</f>
      </c>
      <c r="G255" s="361">
        <f>SUM(G251:G254)</f>
      </c>
      <c r="H255" s="361">
        <f>SUM(H251:H254)</f>
      </c>
      <c r="I255" s="396">
        <f t="shared" si="337"/>
      </c>
      <c r="J255" s="397">
        <f t="shared" si="233"/>
      </c>
      <c r="K255" s="398">
        <f t="shared" si="155"/>
      </c>
      <c r="L255" s="418">
        <f t="shared" si="259"/>
      </c>
      <c r="M255" s="397">
        <f t="shared" si="103"/>
      </c>
      <c r="N255" s="398">
        <f t="shared" si="363"/>
      </c>
      <c r="O255" s="397">
        <f t="shared" si="285"/>
      </c>
      <c r="P255" s="397">
        <f t="shared" si="181"/>
      </c>
      <c r="Q255" s="398">
        <f t="shared" si="129"/>
      </c>
      <c r="R255" s="399">
        <f t="shared" si="389"/>
      </c>
      <c r="S255" s="398">
        <f t="shared" si="311"/>
      </c>
      <c r="T255" s="400">
        <f t="shared" si="207"/>
      </c>
      <c r="U255" s="400"/>
      <c r="V255" s="400"/>
      <c r="W255" s="361">
        <f>SUM(W251:W254)</f>
      </c>
      <c r="X255" s="361">
        <f>SUM(X251:X254)</f>
      </c>
      <c r="Y255" s="361">
        <f>SUM(Y251:Y254)</f>
      </c>
      <c r="Z255" s="361">
        <f>SUM(Z251:Z254)</f>
      </c>
      <c r="AA255" s="361">
        <f>SUM(AA251:AA254)</f>
      </c>
      <c r="AB255" s="361">
        <f>SUM(AB251:AB254)</f>
      </c>
      <c r="AC255" s="319">
        <f>SUM(AC251:AC254)</f>
      </c>
      <c r="AD255" s="320">
        <f>SUM(AD251:AD254)</f>
      </c>
      <c r="AE255" s="293"/>
      <c r="AF255" s="293"/>
    </row>
    <row r="256">
      <c r="A256" s="384"/>
      <c r="B256" s="385" t="s">
        <v>203</v>
      </c>
      <c r="C256" s="369" t="s">
        <v>197</v>
      </c>
      <c r="D256" s="360">
        <f t="shared" ref="D256:D259" si="44">E256+F256</f>
      </c>
      <c r="E256" s="360">
        <v>1749.0300000000002</v>
      </c>
      <c r="F256" s="360">
        <v>776.53</v>
      </c>
      <c r="G256" s="369">
        <v>1</v>
      </c>
      <c r="H256" s="369">
        <v>4474.439999999999</v>
      </c>
      <c r="I256" s="387">
        <f t="shared" si="337"/>
      </c>
      <c r="J256" s="388">
        <f t="shared" si="233"/>
      </c>
      <c r="K256" s="389">
        <f t="shared" si="155"/>
      </c>
      <c r="L256" s="417">
        <f t="shared" si="259"/>
      </c>
      <c r="M256" s="388">
        <f t="shared" si="103"/>
      </c>
      <c r="N256" s="389">
        <f t="shared" si="363"/>
      </c>
      <c r="O256" s="388">
        <f t="shared" si="285"/>
      </c>
      <c r="P256" s="388">
        <f t="shared" si="181"/>
      </c>
      <c r="Q256" s="389">
        <f t="shared" si="129"/>
      </c>
      <c r="R256" s="390">
        <f t="shared" si="389"/>
      </c>
      <c r="S256" s="389">
        <f t="shared" si="311"/>
      </c>
      <c r="T256" s="391">
        <f t="shared" si="207"/>
      </c>
      <c r="U256" s="392" t="s">
        <v>185</v>
      </c>
      <c r="V256" s="423" t="s">
        <v>209</v>
      </c>
      <c r="W256" s="360">
        <v>1</v>
      </c>
      <c r="X256" s="360">
        <v>6555</v>
      </c>
      <c r="Y256" s="360">
        <v>754</v>
      </c>
      <c r="Z256" s="360">
        <v>1008</v>
      </c>
      <c r="AA256" s="360">
        <v>217</v>
      </c>
      <c r="AB256" s="360">
        <v>30</v>
      </c>
      <c r="AC256" s="395">
        <v>2</v>
      </c>
      <c r="AD256" s="359">
        <v>15</v>
      </c>
      <c r="AE256" s="293"/>
      <c r="AF256" s="293"/>
    </row>
    <row r="257">
      <c r="A257" s="384"/>
      <c r="B257" s="385" t="s">
        <v>204</v>
      </c>
      <c r="C257" s="369" t="s">
        <v>197</v>
      </c>
      <c r="D257" s="360">
        <f t="shared" si="44"/>
      </c>
      <c r="E257" s="360">
        <v>2057.32</v>
      </c>
      <c r="F257" s="360">
        <v>1865.69</v>
      </c>
      <c r="G257" s="369">
        <v>1</v>
      </c>
      <c r="H257" s="369">
        <v>2625.480000000003</v>
      </c>
      <c r="I257" s="387">
        <f t="shared" si="337"/>
      </c>
      <c r="J257" s="388">
        <f t="shared" si="233"/>
      </c>
      <c r="K257" s="389">
        <f t="shared" si="155"/>
      </c>
      <c r="L257" s="417">
        <f t="shared" si="259"/>
      </c>
      <c r="M257" s="388">
        <f t="shared" si="103"/>
      </c>
      <c r="N257" s="389">
        <f t="shared" si="363"/>
      </c>
      <c r="O257" s="388">
        <f t="shared" si="285"/>
      </c>
      <c r="P257" s="388">
        <f t="shared" si="181"/>
      </c>
      <c r="Q257" s="389">
        <f t="shared" si="129"/>
      </c>
      <c r="R257" s="390">
        <f t="shared" si="389"/>
      </c>
      <c r="S257" s="389">
        <f t="shared" si="311"/>
      </c>
      <c r="T257" s="391">
        <f t="shared" si="207"/>
      </c>
      <c r="U257" s="392" t="s">
        <v>185</v>
      </c>
      <c r="V257" s="423" t="s">
        <v>209</v>
      </c>
      <c r="W257" s="360">
        <v>1</v>
      </c>
      <c r="X257" s="360">
        <v>9430</v>
      </c>
      <c r="Y257" s="360">
        <v>1312</v>
      </c>
      <c r="Z257" s="360">
        <v>1883</v>
      </c>
      <c r="AA257" s="360">
        <v>456</v>
      </c>
      <c r="AB257" s="360">
        <v>51</v>
      </c>
      <c r="AC257" s="395">
        <v>4</v>
      </c>
      <c r="AD257" s="359">
        <v>36</v>
      </c>
      <c r="AE257" s="293"/>
      <c r="AF257" s="293"/>
    </row>
    <row r="258">
      <c r="A258" s="384"/>
      <c r="B258" s="385" t="s">
        <v>205</v>
      </c>
      <c r="C258" s="369" t="s">
        <v>197</v>
      </c>
      <c r="D258" s="360">
        <f t="shared" si="44"/>
      </c>
      <c r="E258" s="360">
        <v>2327.22</v>
      </c>
      <c r="F258" s="360">
        <v>561.93</v>
      </c>
      <c r="G258" s="369">
        <v>1</v>
      </c>
      <c r="H258" s="369">
        <v>2315.159999999996</v>
      </c>
      <c r="I258" s="387">
        <f t="shared" si="337"/>
      </c>
      <c r="J258" s="388">
        <f t="shared" si="233"/>
      </c>
      <c r="K258" s="389">
        <f t="shared" si="155"/>
      </c>
      <c r="L258" s="417">
        <f t="shared" si="259"/>
      </c>
      <c r="M258" s="388">
        <f t="shared" si="103"/>
      </c>
      <c r="N258" s="389">
        <f t="shared" si="363"/>
      </c>
      <c r="O258" s="388">
        <f t="shared" si="285"/>
      </c>
      <c r="P258" s="388">
        <f t="shared" si="181"/>
      </c>
      <c r="Q258" s="389">
        <f t="shared" si="129"/>
      </c>
      <c r="R258" s="390">
        <f t="shared" si="389"/>
      </c>
      <c r="S258" s="389">
        <f t="shared" si="311"/>
      </c>
      <c r="T258" s="391">
        <f t="shared" si="207"/>
      </c>
      <c r="U258" s="392" t="s">
        <v>185</v>
      </c>
      <c r="V258" s="423" t="s">
        <v>209</v>
      </c>
      <c r="W258" s="360">
        <v>1</v>
      </c>
      <c r="X258" s="360">
        <v>6240</v>
      </c>
      <c r="Y258" s="360">
        <v>875</v>
      </c>
      <c r="Z258" s="360">
        <v>1219</v>
      </c>
      <c r="AA258" s="360">
        <v>328</v>
      </c>
      <c r="AB258" s="360">
        <v>23</v>
      </c>
      <c r="AC258" s="395">
        <v>1</v>
      </c>
      <c r="AD258" s="359">
        <v>13</v>
      </c>
      <c r="AE258" s="293"/>
      <c r="AF258" s="293"/>
    </row>
    <row r="259">
      <c r="A259" s="384"/>
      <c r="B259" s="419" t="s">
        <v>196</v>
      </c>
      <c r="C259" s="369" t="s">
        <v>197</v>
      </c>
      <c r="D259" s="360">
        <f t="shared" si="44"/>
      </c>
      <c r="E259" s="360">
        <v>1299.23</v>
      </c>
      <c r="F259" s="360">
        <v>1640.54</v>
      </c>
      <c r="G259" s="369">
        <v>1</v>
      </c>
      <c r="H259" s="369">
        <v>848</v>
      </c>
      <c r="I259" s="387">
        <f t="shared" si="337"/>
      </c>
      <c r="J259" s="388">
        <f t="shared" si="233"/>
      </c>
      <c r="K259" s="389">
        <f t="shared" si="155"/>
      </c>
      <c r="L259" s="417">
        <f t="shared" si="259"/>
      </c>
      <c r="M259" s="388">
        <f t="shared" si="103"/>
      </c>
      <c r="N259" s="389">
        <f t="shared" si="363"/>
      </c>
      <c r="O259" s="388">
        <f t="shared" si="285"/>
      </c>
      <c r="P259" s="388">
        <f t="shared" si="181"/>
      </c>
      <c r="Q259" s="389">
        <f t="shared" si="129"/>
      </c>
      <c r="R259" s="390">
        <f t="shared" si="389"/>
      </c>
      <c r="S259" s="389">
        <f t="shared" si="311"/>
      </c>
      <c r="T259" s="391">
        <f t="shared" si="207"/>
      </c>
      <c r="U259" s="392" t="s">
        <v>185</v>
      </c>
      <c r="V259" s="393" t="s">
        <v>186</v>
      </c>
      <c r="W259" s="360">
        <v>0</v>
      </c>
      <c r="X259" s="360">
        <v>6980</v>
      </c>
      <c r="Y259" s="360">
        <v>742</v>
      </c>
      <c r="Z259" s="360">
        <v>1114</v>
      </c>
      <c r="AA259" s="360">
        <v>217</v>
      </c>
      <c r="AB259" s="360">
        <v>27</v>
      </c>
      <c r="AC259" s="395">
        <v>2</v>
      </c>
      <c r="AD259" s="359">
        <v>12</v>
      </c>
      <c r="AE259" s="293"/>
      <c r="AF259" s="293"/>
    </row>
    <row r="260">
      <c r="A260" s="384"/>
      <c r="B260" s="361" t="s">
        <v>189</v>
      </c>
      <c r="C260" s="361"/>
      <c r="D260" s="361">
        <f>SUM(D256:D259)</f>
      </c>
      <c r="E260" s="361">
        <f>SUM(E256:E259)</f>
      </c>
      <c r="F260" s="361">
        <f>SUM(F256:F259)</f>
      </c>
      <c r="G260" s="361">
        <f>SUM(G256:G259)</f>
      </c>
      <c r="H260" s="361">
        <f>SUM(H256:H259)</f>
      </c>
      <c r="I260" s="396">
        <f t="shared" si="337"/>
      </c>
      <c r="J260" s="397">
        <f t="shared" si="233"/>
      </c>
      <c r="K260" s="398">
        <f t="shared" si="155"/>
      </c>
      <c r="L260" s="418">
        <f t="shared" si="259"/>
      </c>
      <c r="M260" s="397">
        <f t="shared" si="103"/>
      </c>
      <c r="N260" s="398">
        <f t="shared" si="363"/>
      </c>
      <c r="O260" s="397">
        <f t="shared" si="285"/>
      </c>
      <c r="P260" s="397">
        <f t="shared" si="181"/>
      </c>
      <c r="Q260" s="398">
        <f t="shared" si="129"/>
      </c>
      <c r="R260" s="399">
        <f t="shared" si="389"/>
      </c>
      <c r="S260" s="398">
        <f t="shared" si="311"/>
      </c>
      <c r="T260" s="400">
        <f t="shared" si="207"/>
      </c>
      <c r="U260" s="400"/>
      <c r="V260" s="400"/>
      <c r="W260" s="361">
        <f>SUM(W256:W259)</f>
      </c>
      <c r="X260" s="361">
        <f>SUM(X256:X259)</f>
      </c>
      <c r="Y260" s="361">
        <f>SUM(Y256:Y259)</f>
      </c>
      <c r="Z260" s="361">
        <f>SUM(Z256:Z259)</f>
      </c>
      <c r="AA260" s="361">
        <f>SUM(AA256:AA259)</f>
      </c>
      <c r="AB260" s="361">
        <f>SUM(AB256:AB259)</f>
      </c>
      <c r="AC260" s="361">
        <f>SUM(AC256:AC259)</f>
      </c>
      <c r="AD260" s="361">
        <f>SUM(AD256:AD259)</f>
      </c>
      <c r="AE260" s="293"/>
      <c r="AF260" s="293"/>
    </row>
    <row r="261">
      <c r="A261" s="384"/>
      <c r="B261" s="401" t="s">
        <v>183</v>
      </c>
      <c r="C261" s="369" t="s">
        <v>198</v>
      </c>
      <c r="D261" s="360">
        <f t="shared" ref="D261:D264" si="45">E261+F261</f>
      </c>
      <c r="E261" s="356">
        <v>1777.8799999999999</v>
      </c>
      <c r="F261" s="356">
        <v>1647.82</v>
      </c>
      <c r="G261" s="402">
        <v>1</v>
      </c>
      <c r="H261" s="402">
        <v>3947.519999999997</v>
      </c>
      <c r="I261" s="420">
        <f t="shared" si="337"/>
      </c>
      <c r="J261" s="421">
        <f t="shared" si="233"/>
      </c>
      <c r="K261" s="422">
        <f t="shared" si="155"/>
      </c>
      <c r="L261" s="388">
        <f t="shared" si="259"/>
      </c>
      <c r="M261" s="388">
        <f t="shared" si="103"/>
      </c>
      <c r="N261" s="389">
        <f t="shared" si="363"/>
      </c>
      <c r="O261" s="388">
        <f t="shared" si="285"/>
      </c>
      <c r="P261" s="388">
        <f t="shared" si="181"/>
      </c>
      <c r="Q261" s="389">
        <f t="shared" si="129"/>
      </c>
      <c r="R261" s="390">
        <f t="shared" si="389"/>
      </c>
      <c r="S261" s="389">
        <f t="shared" si="311"/>
      </c>
      <c r="T261" s="391">
        <f t="shared" si="207"/>
      </c>
      <c r="U261" s="392" t="s">
        <v>185</v>
      </c>
      <c r="V261" s="393" t="s">
        <v>186</v>
      </c>
      <c r="W261" s="360">
        <v>1</v>
      </c>
      <c r="X261" s="360">
        <v>9323</v>
      </c>
      <c r="Y261" s="360">
        <v>1148</v>
      </c>
      <c r="Z261" s="360">
        <v>1747</v>
      </c>
      <c r="AA261" s="360">
        <v>369</v>
      </c>
      <c r="AB261" s="360">
        <v>41</v>
      </c>
      <c r="AC261" s="395">
        <v>1</v>
      </c>
      <c r="AD261" s="359">
        <v>29</v>
      </c>
      <c r="AE261" s="293"/>
      <c r="AF261" s="293"/>
    </row>
    <row r="262">
      <c r="A262" s="384"/>
      <c r="B262" s="385" t="s">
        <v>187</v>
      </c>
      <c r="C262" s="369" t="s">
        <v>198</v>
      </c>
      <c r="D262" s="360">
        <f t="shared" si="45"/>
      </c>
      <c r="E262" s="360">
        <v>1393.2199999999998</v>
      </c>
      <c r="F262" s="360">
        <v>1075.44</v>
      </c>
      <c r="G262" s="369">
        <v>1</v>
      </c>
      <c r="H262" s="369">
        <v>563.760000000002</v>
      </c>
      <c r="I262" s="387">
        <f t="shared" si="337"/>
      </c>
      <c r="J262" s="388">
        <f t="shared" si="233"/>
      </c>
      <c r="K262" s="389">
        <f t="shared" si="155"/>
      </c>
      <c r="L262" s="388">
        <f t="shared" si="259"/>
      </c>
      <c r="M262" s="388">
        <f t="shared" si="103"/>
      </c>
      <c r="N262" s="389">
        <f t="shared" si="363"/>
      </c>
      <c r="O262" s="388">
        <f t="shared" si="285"/>
      </c>
      <c r="P262" s="388">
        <f t="shared" si="181"/>
      </c>
      <c r="Q262" s="389">
        <f t="shared" si="129"/>
      </c>
      <c r="R262" s="390">
        <f t="shared" si="389"/>
      </c>
      <c r="S262" s="389">
        <f t="shared" si="311"/>
      </c>
      <c r="T262" s="391">
        <f t="shared" si="207"/>
      </c>
      <c r="U262" s="392" t="s">
        <v>185</v>
      </c>
      <c r="V262" s="393" t="s">
        <v>186</v>
      </c>
      <c r="W262" s="360">
        <v>1</v>
      </c>
      <c r="X262" s="360">
        <v>6408</v>
      </c>
      <c r="Y262" s="360">
        <v>656</v>
      </c>
      <c r="Z262" s="360">
        <v>1141</v>
      </c>
      <c r="AA262" s="360">
        <v>198</v>
      </c>
      <c r="AB262" s="360">
        <v>27</v>
      </c>
      <c r="AC262" s="395">
        <v>3</v>
      </c>
      <c r="AD262" s="359">
        <v>17</v>
      </c>
      <c r="AE262" s="293"/>
      <c r="AF262" s="293"/>
    </row>
    <row r="263">
      <c r="A263" s="384"/>
      <c r="B263" s="385" t="s">
        <v>188</v>
      </c>
      <c r="C263" s="369" t="s">
        <v>198</v>
      </c>
      <c r="D263" s="360">
        <f t="shared" si="45"/>
      </c>
      <c r="E263" s="360">
        <v>2198.9</v>
      </c>
      <c r="F263" s="360">
        <v>410.86</v>
      </c>
      <c r="G263" s="369">
        <v>0</v>
      </c>
      <c r="H263" s="369">
        <v>0</v>
      </c>
      <c r="I263" s="387">
        <f t="shared" si="337"/>
      </c>
      <c r="J263" s="388">
        <f t="shared" si="233"/>
      </c>
      <c r="K263" s="389">
        <f t="shared" si="155"/>
      </c>
      <c r="L263" s="388">
        <f t="shared" si="259"/>
      </c>
      <c r="M263" s="388">
        <f t="shared" si="103"/>
      </c>
      <c r="N263" s="389">
        <f t="shared" si="363"/>
      </c>
      <c r="O263" s="388">
        <f t="shared" si="285"/>
      </c>
      <c r="P263" s="388">
        <f t="shared" si="181"/>
      </c>
      <c r="Q263" s="389">
        <f t="shared" si="129"/>
      </c>
      <c r="R263" s="390">
        <f t="shared" si="389"/>
      </c>
      <c r="S263" s="389">
        <f t="shared" si="311"/>
      </c>
      <c r="T263" s="391">
        <f t="shared" si="207"/>
      </c>
      <c r="U263" s="392" t="s">
        <v>185</v>
      </c>
      <c r="V263" s="393" t="s">
        <v>186</v>
      </c>
      <c r="W263" s="360">
        <v>0</v>
      </c>
      <c r="X263" s="360">
        <v>8219</v>
      </c>
      <c r="Y263" s="360">
        <v>1075</v>
      </c>
      <c r="Z263" s="360">
        <v>2051</v>
      </c>
      <c r="AA263" s="360">
        <v>353</v>
      </c>
      <c r="AB263" s="360">
        <v>19</v>
      </c>
      <c r="AC263" s="395">
        <v>0</v>
      </c>
      <c r="AD263" s="359">
        <v>24</v>
      </c>
      <c r="AE263" s="293"/>
      <c r="AF263" s="293"/>
    </row>
    <row r="264">
      <c r="A264" s="384"/>
      <c r="B264" s="385" t="s">
        <v>190</v>
      </c>
      <c r="C264" s="369" t="s">
        <v>198</v>
      </c>
      <c r="D264" s="360">
        <f t="shared" si="45"/>
      </c>
      <c r="E264" s="360">
        <v>1768.94</v>
      </c>
      <c r="F264" s="360">
        <v>1732.45</v>
      </c>
      <c r="G264" s="369">
        <v>0</v>
      </c>
      <c r="H264" s="369">
        <v>0</v>
      </c>
      <c r="I264" s="387">
        <f t="shared" si="337"/>
      </c>
      <c r="J264" s="388">
        <f t="shared" si="233"/>
      </c>
      <c r="K264" s="389">
        <f t="shared" si="155"/>
      </c>
      <c r="L264" s="388">
        <f t="shared" si="259"/>
      </c>
      <c r="M264" s="388">
        <f t="shared" si="103"/>
      </c>
      <c r="N264" s="389">
        <f t="shared" si="363"/>
      </c>
      <c r="O264" s="388">
        <f t="shared" si="285"/>
      </c>
      <c r="P264" s="388">
        <f t="shared" si="181"/>
      </c>
      <c r="Q264" s="389">
        <f t="shared" si="129"/>
      </c>
      <c r="R264" s="390">
        <f t="shared" si="389"/>
      </c>
      <c r="S264" s="389">
        <f t="shared" si="311"/>
      </c>
      <c r="T264" s="391">
        <f t="shared" si="207"/>
      </c>
      <c r="U264" s="392" t="s">
        <v>185</v>
      </c>
      <c r="V264" s="393" t="s">
        <v>186</v>
      </c>
      <c r="W264" s="360">
        <v>0</v>
      </c>
      <c r="X264" s="360">
        <v>12208</v>
      </c>
      <c r="Y264" s="360">
        <v>1122</v>
      </c>
      <c r="Z264" s="360">
        <v>2018</v>
      </c>
      <c r="AA264" s="360">
        <v>341</v>
      </c>
      <c r="AB264" s="360">
        <v>37</v>
      </c>
      <c r="AC264" s="395">
        <v>1</v>
      </c>
      <c r="AD264" s="359">
        <v>21</v>
      </c>
      <c r="AE264" s="293"/>
      <c r="AF264" s="293"/>
    </row>
    <row r="265">
      <c r="A265" s="384"/>
      <c r="B265" s="361" t="s">
        <v>189</v>
      </c>
      <c r="C265" s="361"/>
      <c r="D265" s="361">
        <f>SUM(D261:D264)</f>
      </c>
      <c r="E265" s="362">
        <v>1244.99</v>
      </c>
      <c r="F265" s="362">
        <f>SUM(F261:F264)</f>
      </c>
      <c r="G265" s="343">
        <f>SUM(G261:G264)</f>
      </c>
      <c r="H265" s="343">
        <f>SUM(H261:H264)</f>
      </c>
      <c r="I265" s="344">
        <f t="shared" si="337"/>
      </c>
      <c r="J265" s="345">
        <f t="shared" si="233"/>
      </c>
      <c r="K265" s="323">
        <f t="shared" si="155"/>
      </c>
      <c r="L265" s="322">
        <f t="shared" si="259"/>
      </c>
      <c r="M265" s="322">
        <f t="shared" si="103"/>
      </c>
      <c r="N265" s="323">
        <f t="shared" si="363"/>
      </c>
      <c r="O265" s="322">
        <f t="shared" si="285"/>
      </c>
      <c r="P265" s="322">
        <f t="shared" si="181"/>
      </c>
      <c r="Q265" s="324">
        <f t="shared" si="129"/>
      </c>
      <c r="R265" s="325">
        <f t="shared" si="389"/>
      </c>
      <c r="S265" s="324">
        <f t="shared" si="311"/>
      </c>
      <c r="T265" s="326">
        <f t="shared" si="207"/>
      </c>
      <c r="U265" s="326"/>
      <c r="V265" s="326"/>
      <c r="W265" s="320">
        <f>SUM(W261:W264)</f>
      </c>
      <c r="X265" s="320">
        <f>SUM(X261:X264)</f>
      </c>
      <c r="Y265" s="320">
        <f>SUM(Y261:Y264)</f>
      </c>
      <c r="Z265" s="320">
        <f>SUM(Z261:Z264)</f>
      </c>
      <c r="AA265" s="320">
        <f>SUM(AA261:AA264)</f>
      </c>
      <c r="AB265" s="320">
        <f>SUM(AB261:AB264)</f>
      </c>
      <c r="AC265" s="320">
        <f>SUM(AC261:AC264)</f>
      </c>
      <c r="AD265" s="320">
        <f>SUM(AD261:AD264)</f>
      </c>
      <c r="AE265" s="293"/>
      <c r="AF265" s="293"/>
    </row>
    <row r="266">
      <c r="A266" s="384"/>
      <c r="B266" s="360" t="s">
        <v>192</v>
      </c>
      <c r="C266" s="369" t="s">
        <v>208</v>
      </c>
      <c r="D266" s="346">
        <f t="shared" ref="D266:D268" si="46">E266+F266</f>
      </c>
      <c r="E266" s="347">
        <v>1187.59</v>
      </c>
      <c r="F266" s="347">
        <v>690.32</v>
      </c>
      <c r="G266" s="364">
        <v>2</v>
      </c>
      <c r="H266" s="364">
        <v>4192.440000000002</v>
      </c>
      <c r="I266" s="349">
        <f t="shared" si="337"/>
      </c>
      <c r="J266" s="312">
        <f t="shared" si="233"/>
      </c>
      <c r="K266" s="313">
        <f t="shared" si="155"/>
      </c>
      <c r="L266" s="312">
        <f t="shared" si="259"/>
      </c>
      <c r="M266" s="312">
        <f t="shared" si="103"/>
      </c>
      <c r="N266" s="313">
        <f t="shared" si="363"/>
      </c>
      <c r="O266" s="312">
        <f t="shared" si="285"/>
      </c>
      <c r="P266" s="312">
        <f t="shared" si="181"/>
      </c>
      <c r="Q266" s="314">
        <f t="shared" si="129"/>
      </c>
      <c r="R266" s="315">
        <f t="shared" si="389"/>
      </c>
      <c r="S266" s="314">
        <f t="shared" si="311"/>
      </c>
      <c r="T266" s="316">
        <f t="shared" si="207"/>
      </c>
      <c r="U266" s="317" t="s">
        <v>185</v>
      </c>
      <c r="V266" s="318" t="s">
        <v>186</v>
      </c>
      <c r="W266" s="310">
        <v>1</v>
      </c>
      <c r="X266" s="310">
        <v>4695</v>
      </c>
      <c r="Y266" s="310">
        <v>433</v>
      </c>
      <c r="Z266" s="310">
        <v>622</v>
      </c>
      <c r="AA266" s="310">
        <v>121</v>
      </c>
      <c r="AB266" s="310">
        <v>16</v>
      </c>
      <c r="AC266" s="359">
        <v>2</v>
      </c>
      <c r="AD266" s="359">
        <v>15</v>
      </c>
      <c r="AE266" s="293"/>
      <c r="AF266" s="293"/>
    </row>
    <row r="267">
      <c r="A267" s="384"/>
      <c r="B267" s="360" t="s">
        <v>193</v>
      </c>
      <c r="C267" s="369" t="s">
        <v>208</v>
      </c>
      <c r="D267" s="346">
        <f t="shared" si="46"/>
      </c>
      <c r="E267" s="309">
        <v>3339.61</v>
      </c>
      <c r="F267" s="309">
        <v>520.4</v>
      </c>
      <c r="G267" s="359">
        <v>1</v>
      </c>
      <c r="H267" s="359">
        <v>4640.519999999997</v>
      </c>
      <c r="I267" s="311">
        <f t="shared" si="337"/>
      </c>
      <c r="J267" s="312">
        <f t="shared" si="233"/>
      </c>
      <c r="K267" s="313">
        <f t="shared" si="155"/>
      </c>
      <c r="L267" s="312">
        <f t="shared" si="259"/>
      </c>
      <c r="M267" s="312">
        <f t="shared" si="103"/>
      </c>
      <c r="N267" s="313">
        <f t="shared" si="363"/>
      </c>
      <c r="O267" s="312">
        <f t="shared" si="285"/>
      </c>
      <c r="P267" s="312">
        <f t="shared" si="181"/>
      </c>
      <c r="Q267" s="314">
        <f t="shared" si="129"/>
      </c>
      <c r="R267" s="315">
        <f t="shared" si="389"/>
      </c>
      <c r="S267" s="314">
        <f t="shared" si="311"/>
      </c>
      <c r="T267" s="316">
        <f t="shared" si="207"/>
      </c>
      <c r="U267" s="317" t="s">
        <v>185</v>
      </c>
      <c r="V267" s="318" t="s">
        <v>186</v>
      </c>
      <c r="W267" s="310">
        <v>1</v>
      </c>
      <c r="X267" s="310">
        <v>9718</v>
      </c>
      <c r="Y267" s="310">
        <v>755</v>
      </c>
      <c r="Z267" s="310">
        <v>1132</v>
      </c>
      <c r="AA267" s="310">
        <v>191</v>
      </c>
      <c r="AB267" s="310">
        <v>27</v>
      </c>
      <c r="AC267" s="359">
        <v>2</v>
      </c>
      <c r="AD267" s="359">
        <v>20</v>
      </c>
      <c r="AE267" s="293"/>
      <c r="AF267" s="293"/>
    </row>
    <row r="268">
      <c r="A268" s="384"/>
      <c r="B268" s="360" t="s">
        <v>194</v>
      </c>
      <c r="C268" s="369" t="s">
        <v>208</v>
      </c>
      <c r="D268" s="346">
        <f t="shared" si="46"/>
      </c>
      <c r="E268" s="309">
        <v>978.7199999999999</v>
      </c>
      <c r="F268" s="309">
        <v>429.97</v>
      </c>
      <c r="G268" s="359">
        <v>3</v>
      </c>
      <c r="H268" s="359">
        <v>2511.239999999998</v>
      </c>
      <c r="I268" s="311">
        <f t="shared" si="337"/>
      </c>
      <c r="J268" s="312">
        <f t="shared" si="233"/>
      </c>
      <c r="K268" s="313">
        <f t="shared" si="155"/>
      </c>
      <c r="L268" s="312">
        <f t="shared" si="259"/>
      </c>
      <c r="M268" s="312">
        <f t="shared" si="103"/>
      </c>
      <c r="N268" s="313">
        <f t="shared" si="363"/>
      </c>
      <c r="O268" s="312">
        <f t="shared" si="285"/>
      </c>
      <c r="P268" s="312">
        <f t="shared" si="181"/>
      </c>
      <c r="Q268" s="314">
        <f t="shared" si="129"/>
      </c>
      <c r="R268" s="315">
        <f t="shared" si="389"/>
      </c>
      <c r="S268" s="314">
        <f t="shared" si="311"/>
      </c>
      <c r="T268" s="316">
        <f t="shared" si="207"/>
      </c>
      <c r="U268" s="317" t="s">
        <v>185</v>
      </c>
      <c r="V268" s="318" t="s">
        <v>186</v>
      </c>
      <c r="W268" s="310">
        <v>2</v>
      </c>
      <c r="X268" s="310">
        <v>3291</v>
      </c>
      <c r="Y268" s="310">
        <v>360</v>
      </c>
      <c r="Z268" s="310">
        <v>569</v>
      </c>
      <c r="AA268" s="310">
        <v>123</v>
      </c>
      <c r="AB268" s="310">
        <v>23</v>
      </c>
      <c r="AC268" s="359">
        <v>3</v>
      </c>
      <c r="AD268" s="359">
        <v>15</v>
      </c>
      <c r="AE268" s="293"/>
      <c r="AF268" s="293"/>
    </row>
    <row r="269">
      <c r="A269" s="384"/>
      <c r="B269" s="361" t="s">
        <v>189</v>
      </c>
      <c r="C269" s="361"/>
      <c r="D269" s="319">
        <f>SUM(D266:D268)</f>
      </c>
      <c r="E269" s="319">
        <f>SUM(E266:E268)</f>
      </c>
      <c r="F269" s="319">
        <f>SUM(F266:F268)</f>
      </c>
      <c r="G269" s="319">
        <f>SUM(G266:G268)</f>
      </c>
      <c r="H269" s="319">
        <f>SUM(H266:H268)</f>
      </c>
      <c r="I269" s="321">
        <f t="shared" si="337"/>
      </c>
      <c r="J269" s="322">
        <f t="shared" si="233"/>
      </c>
      <c r="K269" s="323">
        <f t="shared" si="155"/>
      </c>
      <c r="L269" s="322">
        <f t="shared" si="259"/>
      </c>
      <c r="M269" s="322">
        <f t="shared" si="103"/>
      </c>
      <c r="N269" s="323">
        <f t="shared" si="363"/>
      </c>
      <c r="O269" s="322">
        <f t="shared" si="285"/>
      </c>
      <c r="P269" s="322">
        <f t="shared" si="181"/>
      </c>
      <c r="Q269" s="324">
        <f t="shared" si="129"/>
      </c>
      <c r="R269" s="325">
        <f t="shared" si="389"/>
      </c>
      <c r="S269" s="324">
        <f t="shared" si="311"/>
      </c>
      <c r="T269" s="326">
        <f t="shared" si="207"/>
      </c>
      <c r="U269" s="326"/>
      <c r="V269" s="326"/>
      <c r="W269" s="320">
        <f>SUM(W266:W268)</f>
      </c>
      <c r="X269" s="320">
        <f>SUM(X266:X268)</f>
      </c>
      <c r="Y269" s="320">
        <f>SUM(Y266:Y268)</f>
      </c>
      <c r="Z269" s="320">
        <f>SUM(Z266:Z268)</f>
      </c>
      <c r="AA269" s="320">
        <f>SUM(AA266:AA268)</f>
      </c>
      <c r="AB269" s="320">
        <f>SUM(AB266:AB268)</f>
      </c>
      <c r="AC269" s="320">
        <f>SUM(AC266:AC268)</f>
      </c>
      <c r="AD269" s="320">
        <f>SUM(AD266:AD268)</f>
      </c>
      <c r="AE269" s="293"/>
      <c r="AF269" s="293"/>
    </row>
    <row r="270">
      <c r="A270" s="384"/>
      <c r="B270" s="366" t="s">
        <v>195</v>
      </c>
      <c r="C270" s="366"/>
      <c r="D270" s="367">
        <f>+D260+D255+D265+D269</f>
      </c>
      <c r="E270" s="367">
        <f>+E260+E255+E265+E269</f>
      </c>
      <c r="F270" s="367">
        <f>+F260+F255+F265+F269</f>
      </c>
      <c r="G270" s="367">
        <f>+G260+G255+G265+G269</f>
      </c>
      <c r="H270" s="367">
        <f>+H260+H255+H265+H269</f>
      </c>
      <c r="I270" s="328">
        <f t="shared" si="337"/>
      </c>
      <c r="J270" s="329">
        <f t="shared" si="233"/>
      </c>
      <c r="K270" s="330">
        <f t="shared" si="155"/>
      </c>
      <c r="L270" s="331">
        <f t="shared" si="259"/>
      </c>
      <c r="M270" s="331">
        <f t="shared" si="103"/>
      </c>
      <c r="N270" s="330">
        <f t="shared" si="363"/>
      </c>
      <c r="O270" s="331">
        <f t="shared" si="285"/>
      </c>
      <c r="P270" s="331">
        <f t="shared" si="181"/>
      </c>
      <c r="Q270" s="330">
        <f t="shared" si="129"/>
      </c>
      <c r="R270" s="332">
        <f t="shared" si="389"/>
      </c>
      <c r="S270" s="330">
        <f t="shared" si="311"/>
      </c>
      <c r="T270" s="333">
        <f t="shared" si="207"/>
      </c>
      <c r="U270" s="333"/>
      <c r="V270" s="333"/>
      <c r="W270" s="328">
        <f>+W260+W255+W265+W269</f>
      </c>
      <c r="X270" s="328">
        <f>+X260+X255+X265+X269</f>
      </c>
      <c r="Y270" s="328">
        <f>+Y260+Y255+Y265+Y269</f>
      </c>
      <c r="Z270" s="328">
        <f>+Z260+Z255+Z265+Z269</f>
      </c>
      <c r="AA270" s="328">
        <f>+AA260+AA255+AA265+AA269</f>
      </c>
      <c r="AB270" s="328">
        <f>+AB260+AB255+AB265+AB269</f>
      </c>
      <c r="AC270" s="328">
        <f>+AC260+AC255+AC265+AC269</f>
      </c>
      <c r="AD270" s="328">
        <f>+AD260+AD255+AD265+AD269</f>
      </c>
      <c r="AE270" s="293"/>
      <c r="AF270" s="293"/>
    </row>
    <row r="271">
      <c r="A271" s="352" t="s">
        <v>150</v>
      </c>
      <c r="B271" s="352"/>
      <c r="C271" s="352"/>
      <c r="D271" s="334" t="s">
        <v>151</v>
      </c>
      <c r="E271" s="334"/>
      <c r="F271" s="334"/>
      <c r="G271" s="334"/>
      <c r="H271" s="334"/>
      <c r="I271" s="334"/>
      <c r="J271" s="377" t="s">
        <v>152</v>
      </c>
      <c r="K271" s="377"/>
      <c r="L271" s="377"/>
      <c r="M271" s="377"/>
      <c r="N271" s="377"/>
      <c r="O271" s="377"/>
      <c r="P271" s="377"/>
      <c r="Q271" s="377"/>
      <c r="R271" s="377"/>
      <c r="S271" s="377"/>
      <c r="T271" s="370"/>
      <c r="U271" s="370"/>
      <c r="V271" s="370"/>
      <c r="W271" s="371"/>
      <c r="X271" s="371"/>
      <c r="Y271" s="371"/>
      <c r="Z271" s="371"/>
      <c r="AA271" s="371"/>
      <c r="AB271" s="371"/>
      <c r="AC271" s="371"/>
      <c r="AD271" s="372" t="s">
        <v>153</v>
      </c>
      <c r="AE271" s="293"/>
      <c r="AF271" s="293"/>
    </row>
    <row r="272">
      <c r="A272" s="354" t="s">
        <v>154</v>
      </c>
      <c r="B272" s="352" t="s">
        <v>155</v>
      </c>
      <c r="C272" s="352" t="s">
        <v>156</v>
      </c>
      <c r="D272" s="428" t="s">
        <v>157</v>
      </c>
      <c r="E272" s="427" t="s">
        <v>158</v>
      </c>
      <c r="F272" s="427" t="s">
        <v>159</v>
      </c>
      <c r="G272" s="414" t="s">
        <v>160</v>
      </c>
      <c r="H272" s="412" t="s">
        <v>161</v>
      </c>
      <c r="I272" s="413" t="s">
        <v>162</v>
      </c>
      <c r="J272" s="415" t="s">
        <v>163</v>
      </c>
      <c r="K272" s="415" t="s">
        <v>164</v>
      </c>
      <c r="L272" s="416" t="s">
        <v>165</v>
      </c>
      <c r="M272" s="378" t="s">
        <v>166</v>
      </c>
      <c r="N272" s="377" t="s">
        <v>167</v>
      </c>
      <c r="O272" s="378" t="s">
        <v>168</v>
      </c>
      <c r="P272" s="378" t="s">
        <v>169</v>
      </c>
      <c r="Q272" s="379" t="s">
        <v>170</v>
      </c>
      <c r="R272" s="378" t="s">
        <v>171</v>
      </c>
      <c r="S272" s="379" t="s">
        <v>172</v>
      </c>
      <c r="T272" s="380" t="s">
        <v>173</v>
      </c>
      <c r="U272" s="380" t="s">
        <v>174</v>
      </c>
      <c r="V272" s="380" t="s">
        <v>175</v>
      </c>
      <c r="W272" s="381" t="s">
        <v>176</v>
      </c>
      <c r="X272" s="382" t="s">
        <v>177</v>
      </c>
      <c r="Y272" s="382" t="s">
        <v>178</v>
      </c>
      <c r="Z272" s="382" t="s">
        <v>179</v>
      </c>
      <c r="AA272" s="382" t="s">
        <v>180</v>
      </c>
      <c r="AB272" s="382" t="s">
        <v>181</v>
      </c>
      <c r="AC272" s="383" t="s">
        <v>182</v>
      </c>
      <c r="AD272" s="372"/>
      <c r="AE272" s="293"/>
      <c r="AF272" s="293"/>
    </row>
    <row r="273">
      <c r="A273" s="384">
        <v>46255</v>
      </c>
      <c r="B273" s="385" t="s">
        <v>199</v>
      </c>
      <c r="C273" s="369" t="s">
        <v>184</v>
      </c>
      <c r="D273" s="360">
        <f t="shared" ref="D273:D276" si="47">E273+F273</f>
      </c>
      <c r="E273" s="402">
        <v>2655.7</v>
      </c>
      <c r="F273" s="369">
        <v>397.56</v>
      </c>
      <c r="G273" s="369">
        <v>1</v>
      </c>
      <c r="H273" s="369">
        <v>878</v>
      </c>
      <c r="I273" s="387">
        <f t="shared" ref="I273:I292" si="338">H273/D273</f>
      </c>
      <c r="J273" s="388">
        <f t="shared" ref="J273:J292" si="234">Y273/X273</f>
      </c>
      <c r="K273" s="389">
        <f t="shared" ref="K273:K292" si="156">D273/Z273</f>
      </c>
      <c r="L273" s="417">
        <f t="shared" ref="L273:L292" si="260">AA273/Z273</f>
      </c>
      <c r="M273" s="388">
        <f t="shared" ref="M273:M292" si="104">AB273/Z273</f>
      </c>
      <c r="N273" s="389">
        <f t="shared" ref="N273:N292" si="364">D273/AB273</f>
      </c>
      <c r="O273" s="388">
        <f t="shared" ref="O273:O292" si="286">AC273/AB273</f>
      </c>
      <c r="P273" s="388">
        <f t="shared" ref="P273:P292" si="182">G273/AC273</f>
      </c>
      <c r="Q273" s="389">
        <f t="shared" ref="Q273:Q292" si="130">D273/G273</f>
      </c>
      <c r="R273" s="390">
        <f t="shared" ref="R273:R292" si="390">H273/G273</f>
      </c>
      <c r="S273" s="389">
        <f t="shared" ref="S273:S292" si="312">D273/W273</f>
      </c>
      <c r="T273" s="391">
        <f t="shared" ref="T273:T292" si="208">AD273*1000/D273</f>
      </c>
      <c r="U273" s="392" t="s">
        <v>185</v>
      </c>
      <c r="V273" s="423" t="s">
        <v>209</v>
      </c>
      <c r="W273" s="369">
        <v>1</v>
      </c>
      <c r="X273" s="360">
        <v>8275</v>
      </c>
      <c r="Y273" s="360">
        <v>633</v>
      </c>
      <c r="Z273" s="360">
        <v>1039</v>
      </c>
      <c r="AA273" s="360">
        <v>204</v>
      </c>
      <c r="AB273" s="360">
        <v>28</v>
      </c>
      <c r="AC273" s="394">
        <v>2</v>
      </c>
      <c r="AD273" s="364">
        <v>20</v>
      </c>
      <c r="AE273" s="293"/>
      <c r="AF273" s="293"/>
    </row>
    <row r="274">
      <c r="A274" s="384"/>
      <c r="B274" s="385" t="s">
        <v>200</v>
      </c>
      <c r="C274" s="369" t="s">
        <v>184</v>
      </c>
      <c r="D274" s="360">
        <f t="shared" si="47"/>
      </c>
      <c r="E274" s="360">
        <v>3078.62</v>
      </c>
      <c r="F274" s="360">
        <v>519.68</v>
      </c>
      <c r="G274" s="369">
        <v>3</v>
      </c>
      <c r="H274" s="369">
        <v>5086.92</v>
      </c>
      <c r="I274" s="387">
        <f t="shared" si="338"/>
      </c>
      <c r="J274" s="388">
        <f t="shared" si="234"/>
      </c>
      <c r="K274" s="389">
        <f t="shared" si="156"/>
      </c>
      <c r="L274" s="417">
        <f t="shared" si="260"/>
      </c>
      <c r="M274" s="388">
        <f t="shared" si="104"/>
      </c>
      <c r="N274" s="389">
        <f t="shared" si="364"/>
      </c>
      <c r="O274" s="388">
        <f t="shared" si="286"/>
      </c>
      <c r="P274" s="388">
        <f t="shared" si="182"/>
      </c>
      <c r="Q274" s="389">
        <f t="shared" si="130"/>
      </c>
      <c r="R274" s="390">
        <f t="shared" si="390"/>
      </c>
      <c r="S274" s="389">
        <f t="shared" si="312"/>
      </c>
      <c r="T274" s="391">
        <f t="shared" si="208"/>
      </c>
      <c r="U274" s="392" t="s">
        <v>185</v>
      </c>
      <c r="V274" s="423" t="s">
        <v>209</v>
      </c>
      <c r="W274" s="360">
        <v>2</v>
      </c>
      <c r="X274" s="360">
        <v>9425</v>
      </c>
      <c r="Y274" s="360">
        <v>625</v>
      </c>
      <c r="Z274" s="360">
        <v>1033</v>
      </c>
      <c r="AA274" s="360">
        <v>270</v>
      </c>
      <c r="AB274" s="360">
        <v>42</v>
      </c>
      <c r="AC274" s="395">
        <v>4</v>
      </c>
      <c r="AD274" s="359">
        <v>18</v>
      </c>
      <c r="AE274" s="293"/>
      <c r="AF274" s="293"/>
    </row>
    <row r="275">
      <c r="A275" s="384"/>
      <c r="B275" s="385" t="s">
        <v>201</v>
      </c>
      <c r="C275" s="369" t="s">
        <v>184</v>
      </c>
      <c r="D275" s="360">
        <f t="shared" si="47"/>
      </c>
      <c r="E275" s="360">
        <v>2609.5899999999997</v>
      </c>
      <c r="F275" s="360">
        <v>1160.69</v>
      </c>
      <c r="G275" s="369">
        <v>2</v>
      </c>
      <c r="H275" s="360">
        <v>5708.799999999999</v>
      </c>
      <c r="I275" s="387">
        <f t="shared" si="338"/>
      </c>
      <c r="J275" s="388">
        <f t="shared" si="234"/>
      </c>
      <c r="K275" s="389">
        <f t="shared" si="156"/>
      </c>
      <c r="L275" s="417">
        <f t="shared" si="260"/>
      </c>
      <c r="M275" s="388">
        <f t="shared" si="104"/>
      </c>
      <c r="N275" s="389">
        <f t="shared" si="364"/>
      </c>
      <c r="O275" s="388">
        <f t="shared" si="286"/>
      </c>
      <c r="P275" s="388">
        <f t="shared" si="182"/>
      </c>
      <c r="Q275" s="389">
        <f t="shared" si="130"/>
      </c>
      <c r="R275" s="390">
        <f t="shared" si="390"/>
      </c>
      <c r="S275" s="389">
        <f t="shared" si="312"/>
      </c>
      <c r="T275" s="391">
        <f t="shared" si="208"/>
      </c>
      <c r="U275" s="392" t="s">
        <v>185</v>
      </c>
      <c r="V275" s="423" t="s">
        <v>209</v>
      </c>
      <c r="W275" s="360">
        <v>2</v>
      </c>
      <c r="X275" s="360">
        <v>10786</v>
      </c>
      <c r="Y275" s="360">
        <v>1073</v>
      </c>
      <c r="Z275" s="360">
        <v>1968</v>
      </c>
      <c r="AA275" s="360">
        <v>424</v>
      </c>
      <c r="AB275" s="360">
        <v>27</v>
      </c>
      <c r="AC275" s="395">
        <v>4</v>
      </c>
      <c r="AD275" s="359">
        <v>26</v>
      </c>
      <c r="AE275" s="293"/>
      <c r="AF275" s="293"/>
    </row>
    <row r="276">
      <c r="A276" s="384"/>
      <c r="B276" s="385" t="s">
        <v>202</v>
      </c>
      <c r="C276" s="369" t="s">
        <v>184</v>
      </c>
      <c r="D276" s="360">
        <f t="shared" si="47"/>
      </c>
      <c r="E276" s="360">
        <v>2301.23</v>
      </c>
      <c r="F276" s="360">
        <v>1410.82</v>
      </c>
      <c r="G276" s="369">
        <v>2</v>
      </c>
      <c r="H276" s="369">
        <v>2974.3200000000015</v>
      </c>
      <c r="I276" s="387">
        <f t="shared" si="338"/>
      </c>
      <c r="J276" s="388">
        <f t="shared" si="234"/>
      </c>
      <c r="K276" s="389">
        <f t="shared" si="156"/>
      </c>
      <c r="L276" s="417">
        <f t="shared" si="260"/>
      </c>
      <c r="M276" s="388">
        <f t="shared" si="104"/>
      </c>
      <c r="N276" s="389">
        <f t="shared" si="364"/>
      </c>
      <c r="O276" s="388">
        <f t="shared" si="286"/>
      </c>
      <c r="P276" s="388">
        <f t="shared" si="182"/>
      </c>
      <c r="Q276" s="389">
        <f t="shared" si="130"/>
      </c>
      <c r="R276" s="390">
        <f t="shared" si="390"/>
      </c>
      <c r="S276" s="389">
        <f t="shared" si="312"/>
      </c>
      <c r="T276" s="391">
        <f t="shared" si="208"/>
      </c>
      <c r="U276" s="392" t="s">
        <v>185</v>
      </c>
      <c r="V276" s="423" t="s">
        <v>209</v>
      </c>
      <c r="W276" s="360">
        <v>2</v>
      </c>
      <c r="X276" s="360">
        <v>11515</v>
      </c>
      <c r="Y276" s="360">
        <v>1129</v>
      </c>
      <c r="Z276" s="360">
        <v>2149</v>
      </c>
      <c r="AA276" s="360">
        <v>446</v>
      </c>
      <c r="AB276" s="360">
        <v>41</v>
      </c>
      <c r="AC276" s="395">
        <v>2</v>
      </c>
      <c r="AD276" s="359">
        <v>18</v>
      </c>
      <c r="AE276" s="293"/>
      <c r="AF276" s="293"/>
    </row>
    <row r="277">
      <c r="A277" s="384"/>
      <c r="B277" s="361" t="s">
        <v>189</v>
      </c>
      <c r="C277" s="361"/>
      <c r="D277" s="361">
        <f>SUM(D273:D276)</f>
      </c>
      <c r="E277" s="361">
        <v>918.03</v>
      </c>
      <c r="F277" s="361">
        <f>SUM(F273:F276)</f>
      </c>
      <c r="G277" s="361">
        <f>SUM(G273:G276)</f>
      </c>
      <c r="H277" s="361">
        <f>SUM(H273:H276)</f>
      </c>
      <c r="I277" s="396">
        <f t="shared" si="338"/>
      </c>
      <c r="J277" s="397">
        <f t="shared" si="234"/>
      </c>
      <c r="K277" s="398">
        <f t="shared" si="156"/>
      </c>
      <c r="L277" s="418">
        <f t="shared" si="260"/>
      </c>
      <c r="M277" s="397">
        <f t="shared" si="104"/>
      </c>
      <c r="N277" s="398">
        <f t="shared" si="364"/>
      </c>
      <c r="O277" s="397">
        <f t="shared" si="286"/>
      </c>
      <c r="P277" s="397">
        <f t="shared" si="182"/>
      </c>
      <c r="Q277" s="398">
        <f t="shared" si="130"/>
      </c>
      <c r="R277" s="399">
        <f t="shared" si="390"/>
      </c>
      <c r="S277" s="398">
        <f t="shared" si="312"/>
      </c>
      <c r="T277" s="400">
        <f t="shared" si="208"/>
      </c>
      <c r="U277" s="400"/>
      <c r="V277" s="400"/>
      <c r="W277" s="361">
        <f>SUM(W273:W276)</f>
      </c>
      <c r="X277" s="361">
        <f>SUM(X273:X276)</f>
      </c>
      <c r="Y277" s="361">
        <f>SUM(Y273:Y276)</f>
      </c>
      <c r="Z277" s="361">
        <f>SUM(Z273:Z276)</f>
      </c>
      <c r="AA277" s="361">
        <f>SUM(AA273:AA276)</f>
      </c>
      <c r="AB277" s="361">
        <f>SUM(AB273:AB276)</f>
      </c>
      <c r="AC277" s="319">
        <f>SUM(AC273:AC276)</f>
      </c>
      <c r="AD277" s="320">
        <f>SUM(AD273:AD276)</f>
      </c>
      <c r="AE277" s="293"/>
      <c r="AF277" s="293"/>
    </row>
    <row r="278">
      <c r="A278" s="384"/>
      <c r="B278" s="385" t="s">
        <v>203</v>
      </c>
      <c r="C278" s="369" t="s">
        <v>197</v>
      </c>
      <c r="D278" s="360">
        <f t="shared" ref="D278:D281" si="48">E278+F278</f>
      </c>
      <c r="E278" s="360">
        <v>3031.9</v>
      </c>
      <c r="F278" s="360">
        <v>880.54</v>
      </c>
      <c r="G278" s="369">
        <v>2</v>
      </c>
      <c r="H278" s="369">
        <v>1786.3199999999997</v>
      </c>
      <c r="I278" s="387">
        <f t="shared" si="338"/>
      </c>
      <c r="J278" s="388">
        <f t="shared" si="234"/>
      </c>
      <c r="K278" s="389">
        <f t="shared" si="156"/>
      </c>
      <c r="L278" s="417">
        <f t="shared" si="260"/>
      </c>
      <c r="M278" s="388">
        <f t="shared" si="104"/>
      </c>
      <c r="N278" s="389">
        <f t="shared" si="364"/>
      </c>
      <c r="O278" s="388">
        <f t="shared" si="286"/>
      </c>
      <c r="P278" s="388">
        <f t="shared" si="182"/>
      </c>
      <c r="Q278" s="389">
        <f t="shared" si="130"/>
      </c>
      <c r="R278" s="390">
        <f t="shared" si="390"/>
      </c>
      <c r="S278" s="389">
        <f t="shared" si="312"/>
      </c>
      <c r="T278" s="391">
        <f t="shared" si="208"/>
      </c>
      <c r="U278" s="392" t="s">
        <v>185</v>
      </c>
      <c r="V278" s="423" t="s">
        <v>209</v>
      </c>
      <c r="W278" s="360">
        <v>2</v>
      </c>
      <c r="X278" s="360">
        <v>11829</v>
      </c>
      <c r="Y278" s="360">
        <v>1059</v>
      </c>
      <c r="Z278" s="360">
        <v>1624</v>
      </c>
      <c r="AA278" s="360">
        <v>377</v>
      </c>
      <c r="AB278" s="360">
        <v>39</v>
      </c>
      <c r="AC278" s="395">
        <v>4</v>
      </c>
      <c r="AD278" s="359">
        <v>28</v>
      </c>
      <c r="AE278" s="293"/>
      <c r="AF278" s="293"/>
    </row>
    <row r="279">
      <c r="A279" s="384"/>
      <c r="B279" s="385" t="s">
        <v>204</v>
      </c>
      <c r="C279" s="369" t="s">
        <v>197</v>
      </c>
      <c r="D279" s="360">
        <f t="shared" si="48"/>
      </c>
      <c r="E279" s="360">
        <v>2461.42</v>
      </c>
      <c r="F279" s="360">
        <v>1175.66</v>
      </c>
      <c r="G279" s="369">
        <v>2</v>
      </c>
      <c r="H279" s="369">
        <v>2791.6800000000003</v>
      </c>
      <c r="I279" s="387">
        <f t="shared" si="338"/>
      </c>
      <c r="J279" s="388">
        <f t="shared" si="234"/>
      </c>
      <c r="K279" s="389">
        <f t="shared" si="156"/>
      </c>
      <c r="L279" s="417">
        <f t="shared" si="260"/>
      </c>
      <c r="M279" s="388">
        <f t="shared" si="104"/>
      </c>
      <c r="N279" s="389">
        <f t="shared" si="364"/>
      </c>
      <c r="O279" s="388">
        <f t="shared" si="286"/>
      </c>
      <c r="P279" s="388">
        <f t="shared" si="182"/>
      </c>
      <c r="Q279" s="389">
        <f t="shared" si="130"/>
      </c>
      <c r="R279" s="390">
        <f t="shared" si="390"/>
      </c>
      <c r="S279" s="389">
        <f t="shared" si="312"/>
      </c>
      <c r="T279" s="391">
        <f t="shared" si="208"/>
      </c>
      <c r="U279" s="392" t="s">
        <v>185</v>
      </c>
      <c r="V279" s="423" t="s">
        <v>209</v>
      </c>
      <c r="W279" s="360">
        <v>2</v>
      </c>
      <c r="X279" s="360">
        <v>12403</v>
      </c>
      <c r="Y279" s="360">
        <v>1015</v>
      </c>
      <c r="Z279" s="360">
        <v>1603</v>
      </c>
      <c r="AA279" s="360">
        <v>396</v>
      </c>
      <c r="AB279" s="360">
        <v>56</v>
      </c>
      <c r="AC279" s="395">
        <v>3</v>
      </c>
      <c r="AD279" s="359">
        <v>25</v>
      </c>
      <c r="AE279" s="293"/>
      <c r="AF279" s="293"/>
    </row>
    <row r="280">
      <c r="A280" s="384"/>
      <c r="B280" s="385" t="s">
        <v>205</v>
      </c>
      <c r="C280" s="369" t="s">
        <v>197</v>
      </c>
      <c r="D280" s="360">
        <f t="shared" si="48"/>
      </c>
      <c r="E280" s="360">
        <v>1621.4</v>
      </c>
      <c r="F280" s="360">
        <v>2283.32</v>
      </c>
      <c r="G280" s="369">
        <v>4</v>
      </c>
      <c r="H280" s="369">
        <v>8880.480000000003</v>
      </c>
      <c r="I280" s="387">
        <f t="shared" si="338"/>
      </c>
      <c r="J280" s="388">
        <f t="shared" si="234"/>
      </c>
      <c r="K280" s="389">
        <f t="shared" si="156"/>
      </c>
      <c r="L280" s="417">
        <f t="shared" si="260"/>
      </c>
      <c r="M280" s="388">
        <f t="shared" si="104"/>
      </c>
      <c r="N280" s="389">
        <f t="shared" si="364"/>
      </c>
      <c r="O280" s="388">
        <f t="shared" si="286"/>
      </c>
      <c r="P280" s="388">
        <f t="shared" si="182"/>
      </c>
      <c r="Q280" s="389">
        <f t="shared" si="130"/>
      </c>
      <c r="R280" s="390">
        <f t="shared" si="390"/>
      </c>
      <c r="S280" s="389">
        <f t="shared" si="312"/>
      </c>
      <c r="T280" s="391">
        <f t="shared" si="208"/>
      </c>
      <c r="U280" s="392" t="s">
        <v>185</v>
      </c>
      <c r="V280" s="423" t="s">
        <v>209</v>
      </c>
      <c r="W280" s="360">
        <v>3</v>
      </c>
      <c r="X280" s="360">
        <v>12241</v>
      </c>
      <c r="Y280" s="360">
        <v>1208</v>
      </c>
      <c r="Z280" s="360">
        <v>2142</v>
      </c>
      <c r="AA280" s="360">
        <v>521</v>
      </c>
      <c r="AB280" s="360">
        <v>38</v>
      </c>
      <c r="AC280" s="395">
        <v>5</v>
      </c>
      <c r="AD280" s="359">
        <v>31</v>
      </c>
      <c r="AE280" s="293"/>
      <c r="AF280" s="293"/>
    </row>
    <row r="281">
      <c r="A281" s="384"/>
      <c r="B281" s="419" t="s">
        <v>196</v>
      </c>
      <c r="C281" s="369" t="s">
        <v>197</v>
      </c>
      <c r="D281" s="360">
        <f t="shared" si="48"/>
      </c>
      <c r="E281" s="360">
        <v>2133.71</v>
      </c>
      <c r="F281" s="360">
        <v>1874.33</v>
      </c>
      <c r="G281" s="369">
        <v>4</v>
      </c>
      <c r="H281" s="369">
        <v>16799.160000000003</v>
      </c>
      <c r="I281" s="387">
        <f t="shared" si="338"/>
      </c>
      <c r="J281" s="388">
        <f t="shared" si="234"/>
      </c>
      <c r="K281" s="389">
        <f t="shared" si="156"/>
      </c>
      <c r="L281" s="417">
        <f t="shared" si="260"/>
      </c>
      <c r="M281" s="388">
        <f t="shared" si="104"/>
      </c>
      <c r="N281" s="389">
        <f t="shared" si="364"/>
      </c>
      <c r="O281" s="388">
        <f t="shared" si="286"/>
      </c>
      <c r="P281" s="388">
        <f t="shared" si="182"/>
      </c>
      <c r="Q281" s="389">
        <f t="shared" si="130"/>
      </c>
      <c r="R281" s="390">
        <f t="shared" si="390"/>
      </c>
      <c r="S281" s="389">
        <f t="shared" si="312"/>
      </c>
      <c r="T281" s="391">
        <f t="shared" si="208"/>
      </c>
      <c r="U281" s="392" t="s">
        <v>185</v>
      </c>
      <c r="V281" s="393" t="s">
        <v>186</v>
      </c>
      <c r="W281" s="360">
        <v>2</v>
      </c>
      <c r="X281" s="360">
        <v>11371</v>
      </c>
      <c r="Y281" s="360">
        <v>1199</v>
      </c>
      <c r="Z281" s="360">
        <v>2168</v>
      </c>
      <c r="AA281" s="360">
        <v>479</v>
      </c>
      <c r="AB281" s="360">
        <v>45</v>
      </c>
      <c r="AC281" s="395">
        <v>6</v>
      </c>
      <c r="AD281" s="359">
        <v>31</v>
      </c>
      <c r="AE281" s="293"/>
      <c r="AF281" s="293"/>
    </row>
    <row r="282">
      <c r="A282" s="384"/>
      <c r="B282" s="361" t="s">
        <v>189</v>
      </c>
      <c r="C282" s="361"/>
      <c r="D282" s="361">
        <f>SUM(D278:D281)</f>
      </c>
      <c r="E282" s="361">
        <f>SUM(E278:E281)</f>
      </c>
      <c r="F282" s="361">
        <f>SUM(F278:F281)</f>
      </c>
      <c r="G282" s="361">
        <f>SUM(G278:G281)</f>
      </c>
      <c r="H282" s="361">
        <f>SUM(H278:H281)</f>
      </c>
      <c r="I282" s="396">
        <f t="shared" si="338"/>
      </c>
      <c r="J282" s="397">
        <f t="shared" si="234"/>
      </c>
      <c r="K282" s="398">
        <f t="shared" si="156"/>
      </c>
      <c r="L282" s="418">
        <f t="shared" si="260"/>
      </c>
      <c r="M282" s="397">
        <f t="shared" si="104"/>
      </c>
      <c r="N282" s="398">
        <f t="shared" si="364"/>
      </c>
      <c r="O282" s="397">
        <f t="shared" si="286"/>
      </c>
      <c r="P282" s="397">
        <f t="shared" si="182"/>
      </c>
      <c r="Q282" s="398">
        <f t="shared" si="130"/>
      </c>
      <c r="R282" s="399">
        <f t="shared" si="390"/>
      </c>
      <c r="S282" s="398">
        <f t="shared" si="312"/>
      </c>
      <c r="T282" s="400">
        <f t="shared" si="208"/>
      </c>
      <c r="U282" s="400"/>
      <c r="V282" s="400"/>
      <c r="W282" s="361">
        <f>SUM(W278:W281)</f>
      </c>
      <c r="X282" s="361">
        <f>SUM(X278:X281)</f>
      </c>
      <c r="Y282" s="361">
        <f>SUM(Y278:Y281)</f>
      </c>
      <c r="Z282" s="361">
        <f>SUM(Z278:Z281)</f>
      </c>
      <c r="AA282" s="361">
        <f>SUM(AA278:AA281)</f>
      </c>
      <c r="AB282" s="361">
        <f>SUM(AB278:AB281)</f>
      </c>
      <c r="AC282" s="361">
        <f>SUM(AC278:AC281)</f>
      </c>
      <c r="AD282" s="361">
        <f>SUM(AD278:AD281)</f>
      </c>
      <c r="AE282" s="293"/>
      <c r="AF282" s="293"/>
    </row>
    <row r="283">
      <c r="A283" s="384"/>
      <c r="B283" s="401" t="s">
        <v>183</v>
      </c>
      <c r="C283" s="369" t="s">
        <v>210</v>
      </c>
      <c r="D283" s="360">
        <f t="shared" ref="D283:D286" si="49">E283+F283</f>
      </c>
      <c r="E283" s="356">
        <v>1318.95</v>
      </c>
      <c r="F283" s="356">
        <v>1434.26</v>
      </c>
      <c r="G283" s="402">
        <v>1</v>
      </c>
      <c r="H283" s="402">
        <v>5589</v>
      </c>
      <c r="I283" s="420">
        <f t="shared" si="338"/>
      </c>
      <c r="J283" s="421">
        <f t="shared" si="234"/>
      </c>
      <c r="K283" s="422">
        <f t="shared" si="156"/>
      </c>
      <c r="L283" s="388">
        <f t="shared" si="260"/>
      </c>
      <c r="M283" s="388">
        <f t="shared" si="104"/>
      </c>
      <c r="N283" s="389">
        <f t="shared" si="364"/>
      </c>
      <c r="O283" s="388">
        <f t="shared" si="286"/>
      </c>
      <c r="P283" s="388">
        <f t="shared" si="182"/>
      </c>
      <c r="Q283" s="389">
        <f t="shared" si="130"/>
      </c>
      <c r="R283" s="390">
        <f t="shared" si="390"/>
      </c>
      <c r="S283" s="389">
        <f t="shared" si="312"/>
      </c>
      <c r="T283" s="391">
        <f t="shared" si="208"/>
      </c>
      <c r="U283" s="392" t="s">
        <v>185</v>
      </c>
      <c r="V283" s="393" t="s">
        <v>186</v>
      </c>
      <c r="W283" s="360">
        <v>1</v>
      </c>
      <c r="X283" s="360">
        <v>9374</v>
      </c>
      <c r="Y283" s="360">
        <v>667</v>
      </c>
      <c r="Z283" s="360">
        <v>1260</v>
      </c>
      <c r="AA283" s="360">
        <v>267</v>
      </c>
      <c r="AB283" s="360">
        <v>41</v>
      </c>
      <c r="AC283" s="395">
        <v>2</v>
      </c>
      <c r="AD283" s="359">
        <v>19</v>
      </c>
      <c r="AE283" s="293"/>
      <c r="AF283" s="293"/>
    </row>
    <row r="284">
      <c r="A284" s="384"/>
      <c r="B284" s="385" t="s">
        <v>187</v>
      </c>
      <c r="C284" s="369" t="s">
        <v>210</v>
      </c>
      <c r="D284" s="360">
        <f t="shared" si="49"/>
      </c>
      <c r="E284" s="360">
        <v>2605.46</v>
      </c>
      <c r="F284" s="360">
        <v>1448.57</v>
      </c>
      <c r="G284" s="369">
        <v>2</v>
      </c>
      <c r="H284" s="369">
        <v>2250.720000000001</v>
      </c>
      <c r="I284" s="387">
        <f t="shared" si="338"/>
      </c>
      <c r="J284" s="388">
        <f t="shared" si="234"/>
      </c>
      <c r="K284" s="389">
        <f t="shared" si="156"/>
      </c>
      <c r="L284" s="388">
        <f t="shared" si="260"/>
      </c>
      <c r="M284" s="388">
        <f t="shared" si="104"/>
      </c>
      <c r="N284" s="389">
        <f t="shared" si="364"/>
      </c>
      <c r="O284" s="388">
        <f t="shared" si="286"/>
      </c>
      <c r="P284" s="388">
        <f t="shared" si="182"/>
      </c>
      <c r="Q284" s="389">
        <f t="shared" si="130"/>
      </c>
      <c r="R284" s="390">
        <f t="shared" si="390"/>
      </c>
      <c r="S284" s="389">
        <f t="shared" si="312"/>
      </c>
      <c r="T284" s="391">
        <f t="shared" si="208"/>
      </c>
      <c r="U284" s="392" t="s">
        <v>185</v>
      </c>
      <c r="V284" s="393" t="s">
        <v>186</v>
      </c>
      <c r="W284" s="360">
        <v>2</v>
      </c>
      <c r="X284" s="360">
        <v>18197</v>
      </c>
      <c r="Y284" s="360">
        <v>1251</v>
      </c>
      <c r="Z284" s="360">
        <v>1995</v>
      </c>
      <c r="AA284" s="360">
        <v>370</v>
      </c>
      <c r="AB284" s="360">
        <v>68</v>
      </c>
      <c r="AC284" s="395">
        <v>4</v>
      </c>
      <c r="AD284" s="359">
        <v>41</v>
      </c>
      <c r="AE284" s="293"/>
      <c r="AF284" s="293"/>
    </row>
    <row r="285">
      <c r="A285" s="384"/>
      <c r="B285" s="385" t="s">
        <v>188</v>
      </c>
      <c r="C285" s="369" t="s">
        <v>210</v>
      </c>
      <c r="D285" s="360">
        <f t="shared" si="49"/>
      </c>
      <c r="E285" s="360">
        <v>1940.48</v>
      </c>
      <c r="F285" s="360">
        <v>1139.04</v>
      </c>
      <c r="G285" s="369">
        <v>0</v>
      </c>
      <c r="H285" s="369">
        <v>0</v>
      </c>
      <c r="I285" s="387">
        <f t="shared" si="338"/>
      </c>
      <c r="J285" s="388">
        <f t="shared" si="234"/>
      </c>
      <c r="K285" s="389">
        <f t="shared" si="156"/>
      </c>
      <c r="L285" s="388">
        <f t="shared" si="260"/>
      </c>
      <c r="M285" s="388">
        <f t="shared" si="104"/>
      </c>
      <c r="N285" s="389">
        <f t="shared" si="364"/>
      </c>
      <c r="O285" s="388">
        <f t="shared" si="286"/>
      </c>
      <c r="P285" s="388">
        <f t="shared" si="182"/>
      </c>
      <c r="Q285" s="389">
        <f t="shared" si="130"/>
      </c>
      <c r="R285" s="390">
        <f t="shared" si="390"/>
      </c>
      <c r="S285" s="389">
        <f t="shared" si="312"/>
      </c>
      <c r="T285" s="391">
        <f t="shared" si="208"/>
      </c>
      <c r="U285" s="392" t="s">
        <v>185</v>
      </c>
      <c r="V285" s="393" t="s">
        <v>186</v>
      </c>
      <c r="W285" s="360">
        <v>0</v>
      </c>
      <c r="X285" s="360">
        <v>11011</v>
      </c>
      <c r="Y285" s="360">
        <v>912</v>
      </c>
      <c r="Z285" s="360">
        <v>1575</v>
      </c>
      <c r="AA285" s="360">
        <v>297</v>
      </c>
      <c r="AB285" s="360">
        <v>31</v>
      </c>
      <c r="AC285" s="395">
        <v>2</v>
      </c>
      <c r="AD285" s="359">
        <v>26</v>
      </c>
      <c r="AE285" s="293"/>
      <c r="AF285" s="293"/>
    </row>
    <row r="286">
      <c r="A286" s="384"/>
      <c r="B286" s="385" t="s">
        <v>190</v>
      </c>
      <c r="C286" s="369" t="s">
        <v>210</v>
      </c>
      <c r="D286" s="360">
        <f t="shared" si="49"/>
      </c>
      <c r="E286" s="360">
        <v>1724.61</v>
      </c>
      <c r="F286" s="360">
        <v>2019.3</v>
      </c>
      <c r="G286" s="369">
        <v>1</v>
      </c>
      <c r="H286" s="369">
        <v>496.8000000000029</v>
      </c>
      <c r="I286" s="387">
        <f t="shared" si="338"/>
      </c>
      <c r="J286" s="388">
        <f t="shared" si="234"/>
      </c>
      <c r="K286" s="389">
        <f t="shared" si="156"/>
      </c>
      <c r="L286" s="388">
        <f t="shared" si="260"/>
      </c>
      <c r="M286" s="388">
        <f t="shared" si="104"/>
      </c>
      <c r="N286" s="389">
        <f t="shared" si="364"/>
      </c>
      <c r="O286" s="388">
        <f t="shared" si="286"/>
      </c>
      <c r="P286" s="388">
        <f t="shared" si="182"/>
      </c>
      <c r="Q286" s="389">
        <f t="shared" si="130"/>
      </c>
      <c r="R286" s="390">
        <f t="shared" si="390"/>
      </c>
      <c r="S286" s="389">
        <f t="shared" si="312"/>
      </c>
      <c r="T286" s="391">
        <f t="shared" si="208"/>
      </c>
      <c r="U286" s="392" t="s">
        <v>185</v>
      </c>
      <c r="V286" s="393" t="s">
        <v>186</v>
      </c>
      <c r="W286" s="360">
        <v>1</v>
      </c>
      <c r="X286" s="360">
        <v>15254</v>
      </c>
      <c r="Y286" s="360">
        <v>1141</v>
      </c>
      <c r="Z286" s="360">
        <v>2037</v>
      </c>
      <c r="AA286" s="360">
        <v>407</v>
      </c>
      <c r="AB286" s="360">
        <v>58</v>
      </c>
      <c r="AC286" s="395">
        <v>3</v>
      </c>
      <c r="AD286" s="359">
        <v>30</v>
      </c>
      <c r="AE286" s="293"/>
      <c r="AF286" s="293"/>
    </row>
    <row r="287">
      <c r="A287" s="384"/>
      <c r="B287" s="361" t="s">
        <v>189</v>
      </c>
      <c r="C287" s="361"/>
      <c r="D287" s="361">
        <f>SUM(D283:D286)</f>
      </c>
      <c r="E287" s="361">
        <f>SUM(E283:E286)</f>
      </c>
      <c r="F287" s="361">
        <f>SUM(F283:F286)</f>
      </c>
      <c r="G287" s="361">
        <f>SUM(G283:G286)</f>
      </c>
      <c r="H287" s="361">
        <f>SUM(H283:H286)</f>
      </c>
      <c r="I287" s="344">
        <f t="shared" si="338"/>
      </c>
      <c r="J287" s="345">
        <f t="shared" si="234"/>
      </c>
      <c r="K287" s="323">
        <f t="shared" si="156"/>
      </c>
      <c r="L287" s="322">
        <f t="shared" si="260"/>
      </c>
      <c r="M287" s="322">
        <f t="shared" si="104"/>
      </c>
      <c r="N287" s="323">
        <f t="shared" si="364"/>
      </c>
      <c r="O287" s="322">
        <f t="shared" si="286"/>
      </c>
      <c r="P287" s="322">
        <f t="shared" si="182"/>
      </c>
      <c r="Q287" s="324">
        <f t="shared" si="130"/>
      </c>
      <c r="R287" s="325">
        <f t="shared" si="390"/>
      </c>
      <c r="S287" s="324">
        <f t="shared" si="312"/>
      </c>
      <c r="T287" s="326">
        <f t="shared" si="208"/>
      </c>
      <c r="U287" s="326"/>
      <c r="V287" s="326"/>
      <c r="W287" s="320">
        <f>SUM(W283:W286)</f>
      </c>
      <c r="X287" s="320">
        <f>SUM(X283:X286)</f>
      </c>
      <c r="Y287" s="320">
        <f>SUM(Y283:Y286)</f>
      </c>
      <c r="Z287" s="320">
        <f>SUM(Z283:Z286)</f>
      </c>
      <c r="AA287" s="320">
        <f>SUM(AA283:AA286)</f>
      </c>
      <c r="AB287" s="320">
        <f>SUM(AB283:AB286)</f>
      </c>
      <c r="AC287" s="320">
        <f>SUM(AC283:AC286)</f>
      </c>
      <c r="AD287" s="320">
        <f>SUM(AD283:AD286)</f>
      </c>
      <c r="AE287" s="293"/>
      <c r="AF287" s="293"/>
    </row>
    <row r="288">
      <c r="A288" s="384"/>
      <c r="B288" s="360" t="s">
        <v>192</v>
      </c>
      <c r="C288" s="369" t="s">
        <v>208</v>
      </c>
      <c r="D288" s="346">
        <f t="shared" ref="D288:D290" si="50">E288+F288</f>
      </c>
      <c r="E288" s="347">
        <v>1279.58</v>
      </c>
      <c r="F288" s="347">
        <v>2162.7</v>
      </c>
      <c r="G288" s="364">
        <v>3</v>
      </c>
      <c r="H288" s="364">
        <v>9737.04</v>
      </c>
      <c r="I288" s="349">
        <f t="shared" si="338"/>
      </c>
      <c r="J288" s="312">
        <f t="shared" si="234"/>
      </c>
      <c r="K288" s="313">
        <f t="shared" si="156"/>
      </c>
      <c r="L288" s="312">
        <f t="shared" si="260"/>
      </c>
      <c r="M288" s="312">
        <f t="shared" si="104"/>
      </c>
      <c r="N288" s="313">
        <f t="shared" si="364"/>
      </c>
      <c r="O288" s="312">
        <f t="shared" si="286"/>
      </c>
      <c r="P288" s="312">
        <f t="shared" si="182"/>
      </c>
      <c r="Q288" s="314">
        <f t="shared" si="130"/>
      </c>
      <c r="R288" s="315">
        <f t="shared" si="390"/>
      </c>
      <c r="S288" s="314">
        <f t="shared" si="312"/>
      </c>
      <c r="T288" s="316">
        <f t="shared" si="208"/>
      </c>
      <c r="U288" s="317" t="s">
        <v>185</v>
      </c>
      <c r="V288" s="318" t="s">
        <v>186</v>
      </c>
      <c r="W288" s="310">
        <v>3</v>
      </c>
      <c r="X288" s="310">
        <v>15928</v>
      </c>
      <c r="Y288" s="310">
        <v>1327</v>
      </c>
      <c r="Z288" s="310">
        <v>2335</v>
      </c>
      <c r="AA288" s="310">
        <v>467</v>
      </c>
      <c r="AB288" s="310">
        <v>50</v>
      </c>
      <c r="AC288" s="359">
        <v>4</v>
      </c>
      <c r="AD288" s="359">
        <v>36</v>
      </c>
      <c r="AE288" s="293"/>
      <c r="AF288" s="293"/>
    </row>
    <row r="289">
      <c r="A289" s="384"/>
      <c r="B289" s="360" t="s">
        <v>193</v>
      </c>
      <c r="C289" s="369" t="s">
        <v>208</v>
      </c>
      <c r="D289" s="346">
        <f t="shared" si="50"/>
      </c>
      <c r="E289" s="309">
        <v>742.06</v>
      </c>
      <c r="F289" s="309">
        <v>2134.53</v>
      </c>
      <c r="G289" s="359">
        <v>3</v>
      </c>
      <c r="H289" s="359">
        <v>2534.159999999996</v>
      </c>
      <c r="I289" s="311">
        <f t="shared" si="338"/>
      </c>
      <c r="J289" s="312">
        <f t="shared" si="234"/>
      </c>
      <c r="K289" s="313">
        <f t="shared" si="156"/>
      </c>
      <c r="L289" s="312">
        <f t="shared" si="260"/>
      </c>
      <c r="M289" s="312">
        <f t="shared" si="104"/>
      </c>
      <c r="N289" s="313">
        <f t="shared" si="364"/>
      </c>
      <c r="O289" s="312">
        <f t="shared" si="286"/>
      </c>
      <c r="P289" s="312">
        <f t="shared" si="182"/>
      </c>
      <c r="Q289" s="314">
        <f t="shared" si="130"/>
      </c>
      <c r="R289" s="315">
        <f t="shared" si="390"/>
      </c>
      <c r="S289" s="314">
        <f t="shared" si="312"/>
      </c>
      <c r="T289" s="316">
        <f t="shared" si="208"/>
      </c>
      <c r="U289" s="317" t="s">
        <v>185</v>
      </c>
      <c r="V289" s="318" t="s">
        <v>186</v>
      </c>
      <c r="W289" s="310">
        <v>2</v>
      </c>
      <c r="X289" s="310">
        <v>15196</v>
      </c>
      <c r="Y289" s="310">
        <v>1418</v>
      </c>
      <c r="Z289" s="310">
        <v>2838</v>
      </c>
      <c r="AA289" s="310">
        <v>626</v>
      </c>
      <c r="AB289" s="310">
        <v>31</v>
      </c>
      <c r="AC289" s="359">
        <v>3</v>
      </c>
      <c r="AD289" s="359">
        <v>32</v>
      </c>
      <c r="AE289" s="293"/>
      <c r="AF289" s="293"/>
    </row>
    <row r="290">
      <c r="A290" s="384"/>
      <c r="B290" s="360" t="s">
        <v>194</v>
      </c>
      <c r="C290" s="369" t="s">
        <v>208</v>
      </c>
      <c r="D290" s="346">
        <f t="shared" si="50"/>
      </c>
      <c r="E290" s="309">
        <v>150.71</v>
      </c>
      <c r="F290" s="309">
        <v>1357.99</v>
      </c>
      <c r="G290" s="359">
        <v>2</v>
      </c>
      <c r="H290" s="359">
        <v>6124.199999999997</v>
      </c>
      <c r="I290" s="311">
        <f t="shared" si="338"/>
      </c>
      <c r="J290" s="312">
        <f t="shared" si="234"/>
      </c>
      <c r="K290" s="313">
        <f t="shared" si="156"/>
      </c>
      <c r="L290" s="312">
        <f t="shared" si="260"/>
      </c>
      <c r="M290" s="312">
        <f t="shared" si="104"/>
      </c>
      <c r="N290" s="313">
        <f t="shared" si="364"/>
      </c>
      <c r="O290" s="312">
        <f t="shared" si="286"/>
      </c>
      <c r="P290" s="312">
        <f t="shared" si="182"/>
      </c>
      <c r="Q290" s="314">
        <f t="shared" si="130"/>
      </c>
      <c r="R290" s="315">
        <f t="shared" si="390"/>
      </c>
      <c r="S290" s="314">
        <f t="shared" si="312"/>
      </c>
      <c r="T290" s="316">
        <f t="shared" si="208"/>
      </c>
      <c r="U290" s="317" t="s">
        <v>185</v>
      </c>
      <c r="V290" s="318" t="s">
        <v>186</v>
      </c>
      <c r="W290" s="310">
        <v>1</v>
      </c>
      <c r="X290" s="310">
        <v>10352</v>
      </c>
      <c r="Y290" s="310">
        <v>695</v>
      </c>
      <c r="Z290" s="310">
        <v>1346</v>
      </c>
      <c r="AA290" s="310">
        <v>264</v>
      </c>
      <c r="AB290" s="310">
        <v>25</v>
      </c>
      <c r="AC290" s="359">
        <v>4</v>
      </c>
      <c r="AD290" s="359">
        <v>14</v>
      </c>
      <c r="AE290" s="293"/>
      <c r="AF290" s="293"/>
    </row>
    <row r="291">
      <c r="A291" s="384"/>
      <c r="B291" s="361" t="s">
        <v>189</v>
      </c>
      <c r="C291" s="361"/>
      <c r="D291" s="319">
        <f>SUM(D288:D290)</f>
      </c>
      <c r="E291" s="319">
        <f>SUM(E288:E290)</f>
      </c>
      <c r="F291" s="319">
        <f>SUM(F288:F290)</f>
      </c>
      <c r="G291" s="319">
        <f>SUM(G288:G290)</f>
      </c>
      <c r="H291" s="319">
        <f>SUM(H288:H290)</f>
      </c>
      <c r="I291" s="321">
        <f t="shared" si="338"/>
      </c>
      <c r="J291" s="322">
        <f t="shared" si="234"/>
      </c>
      <c r="K291" s="323">
        <f t="shared" si="156"/>
      </c>
      <c r="L291" s="322">
        <f t="shared" si="260"/>
      </c>
      <c r="M291" s="322">
        <f t="shared" si="104"/>
      </c>
      <c r="N291" s="323">
        <f t="shared" si="364"/>
      </c>
      <c r="O291" s="322">
        <f t="shared" si="286"/>
      </c>
      <c r="P291" s="322">
        <f t="shared" si="182"/>
      </c>
      <c r="Q291" s="324">
        <f t="shared" si="130"/>
      </c>
      <c r="R291" s="325">
        <f t="shared" si="390"/>
      </c>
      <c r="S291" s="324">
        <f t="shared" si="312"/>
      </c>
      <c r="T291" s="326">
        <f t="shared" si="208"/>
      </c>
      <c r="U291" s="326"/>
      <c r="V291" s="326"/>
      <c r="W291" s="320">
        <f>SUM(W288:W290)</f>
      </c>
      <c r="X291" s="320">
        <f>SUM(X288:X290)</f>
      </c>
      <c r="Y291" s="320">
        <f>SUM(Y288:Y290)</f>
      </c>
      <c r="Z291" s="320">
        <f>SUM(Z288:Z290)</f>
      </c>
      <c r="AA291" s="320">
        <f>SUM(AA288:AA290)</f>
      </c>
      <c r="AB291" s="320">
        <f>SUM(AB288:AB290)</f>
      </c>
      <c r="AC291" s="320">
        <f>SUM(AC288:AC290)</f>
      </c>
      <c r="AD291" s="320">
        <f>SUM(AD288:AD290)</f>
      </c>
      <c r="AE291" s="293"/>
      <c r="AF291" s="293"/>
    </row>
    <row r="292">
      <c r="A292" s="384"/>
      <c r="B292" s="366" t="s">
        <v>195</v>
      </c>
      <c r="C292" s="366"/>
      <c r="D292" s="367">
        <f>+D282+D277+D287+D291</f>
      </c>
      <c r="E292" s="367">
        <f>+E282+E277+E287+E291</f>
      </c>
      <c r="F292" s="367">
        <f>+F282+F277+F287+F291</f>
      </c>
      <c r="G292" s="367">
        <f>+G282+G277+G287+G291</f>
      </c>
      <c r="H292" s="367">
        <f>+H282+H277+H287+H291</f>
      </c>
      <c r="I292" s="328">
        <f t="shared" si="338"/>
      </c>
      <c r="J292" s="329">
        <f t="shared" si="234"/>
      </c>
      <c r="K292" s="330">
        <f t="shared" si="156"/>
      </c>
      <c r="L292" s="331">
        <f t="shared" si="260"/>
      </c>
      <c r="M292" s="331">
        <f t="shared" si="104"/>
      </c>
      <c r="N292" s="330">
        <f t="shared" si="364"/>
      </c>
      <c r="O292" s="331">
        <f t="shared" si="286"/>
      </c>
      <c r="P292" s="331">
        <f t="shared" si="182"/>
      </c>
      <c r="Q292" s="330">
        <f t="shared" si="130"/>
      </c>
      <c r="R292" s="332">
        <f t="shared" si="390"/>
      </c>
      <c r="S292" s="330">
        <f t="shared" si="312"/>
      </c>
      <c r="T292" s="333">
        <f t="shared" si="208"/>
      </c>
      <c r="U292" s="333"/>
      <c r="V292" s="333"/>
      <c r="W292" s="328">
        <f>+W282+W277+W287+W291</f>
      </c>
      <c r="X292" s="328">
        <f>+X282+X277+X287+X291</f>
      </c>
      <c r="Y292" s="328">
        <f>+Y282+Y277+Y287+Y291</f>
      </c>
      <c r="Z292" s="328">
        <f>+Z282+Z277+Z287+Z291</f>
      </c>
      <c r="AA292" s="328">
        <f>+AA282+AA277+AA287+AA291</f>
      </c>
      <c r="AB292" s="328">
        <f>+AB282+AB277+AB287+AB291</f>
      </c>
      <c r="AC292" s="328">
        <f>+AC282+AC277+AC287+AC291</f>
      </c>
      <c r="AD292" s="328">
        <f>+AD282+AD277+AD287+AD291</f>
      </c>
      <c r="AE292" s="293"/>
      <c r="AF292" s="293"/>
    </row>
    <row r="293">
      <c r="A293" s="352" t="s">
        <v>150</v>
      </c>
      <c r="B293" s="352"/>
      <c r="C293" s="352"/>
      <c r="D293" s="334" t="s">
        <v>151</v>
      </c>
      <c r="E293" s="334"/>
      <c r="F293" s="334"/>
      <c r="G293" s="334"/>
      <c r="H293" s="334"/>
      <c r="I293" s="334"/>
      <c r="J293" s="377" t="s">
        <v>152</v>
      </c>
      <c r="K293" s="377"/>
      <c r="L293" s="377"/>
      <c r="M293" s="377"/>
      <c r="N293" s="377"/>
      <c r="O293" s="377"/>
      <c r="P293" s="377"/>
      <c r="Q293" s="377"/>
      <c r="R293" s="377"/>
      <c r="S293" s="377"/>
      <c r="T293" s="370"/>
      <c r="U293" s="370"/>
      <c r="V293" s="370"/>
      <c r="W293" s="371"/>
      <c r="X293" s="371"/>
      <c r="Y293" s="371"/>
      <c r="Z293" s="371"/>
      <c r="AA293" s="371"/>
      <c r="AB293" s="371"/>
      <c r="AC293" s="371"/>
      <c r="AD293" s="372" t="s">
        <v>153</v>
      </c>
      <c r="AE293" s="293"/>
      <c r="AF293" s="293"/>
    </row>
    <row r="294">
      <c r="A294" s="354" t="s">
        <v>154</v>
      </c>
      <c r="B294" s="352" t="s">
        <v>155</v>
      </c>
      <c r="C294" s="352" t="s">
        <v>156</v>
      </c>
      <c r="D294" s="428" t="s">
        <v>157</v>
      </c>
      <c r="E294" s="427" t="s">
        <v>158</v>
      </c>
      <c r="F294" s="427" t="s">
        <v>159</v>
      </c>
      <c r="G294" s="414" t="s">
        <v>160</v>
      </c>
      <c r="H294" s="412" t="s">
        <v>161</v>
      </c>
      <c r="I294" s="413" t="s">
        <v>162</v>
      </c>
      <c r="J294" s="415" t="s">
        <v>163</v>
      </c>
      <c r="K294" s="415" t="s">
        <v>164</v>
      </c>
      <c r="L294" s="416" t="s">
        <v>165</v>
      </c>
      <c r="M294" s="378" t="s">
        <v>166</v>
      </c>
      <c r="N294" s="377" t="s">
        <v>167</v>
      </c>
      <c r="O294" s="378" t="s">
        <v>168</v>
      </c>
      <c r="P294" s="378" t="s">
        <v>169</v>
      </c>
      <c r="Q294" s="379" t="s">
        <v>170</v>
      </c>
      <c r="R294" s="378" t="s">
        <v>171</v>
      </c>
      <c r="S294" s="379" t="s">
        <v>172</v>
      </c>
      <c r="T294" s="380" t="s">
        <v>173</v>
      </c>
      <c r="U294" s="380" t="s">
        <v>174</v>
      </c>
      <c r="V294" s="380" t="s">
        <v>175</v>
      </c>
      <c r="W294" s="381" t="s">
        <v>176</v>
      </c>
      <c r="X294" s="382" t="s">
        <v>177</v>
      </c>
      <c r="Y294" s="382" t="s">
        <v>178</v>
      </c>
      <c r="Z294" s="382" t="s">
        <v>179</v>
      </c>
      <c r="AA294" s="382" t="s">
        <v>180</v>
      </c>
      <c r="AB294" s="382" t="s">
        <v>181</v>
      </c>
      <c r="AC294" s="383" t="s">
        <v>182</v>
      </c>
      <c r="AD294" s="372"/>
      <c r="AE294" s="293"/>
      <c r="AF294" s="293"/>
    </row>
    <row r="295">
      <c r="A295" s="384">
        <v>46256</v>
      </c>
      <c r="B295" s="385" t="s">
        <v>199</v>
      </c>
      <c r="C295" s="369" t="s">
        <v>184</v>
      </c>
      <c r="D295" s="360">
        <f t="shared" ref="D295:D298" si="51">E295+F295</f>
      </c>
      <c r="E295" s="402">
        <v>3396.7</v>
      </c>
      <c r="F295" s="369">
        <v>1297.71</v>
      </c>
      <c r="G295" s="369">
        <v>4</v>
      </c>
      <c r="H295" s="369">
        <v>8157.28</v>
      </c>
      <c r="I295" s="387">
        <f t="shared" ref="I295:I314" si="339">H295/D295</f>
      </c>
      <c r="J295" s="388">
        <f t="shared" ref="J295:J314" si="235">Y295/X295</f>
      </c>
      <c r="K295" s="389">
        <f t="shared" ref="K295:K314" si="157">D295/Z295</f>
      </c>
      <c r="L295" s="417">
        <f t="shared" ref="L295:L314" si="261">AA295/Z295</f>
      </c>
      <c r="M295" s="388">
        <f t="shared" ref="M295:M314" si="105">AB295/Z295</f>
      </c>
      <c r="N295" s="389">
        <f t="shared" ref="N295:N314" si="365">D295/AB295</f>
      </c>
      <c r="O295" s="388">
        <f t="shared" ref="O295:O314" si="287">AC295/AB295</f>
      </c>
      <c r="P295" s="388">
        <f t="shared" ref="P295:P314" si="183">G295/AC295</f>
      </c>
      <c r="Q295" s="389">
        <f t="shared" ref="Q295:Q314" si="131">D295/G295</f>
      </c>
      <c r="R295" s="390">
        <f t="shared" ref="R295:R314" si="391">H295/G295</f>
      </c>
      <c r="S295" s="389">
        <f t="shared" ref="S295:S314" si="313">D295/W295</f>
      </c>
      <c r="T295" s="391">
        <f t="shared" ref="T295:T314" si="209">AD295*1000/D295</f>
      </c>
      <c r="U295" s="392" t="s">
        <v>185</v>
      </c>
      <c r="V295" s="423" t="s">
        <v>211</v>
      </c>
      <c r="W295" s="369">
        <v>3</v>
      </c>
      <c r="X295" s="360">
        <v>13521</v>
      </c>
      <c r="Y295" s="360">
        <v>1231</v>
      </c>
      <c r="Z295" s="360">
        <v>1999</v>
      </c>
      <c r="AA295" s="360">
        <v>441</v>
      </c>
      <c r="AB295" s="360">
        <v>45</v>
      </c>
      <c r="AC295" s="394">
        <v>10</v>
      </c>
      <c r="AD295" s="364">
        <v>39</v>
      </c>
      <c r="AE295" s="293"/>
      <c r="AF295" s="293"/>
    </row>
    <row r="296">
      <c r="A296" s="384"/>
      <c r="B296" s="385" t="s">
        <v>200</v>
      </c>
      <c r="C296" s="369" t="s">
        <v>184</v>
      </c>
      <c r="D296" s="360">
        <f t="shared" si="51"/>
      </c>
      <c r="E296" s="360">
        <v>2653.1400000000003</v>
      </c>
      <c r="F296" s="360">
        <v>1377.31</v>
      </c>
      <c r="G296" s="369">
        <v>1</v>
      </c>
      <c r="H296" s="369">
        <v>6018.599999999999</v>
      </c>
      <c r="I296" s="387">
        <f t="shared" si="339"/>
      </c>
      <c r="J296" s="388">
        <f t="shared" si="235"/>
      </c>
      <c r="K296" s="389">
        <f t="shared" si="157"/>
      </c>
      <c r="L296" s="417">
        <f t="shared" si="261"/>
      </c>
      <c r="M296" s="388">
        <f t="shared" si="105"/>
      </c>
      <c r="N296" s="389">
        <f t="shared" si="365"/>
      </c>
      <c r="O296" s="388">
        <f t="shared" si="287"/>
      </c>
      <c r="P296" s="388">
        <f t="shared" si="183"/>
      </c>
      <c r="Q296" s="389">
        <f t="shared" si="131"/>
      </c>
      <c r="R296" s="390">
        <f t="shared" si="391"/>
      </c>
      <c r="S296" s="389">
        <f t="shared" si="313"/>
      </c>
      <c r="T296" s="391">
        <f t="shared" si="209"/>
      </c>
      <c r="U296" s="392" t="s">
        <v>185</v>
      </c>
      <c r="V296" s="423" t="s">
        <v>211</v>
      </c>
      <c r="W296" s="360">
        <v>1</v>
      </c>
      <c r="X296" s="360">
        <v>11425</v>
      </c>
      <c r="Y296" s="360">
        <v>1357</v>
      </c>
      <c r="Z296" s="360">
        <v>2163</v>
      </c>
      <c r="AA296" s="360">
        <v>531</v>
      </c>
      <c r="AB296" s="360">
        <v>35</v>
      </c>
      <c r="AC296" s="395">
        <v>5</v>
      </c>
      <c r="AD296" s="359">
        <v>36</v>
      </c>
      <c r="AE296" s="293"/>
      <c r="AF296" s="293"/>
    </row>
    <row r="297">
      <c r="A297" s="384"/>
      <c r="B297" s="385" t="s">
        <v>201</v>
      </c>
      <c r="C297" s="369" t="s">
        <v>184</v>
      </c>
      <c r="D297" s="360">
        <f t="shared" si="51"/>
      </c>
      <c r="E297" s="360">
        <v>2897.52</v>
      </c>
      <c r="F297" s="360">
        <v>1129.73</v>
      </c>
      <c r="G297" s="369">
        <v>3</v>
      </c>
      <c r="H297" s="360">
        <v>4233.6</v>
      </c>
      <c r="I297" s="387">
        <f t="shared" si="339"/>
      </c>
      <c r="J297" s="388">
        <f t="shared" si="235"/>
      </c>
      <c r="K297" s="389">
        <f t="shared" si="157"/>
      </c>
      <c r="L297" s="417">
        <f t="shared" si="261"/>
      </c>
      <c r="M297" s="388">
        <f t="shared" si="105"/>
      </c>
      <c r="N297" s="389">
        <f t="shared" si="365"/>
      </c>
      <c r="O297" s="388">
        <f t="shared" si="287"/>
      </c>
      <c r="P297" s="388">
        <f t="shared" si="183"/>
      </c>
      <c r="Q297" s="389">
        <f t="shared" si="131"/>
      </c>
      <c r="R297" s="390">
        <f t="shared" si="391"/>
      </c>
      <c r="S297" s="389">
        <f t="shared" si="313"/>
      </c>
      <c r="T297" s="391">
        <f t="shared" si="209"/>
      </c>
      <c r="U297" s="392" t="s">
        <v>185</v>
      </c>
      <c r="V297" s="423" t="s">
        <v>211</v>
      </c>
      <c r="W297" s="360">
        <v>3</v>
      </c>
      <c r="X297" s="360">
        <v>9379</v>
      </c>
      <c r="Y297" s="360">
        <v>1358</v>
      </c>
      <c r="Z297" s="360">
        <v>1927</v>
      </c>
      <c r="AA297" s="360">
        <v>500</v>
      </c>
      <c r="AB297" s="360">
        <v>31</v>
      </c>
      <c r="AC297" s="395">
        <v>7</v>
      </c>
      <c r="AD297" s="359">
        <v>35</v>
      </c>
      <c r="AE297" s="293"/>
      <c r="AF297" s="293"/>
    </row>
    <row r="298">
      <c r="A298" s="384"/>
      <c r="B298" s="385" t="s">
        <v>202</v>
      </c>
      <c r="C298" s="369" t="s">
        <v>184</v>
      </c>
      <c r="D298" s="360">
        <f t="shared" si="51"/>
      </c>
      <c r="E298" s="360">
        <v>2829.4700000000003</v>
      </c>
      <c r="F298" s="360">
        <v>1196.94</v>
      </c>
      <c r="G298" s="369">
        <v>1</v>
      </c>
      <c r="H298" s="369">
        <v>2200.5600000000013</v>
      </c>
      <c r="I298" s="387">
        <f t="shared" si="339"/>
      </c>
      <c r="J298" s="388">
        <f t="shared" si="235"/>
      </c>
      <c r="K298" s="389">
        <f t="shared" si="157"/>
      </c>
      <c r="L298" s="417">
        <f t="shared" si="261"/>
      </c>
      <c r="M298" s="388">
        <f t="shared" si="105"/>
      </c>
      <c r="N298" s="389">
        <f t="shared" si="365"/>
      </c>
      <c r="O298" s="388">
        <f t="shared" si="287"/>
      </c>
      <c r="P298" s="388">
        <f t="shared" si="183"/>
      </c>
      <c r="Q298" s="389">
        <f t="shared" si="131"/>
      </c>
      <c r="R298" s="390">
        <f t="shared" si="391"/>
      </c>
      <c r="S298" s="389">
        <f t="shared" si="313"/>
      </c>
      <c r="T298" s="391">
        <f t="shared" si="209"/>
      </c>
      <c r="U298" s="392" t="s">
        <v>185</v>
      </c>
      <c r="V298" s="423" t="s">
        <v>211</v>
      </c>
      <c r="W298" s="360">
        <v>1</v>
      </c>
      <c r="X298" s="360">
        <v>8417</v>
      </c>
      <c r="Y298" s="360">
        <v>1055</v>
      </c>
      <c r="Z298" s="360">
        <v>1554</v>
      </c>
      <c r="AA298" s="360">
        <v>404</v>
      </c>
      <c r="AB298" s="360">
        <v>19</v>
      </c>
      <c r="AC298" s="395">
        <v>3</v>
      </c>
      <c r="AD298" s="359">
        <v>26</v>
      </c>
      <c r="AE298" s="293"/>
      <c r="AF298" s="293"/>
    </row>
    <row r="299">
      <c r="A299" s="384"/>
      <c r="B299" s="361" t="s">
        <v>189</v>
      </c>
      <c r="C299" s="361"/>
      <c r="D299" s="361">
        <f>SUM(D295:D298)</f>
      </c>
      <c r="E299" s="361">
        <v>918.03</v>
      </c>
      <c r="F299" s="361">
        <f>SUM(F295:F298)</f>
      </c>
      <c r="G299" s="361">
        <f>SUM(G295:G298)</f>
      </c>
      <c r="H299" s="361">
        <f>SUM(H295:H298)</f>
      </c>
      <c r="I299" s="396">
        <f t="shared" si="339"/>
      </c>
      <c r="J299" s="397">
        <f t="shared" si="235"/>
      </c>
      <c r="K299" s="398">
        <f t="shared" si="157"/>
      </c>
      <c r="L299" s="418">
        <f t="shared" si="261"/>
      </c>
      <c r="M299" s="397">
        <f t="shared" si="105"/>
      </c>
      <c r="N299" s="398">
        <f t="shared" si="365"/>
      </c>
      <c r="O299" s="397">
        <f t="shared" si="287"/>
      </c>
      <c r="P299" s="397">
        <f t="shared" si="183"/>
      </c>
      <c r="Q299" s="398">
        <f t="shared" si="131"/>
      </c>
      <c r="R299" s="399">
        <f t="shared" si="391"/>
      </c>
      <c r="S299" s="398">
        <f t="shared" si="313"/>
      </c>
      <c r="T299" s="400">
        <f t="shared" si="209"/>
      </c>
      <c r="U299" s="400"/>
      <c r="V299" s="400"/>
      <c r="W299" s="361">
        <f>SUM(W295:W298)</f>
      </c>
      <c r="X299" s="361">
        <f>SUM(X295:X298)</f>
      </c>
      <c r="Y299" s="361">
        <f>SUM(Y295:Y298)</f>
      </c>
      <c r="Z299" s="361">
        <f>SUM(Z295:Z298)</f>
      </c>
      <c r="AA299" s="361">
        <f>SUM(AA295:AA298)</f>
      </c>
      <c r="AB299" s="361">
        <f>SUM(AB295:AB298)</f>
      </c>
      <c r="AC299" s="319">
        <f>SUM(AC295:AC298)</f>
      </c>
      <c r="AD299" s="320">
        <f>SUM(AD295:AD298)</f>
      </c>
      <c r="AE299" s="293"/>
      <c r="AF299" s="293"/>
    </row>
    <row r="300">
      <c r="A300" s="384"/>
      <c r="B300" s="385" t="s">
        <v>203</v>
      </c>
      <c r="C300" s="369" t="s">
        <v>197</v>
      </c>
      <c r="D300" s="360">
        <f t="shared" ref="D300:D303" si="52">E300+F300</f>
      </c>
      <c r="E300" s="360">
        <v>2591.78</v>
      </c>
      <c r="F300" s="360">
        <v>1142.07</v>
      </c>
      <c r="G300" s="369">
        <v>2</v>
      </c>
      <c r="H300" s="369">
        <v>1962.3600000000006</v>
      </c>
      <c r="I300" s="387">
        <f t="shared" si="339"/>
      </c>
      <c r="J300" s="388">
        <f t="shared" si="235"/>
      </c>
      <c r="K300" s="389">
        <f t="shared" si="157"/>
      </c>
      <c r="L300" s="417">
        <f t="shared" si="261"/>
      </c>
      <c r="M300" s="388">
        <f t="shared" si="105"/>
      </c>
      <c r="N300" s="389">
        <f t="shared" si="365"/>
      </c>
      <c r="O300" s="388">
        <f t="shared" si="287"/>
      </c>
      <c r="P300" s="388">
        <f t="shared" si="183"/>
      </c>
      <c r="Q300" s="389">
        <f t="shared" si="131"/>
      </c>
      <c r="R300" s="390">
        <f t="shared" si="391"/>
      </c>
      <c r="S300" s="389">
        <f t="shared" si="313"/>
      </c>
      <c r="T300" s="391">
        <f t="shared" si="209"/>
      </c>
      <c r="U300" s="392" t="s">
        <v>185</v>
      </c>
      <c r="V300" s="423" t="s">
        <v>211</v>
      </c>
      <c r="W300" s="360">
        <v>2</v>
      </c>
      <c r="X300" s="360">
        <v>7405</v>
      </c>
      <c r="Y300" s="360">
        <v>1167</v>
      </c>
      <c r="Z300" s="360">
        <v>1602</v>
      </c>
      <c r="AA300" s="360">
        <v>468</v>
      </c>
      <c r="AB300" s="360">
        <v>22</v>
      </c>
      <c r="AC300" s="395">
        <v>5</v>
      </c>
      <c r="AD300" s="359">
        <v>34</v>
      </c>
      <c r="AE300" s="293"/>
      <c r="AF300" s="293"/>
    </row>
    <row r="301">
      <c r="A301" s="384"/>
      <c r="B301" s="385" t="s">
        <v>204</v>
      </c>
      <c r="C301" s="369" t="s">
        <v>197</v>
      </c>
      <c r="D301" s="360">
        <f t="shared" si="52"/>
      </c>
      <c r="E301" s="360">
        <v>2136.46</v>
      </c>
      <c r="F301" s="360">
        <v>629.4</v>
      </c>
      <c r="G301" s="369">
        <v>3</v>
      </c>
      <c r="H301" s="369">
        <v>8142.359999999997</v>
      </c>
      <c r="I301" s="387">
        <f t="shared" si="339"/>
      </c>
      <c r="J301" s="388">
        <f t="shared" si="235"/>
      </c>
      <c r="K301" s="389">
        <f t="shared" si="157"/>
      </c>
      <c r="L301" s="417">
        <f t="shared" si="261"/>
      </c>
      <c r="M301" s="388">
        <f t="shared" si="105"/>
      </c>
      <c r="N301" s="389">
        <f t="shared" si="365"/>
      </c>
      <c r="O301" s="388">
        <f t="shared" si="287"/>
      </c>
      <c r="P301" s="388">
        <f t="shared" si="183"/>
      </c>
      <c r="Q301" s="389">
        <f t="shared" si="131"/>
      </c>
      <c r="R301" s="390">
        <f t="shared" si="391"/>
      </c>
      <c r="S301" s="389">
        <f t="shared" si="313"/>
      </c>
      <c r="T301" s="391">
        <f t="shared" si="209"/>
      </c>
      <c r="U301" s="392" t="s">
        <v>185</v>
      </c>
      <c r="V301" s="423" t="s">
        <v>211</v>
      </c>
      <c r="W301" s="360">
        <v>2</v>
      </c>
      <c r="X301" s="360">
        <v>4349</v>
      </c>
      <c r="Y301" s="360">
        <v>838</v>
      </c>
      <c r="Z301" s="360">
        <v>1241</v>
      </c>
      <c r="AA301" s="360">
        <v>379</v>
      </c>
      <c r="AB301" s="360">
        <v>21</v>
      </c>
      <c r="AC301" s="395">
        <v>4</v>
      </c>
      <c r="AD301" s="359">
        <v>23</v>
      </c>
      <c r="AE301" s="293"/>
      <c r="AF301" s="293"/>
    </row>
    <row r="302">
      <c r="A302" s="384"/>
      <c r="B302" s="385" t="s">
        <v>205</v>
      </c>
      <c r="C302" s="369" t="s">
        <v>197</v>
      </c>
      <c r="D302" s="360">
        <f t="shared" si="52"/>
      </c>
      <c r="E302" s="360">
        <v>85.33000000000001</v>
      </c>
      <c r="F302" s="360">
        <v>1410.37</v>
      </c>
      <c r="G302" s="369">
        <v>1</v>
      </c>
      <c r="H302" s="369">
        <v>3104.400000000005</v>
      </c>
      <c r="I302" s="387">
        <f t="shared" si="339"/>
      </c>
      <c r="J302" s="388">
        <f t="shared" si="235"/>
      </c>
      <c r="K302" s="389">
        <f t="shared" si="157"/>
      </c>
      <c r="L302" s="417">
        <f t="shared" si="261"/>
      </c>
      <c r="M302" s="388">
        <f t="shared" si="105"/>
      </c>
      <c r="N302" s="389">
        <f t="shared" si="365"/>
      </c>
      <c r="O302" s="388">
        <f t="shared" si="287"/>
      </c>
      <c r="P302" s="388">
        <f t="shared" si="183"/>
      </c>
      <c r="Q302" s="389">
        <f t="shared" si="131"/>
      </c>
      <c r="R302" s="390">
        <f t="shared" si="391"/>
      </c>
      <c r="S302" s="389">
        <f t="shared" si="313"/>
      </c>
      <c r="T302" s="391">
        <f t="shared" si="209"/>
      </c>
      <c r="U302" s="392" t="s">
        <v>185</v>
      </c>
      <c r="V302" s="423" t="s">
        <v>211</v>
      </c>
      <c r="W302" s="360">
        <v>1</v>
      </c>
      <c r="X302" s="360">
        <v>4837</v>
      </c>
      <c r="Y302" s="360">
        <v>755</v>
      </c>
      <c r="Z302" s="360">
        <v>1291</v>
      </c>
      <c r="AA302" s="360">
        <v>324</v>
      </c>
      <c r="AB302" s="360">
        <v>13</v>
      </c>
      <c r="AC302" s="395">
        <v>1</v>
      </c>
      <c r="AD302" s="359">
        <v>12</v>
      </c>
      <c r="AE302" s="293"/>
      <c r="AF302" s="293"/>
    </row>
    <row r="303">
      <c r="A303" s="384"/>
      <c r="B303" s="419" t="s">
        <v>196</v>
      </c>
      <c r="C303" s="369" t="s">
        <v>197</v>
      </c>
      <c r="D303" s="360">
        <f t="shared" si="52"/>
      </c>
      <c r="E303" s="360">
        <v>1794.3000000000002</v>
      </c>
      <c r="F303" s="360">
        <v>1753.66</v>
      </c>
      <c r="G303" s="369">
        <v>0</v>
      </c>
      <c r="H303" s="369">
        <v>0</v>
      </c>
      <c r="I303" s="387">
        <f t="shared" si="339"/>
      </c>
      <c r="J303" s="388">
        <f t="shared" si="235"/>
      </c>
      <c r="K303" s="389">
        <f t="shared" si="157"/>
      </c>
      <c r="L303" s="417">
        <f t="shared" si="261"/>
      </c>
      <c r="M303" s="388">
        <f t="shared" si="105"/>
      </c>
      <c r="N303" s="389">
        <f t="shared" si="365"/>
      </c>
      <c r="O303" s="388">
        <f t="shared" si="287"/>
      </c>
      <c r="P303" s="388">
        <f t="shared" si="183"/>
      </c>
      <c r="Q303" s="389">
        <f t="shared" si="131"/>
      </c>
      <c r="R303" s="390">
        <f t="shared" si="391"/>
      </c>
      <c r="S303" s="389">
        <f t="shared" si="313"/>
      </c>
      <c r="T303" s="391">
        <f t="shared" si="209"/>
      </c>
      <c r="U303" s="392" t="s">
        <v>185</v>
      </c>
      <c r="V303" s="393" t="s">
        <v>186</v>
      </c>
      <c r="W303" s="360">
        <v>0</v>
      </c>
      <c r="X303" s="360">
        <v>8897</v>
      </c>
      <c r="Y303" s="360">
        <v>1111</v>
      </c>
      <c r="Z303" s="360">
        <v>1653</v>
      </c>
      <c r="AA303" s="360">
        <v>404</v>
      </c>
      <c r="AB303" s="360">
        <v>20</v>
      </c>
      <c r="AC303" s="395">
        <v>0</v>
      </c>
      <c r="AD303" s="359">
        <v>30</v>
      </c>
      <c r="AE303" s="293"/>
      <c r="AF303" s="293"/>
    </row>
    <row r="304">
      <c r="A304" s="384"/>
      <c r="B304" s="361" t="s">
        <v>189</v>
      </c>
      <c r="C304" s="361"/>
      <c r="D304" s="361">
        <f>SUM(D300:D303)</f>
      </c>
      <c r="E304" s="361">
        <f>SUM(E300:E303)</f>
      </c>
      <c r="F304" s="361">
        <f>SUM(F300:F303)</f>
      </c>
      <c r="G304" s="361">
        <f>SUM(G300:G303)</f>
      </c>
      <c r="H304" s="361">
        <f>SUM(H300:H303)</f>
      </c>
      <c r="I304" s="396">
        <f t="shared" si="339"/>
      </c>
      <c r="J304" s="397">
        <f t="shared" si="235"/>
      </c>
      <c r="K304" s="398">
        <f t="shared" si="157"/>
      </c>
      <c r="L304" s="418">
        <f t="shared" si="261"/>
      </c>
      <c r="M304" s="397">
        <f t="shared" si="105"/>
      </c>
      <c r="N304" s="398">
        <f t="shared" si="365"/>
      </c>
      <c r="O304" s="397">
        <f t="shared" si="287"/>
      </c>
      <c r="P304" s="397">
        <f t="shared" si="183"/>
      </c>
      <c r="Q304" s="398">
        <f t="shared" si="131"/>
      </c>
      <c r="R304" s="399">
        <f t="shared" si="391"/>
      </c>
      <c r="S304" s="398">
        <f t="shared" si="313"/>
      </c>
      <c r="T304" s="400">
        <f t="shared" si="209"/>
      </c>
      <c r="U304" s="400"/>
      <c r="V304" s="400"/>
      <c r="W304" s="361">
        <f>SUM(W300:W303)</f>
      </c>
      <c r="X304" s="361">
        <f>SUM(X300:X303)</f>
      </c>
      <c r="Y304" s="361">
        <f>SUM(Y300:Y303)</f>
      </c>
      <c r="Z304" s="361">
        <f>SUM(Z300:Z303)</f>
      </c>
      <c r="AA304" s="361">
        <f>SUM(AA300:AA303)</f>
      </c>
      <c r="AB304" s="361">
        <f>SUM(AB300:AB303)</f>
      </c>
      <c r="AC304" s="361">
        <f>SUM(AC300:AC303)</f>
      </c>
      <c r="AD304" s="361">
        <f>SUM(AD300:AD303)</f>
      </c>
      <c r="AE304" s="293"/>
      <c r="AF304" s="293"/>
    </row>
    <row r="305">
      <c r="A305" s="384"/>
      <c r="B305" s="401" t="s">
        <v>183</v>
      </c>
      <c r="C305" s="369" t="s">
        <v>208</v>
      </c>
      <c r="D305" s="360">
        <f t="shared" ref="D305:D307" si="53">E305+F305</f>
      </c>
      <c r="E305" s="356">
        <v>1247.23</v>
      </c>
      <c r="F305" s="356">
        <v>1198.98</v>
      </c>
      <c r="G305" s="402">
        <v>0</v>
      </c>
      <c r="H305" s="402">
        <v>0</v>
      </c>
      <c r="I305" s="420">
        <f t="shared" si="339"/>
      </c>
      <c r="J305" s="421">
        <f t="shared" si="235"/>
      </c>
      <c r="K305" s="422">
        <f t="shared" si="157"/>
      </c>
      <c r="L305" s="388">
        <f t="shared" si="261"/>
      </c>
      <c r="M305" s="388">
        <f t="shared" si="105"/>
      </c>
      <c r="N305" s="389">
        <f t="shared" si="365"/>
      </c>
      <c r="O305" s="388">
        <f t="shared" si="287"/>
      </c>
      <c r="P305" s="388">
        <f t="shared" si="183"/>
      </c>
      <c r="Q305" s="389">
        <f t="shared" si="131"/>
      </c>
      <c r="R305" s="390">
        <f t="shared" si="391"/>
      </c>
      <c r="S305" s="389">
        <f t="shared" si="313"/>
      </c>
      <c r="T305" s="391">
        <f t="shared" si="209"/>
      </c>
      <c r="U305" s="392" t="s">
        <v>185</v>
      </c>
      <c r="V305" s="393" t="s">
        <v>186</v>
      </c>
      <c r="W305" s="360">
        <v>0</v>
      </c>
      <c r="X305" s="360">
        <v>6699</v>
      </c>
      <c r="Y305" s="360">
        <v>739</v>
      </c>
      <c r="Z305" s="360">
        <v>1194</v>
      </c>
      <c r="AA305" s="360">
        <v>271</v>
      </c>
      <c r="AB305" s="360">
        <v>25</v>
      </c>
      <c r="AC305" s="395">
        <v>0</v>
      </c>
      <c r="AD305" s="359">
        <v>24</v>
      </c>
      <c r="AE305" s="293"/>
      <c r="AF305" s="293"/>
    </row>
    <row r="306">
      <c r="A306" s="384"/>
      <c r="B306" s="385" t="s">
        <v>187</v>
      </c>
      <c r="C306" s="369" t="s">
        <v>208</v>
      </c>
      <c r="D306" s="360">
        <f t="shared" si="53"/>
      </c>
      <c r="E306" s="360">
        <v>1609.32</v>
      </c>
      <c r="F306" s="360">
        <v>1663.44</v>
      </c>
      <c r="G306" s="369">
        <v>0</v>
      </c>
      <c r="H306" s="369">
        <v>0</v>
      </c>
      <c r="I306" s="387">
        <f t="shared" si="339"/>
      </c>
      <c r="J306" s="388">
        <f t="shared" si="235"/>
      </c>
      <c r="K306" s="389">
        <f t="shared" si="157"/>
      </c>
      <c r="L306" s="388">
        <f t="shared" si="261"/>
      </c>
      <c r="M306" s="388">
        <f t="shared" si="105"/>
      </c>
      <c r="N306" s="389">
        <f t="shared" si="365"/>
      </c>
      <c r="O306" s="388">
        <f t="shared" si="287"/>
      </c>
      <c r="P306" s="388">
        <f t="shared" si="183"/>
      </c>
      <c r="Q306" s="389">
        <f t="shared" si="131"/>
      </c>
      <c r="R306" s="390">
        <f t="shared" si="391"/>
      </c>
      <c r="S306" s="389">
        <f t="shared" si="313"/>
      </c>
      <c r="T306" s="391">
        <f t="shared" si="209"/>
      </c>
      <c r="U306" s="392" t="s">
        <v>185</v>
      </c>
      <c r="V306" s="393" t="s">
        <v>186</v>
      </c>
      <c r="W306" s="360">
        <v>0</v>
      </c>
      <c r="X306" s="360">
        <v>11186</v>
      </c>
      <c r="Y306" s="360">
        <v>950</v>
      </c>
      <c r="Z306" s="360">
        <v>1612</v>
      </c>
      <c r="AA306" s="360">
        <v>328</v>
      </c>
      <c r="AB306" s="360">
        <v>24</v>
      </c>
      <c r="AC306" s="395">
        <v>1</v>
      </c>
      <c r="AD306" s="359">
        <v>20</v>
      </c>
      <c r="AE306" s="293"/>
      <c r="AF306" s="293"/>
    </row>
    <row r="307">
      <c r="A307" s="384"/>
      <c r="B307" s="385" t="s">
        <v>188</v>
      </c>
      <c r="C307" s="369" t="s">
        <v>208</v>
      </c>
      <c r="D307" s="360">
        <f t="shared" si="53"/>
      </c>
      <c r="E307" s="360">
        <v>582.08</v>
      </c>
      <c r="F307" s="360">
        <v>971.18</v>
      </c>
      <c r="G307" s="369">
        <v>1</v>
      </c>
      <c r="H307" s="369">
        <v>4043.760000000002</v>
      </c>
      <c r="I307" s="387">
        <f t="shared" si="339"/>
      </c>
      <c r="J307" s="388">
        <f t="shared" si="235"/>
      </c>
      <c r="K307" s="389">
        <f t="shared" si="157"/>
      </c>
      <c r="L307" s="388">
        <f t="shared" si="261"/>
      </c>
      <c r="M307" s="388">
        <f t="shared" si="105"/>
      </c>
      <c r="N307" s="389">
        <f t="shared" si="365"/>
      </c>
      <c r="O307" s="388">
        <f t="shared" si="287"/>
      </c>
      <c r="P307" s="388">
        <f t="shared" si="183"/>
      </c>
      <c r="Q307" s="389">
        <f t="shared" si="131"/>
      </c>
      <c r="R307" s="390">
        <f t="shared" si="391"/>
      </c>
      <c r="S307" s="389">
        <f t="shared" si="313"/>
      </c>
      <c r="T307" s="391">
        <f t="shared" si="209"/>
      </c>
      <c r="U307" s="392" t="s">
        <v>185</v>
      </c>
      <c r="V307" s="393" t="s">
        <v>186</v>
      </c>
      <c r="W307" s="360">
        <v>0</v>
      </c>
      <c r="X307" s="360">
        <v>5554</v>
      </c>
      <c r="Y307" s="360">
        <v>734</v>
      </c>
      <c r="Z307" s="360">
        <v>1309</v>
      </c>
      <c r="AA307" s="360">
        <v>243</v>
      </c>
      <c r="AB307" s="360">
        <v>27</v>
      </c>
      <c r="AC307" s="395">
        <v>1</v>
      </c>
      <c r="AD307" s="359">
        <v>17</v>
      </c>
      <c r="AE307" s="293"/>
      <c r="AF307" s="293"/>
    </row>
    <row r="308">
      <c r="A308" s="384"/>
      <c r="B308" s="361" t="s">
        <v>189</v>
      </c>
      <c r="C308" s="361"/>
      <c r="D308" s="361">
        <f>SUM(D305:D307)</f>
      </c>
      <c r="E308" s="361">
        <f>SUM(E305:E307)</f>
      </c>
      <c r="F308" s="361">
        <f>SUM(F305:F307)</f>
      </c>
      <c r="G308" s="361">
        <f>SUM(G305:G307)</f>
      </c>
      <c r="H308" s="361">
        <f>SUM(H305:H307)</f>
      </c>
      <c r="I308" s="344">
        <f t="shared" si="339"/>
      </c>
      <c r="J308" s="345">
        <f t="shared" si="235"/>
      </c>
      <c r="K308" s="323">
        <f t="shared" si="157"/>
      </c>
      <c r="L308" s="322">
        <f t="shared" si="261"/>
      </c>
      <c r="M308" s="322">
        <f t="shared" si="105"/>
      </c>
      <c r="N308" s="323">
        <f t="shared" si="365"/>
      </c>
      <c r="O308" s="322">
        <f t="shared" si="287"/>
      </c>
      <c r="P308" s="322">
        <f t="shared" si="183"/>
      </c>
      <c r="Q308" s="324">
        <f t="shared" si="131"/>
      </c>
      <c r="R308" s="325">
        <f t="shared" si="391"/>
      </c>
      <c r="S308" s="324">
        <f t="shared" si="313"/>
      </c>
      <c r="T308" s="326">
        <f t="shared" si="209"/>
      </c>
      <c r="U308" s="326"/>
      <c r="V308" s="326"/>
      <c r="W308" s="320">
        <f>SUM(W305:W307)</f>
      </c>
      <c r="X308" s="320">
        <f>SUM(X305:X307)</f>
      </c>
      <c r="Y308" s="320">
        <f>SUM(Y305:Y307)</f>
      </c>
      <c r="Z308" s="320">
        <f>SUM(Z305:Z307)</f>
      </c>
      <c r="AA308" s="320">
        <f>SUM(AA305:AA307)</f>
      </c>
      <c r="AB308" s="320">
        <f>SUM(AB305:AB307)</f>
      </c>
      <c r="AC308" s="320">
        <f>SUM(AC305:AC307)</f>
      </c>
      <c r="AD308" s="320">
        <f>SUM(AD305:AD307)</f>
      </c>
      <c r="AE308" s="293"/>
      <c r="AF308" s="293"/>
    </row>
    <row customHeight="true" ht="18.452380952380953" r="309">
      <c r="A309" s="384"/>
      <c r="B309" s="429" t="s">
        <v>190</v>
      </c>
      <c r="C309" s="369" t="s">
        <v>198</v>
      </c>
      <c r="D309" s="309">
        <f t="shared" ref="D309:D312" si="54">E309+F309</f>
      </c>
      <c r="E309" s="309">
        <v>1283.34</v>
      </c>
      <c r="F309" s="309">
        <v>875.5</v>
      </c>
      <c r="G309" s="358">
        <v>0</v>
      </c>
      <c r="H309" s="358">
        <v>0</v>
      </c>
      <c r="I309" s="341">
        <f t="shared" si="339"/>
      </c>
      <c r="J309" s="430">
        <f t="shared" si="235"/>
      </c>
      <c r="K309" s="431">
        <f t="shared" si="157"/>
      </c>
      <c r="L309" s="430">
        <f t="shared" si="261"/>
      </c>
      <c r="M309" s="430">
        <f t="shared" si="105"/>
      </c>
      <c r="N309" s="431">
        <f t="shared" si="365"/>
      </c>
      <c r="O309" s="430">
        <f t="shared" si="287"/>
      </c>
      <c r="P309" s="430">
        <f t="shared" si="183"/>
      </c>
      <c r="Q309" s="431">
        <f t="shared" si="131"/>
      </c>
      <c r="R309" s="432">
        <f t="shared" si="391"/>
      </c>
      <c r="S309" s="431">
        <f t="shared" si="313"/>
      </c>
      <c r="T309" s="433">
        <f t="shared" si="209"/>
      </c>
      <c r="U309" s="434" t="s">
        <v>185</v>
      </c>
      <c r="V309" s="435" t="s">
        <v>186</v>
      </c>
      <c r="W309" s="309">
        <v>0</v>
      </c>
      <c r="X309" s="309">
        <v>4858</v>
      </c>
      <c r="Y309" s="309">
        <v>525</v>
      </c>
      <c r="Z309" s="309">
        <v>917</v>
      </c>
      <c r="AA309" s="309">
        <v>185</v>
      </c>
      <c r="AB309" s="309">
        <v>19</v>
      </c>
      <c r="AC309" s="395">
        <v>2</v>
      </c>
      <c r="AD309" s="310">
        <v>17</v>
      </c>
      <c r="AE309" s="293"/>
      <c r="AF309" s="293"/>
    </row>
    <row r="310">
      <c r="A310" s="384"/>
      <c r="B310" s="360" t="s">
        <v>192</v>
      </c>
      <c r="C310" s="369" t="s">
        <v>198</v>
      </c>
      <c r="D310" s="346">
        <f t="shared" si="54"/>
      </c>
      <c r="E310" s="347">
        <v>318.45</v>
      </c>
      <c r="F310" s="347">
        <v>925.05</v>
      </c>
      <c r="G310" s="364">
        <v>0</v>
      </c>
      <c r="H310" s="364">
        <v>0</v>
      </c>
      <c r="I310" s="349">
        <f t="shared" si="339"/>
      </c>
      <c r="J310" s="312">
        <f t="shared" si="235"/>
      </c>
      <c r="K310" s="313">
        <f t="shared" si="157"/>
      </c>
      <c r="L310" s="312">
        <f t="shared" si="261"/>
      </c>
      <c r="M310" s="312">
        <f t="shared" si="105"/>
      </c>
      <c r="N310" s="313">
        <f t="shared" si="365"/>
      </c>
      <c r="O310" s="312">
        <f t="shared" si="287"/>
      </c>
      <c r="P310" s="312">
        <f t="shared" si="183"/>
      </c>
      <c r="Q310" s="314">
        <f t="shared" si="131"/>
      </c>
      <c r="R310" s="315">
        <f t="shared" si="391"/>
      </c>
      <c r="S310" s="314">
        <f t="shared" si="313"/>
      </c>
      <c r="T310" s="316">
        <f t="shared" si="209"/>
      </c>
      <c r="U310" s="317" t="s">
        <v>185</v>
      </c>
      <c r="V310" s="318" t="s">
        <v>186</v>
      </c>
      <c r="W310" s="310">
        <v>0</v>
      </c>
      <c r="X310" s="310">
        <v>4824</v>
      </c>
      <c r="Y310" s="310">
        <v>483</v>
      </c>
      <c r="Z310" s="310">
        <v>953</v>
      </c>
      <c r="AA310" s="310">
        <v>154</v>
      </c>
      <c r="AB310" s="310">
        <v>17</v>
      </c>
      <c r="AC310" s="359">
        <v>2</v>
      </c>
      <c r="AD310" s="359">
        <v>10</v>
      </c>
      <c r="AE310" s="293"/>
      <c r="AF310" s="293"/>
    </row>
    <row r="311">
      <c r="A311" s="384"/>
      <c r="B311" s="360" t="s">
        <v>193</v>
      </c>
      <c r="C311" s="369" t="s">
        <v>198</v>
      </c>
      <c r="D311" s="346">
        <f t="shared" si="54"/>
      </c>
      <c r="E311" s="309">
        <v>880.37</v>
      </c>
      <c r="F311" s="309">
        <v>654.87</v>
      </c>
      <c r="G311" s="359">
        <v>1</v>
      </c>
      <c r="H311" s="359">
        <v>563.760000000002</v>
      </c>
      <c r="I311" s="311">
        <f t="shared" si="339"/>
      </c>
      <c r="J311" s="312">
        <f t="shared" si="235"/>
      </c>
      <c r="K311" s="313">
        <f t="shared" si="157"/>
      </c>
      <c r="L311" s="312">
        <f t="shared" si="261"/>
      </c>
      <c r="M311" s="312">
        <f t="shared" si="105"/>
      </c>
      <c r="N311" s="313">
        <f t="shared" si="365"/>
      </c>
      <c r="O311" s="312">
        <f t="shared" si="287"/>
      </c>
      <c r="P311" s="312">
        <f t="shared" si="183"/>
      </c>
      <c r="Q311" s="314">
        <f t="shared" si="131"/>
      </c>
      <c r="R311" s="315">
        <f t="shared" si="391"/>
      </c>
      <c r="S311" s="314">
        <f t="shared" si="313"/>
      </c>
      <c r="T311" s="316">
        <f t="shared" si="209"/>
      </c>
      <c r="U311" s="317" t="s">
        <v>185</v>
      </c>
      <c r="V311" s="318" t="s">
        <v>186</v>
      </c>
      <c r="W311" s="310">
        <v>1</v>
      </c>
      <c r="X311" s="310">
        <v>3057</v>
      </c>
      <c r="Y311" s="310">
        <v>719</v>
      </c>
      <c r="Z311" s="310">
        <v>1375</v>
      </c>
      <c r="AA311" s="310">
        <v>324</v>
      </c>
      <c r="AB311" s="310">
        <v>11</v>
      </c>
      <c r="AC311" s="359">
        <v>1</v>
      </c>
      <c r="AD311" s="359">
        <v>17</v>
      </c>
      <c r="AE311" s="293"/>
      <c r="AF311" s="293"/>
    </row>
    <row r="312">
      <c r="A312" s="384"/>
      <c r="B312" s="360" t="s">
        <v>194</v>
      </c>
      <c r="C312" s="369" t="s">
        <v>198</v>
      </c>
      <c r="D312" s="346">
        <f t="shared" si="54"/>
      </c>
      <c r="E312" s="358">
        <v>0</v>
      </c>
      <c r="F312" s="309">
        <v>666.6</v>
      </c>
      <c r="G312" s="359">
        <v>1</v>
      </c>
      <c r="H312" s="359">
        <v>2625.479999999996</v>
      </c>
      <c r="I312" s="311">
        <f t="shared" si="339"/>
      </c>
      <c r="J312" s="312">
        <f t="shared" si="235"/>
      </c>
      <c r="K312" s="313">
        <f t="shared" si="157"/>
      </c>
      <c r="L312" s="312">
        <f t="shared" si="261"/>
      </c>
      <c r="M312" s="312">
        <f t="shared" si="105"/>
      </c>
      <c r="N312" s="313">
        <f t="shared" si="365"/>
      </c>
      <c r="O312" s="312">
        <f t="shared" si="287"/>
      </c>
      <c r="P312" s="312">
        <f t="shared" si="183"/>
      </c>
      <c r="Q312" s="314">
        <f t="shared" si="131"/>
      </c>
      <c r="R312" s="315">
        <f t="shared" si="391"/>
      </c>
      <c r="S312" s="314">
        <f t="shared" si="313"/>
      </c>
      <c r="T312" s="316">
        <f t="shared" si="209"/>
      </c>
      <c r="U312" s="317" t="s">
        <v>185</v>
      </c>
      <c r="V312" s="318" t="s">
        <v>186</v>
      </c>
      <c r="W312" s="310">
        <v>0</v>
      </c>
      <c r="X312" s="310">
        <v>4584</v>
      </c>
      <c r="Y312" s="310">
        <v>358</v>
      </c>
      <c r="Z312" s="310">
        <v>677</v>
      </c>
      <c r="AA312" s="310">
        <v>117</v>
      </c>
      <c r="AB312" s="310">
        <v>8</v>
      </c>
      <c r="AC312" s="359">
        <v>2</v>
      </c>
      <c r="AD312" s="359">
        <v>7</v>
      </c>
      <c r="AE312" s="293"/>
      <c r="AF312" s="293"/>
    </row>
    <row r="313">
      <c r="A313" s="384"/>
      <c r="B313" s="361" t="s">
        <v>189</v>
      </c>
      <c r="C313" s="361"/>
      <c r="D313" s="319">
        <f>SUM(D309:D312)</f>
      </c>
      <c r="E313" s="319">
        <f>SUM(E309:E312)</f>
      </c>
      <c r="F313" s="319">
        <f>SUM(F309:F312)</f>
      </c>
      <c r="G313" s="319">
        <f>SUM(G309:G312)</f>
      </c>
      <c r="H313" s="319">
        <f>SUM(H309:H312)</f>
      </c>
      <c r="I313" s="321">
        <f t="shared" si="339"/>
      </c>
      <c r="J313" s="322">
        <f t="shared" si="235"/>
      </c>
      <c r="K313" s="323">
        <f t="shared" si="157"/>
      </c>
      <c r="L313" s="322">
        <f t="shared" si="261"/>
      </c>
      <c r="M313" s="322">
        <f t="shared" si="105"/>
      </c>
      <c r="N313" s="323">
        <f t="shared" si="365"/>
      </c>
      <c r="O313" s="322">
        <f t="shared" si="287"/>
      </c>
      <c r="P313" s="322">
        <f t="shared" si="183"/>
      </c>
      <c r="Q313" s="324">
        <f t="shared" si="131"/>
      </c>
      <c r="R313" s="325">
        <f t="shared" si="391"/>
      </c>
      <c r="S313" s="324">
        <f t="shared" si="313"/>
      </c>
      <c r="T313" s="326">
        <f t="shared" si="209"/>
      </c>
      <c r="U313" s="326"/>
      <c r="V313" s="326"/>
      <c r="W313" s="320">
        <f>SUM(W309:W312)</f>
      </c>
      <c r="X313" s="320">
        <f>SUM(X309:X312)</f>
      </c>
      <c r="Y313" s="320">
        <f>SUM(Y309:Y312)</f>
      </c>
      <c r="Z313" s="320">
        <f>SUM(Z309:Z312)</f>
      </c>
      <c r="AA313" s="320">
        <f>SUM(AA309:AA312)</f>
      </c>
      <c r="AB313" s="320">
        <f>SUM(AB309:AB312)</f>
      </c>
      <c r="AC313" s="320">
        <f>SUM(AC309:AC312)</f>
      </c>
      <c r="AD313" s="320">
        <f>SUM(AD309:AD312)</f>
      </c>
      <c r="AE313" s="293"/>
      <c r="AF313" s="293"/>
    </row>
    <row r="314">
      <c r="A314" s="384"/>
      <c r="B314" s="366" t="s">
        <v>195</v>
      </c>
      <c r="C314" s="366"/>
      <c r="D314" s="367">
        <f>+D304+D299+D308+D313</f>
      </c>
      <c r="E314" s="367">
        <f>+E304+E299+E308+E313</f>
      </c>
      <c r="F314" s="367">
        <f>+F304+F299+F308+F313</f>
      </c>
      <c r="G314" s="367">
        <f>+G304+G299+G308+G313</f>
      </c>
      <c r="H314" s="367">
        <f>+H304+H299+H308+H313</f>
      </c>
      <c r="I314" s="328">
        <f t="shared" si="339"/>
      </c>
      <c r="J314" s="329">
        <f t="shared" si="235"/>
      </c>
      <c r="K314" s="330">
        <f t="shared" si="157"/>
      </c>
      <c r="L314" s="331">
        <f t="shared" si="261"/>
      </c>
      <c r="M314" s="331">
        <f t="shared" si="105"/>
      </c>
      <c r="N314" s="330">
        <f t="shared" si="365"/>
      </c>
      <c r="O314" s="331">
        <f t="shared" si="287"/>
      </c>
      <c r="P314" s="331">
        <f t="shared" si="183"/>
      </c>
      <c r="Q314" s="330">
        <f t="shared" si="131"/>
      </c>
      <c r="R314" s="332">
        <f t="shared" si="391"/>
      </c>
      <c r="S314" s="330">
        <f t="shared" si="313"/>
      </c>
      <c r="T314" s="333">
        <f t="shared" si="209"/>
      </c>
      <c r="U314" s="333"/>
      <c r="V314" s="333"/>
      <c r="W314" s="328">
        <f>+W304+W299+W308+W313</f>
      </c>
      <c r="X314" s="328">
        <f>+X304+X299+X308+X313</f>
      </c>
      <c r="Y314" s="328">
        <f>+Y304+Y299+Y308+Y313</f>
      </c>
      <c r="Z314" s="328">
        <f>+Z304+Z299+Z308+Z313</f>
      </c>
      <c r="AA314" s="328">
        <f>+AA304+AA299+AA308+AA313</f>
      </c>
      <c r="AB314" s="328">
        <f>+AB304+AB299+AB308+AB313</f>
      </c>
      <c r="AC314" s="328">
        <f>+AC304+AC299+AC308+AC313</f>
      </c>
      <c r="AD314" s="328">
        <f>+AD304+AD299+AD308+AD313</f>
      </c>
      <c r="AE314" s="293"/>
      <c r="AF314" s="293"/>
    </row>
    <row r="315">
      <c r="A315" s="352" t="s">
        <v>150</v>
      </c>
      <c r="B315" s="352"/>
      <c r="C315" s="352"/>
      <c r="D315" s="334" t="s">
        <v>151</v>
      </c>
      <c r="E315" s="334"/>
      <c r="F315" s="334"/>
      <c r="G315" s="334"/>
      <c r="H315" s="334"/>
      <c r="I315" s="334"/>
      <c r="J315" s="377" t="s">
        <v>152</v>
      </c>
      <c r="K315" s="377"/>
      <c r="L315" s="377"/>
      <c r="M315" s="377"/>
      <c r="N315" s="377"/>
      <c r="O315" s="377"/>
      <c r="P315" s="377"/>
      <c r="Q315" s="377"/>
      <c r="R315" s="377"/>
      <c r="S315" s="377"/>
      <c r="T315" s="370"/>
      <c r="U315" s="370"/>
      <c r="V315" s="370"/>
      <c r="W315" s="371"/>
      <c r="X315" s="371"/>
      <c r="Y315" s="371"/>
      <c r="Z315" s="371"/>
      <c r="AA315" s="371"/>
      <c r="AB315" s="371"/>
      <c r="AC315" s="371"/>
      <c r="AD315" s="372" t="s">
        <v>153</v>
      </c>
      <c r="AE315" s="293"/>
      <c r="AF315" s="293"/>
    </row>
    <row r="316">
      <c r="A316" s="354" t="s">
        <v>154</v>
      </c>
      <c r="B316" s="352" t="s">
        <v>155</v>
      </c>
      <c r="C316" s="352" t="s">
        <v>156</v>
      </c>
      <c r="D316" s="428" t="s">
        <v>157</v>
      </c>
      <c r="E316" s="427" t="s">
        <v>158</v>
      </c>
      <c r="F316" s="427" t="s">
        <v>159</v>
      </c>
      <c r="G316" s="414" t="s">
        <v>160</v>
      </c>
      <c r="H316" s="412" t="s">
        <v>161</v>
      </c>
      <c r="I316" s="413" t="s">
        <v>162</v>
      </c>
      <c r="J316" s="415" t="s">
        <v>163</v>
      </c>
      <c r="K316" s="415" t="s">
        <v>164</v>
      </c>
      <c r="L316" s="416" t="s">
        <v>165</v>
      </c>
      <c r="M316" s="378" t="s">
        <v>166</v>
      </c>
      <c r="N316" s="377" t="s">
        <v>167</v>
      </c>
      <c r="O316" s="378" t="s">
        <v>168</v>
      </c>
      <c r="P316" s="378" t="s">
        <v>169</v>
      </c>
      <c r="Q316" s="379" t="s">
        <v>170</v>
      </c>
      <c r="R316" s="378" t="s">
        <v>171</v>
      </c>
      <c r="S316" s="379" t="s">
        <v>172</v>
      </c>
      <c r="T316" s="380" t="s">
        <v>173</v>
      </c>
      <c r="U316" s="380" t="s">
        <v>174</v>
      </c>
      <c r="V316" s="380" t="s">
        <v>175</v>
      </c>
      <c r="W316" s="381" t="s">
        <v>176</v>
      </c>
      <c r="X316" s="382" t="s">
        <v>177</v>
      </c>
      <c r="Y316" s="382" t="s">
        <v>178</v>
      </c>
      <c r="Z316" s="382" t="s">
        <v>179</v>
      </c>
      <c r="AA316" s="382" t="s">
        <v>180</v>
      </c>
      <c r="AB316" s="382" t="s">
        <v>181</v>
      </c>
      <c r="AC316" s="383" t="s">
        <v>182</v>
      </c>
      <c r="AD316" s="372"/>
      <c r="AE316" s="293"/>
      <c r="AF316" s="293"/>
    </row>
    <row r="317">
      <c r="A317" s="384">
        <v>46257</v>
      </c>
      <c r="B317" s="385" t="s">
        <v>199</v>
      </c>
      <c r="C317" s="369" t="s">
        <v>197</v>
      </c>
      <c r="D317" s="360">
        <f t="shared" ref="D317:D320" si="55">E317+F317</f>
      </c>
      <c r="E317" s="402">
        <v>3020.67</v>
      </c>
      <c r="F317" s="369">
        <v>977.29</v>
      </c>
      <c r="G317" s="369">
        <v>2</v>
      </c>
      <c r="H317" s="369">
        <v>2599.24</v>
      </c>
      <c r="I317" s="387">
        <f t="shared" ref="I317:I336" si="340">H317/D317</f>
      </c>
      <c r="J317" s="388">
        <f t="shared" ref="J317:J336" si="236">Y317/X317</f>
      </c>
      <c r="K317" s="389">
        <f t="shared" ref="K317:K336" si="158">D317/Z317</f>
      </c>
      <c r="L317" s="417">
        <f t="shared" ref="L317:L336" si="262">AA317/Z317</f>
      </c>
      <c r="M317" s="388">
        <f t="shared" ref="M317:M336" si="106">AB317/Z317</f>
      </c>
      <c r="N317" s="389">
        <f t="shared" ref="N317:N336" si="366">D317/AB317</f>
      </c>
      <c r="O317" s="388">
        <f t="shared" ref="O317:O336" si="288">AC317/AB317</f>
      </c>
      <c r="P317" s="388">
        <f t="shared" ref="P317:P336" si="184">G317/AC317</f>
      </c>
      <c r="Q317" s="389">
        <f t="shared" ref="Q317:Q336" si="132">D317/G317</f>
      </c>
      <c r="R317" s="390">
        <f t="shared" ref="R317:R336" si="392">H317/G317</f>
      </c>
      <c r="S317" s="389">
        <f t="shared" ref="S317:S336" si="314">D317/W317</f>
      </c>
      <c r="T317" s="391">
        <f t="shared" ref="T317:T336" si="210">AD317*1000/D317</f>
      </c>
      <c r="U317" s="392" t="s">
        <v>185</v>
      </c>
      <c r="V317" s="423" t="s">
        <v>211</v>
      </c>
      <c r="W317" s="369">
        <v>2</v>
      </c>
      <c r="X317" s="360">
        <v>10162</v>
      </c>
      <c r="Y317" s="360">
        <v>992</v>
      </c>
      <c r="Z317" s="360">
        <v>1582</v>
      </c>
      <c r="AA317" s="360">
        <v>367</v>
      </c>
      <c r="AB317" s="360">
        <v>40</v>
      </c>
      <c r="AC317" s="394">
        <v>7</v>
      </c>
      <c r="AD317" s="364">
        <v>37</v>
      </c>
      <c r="AE317" s="293"/>
      <c r="AF317" s="293"/>
    </row>
    <row r="318">
      <c r="A318" s="384"/>
      <c r="B318" s="385" t="s">
        <v>200</v>
      </c>
      <c r="C318" s="369" t="s">
        <v>197</v>
      </c>
      <c r="D318" s="360">
        <f t="shared" si="55"/>
      </c>
      <c r="E318" s="360">
        <v>3244.0199999999995</v>
      </c>
      <c r="F318" s="360">
        <v>906.82</v>
      </c>
      <c r="G318" s="369">
        <v>3</v>
      </c>
      <c r="H318" s="369">
        <v>5148.36</v>
      </c>
      <c r="I318" s="387">
        <f t="shared" si="340"/>
      </c>
      <c r="J318" s="388">
        <f t="shared" si="236"/>
      </c>
      <c r="K318" s="389">
        <f t="shared" si="158"/>
      </c>
      <c r="L318" s="417">
        <f t="shared" si="262"/>
      </c>
      <c r="M318" s="388">
        <f t="shared" si="106"/>
      </c>
      <c r="N318" s="389">
        <f t="shared" si="366"/>
      </c>
      <c r="O318" s="388">
        <f t="shared" si="288"/>
      </c>
      <c r="P318" s="388">
        <f t="shared" si="184"/>
      </c>
      <c r="Q318" s="389">
        <f t="shared" si="132"/>
      </c>
      <c r="R318" s="390">
        <f t="shared" si="392"/>
      </c>
      <c r="S318" s="389">
        <f t="shared" si="314"/>
      </c>
      <c r="T318" s="391">
        <f t="shared" si="210"/>
      </c>
      <c r="U318" s="392" t="s">
        <v>185</v>
      </c>
      <c r="V318" s="423" t="s">
        <v>211</v>
      </c>
      <c r="W318" s="360">
        <v>2</v>
      </c>
      <c r="X318" s="360">
        <v>11056</v>
      </c>
      <c r="Y318" s="360">
        <v>756</v>
      </c>
      <c r="Z318" s="360">
        <v>1375</v>
      </c>
      <c r="AA318" s="360">
        <v>284</v>
      </c>
      <c r="AB318" s="360">
        <v>47</v>
      </c>
      <c r="AC318" s="395">
        <v>4</v>
      </c>
      <c r="AD318" s="359">
        <v>24</v>
      </c>
      <c r="AE318" s="293"/>
      <c r="AF318" s="293"/>
    </row>
    <row r="319">
      <c r="A319" s="384"/>
      <c r="B319" s="385" t="s">
        <v>201</v>
      </c>
      <c r="C319" s="369" t="s">
        <v>197</v>
      </c>
      <c r="D319" s="360">
        <f t="shared" si="55"/>
      </c>
      <c r="E319" s="360">
        <v>2041.5100000000002</v>
      </c>
      <c r="F319" s="360">
        <v>1172.79</v>
      </c>
      <c r="G319" s="369">
        <v>3</v>
      </c>
      <c r="H319" s="369">
        <v>9508.440000000002</v>
      </c>
      <c r="I319" s="387">
        <f t="shared" si="340"/>
      </c>
      <c r="J319" s="388">
        <f t="shared" si="236"/>
      </c>
      <c r="K319" s="389">
        <f t="shared" si="158"/>
      </c>
      <c r="L319" s="417">
        <f t="shared" si="262"/>
      </c>
      <c r="M319" s="388">
        <f t="shared" si="106"/>
      </c>
      <c r="N319" s="389">
        <f t="shared" si="366"/>
      </c>
      <c r="O319" s="388">
        <f t="shared" si="288"/>
      </c>
      <c r="P319" s="388">
        <f t="shared" si="184"/>
      </c>
      <c r="Q319" s="389">
        <f t="shared" si="132"/>
      </c>
      <c r="R319" s="390">
        <f t="shared" si="392"/>
      </c>
      <c r="S319" s="389">
        <f t="shared" si="314"/>
      </c>
      <c r="T319" s="391">
        <f t="shared" si="210"/>
      </c>
      <c r="U319" s="392" t="s">
        <v>185</v>
      </c>
      <c r="V319" s="423" t="s">
        <v>211</v>
      </c>
      <c r="W319" s="360">
        <v>2</v>
      </c>
      <c r="X319" s="360">
        <v>9393</v>
      </c>
      <c r="Y319" s="360">
        <v>673</v>
      </c>
      <c r="Z319" s="360">
        <v>1093</v>
      </c>
      <c r="AA319" s="360">
        <v>247</v>
      </c>
      <c r="AB319" s="360">
        <v>34</v>
      </c>
      <c r="AC319" s="395">
        <v>5</v>
      </c>
      <c r="AD319" s="359">
        <v>24</v>
      </c>
      <c r="AE319" s="293"/>
      <c r="AF319" s="293"/>
    </row>
    <row r="320">
      <c r="A320" s="384"/>
      <c r="B320" s="385" t="s">
        <v>202</v>
      </c>
      <c r="C320" s="369" t="s">
        <v>197</v>
      </c>
      <c r="D320" s="360">
        <f t="shared" si="55"/>
      </c>
      <c r="E320" s="360">
        <v>2091.55</v>
      </c>
      <c r="F320" s="360">
        <v>1708.23</v>
      </c>
      <c r="G320" s="369">
        <v>3</v>
      </c>
      <c r="H320" s="369">
        <v>2590.4399999999987</v>
      </c>
      <c r="I320" s="387">
        <f t="shared" si="340"/>
      </c>
      <c r="J320" s="388">
        <f t="shared" si="236"/>
      </c>
      <c r="K320" s="389">
        <f t="shared" si="158"/>
      </c>
      <c r="L320" s="417">
        <f t="shared" si="262"/>
      </c>
      <c r="M320" s="388">
        <f t="shared" si="106"/>
      </c>
      <c r="N320" s="389">
        <f t="shared" si="366"/>
      </c>
      <c r="O320" s="388">
        <f t="shared" si="288"/>
      </c>
      <c r="P320" s="388">
        <f t="shared" si="184"/>
      </c>
      <c r="Q320" s="389">
        <f t="shared" si="132"/>
      </c>
      <c r="R320" s="390">
        <f t="shared" si="392"/>
      </c>
      <c r="S320" s="389">
        <f t="shared" si="314"/>
      </c>
      <c r="T320" s="391">
        <f t="shared" si="210"/>
      </c>
      <c r="U320" s="392" t="s">
        <v>185</v>
      </c>
      <c r="V320" s="423" t="s">
        <v>211</v>
      </c>
      <c r="W320" s="360">
        <v>3</v>
      </c>
      <c r="X320" s="360">
        <v>16458</v>
      </c>
      <c r="Y320" s="360">
        <v>836</v>
      </c>
      <c r="Z320" s="360">
        <v>1230</v>
      </c>
      <c r="AA320" s="360">
        <v>237</v>
      </c>
      <c r="AB320" s="360">
        <v>63</v>
      </c>
      <c r="AC320" s="395">
        <v>7</v>
      </c>
      <c r="AD320" s="359">
        <v>29</v>
      </c>
      <c r="AE320" s="293"/>
      <c r="AF320" s="293"/>
    </row>
    <row r="321">
      <c r="A321" s="384"/>
      <c r="B321" s="361" t="s">
        <v>189</v>
      </c>
      <c r="C321" s="361"/>
      <c r="D321" s="361">
        <f>SUM(D317:D320)</f>
      </c>
      <c r="E321" s="361">
        <f>SUM(E317:E320)</f>
      </c>
      <c r="F321" s="361">
        <f>SUM(F317:F320)</f>
      </c>
      <c r="G321" s="361">
        <f>SUM(G317:G320)</f>
      </c>
      <c r="H321" s="361">
        <f>SUM(H317:H320)</f>
      </c>
      <c r="I321" s="396">
        <f t="shared" si="340"/>
      </c>
      <c r="J321" s="397">
        <f t="shared" si="236"/>
      </c>
      <c r="K321" s="398">
        <f t="shared" si="158"/>
      </c>
      <c r="L321" s="418">
        <f t="shared" si="262"/>
      </c>
      <c r="M321" s="397">
        <f t="shared" si="106"/>
      </c>
      <c r="N321" s="398">
        <f t="shared" si="366"/>
      </c>
      <c r="O321" s="397">
        <f t="shared" si="288"/>
      </c>
      <c r="P321" s="397">
        <f t="shared" si="184"/>
      </c>
      <c r="Q321" s="398">
        <f t="shared" si="132"/>
      </c>
      <c r="R321" s="399">
        <f t="shared" si="392"/>
      </c>
      <c r="S321" s="398">
        <f t="shared" si="314"/>
      </c>
      <c r="T321" s="400">
        <f t="shared" si="210"/>
      </c>
      <c r="U321" s="400"/>
      <c r="V321" s="400"/>
      <c r="W321" s="361">
        <f>SUM(W317:W320)</f>
      </c>
      <c r="X321" s="361">
        <f>SUM(X317:X320)</f>
      </c>
      <c r="Y321" s="361">
        <f>SUM(Y317:Y320)</f>
      </c>
      <c r="Z321" s="361">
        <f>SUM(Z317:Z320)</f>
      </c>
      <c r="AA321" s="361">
        <f>SUM(AA317:AA320)</f>
      </c>
      <c r="AB321" s="361">
        <f>SUM(AB317:AB320)</f>
      </c>
      <c r="AC321" s="319">
        <f>SUM(AC317:AC320)</f>
      </c>
      <c r="AD321" s="320">
        <f>SUM(AD317:AD320)</f>
      </c>
      <c r="AE321" s="293"/>
      <c r="AF321" s="293"/>
    </row>
    <row r="322">
      <c r="A322" s="384"/>
      <c r="B322" s="385" t="s">
        <v>203</v>
      </c>
      <c r="C322" s="369" t="s">
        <v>184</v>
      </c>
      <c r="D322" s="360">
        <f t="shared" ref="D322:D325" si="56">E322+F322</f>
      </c>
      <c r="E322" s="360">
        <v>1469.87</v>
      </c>
      <c r="F322" s="360">
        <v>1613.96</v>
      </c>
      <c r="G322" s="369">
        <v>0</v>
      </c>
      <c r="H322" s="369">
        <v>0</v>
      </c>
      <c r="I322" s="387">
        <f t="shared" si="340"/>
      </c>
      <c r="J322" s="388">
        <f t="shared" si="236"/>
      </c>
      <c r="K322" s="389">
        <f t="shared" si="158"/>
      </c>
      <c r="L322" s="417">
        <f t="shared" si="262"/>
      </c>
      <c r="M322" s="388">
        <f t="shared" si="106"/>
      </c>
      <c r="N322" s="389">
        <f t="shared" si="366"/>
      </c>
      <c r="O322" s="388">
        <f t="shared" si="288"/>
      </c>
      <c r="P322" s="388">
        <f t="shared" si="184"/>
      </c>
      <c r="Q322" s="389">
        <f t="shared" si="132"/>
      </c>
      <c r="R322" s="390">
        <f t="shared" si="392"/>
      </c>
      <c r="S322" s="389">
        <f t="shared" si="314"/>
      </c>
      <c r="T322" s="391">
        <f t="shared" si="210"/>
      </c>
      <c r="U322" s="392" t="s">
        <v>185</v>
      </c>
      <c r="V322" s="423" t="s">
        <v>211</v>
      </c>
      <c r="W322" s="360">
        <v>0</v>
      </c>
      <c r="X322" s="360">
        <v>15282</v>
      </c>
      <c r="Y322" s="360">
        <v>764</v>
      </c>
      <c r="Z322" s="360">
        <v>1091</v>
      </c>
      <c r="AA322" s="360">
        <v>190</v>
      </c>
      <c r="AB322" s="360">
        <v>55</v>
      </c>
      <c r="AC322" s="395">
        <v>1</v>
      </c>
      <c r="AD322" s="359">
        <v>15</v>
      </c>
      <c r="AE322" s="293"/>
      <c r="AF322" s="293"/>
    </row>
    <row r="323">
      <c r="A323" s="384"/>
      <c r="B323" s="385" t="s">
        <v>204</v>
      </c>
      <c r="C323" s="369" t="s">
        <v>184</v>
      </c>
      <c r="D323" s="360">
        <f t="shared" si="56"/>
      </c>
      <c r="E323" s="360">
        <v>2367.85</v>
      </c>
      <c r="F323" s="360">
        <v>2711.13</v>
      </c>
      <c r="G323" s="369">
        <v>3</v>
      </c>
      <c r="H323" s="369">
        <v>7776</v>
      </c>
      <c r="I323" s="387">
        <f t="shared" si="340"/>
      </c>
      <c r="J323" s="388">
        <f t="shared" si="236"/>
      </c>
      <c r="K323" s="389">
        <f t="shared" si="158"/>
      </c>
      <c r="L323" s="417">
        <f t="shared" si="262"/>
      </c>
      <c r="M323" s="388">
        <f t="shared" si="106"/>
      </c>
      <c r="N323" s="389">
        <f t="shared" si="366"/>
      </c>
      <c r="O323" s="388">
        <f t="shared" si="288"/>
      </c>
      <c r="P323" s="388">
        <f t="shared" si="184"/>
      </c>
      <c r="Q323" s="389">
        <f t="shared" si="132"/>
      </c>
      <c r="R323" s="390">
        <f t="shared" si="392"/>
      </c>
      <c r="S323" s="389">
        <f t="shared" si="314"/>
      </c>
      <c r="T323" s="391">
        <f t="shared" si="210"/>
      </c>
      <c r="U323" s="392" t="s">
        <v>185</v>
      </c>
      <c r="V323" s="423" t="s">
        <v>211</v>
      </c>
      <c r="W323" s="360">
        <v>3</v>
      </c>
      <c r="X323" s="360">
        <v>20393</v>
      </c>
      <c r="Y323" s="360">
        <v>1331</v>
      </c>
      <c r="Z323" s="360">
        <v>2102</v>
      </c>
      <c r="AA323" s="360">
        <v>417</v>
      </c>
      <c r="AB323" s="360">
        <v>48</v>
      </c>
      <c r="AC323" s="395">
        <v>5</v>
      </c>
      <c r="AD323" s="359">
        <v>42</v>
      </c>
      <c r="AE323" s="293"/>
      <c r="AF323" s="293"/>
    </row>
    <row r="324">
      <c r="A324" s="384"/>
      <c r="B324" s="385" t="s">
        <v>205</v>
      </c>
      <c r="C324" s="369" t="s">
        <v>184</v>
      </c>
      <c r="D324" s="360">
        <f t="shared" si="56"/>
      </c>
      <c r="E324" s="360">
        <v>2087.34</v>
      </c>
      <c r="F324" s="360">
        <v>1100.49</v>
      </c>
      <c r="G324" s="369">
        <v>3</v>
      </c>
      <c r="H324" s="369">
        <v>11352.48</v>
      </c>
      <c r="I324" s="387">
        <f t="shared" si="340"/>
      </c>
      <c r="J324" s="388">
        <f t="shared" si="236"/>
      </c>
      <c r="K324" s="389">
        <f t="shared" si="158"/>
      </c>
      <c r="L324" s="417">
        <f t="shared" si="262"/>
      </c>
      <c r="M324" s="388">
        <f t="shared" si="106"/>
      </c>
      <c r="N324" s="389">
        <f t="shared" si="366"/>
      </c>
      <c r="O324" s="388">
        <f t="shared" si="288"/>
      </c>
      <c r="P324" s="388">
        <f t="shared" si="184"/>
      </c>
      <c r="Q324" s="389">
        <f t="shared" si="132"/>
      </c>
      <c r="R324" s="390">
        <f t="shared" si="392"/>
      </c>
      <c r="S324" s="389">
        <f t="shared" si="314"/>
      </c>
      <c r="T324" s="391">
        <f t="shared" si="210"/>
      </c>
      <c r="U324" s="392" t="s">
        <v>185</v>
      </c>
      <c r="V324" s="423" t="s">
        <v>211</v>
      </c>
      <c r="W324" s="360">
        <v>2</v>
      </c>
      <c r="X324" s="360">
        <v>8410</v>
      </c>
      <c r="Y324" s="360">
        <v>609</v>
      </c>
      <c r="Z324" s="360">
        <v>1024</v>
      </c>
      <c r="AA324" s="360">
        <v>254</v>
      </c>
      <c r="AB324" s="360">
        <v>39</v>
      </c>
      <c r="AC324" s="395">
        <v>4</v>
      </c>
      <c r="AD324" s="359">
        <v>19</v>
      </c>
      <c r="AE324" s="293"/>
      <c r="AF324" s="293"/>
    </row>
    <row r="325">
      <c r="A325" s="384"/>
      <c r="B325" s="419" t="s">
        <v>196</v>
      </c>
      <c r="C325" s="369" t="s">
        <v>184</v>
      </c>
      <c r="D325" s="360">
        <f t="shared" si="56"/>
      </c>
      <c r="E325" s="360">
        <v>2022.67</v>
      </c>
      <c r="F325" s="360">
        <v>1125.24</v>
      </c>
      <c r="G325" s="369">
        <v>1</v>
      </c>
      <c r="H325" s="369">
        <v>3421.3199999999997</v>
      </c>
      <c r="I325" s="387">
        <f t="shared" si="340"/>
      </c>
      <c r="J325" s="388">
        <f t="shared" si="236"/>
      </c>
      <c r="K325" s="389">
        <f t="shared" si="158"/>
      </c>
      <c r="L325" s="417">
        <f t="shared" si="262"/>
      </c>
      <c r="M325" s="388">
        <f t="shared" si="106"/>
      </c>
      <c r="N325" s="389">
        <f t="shared" si="366"/>
      </c>
      <c r="O325" s="388">
        <f t="shared" si="288"/>
      </c>
      <c r="P325" s="388">
        <f t="shared" si="184"/>
      </c>
      <c r="Q325" s="389">
        <f t="shared" si="132"/>
      </c>
      <c r="R325" s="390">
        <f t="shared" si="392"/>
      </c>
      <c r="S325" s="389">
        <f t="shared" si="314"/>
      </c>
      <c r="T325" s="391">
        <f t="shared" si="210"/>
      </c>
      <c r="U325" s="392" t="s">
        <v>185</v>
      </c>
      <c r="V325" s="393" t="s">
        <v>186</v>
      </c>
      <c r="W325" s="360">
        <v>1</v>
      </c>
      <c r="X325" s="360">
        <v>8055</v>
      </c>
      <c r="Y325" s="360">
        <v>502</v>
      </c>
      <c r="Z325" s="360">
        <v>805</v>
      </c>
      <c r="AA325" s="360">
        <v>201</v>
      </c>
      <c r="AB325" s="360">
        <v>35</v>
      </c>
      <c r="AC325" s="395">
        <v>3</v>
      </c>
      <c r="AD325" s="359">
        <v>25</v>
      </c>
      <c r="AE325" s="293"/>
      <c r="AF325" s="293"/>
    </row>
    <row r="326">
      <c r="A326" s="384"/>
      <c r="B326" s="361" t="s">
        <v>189</v>
      </c>
      <c r="C326" s="361"/>
      <c r="D326" s="361">
        <f>SUM(D322:D325)</f>
      </c>
      <c r="E326" s="361">
        <v>1012.85</v>
      </c>
      <c r="F326" s="361">
        <f>SUM(F322:F325)</f>
      </c>
      <c r="G326" s="361">
        <f>SUM(G322:G325)</f>
      </c>
      <c r="H326" s="361">
        <f>SUM(H322:H325)</f>
      </c>
      <c r="I326" s="396">
        <f t="shared" si="340"/>
      </c>
      <c r="J326" s="397">
        <f t="shared" si="236"/>
      </c>
      <c r="K326" s="398">
        <f t="shared" si="158"/>
      </c>
      <c r="L326" s="418">
        <f t="shared" si="262"/>
      </c>
      <c r="M326" s="397">
        <f t="shared" si="106"/>
      </c>
      <c r="N326" s="398">
        <f t="shared" si="366"/>
      </c>
      <c r="O326" s="397">
        <f t="shared" si="288"/>
      </c>
      <c r="P326" s="397">
        <f t="shared" si="184"/>
      </c>
      <c r="Q326" s="398">
        <f t="shared" si="132"/>
      </c>
      <c r="R326" s="399">
        <f t="shared" si="392"/>
      </c>
      <c r="S326" s="398">
        <f t="shared" si="314"/>
      </c>
      <c r="T326" s="400">
        <f t="shared" si="210"/>
      </c>
      <c r="U326" s="400"/>
      <c r="V326" s="400"/>
      <c r="W326" s="361">
        <f>SUM(W322:W325)</f>
      </c>
      <c r="X326" s="361">
        <f>SUM(X322:X325)</f>
      </c>
      <c r="Y326" s="361">
        <f>SUM(Y322:Y325)</f>
      </c>
      <c r="Z326" s="361">
        <f>SUM(Z322:Z325)</f>
      </c>
      <c r="AA326" s="361">
        <f>SUM(AA322:AA325)</f>
      </c>
      <c r="AB326" s="361">
        <f>SUM(AB322:AB325)</f>
      </c>
      <c r="AC326" s="361">
        <f>SUM(AC322:AC325)</f>
      </c>
      <c r="AD326" s="361">
        <f>SUM(AD322:AD325)</f>
      </c>
      <c r="AE326" s="293"/>
      <c r="AF326" s="293"/>
    </row>
    <row r="327">
      <c r="A327" s="384"/>
      <c r="B327" s="401" t="s">
        <v>183</v>
      </c>
      <c r="C327" s="369" t="s">
        <v>198</v>
      </c>
      <c r="D327" s="360">
        <f t="shared" ref="D327:D330" si="57">E327+F327</f>
      </c>
      <c r="E327" s="356">
        <v>1770.42</v>
      </c>
      <c r="F327" s="356">
        <v>1699.65</v>
      </c>
      <c r="G327" s="402">
        <v>1</v>
      </c>
      <c r="H327" s="402">
        <v>467.6399999999994</v>
      </c>
      <c r="I327" s="420">
        <f t="shared" si="340"/>
      </c>
      <c r="J327" s="421">
        <f t="shared" si="236"/>
      </c>
      <c r="K327" s="422">
        <f t="shared" si="158"/>
      </c>
      <c r="L327" s="388">
        <f t="shared" si="262"/>
      </c>
      <c r="M327" s="388">
        <f t="shared" si="106"/>
      </c>
      <c r="N327" s="389">
        <f t="shared" si="366"/>
      </c>
      <c r="O327" s="388">
        <f t="shared" si="288"/>
      </c>
      <c r="P327" s="388">
        <f t="shared" si="184"/>
      </c>
      <c r="Q327" s="389">
        <f t="shared" si="132"/>
      </c>
      <c r="R327" s="390">
        <f t="shared" si="392"/>
      </c>
      <c r="S327" s="389">
        <f t="shared" si="314"/>
      </c>
      <c r="T327" s="391">
        <f t="shared" si="210"/>
      </c>
      <c r="U327" s="392" t="s">
        <v>185</v>
      </c>
      <c r="V327" s="393" t="s">
        <v>186</v>
      </c>
      <c r="W327" s="360">
        <v>1</v>
      </c>
      <c r="X327" s="360">
        <v>11040</v>
      </c>
      <c r="Y327" s="360">
        <v>663</v>
      </c>
      <c r="Z327" s="360">
        <v>1101</v>
      </c>
      <c r="AA327" s="360">
        <v>229</v>
      </c>
      <c r="AB327" s="360">
        <v>42</v>
      </c>
      <c r="AC327" s="395">
        <v>1</v>
      </c>
      <c r="AD327" s="359">
        <v>17</v>
      </c>
      <c r="AE327" s="293"/>
      <c r="AF327" s="293"/>
    </row>
    <row r="328">
      <c r="A328" s="384"/>
      <c r="B328" s="385" t="s">
        <v>187</v>
      </c>
      <c r="C328" s="369" t="s">
        <v>198</v>
      </c>
      <c r="D328" s="360">
        <f t="shared" si="57"/>
      </c>
      <c r="E328" s="360">
        <v>1245.98</v>
      </c>
      <c r="F328" s="360">
        <v>2637.12</v>
      </c>
      <c r="G328" s="369">
        <v>3</v>
      </c>
      <c r="H328" s="369">
        <v>4313.520000000004</v>
      </c>
      <c r="I328" s="387">
        <f t="shared" si="340"/>
      </c>
      <c r="J328" s="388">
        <f t="shared" si="236"/>
      </c>
      <c r="K328" s="389">
        <f t="shared" si="158"/>
      </c>
      <c r="L328" s="388">
        <f t="shared" si="262"/>
      </c>
      <c r="M328" s="388">
        <f t="shared" si="106"/>
      </c>
      <c r="N328" s="389">
        <f t="shared" si="366"/>
      </c>
      <c r="O328" s="388">
        <f t="shared" si="288"/>
      </c>
      <c r="P328" s="388">
        <f t="shared" si="184"/>
      </c>
      <c r="Q328" s="389">
        <f t="shared" si="132"/>
      </c>
      <c r="R328" s="390">
        <f t="shared" si="392"/>
      </c>
      <c r="S328" s="389">
        <f t="shared" si="314"/>
      </c>
      <c r="T328" s="391">
        <f t="shared" si="210"/>
      </c>
      <c r="U328" s="392" t="s">
        <v>185</v>
      </c>
      <c r="V328" s="393" t="s">
        <v>186</v>
      </c>
      <c r="W328" s="360">
        <v>3</v>
      </c>
      <c r="X328" s="360">
        <v>15327</v>
      </c>
      <c r="Y328" s="360">
        <v>1367</v>
      </c>
      <c r="Z328" s="360">
        <v>2456</v>
      </c>
      <c r="AA328" s="360">
        <v>519</v>
      </c>
      <c r="AB328" s="360">
        <v>45</v>
      </c>
      <c r="AC328" s="395">
        <v>5</v>
      </c>
      <c r="AD328" s="359">
        <v>33</v>
      </c>
      <c r="AE328" s="293"/>
      <c r="AF328" s="293"/>
    </row>
    <row r="329">
      <c r="A329" s="384"/>
      <c r="B329" s="385" t="s">
        <v>188</v>
      </c>
      <c r="C329" s="369" t="s">
        <v>198</v>
      </c>
      <c r="D329" s="360">
        <f t="shared" si="57"/>
      </c>
      <c r="E329" s="360">
        <v>1791.65</v>
      </c>
      <c r="F329" s="360">
        <v>1156.7</v>
      </c>
      <c r="G329" s="369">
        <v>2</v>
      </c>
      <c r="H329" s="369">
        <v>4423.0799999999945</v>
      </c>
      <c r="I329" s="387">
        <f t="shared" si="340"/>
      </c>
      <c r="J329" s="388">
        <f t="shared" si="236"/>
      </c>
      <c r="K329" s="389">
        <f t="shared" si="158"/>
      </c>
      <c r="L329" s="388">
        <f t="shared" si="262"/>
      </c>
      <c r="M329" s="388">
        <f t="shared" si="106"/>
      </c>
      <c r="N329" s="389">
        <f t="shared" si="366"/>
      </c>
      <c r="O329" s="388">
        <f t="shared" si="288"/>
      </c>
      <c r="P329" s="388">
        <f t="shared" si="184"/>
      </c>
      <c r="Q329" s="389">
        <f t="shared" si="132"/>
      </c>
      <c r="R329" s="390">
        <f t="shared" si="392"/>
      </c>
      <c r="S329" s="389">
        <f t="shared" si="314"/>
      </c>
      <c r="T329" s="391">
        <f t="shared" si="210"/>
      </c>
      <c r="U329" s="392" t="s">
        <v>185</v>
      </c>
      <c r="V329" s="393" t="s">
        <v>186</v>
      </c>
      <c r="W329" s="360">
        <v>2</v>
      </c>
      <c r="X329" s="360">
        <v>9955</v>
      </c>
      <c r="Y329" s="360">
        <v>551</v>
      </c>
      <c r="Z329" s="360">
        <v>1006</v>
      </c>
      <c r="AA329" s="360">
        <v>216</v>
      </c>
      <c r="AB329" s="360">
        <v>35</v>
      </c>
      <c r="AC329" s="395">
        <v>4</v>
      </c>
      <c r="AD329" s="359">
        <v>32</v>
      </c>
      <c r="AE329" s="293"/>
      <c r="AF329" s="293"/>
    </row>
    <row customHeight="true" ht="18.452380952380953" r="330">
      <c r="A330" s="384"/>
      <c r="B330" s="429" t="s">
        <v>190</v>
      </c>
      <c r="C330" s="369" t="s">
        <v>198</v>
      </c>
      <c r="D330" s="309">
        <f t="shared" si="57"/>
      </c>
      <c r="E330" s="309">
        <v>1530.44</v>
      </c>
      <c r="F330" s="309">
        <v>179.67</v>
      </c>
      <c r="G330" s="358">
        <v>0</v>
      </c>
      <c r="H330" s="358">
        <v>0</v>
      </c>
      <c r="I330" s="341">
        <f t="shared" si="340"/>
      </c>
      <c r="J330" s="430">
        <f t="shared" si="236"/>
      </c>
      <c r="K330" s="431">
        <f t="shared" si="158"/>
      </c>
      <c r="L330" s="430">
        <f t="shared" si="262"/>
      </c>
      <c r="M330" s="430">
        <f t="shared" si="106"/>
      </c>
      <c r="N330" s="431">
        <f t="shared" si="366"/>
      </c>
      <c r="O330" s="430">
        <f t="shared" si="288"/>
      </c>
      <c r="P330" s="430">
        <f t="shared" si="184"/>
      </c>
      <c r="Q330" s="431">
        <f t="shared" si="132"/>
      </c>
      <c r="R330" s="432">
        <f t="shared" si="392"/>
      </c>
      <c r="S330" s="431">
        <f t="shared" si="314"/>
      </c>
      <c r="T330" s="433">
        <f t="shared" si="210"/>
      </c>
      <c r="U330" s="434" t="s">
        <v>185</v>
      </c>
      <c r="V330" s="435" t="s">
        <v>186</v>
      </c>
      <c r="W330" s="309">
        <v>0</v>
      </c>
      <c r="X330" s="309">
        <v>2432</v>
      </c>
      <c r="Y330" s="309">
        <v>125</v>
      </c>
      <c r="Z330" s="309">
        <v>211</v>
      </c>
      <c r="AA330" s="309">
        <v>37</v>
      </c>
      <c r="AB330" s="309">
        <v>23</v>
      </c>
      <c r="AC330" s="395">
        <v>1</v>
      </c>
      <c r="AD330" s="310">
        <v>9</v>
      </c>
      <c r="AE330" s="293"/>
      <c r="AF330" s="293"/>
    </row>
    <row r="331">
      <c r="A331" s="384"/>
      <c r="B331" s="361" t="s">
        <v>189</v>
      </c>
      <c r="C331" s="361"/>
      <c r="D331" s="361">
        <f>SUM(D327:D330)</f>
      </c>
      <c r="E331" s="361">
        <f>SUM(E327:E330)</f>
      </c>
      <c r="F331" s="361">
        <f>SUM(F327:F330)</f>
      </c>
      <c r="G331" s="361">
        <f>SUM(G327:G330)</f>
      </c>
      <c r="H331" s="361">
        <f>SUM(H327:H330)</f>
      </c>
      <c r="I331" s="344">
        <f t="shared" si="340"/>
      </c>
      <c r="J331" s="345">
        <f t="shared" si="236"/>
      </c>
      <c r="K331" s="323">
        <f t="shared" si="158"/>
      </c>
      <c r="L331" s="322">
        <f t="shared" si="262"/>
      </c>
      <c r="M331" s="322">
        <f t="shared" si="106"/>
      </c>
      <c r="N331" s="323">
        <f t="shared" si="366"/>
      </c>
      <c r="O331" s="322">
        <f t="shared" si="288"/>
      </c>
      <c r="P331" s="322">
        <f t="shared" si="184"/>
      </c>
      <c r="Q331" s="324">
        <f t="shared" si="132"/>
      </c>
      <c r="R331" s="325">
        <f t="shared" si="392"/>
      </c>
      <c r="S331" s="324">
        <f t="shared" si="314"/>
      </c>
      <c r="T331" s="326">
        <f t="shared" si="210"/>
      </c>
      <c r="U331" s="326"/>
      <c r="V331" s="326"/>
      <c r="W331" s="320">
        <f>SUM(W327:W330)</f>
      </c>
      <c r="X331" s="320">
        <f>SUM(X327:X330)</f>
      </c>
      <c r="Y331" s="320">
        <f>SUM(Y327:Y330)</f>
      </c>
      <c r="Z331" s="320">
        <f>SUM(Z327:Z330)</f>
      </c>
      <c r="AA331" s="320">
        <f>SUM(AA327:AA330)</f>
      </c>
      <c r="AB331" s="320">
        <f>SUM(AB327:AB330)</f>
      </c>
      <c r="AC331" s="320">
        <f>SUM(AC327:AC330)</f>
      </c>
      <c r="AD331" s="320">
        <f>SUM(AD327:AD330)</f>
      </c>
      <c r="AE331" s="293"/>
      <c r="AF331" s="293"/>
    </row>
    <row r="332">
      <c r="A332" s="384"/>
      <c r="B332" s="360" t="s">
        <v>192</v>
      </c>
      <c r="C332" s="369" t="s">
        <v>210</v>
      </c>
      <c r="D332" s="346">
        <f t="shared" ref="D332:D334" si="58">E332+F332</f>
      </c>
      <c r="E332" s="347">
        <v>1292.48</v>
      </c>
      <c r="F332" s="347">
        <v>327.41</v>
      </c>
      <c r="G332" s="364">
        <v>0</v>
      </c>
      <c r="H332" s="364">
        <v>0</v>
      </c>
      <c r="I332" s="349">
        <f t="shared" si="340"/>
      </c>
      <c r="J332" s="312">
        <f t="shared" si="236"/>
      </c>
      <c r="K332" s="313">
        <f t="shared" si="158"/>
      </c>
      <c r="L332" s="312">
        <f t="shared" si="262"/>
      </c>
      <c r="M332" s="312">
        <f t="shared" si="106"/>
      </c>
      <c r="N332" s="313">
        <f t="shared" si="366"/>
      </c>
      <c r="O332" s="312">
        <f t="shared" si="288"/>
      </c>
      <c r="P332" s="312">
        <f t="shared" si="184"/>
      </c>
      <c r="Q332" s="314">
        <f t="shared" si="132"/>
      </c>
      <c r="R332" s="315">
        <f t="shared" si="392"/>
      </c>
      <c r="S332" s="314">
        <f t="shared" si="314"/>
      </c>
      <c r="T332" s="316">
        <f t="shared" si="210"/>
      </c>
      <c r="U332" s="317" t="s">
        <v>185</v>
      </c>
      <c r="V332" s="318" t="s">
        <v>186</v>
      </c>
      <c r="W332" s="310">
        <v>0</v>
      </c>
      <c r="X332" s="310">
        <v>4349</v>
      </c>
      <c r="Y332" s="310">
        <v>205</v>
      </c>
      <c r="Z332" s="310">
        <v>327</v>
      </c>
      <c r="AA332" s="310">
        <v>61</v>
      </c>
      <c r="AB332" s="310">
        <v>37</v>
      </c>
      <c r="AC332" s="359">
        <v>1</v>
      </c>
      <c r="AD332" s="359">
        <v>16</v>
      </c>
      <c r="AE332" s="293"/>
      <c r="AF332" s="293"/>
    </row>
    <row r="333">
      <c r="A333" s="384"/>
      <c r="B333" s="360" t="s">
        <v>193</v>
      </c>
      <c r="C333" s="369" t="s">
        <v>210</v>
      </c>
      <c r="D333" s="346">
        <f t="shared" si="58"/>
      </c>
      <c r="E333" s="309">
        <v>1351.44</v>
      </c>
      <c r="F333" s="309">
        <v>761.18</v>
      </c>
      <c r="G333" s="359">
        <v>0</v>
      </c>
      <c r="H333" s="359">
        <v>0</v>
      </c>
      <c r="I333" s="311">
        <f t="shared" si="340"/>
      </c>
      <c r="J333" s="312">
        <f t="shared" si="236"/>
      </c>
      <c r="K333" s="313">
        <f t="shared" si="158"/>
      </c>
      <c r="L333" s="312">
        <f t="shared" si="262"/>
      </c>
      <c r="M333" s="312">
        <f t="shared" si="106"/>
      </c>
      <c r="N333" s="313">
        <f t="shared" si="366"/>
      </c>
      <c r="O333" s="312">
        <f t="shared" si="288"/>
      </c>
      <c r="P333" s="312">
        <f t="shared" si="184"/>
      </c>
      <c r="Q333" s="314">
        <f t="shared" si="132"/>
      </c>
      <c r="R333" s="315">
        <f t="shared" si="392"/>
      </c>
      <c r="S333" s="314">
        <f t="shared" si="314"/>
      </c>
      <c r="T333" s="316">
        <f t="shared" si="210"/>
      </c>
      <c r="U333" s="317" t="s">
        <v>185</v>
      </c>
      <c r="V333" s="318" t="s">
        <v>186</v>
      </c>
      <c r="W333" s="310">
        <v>0</v>
      </c>
      <c r="X333" s="310">
        <v>7511</v>
      </c>
      <c r="Y333" s="310">
        <v>418</v>
      </c>
      <c r="Z333" s="310">
        <v>675</v>
      </c>
      <c r="AA333" s="310">
        <v>115</v>
      </c>
      <c r="AB333" s="310">
        <v>36</v>
      </c>
      <c r="AC333" s="359">
        <v>3</v>
      </c>
      <c r="AD333" s="359">
        <v>12</v>
      </c>
      <c r="AE333" s="293"/>
      <c r="AF333" s="293"/>
    </row>
    <row r="334">
      <c r="A334" s="384"/>
      <c r="B334" s="360" t="s">
        <v>194</v>
      </c>
      <c r="C334" s="369" t="s">
        <v>210</v>
      </c>
      <c r="D334" s="346">
        <f t="shared" si="58"/>
      </c>
      <c r="E334" s="358">
        <v>208.77</v>
      </c>
      <c r="F334" s="309">
        <v>280.59</v>
      </c>
      <c r="G334" s="359">
        <v>0</v>
      </c>
      <c r="H334" s="359">
        <v>0</v>
      </c>
      <c r="I334" s="311">
        <f t="shared" si="340"/>
      </c>
      <c r="J334" s="312">
        <f t="shared" si="236"/>
      </c>
      <c r="K334" s="313">
        <f t="shared" si="158"/>
      </c>
      <c r="L334" s="312">
        <f t="shared" si="262"/>
      </c>
      <c r="M334" s="312">
        <f t="shared" si="106"/>
      </c>
      <c r="N334" s="313">
        <f t="shared" si="366"/>
      </c>
      <c r="O334" s="312">
        <f t="shared" si="288"/>
      </c>
      <c r="P334" s="312">
        <f t="shared" si="184"/>
      </c>
      <c r="Q334" s="314">
        <f t="shared" si="132"/>
      </c>
      <c r="R334" s="315">
        <f t="shared" si="392"/>
      </c>
      <c r="S334" s="314">
        <f t="shared" si="314"/>
      </c>
      <c r="T334" s="316">
        <f t="shared" si="210"/>
      </c>
      <c r="U334" s="317" t="s">
        <v>185</v>
      </c>
      <c r="V334" s="318" t="s">
        <v>186</v>
      </c>
      <c r="W334" s="310">
        <v>0</v>
      </c>
      <c r="X334" s="310">
        <v>1634</v>
      </c>
      <c r="Y334" s="310">
        <v>144</v>
      </c>
      <c r="Z334" s="310">
        <v>242</v>
      </c>
      <c r="AA334" s="310">
        <v>39</v>
      </c>
      <c r="AB334" s="310">
        <v>6</v>
      </c>
      <c r="AC334" s="359">
        <v>0</v>
      </c>
      <c r="AD334" s="359">
        <v>4</v>
      </c>
      <c r="AE334" s="293"/>
      <c r="AF334" s="293"/>
    </row>
    <row r="335">
      <c r="A335" s="384"/>
      <c r="B335" s="361" t="s">
        <v>189</v>
      </c>
      <c r="C335" s="361"/>
      <c r="D335" s="319">
        <f>SUM(D332:D334)</f>
      </c>
      <c r="E335" s="319">
        <f>SUM(E332:E334)</f>
      </c>
      <c r="F335" s="319">
        <f>SUM(F332:F334)</f>
      </c>
      <c r="G335" s="319">
        <f>SUM(G332:G334)</f>
      </c>
      <c r="H335" s="319">
        <f>SUM(H332:H334)</f>
      </c>
      <c r="I335" s="321">
        <f t="shared" si="340"/>
      </c>
      <c r="J335" s="322">
        <f t="shared" si="236"/>
      </c>
      <c r="K335" s="323">
        <f t="shared" si="158"/>
      </c>
      <c r="L335" s="322">
        <f t="shared" si="262"/>
      </c>
      <c r="M335" s="322">
        <f t="shared" si="106"/>
      </c>
      <c r="N335" s="323">
        <f t="shared" si="366"/>
      </c>
      <c r="O335" s="322">
        <f t="shared" si="288"/>
      </c>
      <c r="P335" s="322">
        <f t="shared" si="184"/>
      </c>
      <c r="Q335" s="324">
        <f t="shared" si="132"/>
      </c>
      <c r="R335" s="325">
        <f t="shared" si="392"/>
      </c>
      <c r="S335" s="324">
        <f t="shared" si="314"/>
      </c>
      <c r="T335" s="326">
        <f t="shared" si="210"/>
      </c>
      <c r="U335" s="326"/>
      <c r="V335" s="326"/>
      <c r="W335" s="320">
        <f>SUM(W332:W334)</f>
      </c>
      <c r="X335" s="320">
        <f>SUM(X332:X334)</f>
      </c>
      <c r="Y335" s="320">
        <f>SUM(Y332:Y334)</f>
      </c>
      <c r="Z335" s="320">
        <f>SUM(Z332:Z334)</f>
      </c>
      <c r="AA335" s="320">
        <f>SUM(AA332:AA334)</f>
      </c>
      <c r="AB335" s="320">
        <f>SUM(AB332:AB334)</f>
      </c>
      <c r="AC335" s="320">
        <f>SUM(AC332:AC334)</f>
      </c>
      <c r="AD335" s="320">
        <f>SUM(AD332:AD334)</f>
      </c>
      <c r="AE335" s="293"/>
      <c r="AF335" s="293"/>
    </row>
    <row r="336">
      <c r="A336" s="384"/>
      <c r="B336" s="366" t="s">
        <v>195</v>
      </c>
      <c r="C336" s="366"/>
      <c r="D336" s="367">
        <f>+D326+D321+D331+D335</f>
      </c>
      <c r="E336" s="367">
        <f>+E326+E321+E331+E335</f>
      </c>
      <c r="F336" s="367">
        <f>+F326+F321+F331+F335</f>
      </c>
      <c r="G336" s="367">
        <f>+G326+G321+G331+G335</f>
      </c>
      <c r="H336" s="367">
        <f>+H326+H321+H331+H335</f>
      </c>
      <c r="I336" s="328">
        <f t="shared" si="340"/>
      </c>
      <c r="J336" s="329">
        <f t="shared" si="236"/>
      </c>
      <c r="K336" s="330">
        <f t="shared" si="158"/>
      </c>
      <c r="L336" s="331">
        <f t="shared" si="262"/>
      </c>
      <c r="M336" s="331">
        <f t="shared" si="106"/>
      </c>
      <c r="N336" s="330">
        <f t="shared" si="366"/>
      </c>
      <c r="O336" s="331">
        <f t="shared" si="288"/>
      </c>
      <c r="P336" s="331">
        <f t="shared" si="184"/>
      </c>
      <c r="Q336" s="330">
        <f t="shared" si="132"/>
      </c>
      <c r="R336" s="332">
        <f t="shared" si="392"/>
      </c>
      <c r="S336" s="330">
        <f t="shared" si="314"/>
      </c>
      <c r="T336" s="333">
        <f t="shared" si="210"/>
      </c>
      <c r="U336" s="333"/>
      <c r="V336" s="333"/>
      <c r="W336" s="328">
        <f>+W326+W321+W331+W335</f>
      </c>
      <c r="X336" s="328">
        <f>+X326+X321+X331+X335</f>
      </c>
      <c r="Y336" s="328">
        <f>+Y326+Y321+Y331+Y335</f>
      </c>
      <c r="Z336" s="328">
        <f>+Z326+Z321+Z331+Z335</f>
      </c>
      <c r="AA336" s="328">
        <f>+AA326+AA321+AA331+AA335</f>
      </c>
      <c r="AB336" s="328">
        <f>+AB326+AB321+AB331+AB335</f>
      </c>
      <c r="AC336" s="328">
        <f>+AC326+AC321+AC331+AC335</f>
      </c>
      <c r="AD336" s="328">
        <f>+AD326+AD321+AD331+AD335</f>
      </c>
      <c r="AE336" s="293"/>
      <c r="AF336" s="293"/>
    </row>
    <row r="337">
      <c r="A337" s="352" t="s">
        <v>150</v>
      </c>
      <c r="B337" s="352"/>
      <c r="C337" s="352"/>
      <c r="D337" s="334" t="s">
        <v>151</v>
      </c>
      <c r="E337" s="334"/>
      <c r="F337" s="334"/>
      <c r="G337" s="334"/>
      <c r="H337" s="334"/>
      <c r="I337" s="334"/>
      <c r="J337" s="377" t="s">
        <v>152</v>
      </c>
      <c r="K337" s="377"/>
      <c r="L337" s="377"/>
      <c r="M337" s="377"/>
      <c r="N337" s="377"/>
      <c r="O337" s="377"/>
      <c r="P337" s="377"/>
      <c r="Q337" s="377"/>
      <c r="R337" s="377"/>
      <c r="S337" s="377"/>
      <c r="T337" s="370"/>
      <c r="U337" s="370"/>
      <c r="V337" s="370"/>
      <c r="W337" s="371"/>
      <c r="X337" s="371"/>
      <c r="Y337" s="371"/>
      <c r="Z337" s="371"/>
      <c r="AA337" s="371"/>
      <c r="AB337" s="371"/>
      <c r="AC337" s="371"/>
      <c r="AD337" s="372" t="s">
        <v>153</v>
      </c>
      <c r="AE337" s="293"/>
      <c r="AF337" s="293"/>
    </row>
    <row r="338">
      <c r="A338" s="354" t="s">
        <v>154</v>
      </c>
      <c r="B338" s="352" t="s">
        <v>155</v>
      </c>
      <c r="C338" s="352" t="s">
        <v>156</v>
      </c>
      <c r="D338" s="428" t="s">
        <v>157</v>
      </c>
      <c r="E338" s="427" t="s">
        <v>158</v>
      </c>
      <c r="F338" s="427" t="s">
        <v>159</v>
      </c>
      <c r="G338" s="414" t="s">
        <v>160</v>
      </c>
      <c r="H338" s="412" t="s">
        <v>161</v>
      </c>
      <c r="I338" s="413" t="s">
        <v>162</v>
      </c>
      <c r="J338" s="415" t="s">
        <v>163</v>
      </c>
      <c r="K338" s="415" t="s">
        <v>164</v>
      </c>
      <c r="L338" s="416" t="s">
        <v>165</v>
      </c>
      <c r="M338" s="378" t="s">
        <v>166</v>
      </c>
      <c r="N338" s="377" t="s">
        <v>167</v>
      </c>
      <c r="O338" s="378" t="s">
        <v>168</v>
      </c>
      <c r="P338" s="378" t="s">
        <v>169</v>
      </c>
      <c r="Q338" s="379" t="s">
        <v>170</v>
      </c>
      <c r="R338" s="378" t="s">
        <v>171</v>
      </c>
      <c r="S338" s="379" t="s">
        <v>172</v>
      </c>
      <c r="T338" s="380" t="s">
        <v>173</v>
      </c>
      <c r="U338" s="380" t="s">
        <v>174</v>
      </c>
      <c r="V338" s="380" t="s">
        <v>175</v>
      </c>
      <c r="W338" s="381" t="s">
        <v>176</v>
      </c>
      <c r="X338" s="382" t="s">
        <v>177</v>
      </c>
      <c r="Y338" s="382" t="s">
        <v>178</v>
      </c>
      <c r="Z338" s="382" t="s">
        <v>179</v>
      </c>
      <c r="AA338" s="382" t="s">
        <v>180</v>
      </c>
      <c r="AB338" s="382" t="s">
        <v>181</v>
      </c>
      <c r="AC338" s="383" t="s">
        <v>182</v>
      </c>
      <c r="AD338" s="372"/>
      <c r="AE338" s="293"/>
      <c r="AF338" s="293"/>
    </row>
    <row r="339">
      <c r="A339" s="384">
        <v>46258</v>
      </c>
      <c r="B339" s="385" t="s">
        <v>199</v>
      </c>
      <c r="C339" s="369" t="s">
        <v>184</v>
      </c>
      <c r="D339" s="360">
        <f t="shared" ref="D339:D342" si="59">E339+F339</f>
      </c>
      <c r="E339" s="402">
        <v>2000</v>
      </c>
      <c r="F339" s="369">
        <v>747.17</v>
      </c>
      <c r="G339" s="369">
        <v>1</v>
      </c>
      <c r="H339" s="369">
        <v>3142.32</v>
      </c>
      <c r="I339" s="387">
        <f t="shared" ref="I339:I358" si="341">H339/D339</f>
      </c>
      <c r="J339" s="388">
        <f t="shared" ref="J339:J358" si="237">Y339/X339</f>
      </c>
      <c r="K339" s="389">
        <f t="shared" ref="K339:K358" si="159">D339/Z339</f>
      </c>
      <c r="L339" s="417">
        <f t="shared" ref="L339:L358" si="263">AA339/Z339</f>
      </c>
      <c r="M339" s="388">
        <f t="shared" ref="M339:M358" si="107">AB339/Z339</f>
      </c>
      <c r="N339" s="389">
        <f t="shared" ref="N339:N358" si="367">D339/AB339</f>
      </c>
      <c r="O339" s="388">
        <f t="shared" ref="O339:O358" si="289">AC339/AB339</f>
      </c>
      <c r="P339" s="388">
        <f t="shared" ref="P339:P358" si="185">G339/AC339</f>
      </c>
      <c r="Q339" s="389">
        <f t="shared" ref="Q339:Q358" si="133">D339/G339</f>
      </c>
      <c r="R339" s="390">
        <f t="shared" ref="R339:R358" si="393">H339/G339</f>
      </c>
      <c r="S339" s="389">
        <f t="shared" ref="S339:S358" si="315">D339/W339</f>
      </c>
      <c r="T339" s="391">
        <f t="shared" ref="T339:T358" si="211">AD339*1000/D339</f>
      </c>
      <c r="U339" s="392" t="s">
        <v>185</v>
      </c>
      <c r="V339" s="423" t="s">
        <v>211</v>
      </c>
      <c r="W339" s="369">
        <v>1</v>
      </c>
      <c r="X339" s="360">
        <v>7616</v>
      </c>
      <c r="Y339" s="360">
        <v>752</v>
      </c>
      <c r="Z339" s="360">
        <v>1355</v>
      </c>
      <c r="AA339" s="360">
        <v>295</v>
      </c>
      <c r="AB339" s="360">
        <v>12</v>
      </c>
      <c r="AC339" s="394">
        <v>4</v>
      </c>
      <c r="AD339" s="364">
        <v>14</v>
      </c>
      <c r="AE339" s="293"/>
      <c r="AF339" s="293"/>
    </row>
    <row r="340">
      <c r="A340" s="384"/>
      <c r="B340" s="385" t="s">
        <v>200</v>
      </c>
      <c r="C340" s="369" t="s">
        <v>184</v>
      </c>
      <c r="D340" s="360">
        <f t="shared" si="59"/>
      </c>
      <c r="E340" s="360">
        <v>2218.9500000000003</v>
      </c>
      <c r="F340" s="360">
        <v>1223.44</v>
      </c>
      <c r="G340" s="369">
        <v>1</v>
      </c>
      <c r="H340" s="369">
        <v>2312.1599999999994</v>
      </c>
      <c r="I340" s="387">
        <f t="shared" si="341"/>
      </c>
      <c r="J340" s="388">
        <f t="shared" si="237"/>
      </c>
      <c r="K340" s="389">
        <f t="shared" si="159"/>
      </c>
      <c r="L340" s="417">
        <f t="shared" si="263"/>
      </c>
      <c r="M340" s="388">
        <f t="shared" si="107"/>
      </c>
      <c r="N340" s="389">
        <f t="shared" si="367"/>
      </c>
      <c r="O340" s="388">
        <f t="shared" si="289"/>
      </c>
      <c r="P340" s="388">
        <f t="shared" si="185"/>
      </c>
      <c r="Q340" s="389">
        <f t="shared" si="133"/>
      </c>
      <c r="R340" s="390">
        <f t="shared" si="393"/>
      </c>
      <c r="S340" s="389">
        <f t="shared" si="315"/>
      </c>
      <c r="T340" s="391">
        <f t="shared" si="211"/>
      </c>
      <c r="U340" s="392" t="s">
        <v>185</v>
      </c>
      <c r="V340" s="423" t="s">
        <v>211</v>
      </c>
      <c r="W340" s="360">
        <v>1</v>
      </c>
      <c r="X340" s="360">
        <v>7274</v>
      </c>
      <c r="Y340" s="360">
        <v>656</v>
      </c>
      <c r="Z340" s="360">
        <v>1117</v>
      </c>
      <c r="AA340" s="360">
        <v>282</v>
      </c>
      <c r="AB340" s="360">
        <v>62</v>
      </c>
      <c r="AC340" s="395">
        <v>5</v>
      </c>
      <c r="AD340" s="359">
        <v>19</v>
      </c>
      <c r="AE340" s="293"/>
      <c r="AF340" s="293"/>
    </row>
    <row r="341">
      <c r="A341" s="384"/>
      <c r="B341" s="385" t="s">
        <v>201</v>
      </c>
      <c r="C341" s="369" t="s">
        <v>184</v>
      </c>
      <c r="D341" s="360">
        <f t="shared" si="59"/>
      </c>
      <c r="E341" s="360">
        <v>3057.3199999999997</v>
      </c>
      <c r="F341" s="360">
        <v>523.96</v>
      </c>
      <c r="G341" s="369">
        <v>2</v>
      </c>
      <c r="H341" s="369">
        <v>5409.000000000002</v>
      </c>
      <c r="I341" s="387">
        <f t="shared" si="341"/>
      </c>
      <c r="J341" s="388">
        <f t="shared" si="237"/>
      </c>
      <c r="K341" s="389">
        <f t="shared" si="159"/>
      </c>
      <c r="L341" s="417">
        <f t="shared" si="263"/>
      </c>
      <c r="M341" s="388">
        <f t="shared" si="107"/>
      </c>
      <c r="N341" s="389">
        <f t="shared" si="367"/>
      </c>
      <c r="O341" s="388">
        <f t="shared" si="289"/>
      </c>
      <c r="P341" s="388">
        <f t="shared" si="185"/>
      </c>
      <c r="Q341" s="389">
        <f t="shared" si="133"/>
      </c>
      <c r="R341" s="390">
        <f t="shared" si="393"/>
      </c>
      <c r="S341" s="389">
        <f t="shared" si="315"/>
      </c>
      <c r="T341" s="391">
        <f t="shared" si="211"/>
      </c>
      <c r="U341" s="392" t="s">
        <v>185</v>
      </c>
      <c r="V341" s="423" t="s">
        <v>211</v>
      </c>
      <c r="W341" s="360">
        <v>2</v>
      </c>
      <c r="X341" s="360">
        <v>10546</v>
      </c>
      <c r="Y341" s="360">
        <v>717</v>
      </c>
      <c r="Z341" s="360">
        <v>1029</v>
      </c>
      <c r="AA341" s="360">
        <v>278</v>
      </c>
      <c r="AB341" s="360">
        <v>54</v>
      </c>
      <c r="AC341" s="395">
        <v>3</v>
      </c>
      <c r="AD341" s="359">
        <v>27</v>
      </c>
      <c r="AE341" s="293"/>
      <c r="AF341" s="293"/>
    </row>
    <row r="342">
      <c r="A342" s="384"/>
      <c r="B342" s="385" t="s">
        <v>202</v>
      </c>
      <c r="C342" s="369" t="s">
        <v>184</v>
      </c>
      <c r="D342" s="360">
        <f t="shared" si="59"/>
      </c>
      <c r="E342" s="360">
        <v>2205.39</v>
      </c>
      <c r="F342" s="360">
        <v>1377.86</v>
      </c>
      <c r="G342" s="369">
        <v>3</v>
      </c>
      <c r="H342" s="369">
        <v>8526.480000000001</v>
      </c>
      <c r="I342" s="387">
        <f t="shared" si="341"/>
      </c>
      <c r="J342" s="388">
        <f t="shared" si="237"/>
      </c>
      <c r="K342" s="389">
        <f t="shared" si="159"/>
      </c>
      <c r="L342" s="417">
        <f t="shared" si="263"/>
      </c>
      <c r="M342" s="388">
        <f t="shared" si="107"/>
      </c>
      <c r="N342" s="389">
        <f t="shared" si="367"/>
      </c>
      <c r="O342" s="388">
        <f t="shared" si="289"/>
      </c>
      <c r="P342" s="388">
        <f t="shared" si="185"/>
      </c>
      <c r="Q342" s="389">
        <f t="shared" si="133"/>
      </c>
      <c r="R342" s="390">
        <f t="shared" si="393"/>
      </c>
      <c r="S342" s="389">
        <f t="shared" si="315"/>
      </c>
      <c r="T342" s="391">
        <f t="shared" si="211"/>
      </c>
      <c r="U342" s="392" t="s">
        <v>185</v>
      </c>
      <c r="V342" s="423" t="s">
        <v>211</v>
      </c>
      <c r="W342" s="360">
        <v>2</v>
      </c>
      <c r="X342" s="360">
        <v>13910</v>
      </c>
      <c r="Y342" s="360">
        <v>1001</v>
      </c>
      <c r="Z342" s="360">
        <v>1610</v>
      </c>
      <c r="AA342" s="360">
        <v>362</v>
      </c>
      <c r="AB342" s="360">
        <v>61</v>
      </c>
      <c r="AC342" s="395">
        <v>6</v>
      </c>
      <c r="AD342" s="359">
        <v>34</v>
      </c>
      <c r="AE342" s="293"/>
      <c r="AF342" s="293"/>
    </row>
    <row r="343">
      <c r="A343" s="384"/>
      <c r="B343" s="361" t="s">
        <v>189</v>
      </c>
      <c r="C343" s="361"/>
      <c r="D343" s="361">
        <f>SUM(D339:D342)</f>
      </c>
      <c r="E343" s="361">
        <f>SUM(E339:E342)</f>
      </c>
      <c r="F343" s="361">
        <f>SUM(F339:F342)</f>
      </c>
      <c r="G343" s="361">
        <f>SUM(G339:G342)</f>
      </c>
      <c r="H343" s="361">
        <f>SUM(H339:H342)</f>
      </c>
      <c r="I343" s="396">
        <f t="shared" si="341"/>
      </c>
      <c r="J343" s="397">
        <f t="shared" si="237"/>
      </c>
      <c r="K343" s="398">
        <f t="shared" si="159"/>
      </c>
      <c r="L343" s="418">
        <f t="shared" si="263"/>
      </c>
      <c r="M343" s="397">
        <f t="shared" si="107"/>
      </c>
      <c r="N343" s="398">
        <f t="shared" si="367"/>
      </c>
      <c r="O343" s="397">
        <f t="shared" si="289"/>
      </c>
      <c r="P343" s="397">
        <f t="shared" si="185"/>
      </c>
      <c r="Q343" s="398">
        <f t="shared" si="133"/>
      </c>
      <c r="R343" s="399">
        <f t="shared" si="393"/>
      </c>
      <c r="S343" s="398">
        <f t="shared" si="315"/>
      </c>
      <c r="T343" s="400">
        <f t="shared" si="211"/>
      </c>
      <c r="U343" s="400"/>
      <c r="V343" s="400"/>
      <c r="W343" s="361">
        <f>SUM(W339:W342)</f>
      </c>
      <c r="X343" s="361">
        <f>SUM(X339:X342)</f>
      </c>
      <c r="Y343" s="361">
        <f>SUM(Y339:Y342)</f>
      </c>
      <c r="Z343" s="361">
        <f>SUM(Z339:Z342)</f>
      </c>
      <c r="AA343" s="361">
        <f>SUM(AA339:AA342)</f>
      </c>
      <c r="AB343" s="361">
        <f>SUM(AB339:AB342)</f>
      </c>
      <c r="AC343" s="319">
        <f>SUM(AC339:AC342)</f>
      </c>
      <c r="AD343" s="320">
        <f>SUM(AD339:AD342)</f>
      </c>
      <c r="AE343" s="293"/>
      <c r="AF343" s="293"/>
    </row>
    <row r="344">
      <c r="A344" s="384"/>
      <c r="B344" s="385" t="s">
        <v>203</v>
      </c>
      <c r="C344" s="369" t="s">
        <v>197</v>
      </c>
      <c r="D344" s="360">
        <f t="shared" ref="D344:D347" si="60">E344+F344</f>
      </c>
      <c r="E344" s="360">
        <v>1950.81</v>
      </c>
      <c r="F344" s="360">
        <v>1259.82</v>
      </c>
      <c r="G344" s="369">
        <v>0</v>
      </c>
      <c r="H344" s="369">
        <v>0</v>
      </c>
      <c r="I344" s="387">
        <f t="shared" si="341"/>
      </c>
      <c r="J344" s="388">
        <f t="shared" si="237"/>
      </c>
      <c r="K344" s="389">
        <f t="shared" si="159"/>
      </c>
      <c r="L344" s="417">
        <f t="shared" si="263"/>
      </c>
      <c r="M344" s="388">
        <f t="shared" si="107"/>
      </c>
      <c r="N344" s="389">
        <f t="shared" si="367"/>
      </c>
      <c r="O344" s="388">
        <f t="shared" si="289"/>
      </c>
      <c r="P344" s="388">
        <f t="shared" si="185"/>
      </c>
      <c r="Q344" s="389">
        <f t="shared" si="133"/>
      </c>
      <c r="R344" s="390">
        <f t="shared" si="393"/>
      </c>
      <c r="S344" s="389">
        <f t="shared" si="315"/>
      </c>
      <c r="T344" s="391">
        <f t="shared" si="211"/>
      </c>
      <c r="U344" s="392" t="s">
        <v>185</v>
      </c>
      <c r="V344" s="423" t="s">
        <v>211</v>
      </c>
      <c r="W344" s="369">
        <v>0</v>
      </c>
      <c r="X344" s="360">
        <v>13910</v>
      </c>
      <c r="Y344" s="360">
        <v>1001</v>
      </c>
      <c r="Z344" s="360">
        <v>1610</v>
      </c>
      <c r="AA344" s="360">
        <v>362</v>
      </c>
      <c r="AB344" s="360">
        <v>61</v>
      </c>
      <c r="AC344" s="395">
        <v>1</v>
      </c>
      <c r="AD344" s="359">
        <v>21</v>
      </c>
      <c r="AE344" s="293"/>
      <c r="AF344" s="293"/>
    </row>
    <row r="345">
      <c r="A345" s="384"/>
      <c r="B345" s="385" t="s">
        <v>204</v>
      </c>
      <c r="C345" s="369" t="s">
        <v>197</v>
      </c>
      <c r="D345" s="360">
        <f t="shared" si="60"/>
      </c>
      <c r="E345" s="360">
        <v>2271.76</v>
      </c>
      <c r="F345" s="360">
        <v>959.92</v>
      </c>
      <c r="G345" s="369">
        <v>2</v>
      </c>
      <c r="H345" s="369">
        <v>4063.6800000000003</v>
      </c>
      <c r="I345" s="387">
        <f t="shared" si="341"/>
      </c>
      <c r="J345" s="388">
        <f t="shared" si="237"/>
      </c>
      <c r="K345" s="389">
        <f t="shared" si="159"/>
      </c>
      <c r="L345" s="417">
        <f t="shared" si="263"/>
      </c>
      <c r="M345" s="388">
        <f t="shared" si="107"/>
      </c>
      <c r="N345" s="389">
        <f t="shared" si="367"/>
      </c>
      <c r="O345" s="388">
        <f t="shared" si="289"/>
      </c>
      <c r="P345" s="388">
        <f t="shared" si="185"/>
      </c>
      <c r="Q345" s="389">
        <f t="shared" si="133"/>
      </c>
      <c r="R345" s="390">
        <f t="shared" si="393"/>
      </c>
      <c r="S345" s="389">
        <f t="shared" si="315"/>
      </c>
      <c r="T345" s="391">
        <f t="shared" si="211"/>
      </c>
      <c r="U345" s="392" t="s">
        <v>185</v>
      </c>
      <c r="V345" s="423" t="s">
        <v>211</v>
      </c>
      <c r="W345" s="360">
        <v>2</v>
      </c>
      <c r="X345" s="360">
        <v>15034</v>
      </c>
      <c r="Y345" s="360">
        <v>801</v>
      </c>
      <c r="Z345" s="360">
        <v>1108</v>
      </c>
      <c r="AA345" s="360">
        <v>275</v>
      </c>
      <c r="AB345" s="360">
        <v>68</v>
      </c>
      <c r="AC345" s="395">
        <v>3</v>
      </c>
      <c r="AD345" s="359">
        <v>25</v>
      </c>
      <c r="AE345" s="293"/>
      <c r="AF345" s="293"/>
    </row>
    <row r="346">
      <c r="A346" s="384"/>
      <c r="B346" s="385" t="s">
        <v>205</v>
      </c>
      <c r="C346" s="369" t="s">
        <v>197</v>
      </c>
      <c r="D346" s="360">
        <f t="shared" si="60"/>
      </c>
      <c r="E346" s="360">
        <v>2890.05</v>
      </c>
      <c r="F346" s="360">
        <v>1252.9</v>
      </c>
      <c r="G346" s="369">
        <v>1</v>
      </c>
      <c r="H346" s="369">
        <v>2700</v>
      </c>
      <c r="I346" s="387">
        <f t="shared" si="341"/>
      </c>
      <c r="J346" s="388">
        <f t="shared" si="237"/>
      </c>
      <c r="K346" s="389">
        <f t="shared" si="159"/>
      </c>
      <c r="L346" s="417">
        <f t="shared" si="263"/>
      </c>
      <c r="M346" s="388">
        <f t="shared" si="107"/>
      </c>
      <c r="N346" s="389">
        <f t="shared" si="367"/>
      </c>
      <c r="O346" s="388">
        <f t="shared" si="289"/>
      </c>
      <c r="P346" s="388">
        <f t="shared" si="185"/>
      </c>
      <c r="Q346" s="389">
        <f t="shared" si="133"/>
      </c>
      <c r="R346" s="390">
        <f t="shared" si="393"/>
      </c>
      <c r="S346" s="389">
        <f t="shared" si="315"/>
      </c>
      <c r="T346" s="391">
        <f t="shared" si="211"/>
      </c>
      <c r="U346" s="392" t="s">
        <v>185</v>
      </c>
      <c r="V346" s="423" t="s">
        <v>211</v>
      </c>
      <c r="W346" s="360">
        <v>1</v>
      </c>
      <c r="X346" s="360">
        <v>20361</v>
      </c>
      <c r="Y346" s="360">
        <v>757</v>
      </c>
      <c r="Z346" s="360">
        <v>841</v>
      </c>
      <c r="AA346" s="360">
        <v>167</v>
      </c>
      <c r="AB346" s="360">
        <v>126</v>
      </c>
      <c r="AC346" s="395">
        <v>1</v>
      </c>
      <c r="AD346" s="359">
        <v>38</v>
      </c>
      <c r="AE346" s="293"/>
      <c r="AF346" s="293"/>
    </row>
    <row r="347">
      <c r="A347" s="384"/>
      <c r="B347" s="419" t="s">
        <v>196</v>
      </c>
      <c r="C347" s="369" t="s">
        <v>197</v>
      </c>
      <c r="D347" s="360">
        <f t="shared" si="60"/>
      </c>
      <c r="E347" s="360">
        <v>3650.16</v>
      </c>
      <c r="F347" s="360">
        <v>961.16</v>
      </c>
      <c r="G347" s="369">
        <v>2</v>
      </c>
      <c r="H347" s="369">
        <v>5289.600000000002</v>
      </c>
      <c r="I347" s="387">
        <f t="shared" si="341"/>
      </c>
      <c r="J347" s="388">
        <f t="shared" si="237"/>
      </c>
      <c r="K347" s="389">
        <f t="shared" si="159"/>
      </c>
      <c r="L347" s="417">
        <f t="shared" si="263"/>
      </c>
      <c r="M347" s="388">
        <f t="shared" si="107"/>
      </c>
      <c r="N347" s="389">
        <f t="shared" si="367"/>
      </c>
      <c r="O347" s="388">
        <f t="shared" si="289"/>
      </c>
      <c r="P347" s="388">
        <f t="shared" si="185"/>
      </c>
      <c r="Q347" s="389">
        <f t="shared" si="133"/>
      </c>
      <c r="R347" s="390">
        <f t="shared" si="393"/>
      </c>
      <c r="S347" s="389">
        <f t="shared" si="315"/>
      </c>
      <c r="T347" s="391">
        <f t="shared" si="211"/>
      </c>
      <c r="U347" s="392" t="s">
        <v>185</v>
      </c>
      <c r="V347" s="393" t="s">
        <v>186</v>
      </c>
      <c r="W347" s="360">
        <v>2</v>
      </c>
      <c r="X347" s="360">
        <v>15726</v>
      </c>
      <c r="Y347" s="360">
        <v>647</v>
      </c>
      <c r="Z347" s="360">
        <v>931</v>
      </c>
      <c r="AA347" s="360">
        <v>238</v>
      </c>
      <c r="AB347" s="360">
        <v>81</v>
      </c>
      <c r="AC347" s="395">
        <v>4</v>
      </c>
      <c r="AD347" s="359">
        <v>24</v>
      </c>
      <c r="AE347" s="293"/>
      <c r="AF347" s="293"/>
    </row>
    <row r="348">
      <c r="A348" s="384"/>
      <c r="B348" s="361" t="s">
        <v>189</v>
      </c>
      <c r="C348" s="361"/>
      <c r="D348" s="361">
        <f>SUM(D344:D347)</f>
      </c>
      <c r="E348" s="361">
        <v>1012.85</v>
      </c>
      <c r="F348" s="361">
        <f>SUM(F344:F347)</f>
      </c>
      <c r="G348" s="361">
        <f>SUM(G344:G347)</f>
      </c>
      <c r="H348" s="361">
        <f>SUM(H344:H347)</f>
      </c>
      <c r="I348" s="396">
        <f t="shared" si="341"/>
      </c>
      <c r="J348" s="397">
        <f t="shared" si="237"/>
      </c>
      <c r="K348" s="398">
        <f t="shared" si="159"/>
      </c>
      <c r="L348" s="418">
        <f t="shared" si="263"/>
      </c>
      <c r="M348" s="397">
        <f t="shared" si="107"/>
      </c>
      <c r="N348" s="398">
        <f t="shared" si="367"/>
      </c>
      <c r="O348" s="397">
        <f t="shared" si="289"/>
      </c>
      <c r="P348" s="397">
        <f t="shared" si="185"/>
      </c>
      <c r="Q348" s="398">
        <f t="shared" si="133"/>
      </c>
      <c r="R348" s="399">
        <f t="shared" si="393"/>
      </c>
      <c r="S348" s="398">
        <f t="shared" si="315"/>
      </c>
      <c r="T348" s="400">
        <f t="shared" si="211"/>
      </c>
      <c r="U348" s="400"/>
      <c r="V348" s="400"/>
      <c r="W348" s="361">
        <f>SUM(W344:W347)</f>
      </c>
      <c r="X348" s="361">
        <f>SUM(X344:X347)</f>
      </c>
      <c r="Y348" s="361">
        <f>SUM(Y344:Y347)</f>
      </c>
      <c r="Z348" s="361">
        <f>SUM(Z344:Z347)</f>
      </c>
      <c r="AA348" s="361">
        <f>SUM(AA344:AA347)</f>
      </c>
      <c r="AB348" s="361">
        <f>SUM(AB344:AB347)</f>
      </c>
      <c r="AC348" s="361">
        <f>SUM(AC344:AC347)</f>
      </c>
      <c r="AD348" s="361">
        <f>SUM(AD344:AD347)</f>
      </c>
      <c r="AE348" s="293"/>
      <c r="AF348" s="293"/>
    </row>
    <row r="349">
      <c r="A349" s="384"/>
      <c r="B349" s="401" t="s">
        <v>183</v>
      </c>
      <c r="C349" s="369" t="s">
        <v>198</v>
      </c>
      <c r="D349" s="360">
        <f t="shared" ref="D349:D352" si="61">E349+F349</f>
      </c>
      <c r="E349" s="356">
        <v>1778.76</v>
      </c>
      <c r="F349" s="356">
        <v>677.36</v>
      </c>
      <c r="G349" s="402">
        <v>1</v>
      </c>
      <c r="H349" s="402">
        <v>2625.480000000003</v>
      </c>
      <c r="I349" s="420">
        <f t="shared" si="341"/>
      </c>
      <c r="J349" s="421">
        <f t="shared" si="237"/>
      </c>
      <c r="K349" s="422">
        <f t="shared" si="159"/>
      </c>
      <c r="L349" s="388">
        <f t="shared" si="263"/>
      </c>
      <c r="M349" s="388">
        <f t="shared" si="107"/>
      </c>
      <c r="N349" s="389">
        <f t="shared" si="367"/>
      </c>
      <c r="O349" s="388">
        <f t="shared" si="289"/>
      </c>
      <c r="P349" s="388">
        <f t="shared" si="185"/>
      </c>
      <c r="Q349" s="389">
        <f t="shared" si="133"/>
      </c>
      <c r="R349" s="390">
        <f t="shared" si="393"/>
      </c>
      <c r="S349" s="389">
        <f t="shared" si="315"/>
      </c>
      <c r="T349" s="391">
        <f t="shared" si="211"/>
      </c>
      <c r="U349" s="392" t="s">
        <v>185</v>
      </c>
      <c r="V349" s="393" t="s">
        <v>186</v>
      </c>
      <c r="W349" s="360">
        <v>1</v>
      </c>
      <c r="X349" s="360">
        <v>7152</v>
      </c>
      <c r="Y349" s="360">
        <v>668</v>
      </c>
      <c r="Z349" s="360">
        <v>1016</v>
      </c>
      <c r="AA349" s="360">
        <v>264</v>
      </c>
      <c r="AB349" s="360">
        <v>29</v>
      </c>
      <c r="AC349" s="395">
        <v>2</v>
      </c>
      <c r="AD349" s="359">
        <v>19</v>
      </c>
      <c r="AE349" s="293"/>
      <c r="AF349" s="293"/>
    </row>
    <row r="350">
      <c r="A350" s="384"/>
      <c r="B350" s="385" t="s">
        <v>187</v>
      </c>
      <c r="C350" s="369" t="s">
        <v>198</v>
      </c>
      <c r="D350" s="360">
        <f t="shared" si="61"/>
      </c>
      <c r="E350" s="360">
        <v>1893.84</v>
      </c>
      <c r="F350" s="360">
        <v>843.72</v>
      </c>
      <c r="G350" s="369">
        <v>1</v>
      </c>
      <c r="H350" s="369">
        <v>563.7599999999948</v>
      </c>
      <c r="I350" s="387">
        <f t="shared" si="341"/>
      </c>
      <c r="J350" s="388">
        <f t="shared" si="237"/>
      </c>
      <c r="K350" s="389">
        <f t="shared" si="159"/>
      </c>
      <c r="L350" s="388">
        <f t="shared" si="263"/>
      </c>
      <c r="M350" s="388">
        <f t="shared" si="107"/>
      </c>
      <c r="N350" s="389">
        <f t="shared" si="367"/>
      </c>
      <c r="O350" s="388">
        <f t="shared" si="289"/>
      </c>
      <c r="P350" s="388">
        <f t="shared" si="185"/>
      </c>
      <c r="Q350" s="389">
        <f t="shared" si="133"/>
      </c>
      <c r="R350" s="390">
        <f t="shared" si="393"/>
      </c>
      <c r="S350" s="389">
        <f t="shared" si="315"/>
      </c>
      <c r="T350" s="391">
        <f t="shared" si="211"/>
      </c>
      <c r="U350" s="392" t="s">
        <v>185</v>
      </c>
      <c r="V350" s="393" t="s">
        <v>186</v>
      </c>
      <c r="W350" s="360">
        <v>1</v>
      </c>
      <c r="X350" s="360">
        <v>9918</v>
      </c>
      <c r="Y350" s="360">
        <v>741</v>
      </c>
      <c r="Z350" s="360">
        <v>1045</v>
      </c>
      <c r="AA350" s="360">
        <v>284</v>
      </c>
      <c r="AB350" s="360">
        <v>45</v>
      </c>
      <c r="AC350" s="395">
        <v>1</v>
      </c>
      <c r="AD350" s="359">
        <v>23</v>
      </c>
      <c r="AE350" s="293"/>
      <c r="AF350" s="293"/>
    </row>
    <row r="351">
      <c r="A351" s="384"/>
      <c r="B351" s="385" t="s">
        <v>188</v>
      </c>
      <c r="C351" s="369" t="s">
        <v>198</v>
      </c>
      <c r="D351" s="360">
        <f t="shared" si="61"/>
      </c>
      <c r="E351" s="360">
        <v>1784.1999999999998</v>
      </c>
      <c r="F351" s="360">
        <v>1443.44</v>
      </c>
      <c r="G351" s="369">
        <v>1</v>
      </c>
      <c r="H351" s="369">
        <v>1035.7200000000012</v>
      </c>
      <c r="I351" s="387">
        <f t="shared" si="341"/>
      </c>
      <c r="J351" s="388">
        <f t="shared" si="237"/>
      </c>
      <c r="K351" s="389">
        <f t="shared" si="159"/>
      </c>
      <c r="L351" s="388">
        <f t="shared" si="263"/>
      </c>
      <c r="M351" s="388">
        <f t="shared" si="107"/>
      </c>
      <c r="N351" s="389">
        <f t="shared" si="367"/>
      </c>
      <c r="O351" s="388">
        <f t="shared" si="289"/>
      </c>
      <c r="P351" s="388">
        <f t="shared" si="185"/>
      </c>
      <c r="Q351" s="389">
        <f t="shared" si="133"/>
      </c>
      <c r="R351" s="390">
        <f t="shared" si="393"/>
      </c>
      <c r="S351" s="389">
        <f t="shared" si="315"/>
      </c>
      <c r="T351" s="391">
        <f t="shared" si="211"/>
      </c>
      <c r="U351" s="392" t="s">
        <v>185</v>
      </c>
      <c r="V351" s="393" t="s">
        <v>186</v>
      </c>
      <c r="W351" s="360">
        <v>2</v>
      </c>
      <c r="X351" s="360">
        <v>6981</v>
      </c>
      <c r="Y351" s="360">
        <v>851</v>
      </c>
      <c r="Z351" s="360">
        <v>1200</v>
      </c>
      <c r="AA351" s="360">
        <v>318</v>
      </c>
      <c r="AB351" s="360">
        <v>32</v>
      </c>
      <c r="AC351" s="395">
        <v>1</v>
      </c>
      <c r="AD351" s="359">
        <v>31</v>
      </c>
      <c r="AE351" s="293"/>
      <c r="AF351" s="293"/>
    </row>
    <row r="352">
      <c r="A352" s="384"/>
      <c r="B352" s="429" t="s">
        <v>190</v>
      </c>
      <c r="C352" s="369" t="s">
        <v>198</v>
      </c>
      <c r="D352" s="309">
        <f t="shared" si="61"/>
      </c>
      <c r="E352" s="309">
        <v>2462.3</v>
      </c>
      <c r="F352" s="309">
        <v>1204.25</v>
      </c>
      <c r="G352" s="358">
        <v>3</v>
      </c>
      <c r="H352" s="358">
        <v>7625.520000000004</v>
      </c>
      <c r="I352" s="341">
        <f t="shared" si="341"/>
      </c>
      <c r="J352" s="430">
        <f t="shared" si="237"/>
      </c>
      <c r="K352" s="431">
        <f t="shared" si="159"/>
      </c>
      <c r="L352" s="430">
        <f t="shared" si="263"/>
      </c>
      <c r="M352" s="430">
        <f t="shared" si="107"/>
      </c>
      <c r="N352" s="431">
        <f t="shared" si="367"/>
      </c>
      <c r="O352" s="430">
        <f t="shared" si="289"/>
      </c>
      <c r="P352" s="430">
        <f t="shared" si="185"/>
      </c>
      <c r="Q352" s="431">
        <f t="shared" si="133"/>
      </c>
      <c r="R352" s="432">
        <f t="shared" si="393"/>
      </c>
      <c r="S352" s="431">
        <f t="shared" si="315"/>
      </c>
      <c r="T352" s="433">
        <f t="shared" si="211"/>
      </c>
      <c r="U352" s="434" t="s">
        <v>185</v>
      </c>
      <c r="V352" s="435" t="s">
        <v>186</v>
      </c>
      <c r="W352" s="309">
        <v>2</v>
      </c>
      <c r="X352" s="309">
        <v>7542</v>
      </c>
      <c r="Y352" s="309">
        <v>1036</v>
      </c>
      <c r="Z352" s="309">
        <v>1508</v>
      </c>
      <c r="AA352" s="309">
        <v>367</v>
      </c>
      <c r="AB352" s="309">
        <v>37</v>
      </c>
      <c r="AC352" s="395">
        <v>3</v>
      </c>
      <c r="AD352" s="310">
        <v>35</v>
      </c>
      <c r="AE352" s="293"/>
      <c r="AF352" s="293"/>
    </row>
    <row r="353">
      <c r="A353" s="384"/>
      <c r="B353" s="361" t="s">
        <v>189</v>
      </c>
      <c r="C353" s="361"/>
      <c r="D353" s="361">
        <f>SUM(D349:D352)</f>
      </c>
      <c r="E353" s="361">
        <f>SUM(E349:E352)</f>
      </c>
      <c r="F353" s="361">
        <f>SUM(F349:F352)</f>
      </c>
      <c r="G353" s="361">
        <f>SUM(G349:G352)</f>
      </c>
      <c r="H353" s="361">
        <f>SUM(H349:H352)</f>
      </c>
      <c r="I353" s="344">
        <f t="shared" si="341"/>
      </c>
      <c r="J353" s="345">
        <f t="shared" si="237"/>
      </c>
      <c r="K353" s="323">
        <f t="shared" si="159"/>
      </c>
      <c r="L353" s="322">
        <f t="shared" si="263"/>
      </c>
      <c r="M353" s="322">
        <f t="shared" si="107"/>
      </c>
      <c r="N353" s="323">
        <f t="shared" si="367"/>
      </c>
      <c r="O353" s="322">
        <f t="shared" si="289"/>
      </c>
      <c r="P353" s="322">
        <f t="shared" si="185"/>
      </c>
      <c r="Q353" s="324">
        <f t="shared" si="133"/>
      </c>
      <c r="R353" s="325">
        <f t="shared" si="393"/>
      </c>
      <c r="S353" s="324">
        <f t="shared" si="315"/>
      </c>
      <c r="T353" s="326">
        <f t="shared" si="211"/>
      </c>
      <c r="U353" s="326"/>
      <c r="V353" s="326"/>
      <c r="W353" s="320">
        <f>SUM(W349:W352)</f>
      </c>
      <c r="X353" s="320">
        <f>SUM(X349:X352)</f>
      </c>
      <c r="Y353" s="320">
        <f>SUM(Y349:Y352)</f>
      </c>
      <c r="Z353" s="320">
        <f>SUM(Z349:Z352)</f>
      </c>
      <c r="AA353" s="320">
        <f>SUM(AA349:AA352)</f>
      </c>
      <c r="AB353" s="320">
        <f>SUM(AB349:AB352)</f>
      </c>
      <c r="AC353" s="320">
        <f>SUM(AC349:AC352)</f>
      </c>
      <c r="AD353" s="320">
        <f>SUM(AD349:AD352)</f>
      </c>
      <c r="AE353" s="293"/>
      <c r="AF353" s="293"/>
    </row>
    <row r="354">
      <c r="A354" s="384"/>
      <c r="B354" s="360" t="s">
        <v>192</v>
      </c>
      <c r="C354" s="369" t="s">
        <v>210</v>
      </c>
      <c r="D354" s="346">
        <f t="shared" ref="D354:D356" si="62">E354+F354</f>
      </c>
      <c r="E354" s="347">
        <v>1183.4299999999998</v>
      </c>
      <c r="F354" s="347">
        <v>425.02000000000004</v>
      </c>
      <c r="G354" s="364">
        <v>1</v>
      </c>
      <c r="H354" s="364">
        <v>563.760000000002</v>
      </c>
      <c r="I354" s="349">
        <f t="shared" si="341"/>
      </c>
      <c r="J354" s="312">
        <f t="shared" si="237"/>
      </c>
      <c r="K354" s="313">
        <f t="shared" si="159"/>
      </c>
      <c r="L354" s="312">
        <f t="shared" si="263"/>
      </c>
      <c r="M354" s="312">
        <f t="shared" si="107"/>
      </c>
      <c r="N354" s="313">
        <f t="shared" si="367"/>
      </c>
      <c r="O354" s="312">
        <f t="shared" si="289"/>
      </c>
      <c r="P354" s="312">
        <f t="shared" si="185"/>
      </c>
      <c r="Q354" s="314">
        <f t="shared" si="133"/>
      </c>
      <c r="R354" s="315">
        <f t="shared" si="393"/>
      </c>
      <c r="S354" s="314">
        <f t="shared" si="315"/>
      </c>
      <c r="T354" s="316">
        <f t="shared" si="211"/>
      </c>
      <c r="U354" s="317" t="s">
        <v>185</v>
      </c>
      <c r="V354" s="318" t="s">
        <v>186</v>
      </c>
      <c r="W354" s="310">
        <v>1</v>
      </c>
      <c r="X354" s="310">
        <v>4539</v>
      </c>
      <c r="Y354" s="310">
        <v>586</v>
      </c>
      <c r="Z354" s="310">
        <v>866</v>
      </c>
      <c r="AA354" s="310">
        <v>233</v>
      </c>
      <c r="AB354" s="310">
        <v>5</v>
      </c>
      <c r="AC354" s="359">
        <v>1</v>
      </c>
      <c r="AD354" s="359">
        <v>25</v>
      </c>
      <c r="AE354" s="293"/>
      <c r="AF354" s="293"/>
    </row>
    <row r="355">
      <c r="A355" s="384"/>
      <c r="B355" s="360" t="s">
        <v>193</v>
      </c>
      <c r="C355" s="369" t="s">
        <v>210</v>
      </c>
      <c r="D355" s="346">
        <f t="shared" si="62"/>
      </c>
      <c r="E355" s="309">
        <v>2302.63</v>
      </c>
      <c r="F355" s="309">
        <v>573.06</v>
      </c>
      <c r="G355" s="359">
        <v>0</v>
      </c>
      <c r="H355" s="359">
        <v>0</v>
      </c>
      <c r="I355" s="311">
        <f t="shared" si="341"/>
      </c>
      <c r="J355" s="312">
        <f t="shared" si="237"/>
      </c>
      <c r="K355" s="313">
        <f t="shared" si="159"/>
      </c>
      <c r="L355" s="312">
        <f t="shared" si="263"/>
      </c>
      <c r="M355" s="312">
        <f t="shared" si="107"/>
      </c>
      <c r="N355" s="313">
        <f t="shared" si="367"/>
      </c>
      <c r="O355" s="312">
        <f t="shared" si="289"/>
      </c>
      <c r="P355" s="312">
        <f t="shared" si="185"/>
      </c>
      <c r="Q355" s="314">
        <f t="shared" si="133"/>
      </c>
      <c r="R355" s="315">
        <f t="shared" si="393"/>
      </c>
      <c r="S355" s="314">
        <f t="shared" si="315"/>
      </c>
      <c r="T355" s="316">
        <f t="shared" si="211"/>
      </c>
      <c r="U355" s="317" t="s">
        <v>185</v>
      </c>
      <c r="V355" s="318" t="s">
        <v>186</v>
      </c>
      <c r="W355" s="310">
        <v>0</v>
      </c>
      <c r="X355" s="310">
        <v>7541</v>
      </c>
      <c r="Y355" s="310">
        <v>1000</v>
      </c>
      <c r="Z355" s="310">
        <v>1319</v>
      </c>
      <c r="AA355" s="310">
        <v>325</v>
      </c>
      <c r="AB355" s="310">
        <v>25</v>
      </c>
      <c r="AC355" s="359">
        <v>1</v>
      </c>
      <c r="AD355" s="359">
        <v>26</v>
      </c>
      <c r="AE355" s="293"/>
      <c r="AF355" s="293"/>
    </row>
    <row r="356">
      <c r="A356" s="384"/>
      <c r="B356" s="360" t="s">
        <v>194</v>
      </c>
      <c r="C356" s="369" t="s">
        <v>210</v>
      </c>
      <c r="D356" s="346">
        <f t="shared" si="62"/>
      </c>
      <c r="E356" s="358">
        <v>1377.54</v>
      </c>
      <c r="F356" s="309">
        <v>323.04</v>
      </c>
      <c r="G356" s="359">
        <v>1</v>
      </c>
      <c r="H356" s="359">
        <v>948.239999999998</v>
      </c>
      <c r="I356" s="311">
        <f t="shared" si="341"/>
      </c>
      <c r="J356" s="312">
        <f t="shared" si="237"/>
      </c>
      <c r="K356" s="313">
        <f t="shared" si="159"/>
      </c>
      <c r="L356" s="312">
        <f t="shared" si="263"/>
      </c>
      <c r="M356" s="312">
        <f t="shared" si="107"/>
      </c>
      <c r="N356" s="313">
        <f t="shared" si="367"/>
      </c>
      <c r="O356" s="312">
        <f t="shared" si="289"/>
      </c>
      <c r="P356" s="312">
        <f t="shared" si="185"/>
      </c>
      <c r="Q356" s="314">
        <f t="shared" si="133"/>
      </c>
      <c r="R356" s="315">
        <f t="shared" si="393"/>
      </c>
      <c r="S356" s="314">
        <f t="shared" si="315"/>
      </c>
      <c r="T356" s="316">
        <f t="shared" si="211"/>
      </c>
      <c r="U356" s="317" t="s">
        <v>185</v>
      </c>
      <c r="V356" s="318" t="s">
        <v>186</v>
      </c>
      <c r="W356" s="310">
        <v>1</v>
      </c>
      <c r="X356" s="310">
        <v>4823</v>
      </c>
      <c r="Y356" s="310">
        <v>577</v>
      </c>
      <c r="Z356" s="310">
        <v>777</v>
      </c>
      <c r="AA356" s="310">
        <v>160</v>
      </c>
      <c r="AB356" s="310">
        <v>10</v>
      </c>
      <c r="AC356" s="359">
        <v>3</v>
      </c>
      <c r="AD356" s="359">
        <v>14</v>
      </c>
      <c r="AE356" s="293"/>
      <c r="AF356" s="293"/>
    </row>
    <row r="357">
      <c r="A357" s="384"/>
      <c r="B357" s="361" t="s">
        <v>189</v>
      </c>
      <c r="C357" s="361"/>
      <c r="D357" s="319">
        <f>SUM(D354:D356)</f>
      </c>
      <c r="E357" s="319">
        <f>SUM(E354:E356)</f>
      </c>
      <c r="F357" s="319">
        <f>SUM(F354:F356)</f>
      </c>
      <c r="G357" s="319">
        <f>SUM(G354:G356)</f>
      </c>
      <c r="H357" s="319">
        <f>SUM(H354:H356)</f>
      </c>
      <c r="I357" s="321">
        <f t="shared" si="341"/>
      </c>
      <c r="J357" s="322">
        <f t="shared" si="237"/>
      </c>
      <c r="K357" s="323">
        <f t="shared" si="159"/>
      </c>
      <c r="L357" s="322">
        <f t="shared" si="263"/>
      </c>
      <c r="M357" s="322">
        <f t="shared" si="107"/>
      </c>
      <c r="N357" s="323">
        <f t="shared" si="367"/>
      </c>
      <c r="O357" s="322">
        <f t="shared" si="289"/>
      </c>
      <c r="P357" s="322">
        <f t="shared" si="185"/>
      </c>
      <c r="Q357" s="324">
        <f t="shared" si="133"/>
      </c>
      <c r="R357" s="325">
        <f t="shared" si="393"/>
      </c>
      <c r="S357" s="324">
        <f t="shared" si="315"/>
      </c>
      <c r="T357" s="326">
        <f t="shared" si="211"/>
      </c>
      <c r="U357" s="326"/>
      <c r="V357" s="326"/>
      <c r="W357" s="320">
        <f>SUM(W354:W356)</f>
      </c>
      <c r="X357" s="320">
        <f>SUM(X354:X356)</f>
      </c>
      <c r="Y357" s="320">
        <f>SUM(Y354:Y356)</f>
      </c>
      <c r="Z357" s="320">
        <f>SUM(Z354:Z356)</f>
      </c>
      <c r="AA357" s="320">
        <f>SUM(AA354:AA356)</f>
      </c>
      <c r="AB357" s="320">
        <f>SUM(AB354:AB356)</f>
      </c>
      <c r="AC357" s="320">
        <f>SUM(AC354:AC356)</f>
      </c>
      <c r="AD357" s="320">
        <f>SUM(AD354:AD356)</f>
      </c>
      <c r="AE357" s="293"/>
      <c r="AF357" s="293"/>
    </row>
    <row r="358">
      <c r="A358" s="384"/>
      <c r="B358" s="366" t="s">
        <v>195</v>
      </c>
      <c r="C358" s="366"/>
      <c r="D358" s="367">
        <f>+D348+D343+D353+D357</f>
      </c>
      <c r="E358" s="367">
        <f>+E348+E343+E353+E357</f>
      </c>
      <c r="F358" s="367">
        <f>+F348+F343+F353+F357</f>
      </c>
      <c r="G358" s="367">
        <f>+G348+G343+G353+G357</f>
      </c>
      <c r="H358" s="367">
        <f>+H348+H343+H353+H357</f>
      </c>
      <c r="I358" s="328">
        <f t="shared" si="341"/>
      </c>
      <c r="J358" s="329">
        <f t="shared" si="237"/>
      </c>
      <c r="K358" s="330">
        <f t="shared" si="159"/>
      </c>
      <c r="L358" s="331">
        <f t="shared" si="263"/>
      </c>
      <c r="M358" s="331">
        <f t="shared" si="107"/>
      </c>
      <c r="N358" s="330">
        <f t="shared" si="367"/>
      </c>
      <c r="O358" s="331">
        <f t="shared" si="289"/>
      </c>
      <c r="P358" s="331">
        <f t="shared" si="185"/>
      </c>
      <c r="Q358" s="330">
        <f t="shared" si="133"/>
      </c>
      <c r="R358" s="332">
        <f t="shared" si="393"/>
      </c>
      <c r="S358" s="330">
        <f t="shared" si="315"/>
      </c>
      <c r="T358" s="333">
        <f t="shared" si="211"/>
      </c>
      <c r="U358" s="333"/>
      <c r="V358" s="333"/>
      <c r="W358" s="328">
        <f>+W348+W343+W353+W357</f>
      </c>
      <c r="X358" s="328">
        <f>+X348+X343+X353+X357</f>
      </c>
      <c r="Y358" s="328">
        <f>+Y348+Y343+Y353+Y357</f>
      </c>
      <c r="Z358" s="328">
        <f>+Z348+Z343+Z353+Z357</f>
      </c>
      <c r="AA358" s="328">
        <f>+AA348+AA343+AA353+AA357</f>
      </c>
      <c r="AB358" s="328">
        <f>+AB348+AB343+AB353+AB357</f>
      </c>
      <c r="AC358" s="328">
        <f>+AC348+AC343+AC353+AC357</f>
      </c>
      <c r="AD358" s="328">
        <f>+AD348+AD343+AD353+AD357</f>
      </c>
      <c r="AE358" s="293"/>
      <c r="AF358" s="293"/>
    </row>
    <row r="359">
      <c r="A359" s="352" t="s">
        <v>150</v>
      </c>
      <c r="B359" s="352"/>
      <c r="C359" s="352"/>
      <c r="D359" s="334" t="s">
        <v>151</v>
      </c>
      <c r="E359" s="334"/>
      <c r="F359" s="334"/>
      <c r="G359" s="334"/>
      <c r="H359" s="334"/>
      <c r="I359" s="334"/>
      <c r="J359" s="377" t="s">
        <v>152</v>
      </c>
      <c r="K359" s="377"/>
      <c r="L359" s="377"/>
      <c r="M359" s="377"/>
      <c r="N359" s="377"/>
      <c r="O359" s="377"/>
      <c r="P359" s="377"/>
      <c r="Q359" s="377"/>
      <c r="R359" s="377"/>
      <c r="S359" s="377"/>
      <c r="T359" s="370"/>
      <c r="U359" s="370"/>
      <c r="V359" s="370"/>
      <c r="W359" s="371"/>
      <c r="X359" s="371"/>
      <c r="Y359" s="371"/>
      <c r="Z359" s="371"/>
      <c r="AA359" s="371"/>
      <c r="AB359" s="371"/>
      <c r="AC359" s="371"/>
      <c r="AD359" s="372" t="s">
        <v>153</v>
      </c>
      <c r="AE359" s="293"/>
      <c r="AF359" s="293"/>
    </row>
    <row r="360">
      <c r="A360" s="354" t="s">
        <v>154</v>
      </c>
      <c r="B360" s="352" t="s">
        <v>155</v>
      </c>
      <c r="C360" s="352" t="s">
        <v>156</v>
      </c>
      <c r="D360" s="428" t="s">
        <v>157</v>
      </c>
      <c r="E360" s="427" t="s">
        <v>158</v>
      </c>
      <c r="F360" s="427" t="s">
        <v>159</v>
      </c>
      <c r="G360" s="414" t="s">
        <v>160</v>
      </c>
      <c r="H360" s="412" t="s">
        <v>161</v>
      </c>
      <c r="I360" s="413" t="s">
        <v>162</v>
      </c>
      <c r="J360" s="415" t="s">
        <v>163</v>
      </c>
      <c r="K360" s="415" t="s">
        <v>164</v>
      </c>
      <c r="L360" s="416" t="s">
        <v>165</v>
      </c>
      <c r="M360" s="378" t="s">
        <v>166</v>
      </c>
      <c r="N360" s="377" t="s">
        <v>167</v>
      </c>
      <c r="O360" s="378" t="s">
        <v>168</v>
      </c>
      <c r="P360" s="378" t="s">
        <v>169</v>
      </c>
      <c r="Q360" s="379" t="s">
        <v>170</v>
      </c>
      <c r="R360" s="378" t="s">
        <v>171</v>
      </c>
      <c r="S360" s="379" t="s">
        <v>172</v>
      </c>
      <c r="T360" s="380" t="s">
        <v>173</v>
      </c>
      <c r="U360" s="380" t="s">
        <v>174</v>
      </c>
      <c r="V360" s="380" t="s">
        <v>175</v>
      </c>
      <c r="W360" s="381" t="s">
        <v>176</v>
      </c>
      <c r="X360" s="382" t="s">
        <v>177</v>
      </c>
      <c r="Y360" s="382" t="s">
        <v>178</v>
      </c>
      <c r="Z360" s="382" t="s">
        <v>179</v>
      </c>
      <c r="AA360" s="382" t="s">
        <v>180</v>
      </c>
      <c r="AB360" s="382" t="s">
        <v>181</v>
      </c>
      <c r="AC360" s="383" t="s">
        <v>182</v>
      </c>
      <c r="AD360" s="372"/>
      <c r="AE360" s="293"/>
      <c r="AF360" s="293"/>
    </row>
    <row r="361">
      <c r="A361" s="384">
        <v>46259</v>
      </c>
      <c r="B361" s="385" t="s">
        <v>199</v>
      </c>
      <c r="C361" s="369" t="s">
        <v>184</v>
      </c>
      <c r="D361" s="360">
        <f t="shared" ref="D361:D364" si="63">E361+F361</f>
      </c>
      <c r="E361" s="402">
        <v>2000</v>
      </c>
      <c r="F361" s="369">
        <v>984.77</v>
      </c>
      <c r="G361" s="369">
        <v>0</v>
      </c>
      <c r="H361" s="369">
        <v>0</v>
      </c>
      <c r="I361" s="387">
        <f t="shared" ref="I361:I376" si="342">H361/D361</f>
      </c>
      <c r="J361" s="388">
        <f t="shared" ref="J361:J376" si="238">Y361/X361</f>
      </c>
      <c r="K361" s="389">
        <f t="shared" ref="K361:K376" si="160">D361/Z361</f>
      </c>
      <c r="L361" s="417">
        <f t="shared" ref="L361:L376" si="264">AA361/Z361</f>
      </c>
      <c r="M361" s="388">
        <f t="shared" ref="M361:M376" si="108">AB361/Z361</f>
      </c>
      <c r="N361" s="389">
        <f t="shared" ref="N361:N376" si="368">D361/AB361</f>
      </c>
      <c r="O361" s="388">
        <f t="shared" ref="O361:O376" si="290">AC361/AB361</f>
      </c>
      <c r="P361" s="388">
        <f t="shared" ref="P361:P376" si="186">G361/AC361</f>
      </c>
      <c r="Q361" s="389">
        <f t="shared" ref="Q361:Q376" si="134">D361/G361</f>
      </c>
      <c r="R361" s="390">
        <f t="shared" ref="R361:R376" si="394">H361/G361</f>
      </c>
      <c r="S361" s="389">
        <f t="shared" ref="S361:S376" si="316">D361/W361</f>
      </c>
      <c r="T361" s="391">
        <f t="shared" ref="T361:T376" si="212">AD361*1000/D361</f>
      </c>
      <c r="U361" s="392" t="s">
        <v>185</v>
      </c>
      <c r="V361" s="423" t="s">
        <v>211</v>
      </c>
      <c r="W361" s="369">
        <v>0</v>
      </c>
      <c r="X361" s="360">
        <v>9910</v>
      </c>
      <c r="Y361" s="360">
        <v>735</v>
      </c>
      <c r="Z361" s="360">
        <v>1067</v>
      </c>
      <c r="AA361" s="360">
        <v>219</v>
      </c>
      <c r="AB361" s="360">
        <v>35</v>
      </c>
      <c r="AC361" s="394">
        <v>1</v>
      </c>
      <c r="AD361" s="364">
        <v>21</v>
      </c>
      <c r="AE361" s="293"/>
      <c r="AF361" s="293"/>
    </row>
    <row r="362">
      <c r="A362" s="384"/>
      <c r="B362" s="385" t="s">
        <v>200</v>
      </c>
      <c r="C362" s="369" t="s">
        <v>184</v>
      </c>
      <c r="D362" s="360">
        <f t="shared" si="63"/>
      </c>
      <c r="E362" s="360">
        <v>1383.1</v>
      </c>
      <c r="F362" s="360">
        <v>874.6</v>
      </c>
      <c r="G362" s="369">
        <v>3</v>
      </c>
      <c r="H362" s="369">
        <v>4776.48</v>
      </c>
      <c r="I362" s="387">
        <f t="shared" si="342"/>
      </c>
      <c r="J362" s="388">
        <f t="shared" si="238"/>
      </c>
      <c r="K362" s="389">
        <f t="shared" si="160"/>
      </c>
      <c r="L362" s="417">
        <f t="shared" si="264"/>
      </c>
      <c r="M362" s="388">
        <f t="shared" si="108"/>
      </c>
      <c r="N362" s="389">
        <f t="shared" si="368"/>
      </c>
      <c r="O362" s="388">
        <f t="shared" si="290"/>
      </c>
      <c r="P362" s="388">
        <f t="shared" si="186"/>
      </c>
      <c r="Q362" s="389">
        <f t="shared" si="134"/>
      </c>
      <c r="R362" s="390">
        <f t="shared" si="394"/>
      </c>
      <c r="S362" s="389">
        <f t="shared" si="316"/>
      </c>
      <c r="T362" s="391">
        <f t="shared" si="212"/>
      </c>
      <c r="U362" s="392" t="s">
        <v>185</v>
      </c>
      <c r="V362" s="423" t="s">
        <v>211</v>
      </c>
      <c r="W362" s="360">
        <v>2</v>
      </c>
      <c r="X362" s="360">
        <v>7686</v>
      </c>
      <c r="Y362" s="360">
        <v>260</v>
      </c>
      <c r="Z362" s="360">
        <v>316</v>
      </c>
      <c r="AA362" s="360">
        <v>52</v>
      </c>
      <c r="AB362" s="360">
        <v>40</v>
      </c>
      <c r="AC362" s="395">
        <v>5</v>
      </c>
      <c r="AD362" s="359">
        <v>25</v>
      </c>
      <c r="AE362" s="293"/>
      <c r="AF362" s="293"/>
    </row>
    <row r="363">
      <c r="A363" s="384"/>
      <c r="B363" s="385" t="s">
        <v>201</v>
      </c>
      <c r="C363" s="369" t="s">
        <v>184</v>
      </c>
      <c r="D363" s="360">
        <f t="shared" si="63"/>
      </c>
      <c r="E363" s="360">
        <v>2595.59</v>
      </c>
      <c r="F363" s="360">
        <v>1140.63</v>
      </c>
      <c r="G363" s="369">
        <v>2</v>
      </c>
      <c r="H363" s="369">
        <v>8878.44</v>
      </c>
      <c r="I363" s="387">
        <f t="shared" si="342"/>
      </c>
      <c r="J363" s="388">
        <f t="shared" si="238"/>
      </c>
      <c r="K363" s="389">
        <f t="shared" si="160"/>
      </c>
      <c r="L363" s="417">
        <f t="shared" si="264"/>
      </c>
      <c r="M363" s="388">
        <f t="shared" si="108"/>
      </c>
      <c r="N363" s="389">
        <f t="shared" si="368"/>
      </c>
      <c r="O363" s="388">
        <f t="shared" si="290"/>
      </c>
      <c r="P363" s="388">
        <f t="shared" si="186"/>
      </c>
      <c r="Q363" s="389">
        <f t="shared" si="134"/>
      </c>
      <c r="R363" s="390">
        <f t="shared" si="394"/>
      </c>
      <c r="S363" s="389">
        <f t="shared" si="316"/>
      </c>
      <c r="T363" s="391">
        <f t="shared" si="212"/>
      </c>
      <c r="U363" s="392" t="s">
        <v>185</v>
      </c>
      <c r="V363" s="423" t="s">
        <v>211</v>
      </c>
      <c r="W363" s="360">
        <v>2</v>
      </c>
      <c r="X363" s="360">
        <v>9913</v>
      </c>
      <c r="Y363" s="360">
        <v>913</v>
      </c>
      <c r="Z363" s="360">
        <v>1395</v>
      </c>
      <c r="AA363" s="360">
        <v>354</v>
      </c>
      <c r="AB363" s="360">
        <v>46</v>
      </c>
      <c r="AC363" s="395">
        <v>4</v>
      </c>
      <c r="AD363" s="359">
        <v>30</v>
      </c>
      <c r="AE363" s="293"/>
      <c r="AF363" s="293"/>
    </row>
    <row r="364">
      <c r="A364" s="384"/>
      <c r="B364" s="385" t="s">
        <v>202</v>
      </c>
      <c r="C364" s="369" t="s">
        <v>184</v>
      </c>
      <c r="D364" s="360">
        <f t="shared" si="63"/>
      </c>
      <c r="E364" s="360">
        <v>909.01</v>
      </c>
      <c r="F364" s="360">
        <v>992.28</v>
      </c>
      <c r="G364" s="369">
        <v>1</v>
      </c>
      <c r="H364" s="369">
        <v>948.239999999998</v>
      </c>
      <c r="I364" s="387">
        <f t="shared" si="342"/>
      </c>
      <c r="J364" s="388">
        <f t="shared" si="238"/>
      </c>
      <c r="K364" s="389">
        <f t="shared" si="160"/>
      </c>
      <c r="L364" s="417">
        <f t="shared" si="264"/>
      </c>
      <c r="M364" s="388">
        <f t="shared" si="108"/>
      </c>
      <c r="N364" s="389">
        <f t="shared" si="368"/>
      </c>
      <c r="O364" s="388">
        <f t="shared" si="290"/>
      </c>
      <c r="P364" s="388">
        <f t="shared" si="186"/>
      </c>
      <c r="Q364" s="389">
        <f t="shared" si="134"/>
      </c>
      <c r="R364" s="390">
        <f t="shared" si="394"/>
      </c>
      <c r="S364" s="389">
        <f t="shared" si="316"/>
      </c>
      <c r="T364" s="391">
        <f t="shared" si="212"/>
      </c>
      <c r="U364" s="392" t="s">
        <v>185</v>
      </c>
      <c r="V364" s="423" t="s">
        <v>211</v>
      </c>
      <c r="W364" s="360">
        <v>1</v>
      </c>
      <c r="X364" s="360">
        <v>9482</v>
      </c>
      <c r="Y364" s="360">
        <v>353</v>
      </c>
      <c r="Z364" s="360">
        <v>476</v>
      </c>
      <c r="AA364" s="360">
        <v>82</v>
      </c>
      <c r="AB364" s="360">
        <v>43</v>
      </c>
      <c r="AC364" s="395">
        <v>3</v>
      </c>
      <c r="AD364" s="359">
        <v>14</v>
      </c>
      <c r="AE364" s="293"/>
      <c r="AF364" s="293"/>
    </row>
    <row r="365">
      <c r="A365" s="384"/>
      <c r="B365" s="361" t="s">
        <v>189</v>
      </c>
      <c r="C365" s="361"/>
      <c r="D365" s="361">
        <f>SUM(D361:D364)</f>
      </c>
      <c r="E365" s="361">
        <f>SUM(E361:E364)</f>
      </c>
      <c r="F365" s="361">
        <f>SUM(F361:F364)</f>
      </c>
      <c r="G365" s="361">
        <f>SUM(G361:G364)</f>
      </c>
      <c r="H365" s="361">
        <f>SUM(H361:H364)</f>
      </c>
      <c r="I365" s="396">
        <f t="shared" si="342"/>
      </c>
      <c r="J365" s="397">
        <f t="shared" si="238"/>
      </c>
      <c r="K365" s="398">
        <f t="shared" si="160"/>
      </c>
      <c r="L365" s="418">
        <f t="shared" si="264"/>
      </c>
      <c r="M365" s="397">
        <f t="shared" si="108"/>
      </c>
      <c r="N365" s="398">
        <f t="shared" si="368"/>
      </c>
      <c r="O365" s="397">
        <f t="shared" si="290"/>
      </c>
      <c r="P365" s="397">
        <f t="shared" si="186"/>
      </c>
      <c r="Q365" s="398">
        <f t="shared" si="134"/>
      </c>
      <c r="R365" s="399">
        <f t="shared" si="394"/>
      </c>
      <c r="S365" s="398">
        <f t="shared" si="316"/>
      </c>
      <c r="T365" s="400">
        <f t="shared" si="212"/>
      </c>
      <c r="U365" s="400"/>
      <c r="V365" s="400"/>
      <c r="W365" s="361">
        <f>SUM(W361:W364)</f>
      </c>
      <c r="X365" s="361">
        <f>SUM(X361:X364)</f>
      </c>
      <c r="Y365" s="361">
        <f>SUM(Y361:Y364)</f>
      </c>
      <c r="Z365" s="361">
        <f>SUM(Z361:Z364)</f>
      </c>
      <c r="AA365" s="361">
        <f>SUM(AA361:AA364)</f>
      </c>
      <c r="AB365" s="361">
        <f>SUM(AB361:AB364)</f>
      </c>
      <c r="AC365" s="319">
        <f>SUM(AC361:AC364)</f>
      </c>
      <c r="AD365" s="320">
        <f>SUM(AD361:AD364)</f>
      </c>
      <c r="AE365" s="293"/>
      <c r="AF365" s="293"/>
    </row>
    <row r="366">
      <c r="A366" s="384"/>
      <c r="B366" s="385" t="s">
        <v>203</v>
      </c>
      <c r="C366" s="369" t="s">
        <v>197</v>
      </c>
      <c r="D366" s="360">
        <f t="shared" ref="D366:D369" si="64">E366+F366</f>
      </c>
      <c r="E366" s="360">
        <v>1898.01</v>
      </c>
      <c r="F366" s="360">
        <v>1007.4</v>
      </c>
      <c r="G366" s="369">
        <v>2</v>
      </c>
      <c r="H366" s="369">
        <v>1962.3599999999988</v>
      </c>
      <c r="I366" s="387">
        <f t="shared" si="342"/>
      </c>
      <c r="J366" s="388">
        <f t="shared" si="238"/>
      </c>
      <c r="K366" s="389">
        <f t="shared" si="160"/>
      </c>
      <c r="L366" s="417">
        <f t="shared" si="264"/>
      </c>
      <c r="M366" s="388">
        <f t="shared" si="108"/>
      </c>
      <c r="N366" s="389">
        <f t="shared" si="368"/>
      </c>
      <c r="O366" s="388">
        <f t="shared" si="290"/>
      </c>
      <c r="P366" s="388">
        <f t="shared" si="186"/>
      </c>
      <c r="Q366" s="389">
        <f t="shared" si="134"/>
      </c>
      <c r="R366" s="390">
        <f t="shared" si="394"/>
      </c>
      <c r="S366" s="389">
        <f t="shared" si="316"/>
      </c>
      <c r="T366" s="391">
        <f t="shared" si="212"/>
      </c>
      <c r="U366" s="392" t="s">
        <v>185</v>
      </c>
      <c r="V366" s="423" t="s">
        <v>211</v>
      </c>
      <c r="W366" s="369">
        <v>2</v>
      </c>
      <c r="X366" s="360">
        <v>9839</v>
      </c>
      <c r="Y366" s="360">
        <v>348</v>
      </c>
      <c r="Z366" s="360">
        <v>388</v>
      </c>
      <c r="AA366" s="360">
        <v>108</v>
      </c>
      <c r="AB366" s="360">
        <v>61</v>
      </c>
      <c r="AC366" s="395">
        <v>4</v>
      </c>
      <c r="AD366" s="359">
        <v>16</v>
      </c>
      <c r="AE366" s="293"/>
      <c r="AF366" s="293"/>
    </row>
    <row r="367">
      <c r="A367" s="384"/>
      <c r="B367" s="385" t="s">
        <v>204</v>
      </c>
      <c r="C367" s="369" t="s">
        <v>197</v>
      </c>
      <c r="D367" s="360">
        <f t="shared" si="64"/>
      </c>
      <c r="E367" s="360">
        <v>1758.85</v>
      </c>
      <c r="F367" s="360">
        <v>997.07</v>
      </c>
      <c r="G367" s="369">
        <v>0</v>
      </c>
      <c r="H367" s="369">
        <v>0</v>
      </c>
      <c r="I367" s="387">
        <f t="shared" si="342"/>
      </c>
      <c r="J367" s="388">
        <f t="shared" si="238"/>
      </c>
      <c r="K367" s="389">
        <f t="shared" si="160"/>
      </c>
      <c r="L367" s="417">
        <f t="shared" si="264"/>
      </c>
      <c r="M367" s="388">
        <f t="shared" si="108"/>
      </c>
      <c r="N367" s="389">
        <f t="shared" si="368"/>
      </c>
      <c r="O367" s="388">
        <f t="shared" si="290"/>
      </c>
      <c r="P367" s="388">
        <f t="shared" si="186"/>
      </c>
      <c r="Q367" s="389">
        <f t="shared" si="134"/>
      </c>
      <c r="R367" s="390">
        <f t="shared" si="394"/>
      </c>
      <c r="S367" s="389">
        <f t="shared" si="316"/>
      </c>
      <c r="T367" s="391">
        <f t="shared" si="212"/>
      </c>
      <c r="U367" s="392" t="s">
        <v>185</v>
      </c>
      <c r="V367" s="423" t="s">
        <v>211</v>
      </c>
      <c r="W367" s="360">
        <v>0</v>
      </c>
      <c r="X367" s="360">
        <v>9531</v>
      </c>
      <c r="Y367" s="360">
        <v>245</v>
      </c>
      <c r="Z367" s="360">
        <v>272</v>
      </c>
      <c r="AA367" s="360">
        <v>66</v>
      </c>
      <c r="AB367" s="360">
        <v>30</v>
      </c>
      <c r="AC367" s="395">
        <v>2</v>
      </c>
      <c r="AD367" s="359">
        <v>9</v>
      </c>
      <c r="AE367" s="293"/>
      <c r="AF367" s="293"/>
    </row>
    <row r="368">
      <c r="A368" s="384"/>
      <c r="B368" s="385" t="s">
        <v>205</v>
      </c>
      <c r="C368" s="369" t="s">
        <v>197</v>
      </c>
      <c r="D368" s="360">
        <f t="shared" si="64"/>
      </c>
      <c r="E368" s="360">
        <v>1426.32</v>
      </c>
      <c r="F368" s="360">
        <v>994.43</v>
      </c>
      <c r="G368" s="369">
        <v>4</v>
      </c>
      <c r="H368" s="369">
        <v>15746.400000000001</v>
      </c>
      <c r="I368" s="387">
        <f t="shared" si="342"/>
      </c>
      <c r="J368" s="388">
        <f t="shared" si="238"/>
      </c>
      <c r="K368" s="389">
        <f t="shared" si="160"/>
      </c>
      <c r="L368" s="417">
        <f t="shared" si="264"/>
      </c>
      <c r="M368" s="388">
        <f t="shared" si="108"/>
      </c>
      <c r="N368" s="389">
        <f t="shared" si="368"/>
      </c>
      <c r="O368" s="388">
        <f t="shared" si="290"/>
      </c>
      <c r="P368" s="388">
        <f t="shared" si="186"/>
      </c>
      <c r="Q368" s="389">
        <f t="shared" si="134"/>
      </c>
      <c r="R368" s="390">
        <f t="shared" si="394"/>
      </c>
      <c r="S368" s="389">
        <f t="shared" si="316"/>
      </c>
      <c r="T368" s="391">
        <f t="shared" si="212"/>
      </c>
      <c r="U368" s="392" t="s">
        <v>185</v>
      </c>
      <c r="V368" s="423" t="s">
        <v>211</v>
      </c>
      <c r="W368" s="360">
        <v>3</v>
      </c>
      <c r="X368" s="360">
        <v>11511</v>
      </c>
      <c r="Y368" s="360">
        <v>433</v>
      </c>
      <c r="Z368" s="360">
        <v>516</v>
      </c>
      <c r="AA368" s="360">
        <v>106</v>
      </c>
      <c r="AB368" s="360">
        <v>35</v>
      </c>
      <c r="AC368" s="395">
        <v>4</v>
      </c>
      <c r="AD368" s="359">
        <v>17</v>
      </c>
      <c r="AE368" s="293"/>
      <c r="AF368" s="293"/>
    </row>
    <row r="369">
      <c r="A369" s="384"/>
      <c r="B369" s="419" t="s">
        <v>196</v>
      </c>
      <c r="C369" s="369" t="s">
        <v>197</v>
      </c>
      <c r="D369" s="360">
        <f t="shared" si="64"/>
      </c>
      <c r="E369" s="360">
        <v>1850.88</v>
      </c>
      <c r="F369" s="360">
        <v>1004.48</v>
      </c>
      <c r="G369" s="369">
        <v>4</v>
      </c>
      <c r="H369" s="369">
        <v>12976.960000000006</v>
      </c>
      <c r="I369" s="387">
        <f t="shared" si="342"/>
      </c>
      <c r="J369" s="388">
        <f t="shared" si="238"/>
      </c>
      <c r="K369" s="389">
        <f t="shared" si="160"/>
      </c>
      <c r="L369" s="417">
        <f t="shared" si="264"/>
      </c>
      <c r="M369" s="388">
        <f t="shared" si="108"/>
      </c>
      <c r="N369" s="389">
        <f t="shared" si="368"/>
      </c>
      <c r="O369" s="388">
        <f t="shared" si="290"/>
      </c>
      <c r="P369" s="388">
        <f t="shared" si="186"/>
      </c>
      <c r="Q369" s="389">
        <f t="shared" si="134"/>
      </c>
      <c r="R369" s="390">
        <f t="shared" si="394"/>
      </c>
      <c r="S369" s="389">
        <f t="shared" si="316"/>
      </c>
      <c r="T369" s="391">
        <f t="shared" si="212"/>
      </c>
      <c r="U369" s="392" t="s">
        <v>185</v>
      </c>
      <c r="V369" s="393" t="s">
        <v>186</v>
      </c>
      <c r="W369" s="360">
        <v>2</v>
      </c>
      <c r="X369" s="360">
        <v>13147</v>
      </c>
      <c r="Y369" s="360">
        <v>336</v>
      </c>
      <c r="Z369" s="360">
        <v>386</v>
      </c>
      <c r="AA369" s="360">
        <v>66</v>
      </c>
      <c r="AB369" s="360">
        <v>35</v>
      </c>
      <c r="AC369" s="395">
        <v>5</v>
      </c>
      <c r="AD369" s="359">
        <v>22</v>
      </c>
      <c r="AE369" s="293"/>
      <c r="AF369" s="293"/>
    </row>
    <row r="370">
      <c r="A370" s="384"/>
      <c r="B370" s="361" t="s">
        <v>189</v>
      </c>
      <c r="C370" s="361"/>
      <c r="D370" s="361">
        <f>SUM(D366:D369)</f>
      </c>
      <c r="E370" s="361">
        <v>1012.85</v>
      </c>
      <c r="F370" s="361">
        <f>SUM(F366:F369)</f>
      </c>
      <c r="G370" s="361">
        <f>SUM(G366:G369)</f>
      </c>
      <c r="H370" s="361">
        <f>SUM(H366:H369)</f>
      </c>
      <c r="I370" s="396">
        <f t="shared" si="342"/>
      </c>
      <c r="J370" s="397">
        <f t="shared" si="238"/>
      </c>
      <c r="K370" s="398">
        <f t="shared" si="160"/>
      </c>
      <c r="L370" s="418">
        <f t="shared" si="264"/>
      </c>
      <c r="M370" s="397">
        <f t="shared" si="108"/>
      </c>
      <c r="N370" s="398">
        <f t="shared" si="368"/>
      </c>
      <c r="O370" s="397">
        <f t="shared" si="290"/>
      </c>
      <c r="P370" s="397">
        <f t="shared" si="186"/>
      </c>
      <c r="Q370" s="398">
        <f t="shared" si="134"/>
      </c>
      <c r="R370" s="399">
        <f t="shared" si="394"/>
      </c>
      <c r="S370" s="398">
        <f t="shared" si="316"/>
      </c>
      <c r="T370" s="400">
        <f t="shared" si="212"/>
      </c>
      <c r="U370" s="400"/>
      <c r="V370" s="400"/>
      <c r="W370" s="361">
        <f>SUM(W366:W369)</f>
      </c>
      <c r="X370" s="361">
        <f>SUM(X366:X369)</f>
      </c>
      <c r="Y370" s="361">
        <f>SUM(Y366:Y369)</f>
      </c>
      <c r="Z370" s="361">
        <f>SUM(Z366:Z369)</f>
      </c>
      <c r="AA370" s="361">
        <f>SUM(AA366:AA369)</f>
      </c>
      <c r="AB370" s="361">
        <f>SUM(AB366:AB369)</f>
      </c>
      <c r="AC370" s="361">
        <f>SUM(AC366:AC369)</f>
      </c>
      <c r="AD370" s="361">
        <f>SUM(AD366:AD369)</f>
      </c>
      <c r="AE370" s="293"/>
      <c r="AF370" s="293"/>
    </row>
    <row r="371">
      <c r="A371" s="384"/>
      <c r="B371" s="401" t="s">
        <v>183</v>
      </c>
      <c r="C371" s="369" t="s">
        <v>210</v>
      </c>
      <c r="D371" s="360">
        <f t="shared" ref="D371:D374" si="65">E371+F371</f>
      </c>
      <c r="E371" s="356">
        <v>1749.69</v>
      </c>
      <c r="F371" s="356">
        <v>976.64</v>
      </c>
      <c r="G371" s="402">
        <v>3</v>
      </c>
      <c r="H371" s="402">
        <v>5887.1600000000035</v>
      </c>
      <c r="I371" s="420">
        <f t="shared" si="342"/>
      </c>
      <c r="J371" s="421">
        <f t="shared" si="238"/>
      </c>
      <c r="K371" s="422">
        <f t="shared" si="160"/>
      </c>
      <c r="L371" s="388">
        <f t="shared" si="264"/>
      </c>
      <c r="M371" s="388">
        <f t="shared" si="108"/>
      </c>
      <c r="N371" s="389">
        <f t="shared" si="368"/>
      </c>
      <c r="O371" s="388">
        <f t="shared" si="290"/>
      </c>
      <c r="P371" s="388">
        <f t="shared" si="186"/>
      </c>
      <c r="Q371" s="389">
        <f t="shared" si="134"/>
      </c>
      <c r="R371" s="390">
        <f t="shared" si="394"/>
      </c>
      <c r="S371" s="389">
        <f t="shared" si="316"/>
      </c>
      <c r="T371" s="391">
        <f t="shared" si="212"/>
      </c>
      <c r="U371" s="392" t="s">
        <v>185</v>
      </c>
      <c r="V371" s="393" t="s">
        <v>186</v>
      </c>
      <c r="W371" s="360">
        <v>2</v>
      </c>
      <c r="X371" s="360">
        <v>13024</v>
      </c>
      <c r="Y371" s="360">
        <v>461</v>
      </c>
      <c r="Z371" s="360">
        <v>543</v>
      </c>
      <c r="AA371" s="360">
        <v>154</v>
      </c>
      <c r="AB371" s="360">
        <v>41</v>
      </c>
      <c r="AC371" s="395">
        <v>5</v>
      </c>
      <c r="AD371" s="359">
        <v>35</v>
      </c>
      <c r="AE371" s="293"/>
      <c r="AF371" s="293"/>
    </row>
    <row r="372">
      <c r="A372" s="384"/>
      <c r="B372" s="385" t="s">
        <v>187</v>
      </c>
      <c r="C372" s="369" t="s">
        <v>210</v>
      </c>
      <c r="D372" s="360">
        <f t="shared" si="65"/>
      </c>
      <c r="E372" s="360">
        <v>1145.33</v>
      </c>
      <c r="F372" s="360">
        <v>1003.69</v>
      </c>
      <c r="G372" s="369">
        <v>1</v>
      </c>
      <c r="H372" s="369">
        <v>2625.479999999996</v>
      </c>
      <c r="I372" s="387">
        <f t="shared" si="342"/>
      </c>
      <c r="J372" s="388">
        <f t="shared" si="238"/>
      </c>
      <c r="K372" s="389">
        <f t="shared" si="160"/>
      </c>
      <c r="L372" s="388">
        <f t="shared" si="264"/>
      </c>
      <c r="M372" s="388">
        <f t="shared" si="108"/>
      </c>
      <c r="N372" s="389">
        <f t="shared" si="368"/>
      </c>
      <c r="O372" s="388">
        <f t="shared" si="290"/>
      </c>
      <c r="P372" s="388">
        <f t="shared" si="186"/>
      </c>
      <c r="Q372" s="389">
        <f t="shared" si="134"/>
      </c>
      <c r="R372" s="390">
        <f t="shared" si="394"/>
      </c>
      <c r="S372" s="389">
        <f t="shared" si="316"/>
      </c>
      <c r="T372" s="391">
        <f t="shared" si="212"/>
      </c>
      <c r="U372" s="392" t="s">
        <v>185</v>
      </c>
      <c r="V372" s="393" t="s">
        <v>186</v>
      </c>
      <c r="W372" s="360">
        <v>1</v>
      </c>
      <c r="X372" s="360">
        <v>11683</v>
      </c>
      <c r="Y372" s="360">
        <v>416</v>
      </c>
      <c r="Z372" s="360">
        <v>529</v>
      </c>
      <c r="AA372" s="360">
        <v>95</v>
      </c>
      <c r="AB372" s="360">
        <v>24</v>
      </c>
      <c r="AC372" s="395">
        <v>2</v>
      </c>
      <c r="AD372" s="359">
        <v>10</v>
      </c>
      <c r="AE372" s="293"/>
      <c r="AF372" s="293"/>
    </row>
    <row r="373">
      <c r="A373" s="384"/>
      <c r="B373" s="385" t="s">
        <v>188</v>
      </c>
      <c r="C373" s="369" t="s">
        <v>210</v>
      </c>
      <c r="D373" s="360">
        <f t="shared" si="65"/>
      </c>
      <c r="E373" s="360">
        <v>1099.1</v>
      </c>
      <c r="F373" s="360">
        <v>1039.33</v>
      </c>
      <c r="G373" s="369">
        <v>0</v>
      </c>
      <c r="H373" s="369">
        <v>0</v>
      </c>
      <c r="I373" s="387">
        <f t="shared" si="342"/>
      </c>
      <c r="J373" s="388">
        <f t="shared" si="238"/>
      </c>
      <c r="K373" s="389">
        <f t="shared" si="160"/>
      </c>
      <c r="L373" s="388">
        <f t="shared" si="264"/>
      </c>
      <c r="M373" s="388">
        <f t="shared" si="108"/>
      </c>
      <c r="N373" s="389">
        <f t="shared" si="368"/>
      </c>
      <c r="O373" s="388">
        <f t="shared" si="290"/>
      </c>
      <c r="P373" s="388">
        <f t="shared" si="186"/>
      </c>
      <c r="Q373" s="389">
        <f t="shared" si="134"/>
      </c>
      <c r="R373" s="390">
        <f t="shared" si="394"/>
      </c>
      <c r="S373" s="389">
        <f t="shared" si="316"/>
      </c>
      <c r="T373" s="391">
        <f t="shared" si="212"/>
      </c>
      <c r="U373" s="392" t="s">
        <v>185</v>
      </c>
      <c r="V373" s="393" t="s">
        <v>186</v>
      </c>
      <c r="W373" s="360">
        <v>0</v>
      </c>
      <c r="X373" s="360">
        <v>12250</v>
      </c>
      <c r="Y373" s="360">
        <v>464</v>
      </c>
      <c r="Z373" s="360">
        <v>604</v>
      </c>
      <c r="AA373" s="360">
        <v>103</v>
      </c>
      <c r="AB373" s="360">
        <v>18</v>
      </c>
      <c r="AC373" s="395">
        <v>0</v>
      </c>
      <c r="AD373" s="359">
        <v>15</v>
      </c>
      <c r="AE373" s="293"/>
      <c r="AF373" s="293"/>
    </row>
    <row customHeight="true" ht="18.452380952380953" r="374">
      <c r="A374" s="384"/>
      <c r="B374" s="429" t="s">
        <v>190</v>
      </c>
      <c r="C374" s="369" t="s">
        <v>210</v>
      </c>
      <c r="D374" s="360">
        <f t="shared" si="65"/>
      </c>
      <c r="E374" s="360">
        <v>1920.6</v>
      </c>
      <c r="F374" s="360">
        <v>1230.26</v>
      </c>
      <c r="G374" s="369">
        <v>2</v>
      </c>
      <c r="H374" s="369">
        <v>3148.800000000003</v>
      </c>
      <c r="I374" s="387">
        <f t="shared" si="342"/>
      </c>
      <c r="J374" s="388">
        <f t="shared" si="238"/>
      </c>
      <c r="K374" s="389">
        <f t="shared" si="160"/>
      </c>
      <c r="L374" s="388">
        <f t="shared" si="264"/>
      </c>
      <c r="M374" s="388">
        <f t="shared" si="108"/>
      </c>
      <c r="N374" s="389">
        <f t="shared" si="368"/>
      </c>
      <c r="O374" s="388">
        <f t="shared" si="290"/>
      </c>
      <c r="P374" s="388">
        <f t="shared" si="186"/>
      </c>
      <c r="Q374" s="389">
        <f t="shared" si="134"/>
      </c>
      <c r="R374" s="390">
        <f t="shared" si="394"/>
      </c>
      <c r="S374" s="389">
        <f t="shared" si="316"/>
      </c>
      <c r="T374" s="391">
        <f t="shared" si="212"/>
      </c>
      <c r="U374" s="392" t="s">
        <v>185</v>
      </c>
      <c r="V374" s="393" t="s">
        <v>186</v>
      </c>
      <c r="W374" s="360">
        <v>2</v>
      </c>
      <c r="X374" s="360">
        <v>12342</v>
      </c>
      <c r="Y374" s="360">
        <v>850</v>
      </c>
      <c r="Z374" s="360">
        <v>1289</v>
      </c>
      <c r="AA374" s="360">
        <v>300</v>
      </c>
      <c r="AB374" s="360">
        <v>33</v>
      </c>
      <c r="AC374" s="395">
        <v>2</v>
      </c>
      <c r="AD374" s="359">
        <v>30</v>
      </c>
      <c r="AE374" s="293"/>
      <c r="AF374" s="293"/>
    </row>
    <row r="375">
      <c r="A375" s="384"/>
      <c r="B375" s="361" t="s">
        <v>189</v>
      </c>
      <c r="C375" s="361"/>
      <c r="D375" s="361">
        <f>SUM(D371:D374)</f>
      </c>
      <c r="E375" s="361">
        <f>SUM(E371:E374)</f>
      </c>
      <c r="F375" s="361">
        <f>SUM(F371:F374)</f>
      </c>
      <c r="G375" s="361">
        <f>SUM(G371:G374)</f>
      </c>
      <c r="H375" s="361">
        <f>SUM(H371:H374)</f>
      </c>
      <c r="I375" s="344">
        <f t="shared" si="342"/>
      </c>
      <c r="J375" s="345">
        <f t="shared" si="238"/>
      </c>
      <c r="K375" s="323">
        <f t="shared" si="160"/>
      </c>
      <c r="L375" s="322">
        <f t="shared" si="264"/>
      </c>
      <c r="M375" s="322">
        <f t="shared" si="108"/>
      </c>
      <c r="N375" s="323">
        <f t="shared" si="368"/>
      </c>
      <c r="O375" s="322">
        <f t="shared" si="290"/>
      </c>
      <c r="P375" s="322">
        <f t="shared" si="186"/>
      </c>
      <c r="Q375" s="324">
        <f t="shared" si="134"/>
      </c>
      <c r="R375" s="325">
        <f t="shared" si="394"/>
      </c>
      <c r="S375" s="324">
        <f t="shared" si="316"/>
      </c>
      <c r="T375" s="326">
        <f t="shared" si="212"/>
      </c>
      <c r="U375" s="326"/>
      <c r="V375" s="326"/>
      <c r="W375" s="320">
        <f>SUM(W371:W374)</f>
      </c>
      <c r="X375" s="320">
        <f>SUM(X371:X374)</f>
      </c>
      <c r="Y375" s="320">
        <f>SUM(Y371:Y374)</f>
      </c>
      <c r="Z375" s="320">
        <f>SUM(Z371:Z374)</f>
      </c>
      <c r="AA375" s="320">
        <f>SUM(AA371:AA374)</f>
      </c>
      <c r="AB375" s="320">
        <f>SUM(AB371:AB374)</f>
      </c>
      <c r="AC375" s="320">
        <f>SUM(AC371:AC374)</f>
      </c>
      <c r="AD375" s="320">
        <f>SUM(AD371:AD374)</f>
      </c>
      <c r="AE375" s="293"/>
      <c r="AF375" s="293"/>
    </row>
    <row r="376">
      <c r="A376" s="384"/>
      <c r="B376" s="366" t="s">
        <v>195</v>
      </c>
      <c r="C376" s="366"/>
      <c r="D376" s="367">
        <f>+D370+D365+D375</f>
      </c>
      <c r="E376" s="367">
        <f>+E370+E365+E375</f>
      </c>
      <c r="F376" s="367">
        <f>+F370+F365+F375</f>
      </c>
      <c r="G376" s="367">
        <f>+G370+G365+G375</f>
      </c>
      <c r="H376" s="367">
        <f>+H370+H365+H375</f>
      </c>
      <c r="I376" s="328">
        <f t="shared" si="342"/>
      </c>
      <c r="J376" s="329">
        <f t="shared" si="238"/>
      </c>
      <c r="K376" s="330">
        <f t="shared" si="160"/>
      </c>
      <c r="L376" s="331">
        <f t="shared" si="264"/>
      </c>
      <c r="M376" s="331">
        <f t="shared" si="108"/>
      </c>
      <c r="N376" s="330">
        <f t="shared" si="368"/>
      </c>
      <c r="O376" s="331">
        <f t="shared" si="290"/>
      </c>
      <c r="P376" s="331">
        <f t="shared" si="186"/>
      </c>
      <c r="Q376" s="330">
        <f t="shared" si="134"/>
      </c>
      <c r="R376" s="332">
        <f t="shared" si="394"/>
      </c>
      <c r="S376" s="330">
        <f t="shared" si="316"/>
      </c>
      <c r="T376" s="333">
        <f t="shared" si="212"/>
      </c>
      <c r="U376" s="333"/>
      <c r="V376" s="333"/>
      <c r="W376" s="328">
        <f>+W370+W365+W375</f>
      </c>
      <c r="X376" s="328">
        <f>+X370+X365+X375</f>
      </c>
      <c r="Y376" s="328">
        <f>+Y370+Y365+Y375</f>
      </c>
      <c r="Z376" s="328">
        <f>+Z370+Z365+Z375</f>
      </c>
      <c r="AA376" s="328">
        <f>+AA370+AA365+AA375</f>
      </c>
      <c r="AB376" s="328">
        <f>+AB370+AB365+AB375</f>
      </c>
      <c r="AC376" s="328">
        <f>+AC370+AC365+AC375</f>
      </c>
      <c r="AD376" s="328">
        <f>+AD370+AD365+AD375</f>
      </c>
      <c r="AE376" s="293"/>
      <c r="AF376" s="293"/>
    </row>
    <row r="377">
      <c r="A377" s="352" t="s">
        <v>150</v>
      </c>
      <c r="B377" s="352"/>
      <c r="C377" s="352"/>
      <c r="D377" s="334" t="s">
        <v>151</v>
      </c>
      <c r="E377" s="334"/>
      <c r="F377" s="334"/>
      <c r="G377" s="334"/>
      <c r="H377" s="334"/>
      <c r="I377" s="334"/>
      <c r="J377" s="377" t="s">
        <v>152</v>
      </c>
      <c r="K377" s="377"/>
      <c r="L377" s="377"/>
      <c r="M377" s="377"/>
      <c r="N377" s="377"/>
      <c r="O377" s="377"/>
      <c r="P377" s="377"/>
      <c r="Q377" s="377"/>
      <c r="R377" s="377"/>
      <c r="S377" s="377"/>
      <c r="T377" s="370"/>
      <c r="U377" s="370"/>
      <c r="V377" s="370"/>
      <c r="W377" s="371"/>
      <c r="X377" s="371"/>
      <c r="Y377" s="371"/>
      <c r="Z377" s="371"/>
      <c r="AA377" s="371"/>
      <c r="AB377" s="371"/>
      <c r="AC377" s="371"/>
      <c r="AD377" s="372" t="s">
        <v>153</v>
      </c>
      <c r="AE377" s="293"/>
      <c r="AF377" s="293"/>
    </row>
    <row r="378">
      <c r="A378" s="354" t="s">
        <v>154</v>
      </c>
      <c r="B378" s="352" t="s">
        <v>155</v>
      </c>
      <c r="C378" s="352" t="s">
        <v>156</v>
      </c>
      <c r="D378" s="428" t="s">
        <v>157</v>
      </c>
      <c r="E378" s="427" t="s">
        <v>158</v>
      </c>
      <c r="F378" s="427" t="s">
        <v>159</v>
      </c>
      <c r="G378" s="414" t="s">
        <v>160</v>
      </c>
      <c r="H378" s="412" t="s">
        <v>161</v>
      </c>
      <c r="I378" s="413" t="s">
        <v>162</v>
      </c>
      <c r="J378" s="415" t="s">
        <v>163</v>
      </c>
      <c r="K378" s="415" t="s">
        <v>164</v>
      </c>
      <c r="L378" s="416" t="s">
        <v>165</v>
      </c>
      <c r="M378" s="378" t="s">
        <v>166</v>
      </c>
      <c r="N378" s="377" t="s">
        <v>167</v>
      </c>
      <c r="O378" s="378" t="s">
        <v>168</v>
      </c>
      <c r="P378" s="378" t="s">
        <v>169</v>
      </c>
      <c r="Q378" s="379" t="s">
        <v>170</v>
      </c>
      <c r="R378" s="378" t="s">
        <v>171</v>
      </c>
      <c r="S378" s="379" t="s">
        <v>172</v>
      </c>
      <c r="T378" s="380" t="s">
        <v>173</v>
      </c>
      <c r="U378" s="380" t="s">
        <v>174</v>
      </c>
      <c r="V378" s="380" t="s">
        <v>175</v>
      </c>
      <c r="W378" s="381" t="s">
        <v>176</v>
      </c>
      <c r="X378" s="382" t="s">
        <v>177</v>
      </c>
      <c r="Y378" s="382" t="s">
        <v>178</v>
      </c>
      <c r="Z378" s="382" t="s">
        <v>179</v>
      </c>
      <c r="AA378" s="382" t="s">
        <v>180</v>
      </c>
      <c r="AB378" s="382" t="s">
        <v>181</v>
      </c>
      <c r="AC378" s="383" t="s">
        <v>182</v>
      </c>
      <c r="AD378" s="372"/>
      <c r="AE378" s="293"/>
      <c r="AF378" s="293"/>
    </row>
    <row r="379">
      <c r="A379" s="384">
        <v>46260</v>
      </c>
      <c r="B379" s="385" t="s">
        <v>199</v>
      </c>
      <c r="C379" s="369" t="s">
        <v>184</v>
      </c>
      <c r="D379" s="360">
        <f t="shared" ref="D379:D382" si="66">E379+F379</f>
      </c>
      <c r="E379" s="402">
        <v>2000</v>
      </c>
      <c r="F379" s="369">
        <v>1000</v>
      </c>
      <c r="G379" s="369">
        <v>3</v>
      </c>
      <c r="H379" s="369">
        <v>5055.120000000001</v>
      </c>
      <c r="I379" s="387">
        <f t="shared" ref="I379:I394" si="343">H379/D379</f>
      </c>
      <c r="J379" s="388">
        <f t="shared" ref="J379:J394" si="239">Y379/X379</f>
      </c>
      <c r="K379" s="389">
        <f t="shared" ref="K379:K394" si="161">D379/Z379</f>
      </c>
      <c r="L379" s="417">
        <f t="shared" ref="L379:L394" si="265">AA379/Z379</f>
      </c>
      <c r="M379" s="388">
        <f t="shared" ref="M379:M394" si="109">AB379/Z379</f>
      </c>
      <c r="N379" s="389">
        <f t="shared" ref="N379:N394" si="369">D379/AB379</f>
      </c>
      <c r="O379" s="388">
        <f t="shared" ref="O379:O394" si="291">AC379/AB379</f>
      </c>
      <c r="P379" s="388">
        <f t="shared" ref="P379:P394" si="187">G379/AC379</f>
      </c>
      <c r="Q379" s="389">
        <f t="shared" ref="Q379:Q394" si="135">D379/G379</f>
      </c>
      <c r="R379" s="390">
        <f t="shared" ref="R379:R394" si="395">H379/G379</f>
      </c>
      <c r="S379" s="389">
        <f t="shared" ref="S379:S394" si="317">D379/W379</f>
      </c>
      <c r="T379" s="391">
        <f t="shared" ref="T379:T394" si="213">AD379*1000/D379</f>
      </c>
      <c r="U379" s="392" t="s">
        <v>185</v>
      </c>
      <c r="V379" s="423" t="s">
        <v>211</v>
      </c>
      <c r="W379" s="369">
        <v>3</v>
      </c>
      <c r="X379" s="360">
        <v>9732</v>
      </c>
      <c r="Y379" s="360">
        <v>762</v>
      </c>
      <c r="Z379" s="360">
        <v>1213</v>
      </c>
      <c r="AA379" s="360">
        <v>277</v>
      </c>
      <c r="AB379" s="360">
        <v>38</v>
      </c>
      <c r="AC379" s="394">
        <v>5</v>
      </c>
      <c r="AD379" s="364">
        <v>22</v>
      </c>
      <c r="AE379" s="293"/>
      <c r="AF379" s="293"/>
    </row>
    <row r="380">
      <c r="A380" s="384"/>
      <c r="B380" s="385" t="s">
        <v>200</v>
      </c>
      <c r="C380" s="369" t="s">
        <v>184</v>
      </c>
      <c r="D380" s="360">
        <f t="shared" si="66"/>
      </c>
      <c r="E380" s="360">
        <v>2644.92</v>
      </c>
      <c r="F380" s="360">
        <v>971.65</v>
      </c>
      <c r="G380" s="369">
        <v>0</v>
      </c>
      <c r="H380" s="369">
        <v>0</v>
      </c>
      <c r="I380" s="387">
        <f t="shared" si="343"/>
      </c>
      <c r="J380" s="388">
        <f t="shared" si="239"/>
      </c>
      <c r="K380" s="389">
        <f t="shared" si="161"/>
      </c>
      <c r="L380" s="417">
        <f t="shared" si="265"/>
      </c>
      <c r="M380" s="388">
        <f t="shared" si="109"/>
      </c>
      <c r="N380" s="389">
        <f t="shared" si="369"/>
      </c>
      <c r="O380" s="388">
        <f t="shared" si="291"/>
      </c>
      <c r="P380" s="388">
        <f t="shared" si="187"/>
      </c>
      <c r="Q380" s="389">
        <f t="shared" si="135"/>
      </c>
      <c r="R380" s="390">
        <f t="shared" si="395"/>
      </c>
      <c r="S380" s="389">
        <f t="shared" si="317"/>
      </c>
      <c r="T380" s="391">
        <f t="shared" si="213"/>
      </c>
      <c r="U380" s="392" t="s">
        <v>185</v>
      </c>
      <c r="V380" s="423" t="s">
        <v>211</v>
      </c>
      <c r="W380" s="360">
        <v>0</v>
      </c>
      <c r="X380" s="360">
        <v>8447</v>
      </c>
      <c r="Y380" s="360">
        <v>677</v>
      </c>
      <c r="Z380" s="360">
        <v>817</v>
      </c>
      <c r="AA380" s="360">
        <v>203</v>
      </c>
      <c r="AB380" s="360">
        <v>22</v>
      </c>
      <c r="AC380" s="395">
        <v>3</v>
      </c>
      <c r="AD380" s="359">
        <v>32</v>
      </c>
      <c r="AE380" s="293"/>
      <c r="AF380" s="293"/>
    </row>
    <row r="381">
      <c r="A381" s="384"/>
      <c r="B381" s="385" t="s">
        <v>201</v>
      </c>
      <c r="C381" s="369" t="s">
        <v>184</v>
      </c>
      <c r="D381" s="360">
        <f t="shared" si="66"/>
      </c>
      <c r="E381" s="360">
        <v>1925.26</v>
      </c>
      <c r="F381" s="360">
        <v>635.33</v>
      </c>
      <c r="G381" s="369">
        <v>1</v>
      </c>
      <c r="H381" s="369">
        <v>2977.079999999998</v>
      </c>
      <c r="I381" s="387">
        <f t="shared" si="343"/>
      </c>
      <c r="J381" s="388">
        <f t="shared" si="239"/>
      </c>
      <c r="K381" s="389">
        <f t="shared" si="161"/>
      </c>
      <c r="L381" s="417">
        <f t="shared" si="265"/>
      </c>
      <c r="M381" s="388">
        <f t="shared" si="109"/>
      </c>
      <c r="N381" s="389">
        <f t="shared" si="369"/>
      </c>
      <c r="O381" s="388">
        <f t="shared" si="291"/>
      </c>
      <c r="P381" s="388">
        <f t="shared" si="187"/>
      </c>
      <c r="Q381" s="389">
        <f t="shared" si="135"/>
      </c>
      <c r="R381" s="390">
        <f t="shared" si="395"/>
      </c>
      <c r="S381" s="389">
        <f t="shared" si="317"/>
      </c>
      <c r="T381" s="391">
        <f t="shared" si="213"/>
      </c>
      <c r="U381" s="392" t="s">
        <v>185</v>
      </c>
      <c r="V381" s="423" t="s">
        <v>211</v>
      </c>
      <c r="W381" s="360">
        <v>1</v>
      </c>
      <c r="X381" s="360">
        <v>7339</v>
      </c>
      <c r="Y381" s="360">
        <v>464</v>
      </c>
      <c r="Z381" s="360">
        <v>606</v>
      </c>
      <c r="AA381" s="360">
        <v>180</v>
      </c>
      <c r="AB381" s="360">
        <v>31</v>
      </c>
      <c r="AC381" s="395">
        <v>3</v>
      </c>
      <c r="AD381" s="359">
        <v>13</v>
      </c>
      <c r="AE381" s="293"/>
      <c r="AF381" s="293"/>
    </row>
    <row r="382">
      <c r="A382" s="384"/>
      <c r="B382" s="385" t="s">
        <v>202</v>
      </c>
      <c r="C382" s="369" t="s">
        <v>184</v>
      </c>
      <c r="D382" s="360">
        <f t="shared" si="66"/>
      </c>
      <c r="E382" s="360">
        <v>612.72</v>
      </c>
      <c r="F382" s="360">
        <v>242.65</v>
      </c>
      <c r="G382" s="369">
        <v>1</v>
      </c>
      <c r="H382" s="369">
        <v>2051.880000000001</v>
      </c>
      <c r="I382" s="387">
        <f t="shared" si="343"/>
      </c>
      <c r="J382" s="388">
        <f t="shared" si="239"/>
      </c>
      <c r="K382" s="389">
        <f t="shared" si="161"/>
      </c>
      <c r="L382" s="417">
        <f t="shared" si="265"/>
      </c>
      <c r="M382" s="388">
        <f t="shared" si="109"/>
      </c>
      <c r="N382" s="389">
        <f t="shared" si="369"/>
      </c>
      <c r="O382" s="388">
        <f t="shared" si="291"/>
      </c>
      <c r="P382" s="388">
        <f t="shared" si="187"/>
      </c>
      <c r="Q382" s="389">
        <f t="shared" si="135"/>
      </c>
      <c r="R382" s="390">
        <f t="shared" si="395"/>
      </c>
      <c r="S382" s="389">
        <f t="shared" si="317"/>
      </c>
      <c r="T382" s="391">
        <f t="shared" si="213"/>
      </c>
      <c r="U382" s="392" t="s">
        <v>185</v>
      </c>
      <c r="V382" s="423" t="s">
        <v>211</v>
      </c>
      <c r="W382" s="360">
        <v>0</v>
      </c>
      <c r="X382" s="360">
        <v>1591</v>
      </c>
      <c r="Y382" s="360">
        <v>89</v>
      </c>
      <c r="Z382" s="360">
        <v>138</v>
      </c>
      <c r="AA382" s="360">
        <v>23</v>
      </c>
      <c r="AB382" s="369">
        <v>5</v>
      </c>
      <c r="AC382" s="395">
        <v>2</v>
      </c>
      <c r="AD382" s="359">
        <v>3</v>
      </c>
      <c r="AE382" s="293"/>
      <c r="AF382" s="293"/>
    </row>
    <row r="383">
      <c r="A383" s="384"/>
      <c r="B383" s="361" t="s">
        <v>189</v>
      </c>
      <c r="C383" s="361"/>
      <c r="D383" s="361">
        <f>SUM(D379:D382)</f>
      </c>
      <c r="E383" s="361">
        <f>SUM(E379:E382)</f>
      </c>
      <c r="F383" s="361">
        <f>SUM(F379:F382)</f>
      </c>
      <c r="G383" s="361">
        <f>SUM(G379:G382)</f>
      </c>
      <c r="H383" s="361">
        <f>SUM(H379:H382)</f>
      </c>
      <c r="I383" s="396">
        <f t="shared" si="343"/>
      </c>
      <c r="J383" s="397">
        <f t="shared" si="239"/>
      </c>
      <c r="K383" s="398">
        <f t="shared" si="161"/>
      </c>
      <c r="L383" s="418">
        <f t="shared" si="265"/>
      </c>
      <c r="M383" s="397">
        <f t="shared" si="109"/>
      </c>
      <c r="N383" s="398">
        <f t="shared" si="369"/>
      </c>
      <c r="O383" s="397">
        <f t="shared" si="291"/>
      </c>
      <c r="P383" s="397">
        <f t="shared" si="187"/>
      </c>
      <c r="Q383" s="398">
        <f t="shared" si="135"/>
      </c>
      <c r="R383" s="399">
        <f t="shared" si="395"/>
      </c>
      <c r="S383" s="398">
        <f t="shared" si="317"/>
      </c>
      <c r="T383" s="400">
        <f t="shared" si="213"/>
      </c>
      <c r="U383" s="400"/>
      <c r="V383" s="400"/>
      <c r="W383" s="361">
        <f>SUM(W379:W382)</f>
      </c>
      <c r="X383" s="361">
        <f>SUM(X379:X382)</f>
      </c>
      <c r="Y383" s="361">
        <f>SUM(Y379:Y382)</f>
      </c>
      <c r="Z383" s="361">
        <f>SUM(Z379:Z382)</f>
      </c>
      <c r="AA383" s="361">
        <f>SUM(AA379:AA382)</f>
      </c>
      <c r="AB383" s="361">
        <f>SUM(AB379:AB382)</f>
      </c>
      <c r="AC383" s="319">
        <f>SUM(AC379:AC382)</f>
      </c>
      <c r="AD383" s="320">
        <f>SUM(AD379:AD382)</f>
      </c>
      <c r="AE383" s="293"/>
      <c r="AF383" s="293"/>
    </row>
    <row r="384">
      <c r="A384" s="384"/>
      <c r="B384" s="385" t="s">
        <v>203</v>
      </c>
      <c r="C384" s="369" t="s">
        <v>197</v>
      </c>
      <c r="D384" s="360">
        <f t="shared" ref="D384:D387" si="67">E384+F384</f>
      </c>
      <c r="E384" s="360">
        <v>1338.4099999999999</v>
      </c>
      <c r="F384" s="360">
        <v>225.14</v>
      </c>
      <c r="G384" s="369">
        <v>0</v>
      </c>
      <c r="H384" s="369">
        <v>0</v>
      </c>
      <c r="I384" s="387">
        <f t="shared" si="343"/>
      </c>
      <c r="J384" s="388">
        <f t="shared" si="239"/>
      </c>
      <c r="K384" s="389">
        <f t="shared" si="161"/>
      </c>
      <c r="L384" s="417">
        <f t="shared" si="265"/>
      </c>
      <c r="M384" s="388">
        <f t="shared" si="109"/>
      </c>
      <c r="N384" s="389">
        <f t="shared" si="369"/>
      </c>
      <c r="O384" s="388">
        <f t="shared" si="291"/>
      </c>
      <c r="P384" s="388">
        <f t="shared" si="187"/>
      </c>
      <c r="Q384" s="389">
        <f t="shared" si="135"/>
      </c>
      <c r="R384" s="390">
        <f t="shared" si="395"/>
      </c>
      <c r="S384" s="389">
        <f t="shared" si="317"/>
      </c>
      <c r="T384" s="391">
        <f t="shared" si="213"/>
      </c>
      <c r="U384" s="392" t="s">
        <v>185</v>
      </c>
      <c r="V384" s="423" t="s">
        <v>211</v>
      </c>
      <c r="W384" s="369">
        <v>0</v>
      </c>
      <c r="X384" s="360">
        <v>3264</v>
      </c>
      <c r="Y384" s="360">
        <v>156</v>
      </c>
      <c r="Z384" s="360">
        <v>203</v>
      </c>
      <c r="AA384" s="360">
        <v>42</v>
      </c>
      <c r="AB384" s="360">
        <v>1</v>
      </c>
      <c r="AC384" s="395">
        <v>3</v>
      </c>
      <c r="AD384" s="359">
        <v>3</v>
      </c>
      <c r="AE384" s="293"/>
      <c r="AF384" s="293"/>
    </row>
    <row r="385">
      <c r="A385" s="384"/>
      <c r="B385" s="385" t="s">
        <v>204</v>
      </c>
      <c r="C385" s="369" t="s">
        <v>197</v>
      </c>
      <c r="D385" s="360">
        <f t="shared" si="67"/>
      </c>
      <c r="E385" s="360">
        <v>994.72</v>
      </c>
      <c r="F385" s="360">
        <v>103.03</v>
      </c>
      <c r="G385" s="369">
        <v>0</v>
      </c>
      <c r="H385" s="369">
        <v>0</v>
      </c>
      <c r="I385" s="387">
        <f t="shared" si="343"/>
      </c>
      <c r="J385" s="388">
        <f t="shared" si="239"/>
      </c>
      <c r="K385" s="389">
        <f t="shared" si="161"/>
      </c>
      <c r="L385" s="417">
        <f t="shared" si="265"/>
      </c>
      <c r="M385" s="388">
        <f t="shared" si="109"/>
      </c>
      <c r="N385" s="389">
        <f t="shared" si="369"/>
      </c>
      <c r="O385" s="388">
        <f t="shared" si="291"/>
      </c>
      <c r="P385" s="388">
        <f t="shared" si="187"/>
      </c>
      <c r="Q385" s="389">
        <f t="shared" si="135"/>
      </c>
      <c r="R385" s="390">
        <f t="shared" si="395"/>
      </c>
      <c r="S385" s="389">
        <f t="shared" si="317"/>
      </c>
      <c r="T385" s="391">
        <f t="shared" si="213"/>
      </c>
      <c r="U385" s="392" t="s">
        <v>185</v>
      </c>
      <c r="V385" s="423" t="s">
        <v>211</v>
      </c>
      <c r="W385" s="360">
        <v>0</v>
      </c>
      <c r="X385" s="360">
        <v>2806</v>
      </c>
      <c r="Y385" s="360">
        <v>98</v>
      </c>
      <c r="Z385" s="360">
        <v>146</v>
      </c>
      <c r="AA385" s="360">
        <v>25</v>
      </c>
      <c r="AB385" s="360">
        <v>1</v>
      </c>
      <c r="AC385" s="395">
        <v>1</v>
      </c>
      <c r="AD385" s="359">
        <v>7</v>
      </c>
      <c r="AE385" s="293"/>
      <c r="AF385" s="293"/>
    </row>
    <row r="386">
      <c r="A386" s="384"/>
      <c r="B386" s="385" t="s">
        <v>205</v>
      </c>
      <c r="C386" s="369" t="s">
        <v>197</v>
      </c>
      <c r="D386" s="360">
        <f t="shared" si="67"/>
      </c>
      <c r="E386" s="360">
        <v>1951.9700000000003</v>
      </c>
      <c r="F386" s="360">
        <v>1404.36</v>
      </c>
      <c r="G386" s="369">
        <v>1</v>
      </c>
      <c r="H386" s="369">
        <v>739.7999999999993</v>
      </c>
      <c r="I386" s="387">
        <f t="shared" si="343"/>
      </c>
      <c r="J386" s="388">
        <f t="shared" si="239"/>
      </c>
      <c r="K386" s="389">
        <f t="shared" si="161"/>
      </c>
      <c r="L386" s="417">
        <f t="shared" si="265"/>
      </c>
      <c r="M386" s="388">
        <f t="shared" si="109"/>
      </c>
      <c r="N386" s="389">
        <f t="shared" si="369"/>
      </c>
      <c r="O386" s="388">
        <f t="shared" si="291"/>
      </c>
      <c r="P386" s="388">
        <f t="shared" si="187"/>
      </c>
      <c r="Q386" s="389">
        <f t="shared" si="135"/>
      </c>
      <c r="R386" s="390">
        <f t="shared" si="395"/>
      </c>
      <c r="S386" s="389">
        <f t="shared" si="317"/>
      </c>
      <c r="T386" s="391">
        <f t="shared" si="213"/>
      </c>
      <c r="U386" s="392" t="s">
        <v>185</v>
      </c>
      <c r="V386" s="423" t="s">
        <v>211</v>
      </c>
      <c r="W386" s="360">
        <v>1</v>
      </c>
      <c r="X386" s="360">
        <v>10699</v>
      </c>
      <c r="Y386" s="360">
        <v>633</v>
      </c>
      <c r="Z386" s="360">
        <v>866</v>
      </c>
      <c r="AA386" s="360">
        <v>147</v>
      </c>
      <c r="AB386" s="360">
        <v>37</v>
      </c>
      <c r="AC386" s="395">
        <v>1</v>
      </c>
      <c r="AD386" s="359">
        <v>22</v>
      </c>
      <c r="AE386" s="293"/>
      <c r="AF386" s="293"/>
    </row>
    <row r="387">
      <c r="A387" s="384"/>
      <c r="B387" s="419" t="s">
        <v>196</v>
      </c>
      <c r="C387" s="369" t="s">
        <v>197</v>
      </c>
      <c r="D387" s="360">
        <f t="shared" si="67"/>
      </c>
      <c r="E387" s="360">
        <v>1607.38</v>
      </c>
      <c r="F387" s="360">
        <v>1215.74</v>
      </c>
      <c r="G387" s="369">
        <v>2</v>
      </c>
      <c r="H387" s="369">
        <v>1688.0400000000009</v>
      </c>
      <c r="I387" s="387">
        <f t="shared" si="343"/>
      </c>
      <c r="J387" s="388">
        <f t="shared" si="239"/>
      </c>
      <c r="K387" s="389">
        <f t="shared" si="161"/>
      </c>
      <c r="L387" s="417">
        <f t="shared" si="265"/>
      </c>
      <c r="M387" s="388">
        <f t="shared" si="109"/>
      </c>
      <c r="N387" s="389">
        <f t="shared" si="369"/>
      </c>
      <c r="O387" s="388">
        <f t="shared" si="291"/>
      </c>
      <c r="P387" s="388">
        <f t="shared" si="187"/>
      </c>
      <c r="Q387" s="389">
        <f t="shared" si="135"/>
      </c>
      <c r="R387" s="390">
        <f t="shared" si="395"/>
      </c>
      <c r="S387" s="389">
        <f t="shared" si="317"/>
      </c>
      <c r="T387" s="391">
        <f t="shared" si="213"/>
      </c>
      <c r="U387" s="392" t="s">
        <v>185</v>
      </c>
      <c r="V387" s="393" t="s">
        <v>186</v>
      </c>
      <c r="W387" s="360">
        <v>0</v>
      </c>
      <c r="X387" s="360">
        <v>9084</v>
      </c>
      <c r="Y387" s="360">
        <v>617</v>
      </c>
      <c r="Z387" s="360">
        <v>781</v>
      </c>
      <c r="AA387" s="360">
        <v>143</v>
      </c>
      <c r="AB387" s="360">
        <v>22</v>
      </c>
      <c r="AC387" s="395">
        <v>2</v>
      </c>
      <c r="AD387" s="359">
        <v>13</v>
      </c>
      <c r="AE387" s="293"/>
      <c r="AF387" s="293"/>
    </row>
    <row r="388">
      <c r="A388" s="384"/>
      <c r="B388" s="361" t="s">
        <v>189</v>
      </c>
      <c r="C388" s="361"/>
      <c r="D388" s="361">
        <f>SUM(D384:D387)</f>
      </c>
      <c r="E388" s="361">
        <v>1012.85</v>
      </c>
      <c r="F388" s="361">
        <f>SUM(F384:F387)</f>
      </c>
      <c r="G388" s="361">
        <f>SUM(G384:G387)</f>
      </c>
      <c r="H388" s="361">
        <f>SUM(H384:H387)</f>
      </c>
      <c r="I388" s="396">
        <f t="shared" si="343"/>
      </c>
      <c r="J388" s="397">
        <f t="shared" si="239"/>
      </c>
      <c r="K388" s="398">
        <f t="shared" si="161"/>
      </c>
      <c r="L388" s="418">
        <f t="shared" si="265"/>
      </c>
      <c r="M388" s="397">
        <f t="shared" si="109"/>
      </c>
      <c r="N388" s="398">
        <f t="shared" si="369"/>
      </c>
      <c r="O388" s="397">
        <f t="shared" si="291"/>
      </c>
      <c r="P388" s="397">
        <f t="shared" si="187"/>
      </c>
      <c r="Q388" s="398">
        <f t="shared" si="135"/>
      </c>
      <c r="R388" s="399">
        <f t="shared" si="395"/>
      </c>
      <c r="S388" s="398">
        <f t="shared" si="317"/>
      </c>
      <c r="T388" s="400">
        <f t="shared" si="213"/>
      </c>
      <c r="U388" s="400"/>
      <c r="V388" s="400"/>
      <c r="W388" s="361">
        <f>SUM(W384:W387)</f>
      </c>
      <c r="X388" s="361">
        <f>SUM(X384:X387)</f>
      </c>
      <c r="Y388" s="361">
        <f>SUM(Y384:Y387)</f>
      </c>
      <c r="Z388" s="361">
        <f>SUM(Z384:Z387)</f>
      </c>
      <c r="AA388" s="361">
        <f>SUM(AA384:AA387)</f>
      </c>
      <c r="AB388" s="361">
        <f>SUM(AB384:AB387)</f>
      </c>
      <c r="AC388" s="361">
        <f>SUM(AC384:AC387)</f>
      </c>
      <c r="AD388" s="361">
        <f>SUM(AD384:AD387)</f>
      </c>
      <c r="AE388" s="293"/>
      <c r="AF388" s="293"/>
    </row>
    <row r="389">
      <c r="A389" s="384"/>
      <c r="B389" s="401" t="s">
        <v>183</v>
      </c>
      <c r="C389" s="369" t="s">
        <v>198</v>
      </c>
      <c r="D389" s="360">
        <f t="shared" ref="D389:D392" si="68">E389+F389</f>
      </c>
      <c r="E389" s="356">
        <v>1623.97</v>
      </c>
      <c r="F389" s="356">
        <v>1037.57</v>
      </c>
      <c r="G389" s="402">
        <v>3</v>
      </c>
      <c r="H389" s="402">
        <v>1518.7600000000002</v>
      </c>
      <c r="I389" s="420">
        <f t="shared" si="343"/>
      </c>
      <c r="J389" s="421">
        <f t="shared" si="239"/>
      </c>
      <c r="K389" s="422">
        <f t="shared" si="161"/>
      </c>
      <c r="L389" s="388">
        <f t="shared" si="265"/>
      </c>
      <c r="M389" s="388">
        <f t="shared" si="109"/>
      </c>
      <c r="N389" s="389">
        <f t="shared" si="369"/>
      </c>
      <c r="O389" s="388">
        <f t="shared" si="291"/>
      </c>
      <c r="P389" s="388">
        <f t="shared" si="187"/>
      </c>
      <c r="Q389" s="389">
        <f t="shared" si="135"/>
      </c>
      <c r="R389" s="390">
        <f t="shared" si="395"/>
      </c>
      <c r="S389" s="389">
        <f t="shared" si="317"/>
      </c>
      <c r="T389" s="391">
        <f t="shared" si="213"/>
      </c>
      <c r="U389" s="392" t="s">
        <v>185</v>
      </c>
      <c r="V389" s="393" t="s">
        <v>186</v>
      </c>
      <c r="W389" s="360">
        <v>2</v>
      </c>
      <c r="X389" s="360">
        <v>9772</v>
      </c>
      <c r="Y389" s="360">
        <v>918</v>
      </c>
      <c r="Z389" s="360">
        <v>1349</v>
      </c>
      <c r="AA389" s="360">
        <v>250</v>
      </c>
      <c r="AB389" s="360">
        <v>46</v>
      </c>
      <c r="AC389" s="395">
        <v>3</v>
      </c>
      <c r="AD389" s="359">
        <v>31</v>
      </c>
      <c r="AE389" s="293"/>
      <c r="AF389" s="293"/>
    </row>
    <row r="390">
      <c r="A390" s="384"/>
      <c r="B390" s="385" t="s">
        <v>187</v>
      </c>
      <c r="C390" s="369" t="s">
        <v>198</v>
      </c>
      <c r="D390" s="360">
        <f t="shared" si="68"/>
      </c>
      <c r="E390" s="360">
        <v>1571.03</v>
      </c>
      <c r="F390" s="360">
        <v>652.4</v>
      </c>
      <c r="G390" s="369">
        <v>1</v>
      </c>
      <c r="H390" s="369">
        <v>948.2399999999998</v>
      </c>
      <c r="I390" s="387">
        <f t="shared" si="343"/>
      </c>
      <c r="J390" s="388">
        <f t="shared" si="239"/>
      </c>
      <c r="K390" s="389">
        <f t="shared" si="161"/>
      </c>
      <c r="L390" s="388">
        <f t="shared" si="265"/>
      </c>
      <c r="M390" s="388">
        <f t="shared" si="109"/>
      </c>
      <c r="N390" s="389">
        <f t="shared" si="369"/>
      </c>
      <c r="O390" s="388">
        <f t="shared" si="291"/>
      </c>
      <c r="P390" s="388">
        <f t="shared" si="187"/>
      </c>
      <c r="Q390" s="389">
        <f t="shared" si="135"/>
      </c>
      <c r="R390" s="390">
        <f t="shared" si="395"/>
      </c>
      <c r="S390" s="389">
        <f t="shared" si="317"/>
      </c>
      <c r="T390" s="391">
        <f t="shared" si="213"/>
      </c>
      <c r="U390" s="392" t="s">
        <v>185</v>
      </c>
      <c r="V390" s="393" t="s">
        <v>186</v>
      </c>
      <c r="W390" s="360">
        <v>1</v>
      </c>
      <c r="X390" s="360">
        <v>7286</v>
      </c>
      <c r="Y390" s="360">
        <v>756</v>
      </c>
      <c r="Z390" s="360">
        <v>1023</v>
      </c>
      <c r="AA390" s="360">
        <v>210</v>
      </c>
      <c r="AB390" s="360">
        <v>22</v>
      </c>
      <c r="AC390" s="395">
        <v>1</v>
      </c>
      <c r="AD390" s="359">
        <v>31</v>
      </c>
      <c r="AE390" s="293"/>
      <c r="AF390" s="293"/>
    </row>
    <row r="391">
      <c r="A391" s="384"/>
      <c r="B391" s="385" t="s">
        <v>188</v>
      </c>
      <c r="C391" s="369" t="s">
        <v>198</v>
      </c>
      <c r="D391" s="360">
        <f t="shared" si="68"/>
      </c>
      <c r="E391" s="360">
        <v>1682.3200000000002</v>
      </c>
      <c r="F391" s="360">
        <v>613.48</v>
      </c>
      <c r="G391" s="369">
        <v>0</v>
      </c>
      <c r="H391" s="369">
        <v>0</v>
      </c>
      <c r="I391" s="387">
        <f t="shared" si="343"/>
      </c>
      <c r="J391" s="388">
        <f t="shared" si="239"/>
      </c>
      <c r="K391" s="389">
        <f t="shared" si="161"/>
      </c>
      <c r="L391" s="388">
        <f t="shared" si="265"/>
      </c>
      <c r="M391" s="388">
        <f t="shared" si="109"/>
      </c>
      <c r="N391" s="389">
        <f t="shared" si="369"/>
      </c>
      <c r="O391" s="388">
        <f t="shared" si="291"/>
      </c>
      <c r="P391" s="388">
        <f t="shared" si="187"/>
      </c>
      <c r="Q391" s="389">
        <f t="shared" si="135"/>
      </c>
      <c r="R391" s="390">
        <f t="shared" si="395"/>
      </c>
      <c r="S391" s="389">
        <f t="shared" si="317"/>
      </c>
      <c r="T391" s="391">
        <f t="shared" si="213"/>
      </c>
      <c r="U391" s="392" t="s">
        <v>185</v>
      </c>
      <c r="V391" s="393" t="s">
        <v>186</v>
      </c>
      <c r="W391" s="360">
        <v>0</v>
      </c>
      <c r="X391" s="360">
        <v>9142</v>
      </c>
      <c r="Y391" s="360">
        <v>853</v>
      </c>
      <c r="Z391" s="360">
        <v>1165</v>
      </c>
      <c r="AA391" s="360">
        <v>263</v>
      </c>
      <c r="AB391" s="360">
        <v>26</v>
      </c>
      <c r="AC391" s="395">
        <v>1</v>
      </c>
      <c r="AD391" s="359">
        <v>17</v>
      </c>
      <c r="AE391" s="293"/>
      <c r="AF391" s="293"/>
    </row>
    <row r="392">
      <c r="A392" s="384"/>
      <c r="B392" s="429" t="s">
        <v>190</v>
      </c>
      <c r="C392" s="369" t="s">
        <v>198</v>
      </c>
      <c r="D392" s="360">
        <f t="shared" si="68"/>
      </c>
      <c r="E392" s="360">
        <v>684.5</v>
      </c>
      <c r="F392" s="360">
        <v>342.62</v>
      </c>
      <c r="G392" s="369">
        <v>0</v>
      </c>
      <c r="H392" s="369">
        <v>0</v>
      </c>
      <c r="I392" s="387">
        <f t="shared" si="343"/>
      </c>
      <c r="J392" s="388">
        <f t="shared" si="239"/>
      </c>
      <c r="K392" s="389">
        <f t="shared" si="161"/>
      </c>
      <c r="L392" s="388">
        <f t="shared" si="265"/>
      </c>
      <c r="M392" s="388">
        <f t="shared" si="109"/>
      </c>
      <c r="N392" s="389">
        <f t="shared" si="369"/>
      </c>
      <c r="O392" s="388">
        <f t="shared" si="291"/>
      </c>
      <c r="P392" s="388">
        <f t="shared" si="187"/>
      </c>
      <c r="Q392" s="389">
        <f t="shared" si="135"/>
      </c>
      <c r="R392" s="390">
        <f t="shared" si="395"/>
      </c>
      <c r="S392" s="389">
        <f t="shared" si="317"/>
      </c>
      <c r="T392" s="391">
        <f t="shared" si="213"/>
      </c>
      <c r="U392" s="392" t="s">
        <v>185</v>
      </c>
      <c r="V392" s="393" t="s">
        <v>186</v>
      </c>
      <c r="W392" s="360">
        <v>0</v>
      </c>
      <c r="X392" s="360">
        <v>3154</v>
      </c>
      <c r="Y392" s="360">
        <v>271</v>
      </c>
      <c r="Z392" s="360">
        <v>419</v>
      </c>
      <c r="AA392" s="360">
        <v>115</v>
      </c>
      <c r="AB392" s="360">
        <v>12</v>
      </c>
      <c r="AC392" s="395">
        <v>0</v>
      </c>
      <c r="AD392" s="359">
        <v>5</v>
      </c>
      <c r="AE392" s="293"/>
      <c r="AF392" s="293"/>
    </row>
    <row r="393">
      <c r="A393" s="384"/>
      <c r="B393" s="361" t="s">
        <v>189</v>
      </c>
      <c r="C393" s="361"/>
      <c r="D393" s="361">
        <f>SUM(D389:D392)</f>
      </c>
      <c r="E393" s="361">
        <f>SUM(E389:E392)</f>
      </c>
      <c r="F393" s="361">
        <f>SUM(F389:F392)</f>
      </c>
      <c r="G393" s="361">
        <f>SUM(G389:G392)</f>
      </c>
      <c r="H393" s="361">
        <f>SUM(H389:H392)</f>
      </c>
      <c r="I393" s="344">
        <f t="shared" si="343"/>
      </c>
      <c r="J393" s="345">
        <f t="shared" si="239"/>
      </c>
      <c r="K393" s="323">
        <f t="shared" si="161"/>
      </c>
      <c r="L393" s="322">
        <f t="shared" si="265"/>
      </c>
      <c r="M393" s="322">
        <f t="shared" si="109"/>
      </c>
      <c r="N393" s="323">
        <f t="shared" si="369"/>
      </c>
      <c r="O393" s="322">
        <f t="shared" si="291"/>
      </c>
      <c r="P393" s="322">
        <f t="shared" si="187"/>
      </c>
      <c r="Q393" s="324">
        <f t="shared" si="135"/>
      </c>
      <c r="R393" s="325">
        <f t="shared" si="395"/>
      </c>
      <c r="S393" s="324">
        <f t="shared" si="317"/>
      </c>
      <c r="T393" s="326">
        <f t="shared" si="213"/>
      </c>
      <c r="U393" s="326"/>
      <c r="V393" s="326"/>
      <c r="W393" s="320">
        <f>SUM(W389:W392)</f>
      </c>
      <c r="X393" s="320">
        <f>SUM(X389:X392)</f>
      </c>
      <c r="Y393" s="320">
        <f>SUM(Y389:Y392)</f>
      </c>
      <c r="Z393" s="320">
        <f>SUM(Z389:Z392)</f>
      </c>
      <c r="AA393" s="320">
        <f>SUM(AA389:AA392)</f>
      </c>
      <c r="AB393" s="320">
        <f>SUM(AB389:AB392)</f>
      </c>
      <c r="AC393" s="320">
        <f>SUM(AC389:AC392)</f>
      </c>
      <c r="AD393" s="320">
        <f>SUM(AD389:AD392)</f>
      </c>
      <c r="AE393" s="293"/>
      <c r="AF393" s="293"/>
    </row>
    <row r="394">
      <c r="A394" s="384"/>
      <c r="B394" s="366" t="s">
        <v>195</v>
      </c>
      <c r="C394" s="366"/>
      <c r="D394" s="367">
        <f>+D388+D383+D393</f>
      </c>
      <c r="E394" s="367">
        <f>+E388+E383+E393</f>
      </c>
      <c r="F394" s="367">
        <f>+F388+F383+F393</f>
      </c>
      <c r="G394" s="367">
        <f>+G388+G383+G393</f>
      </c>
      <c r="H394" s="367">
        <f>+H388+H383+H393</f>
      </c>
      <c r="I394" s="328">
        <f t="shared" si="343"/>
      </c>
      <c r="J394" s="329">
        <f t="shared" si="239"/>
      </c>
      <c r="K394" s="330">
        <f t="shared" si="161"/>
      </c>
      <c r="L394" s="331">
        <f t="shared" si="265"/>
      </c>
      <c r="M394" s="331">
        <f t="shared" si="109"/>
      </c>
      <c r="N394" s="330">
        <f t="shared" si="369"/>
      </c>
      <c r="O394" s="331">
        <f t="shared" si="291"/>
      </c>
      <c r="P394" s="331">
        <f t="shared" si="187"/>
      </c>
      <c r="Q394" s="330">
        <f t="shared" si="135"/>
      </c>
      <c r="R394" s="332">
        <f t="shared" si="395"/>
      </c>
      <c r="S394" s="330">
        <f t="shared" si="317"/>
      </c>
      <c r="T394" s="333">
        <f t="shared" si="213"/>
      </c>
      <c r="U394" s="333"/>
      <c r="V394" s="333"/>
      <c r="W394" s="328">
        <f>+W388+W383+W393</f>
      </c>
      <c r="X394" s="328">
        <f>+X388+X383+X393</f>
      </c>
      <c r="Y394" s="328">
        <f>+Y388+Y383+Y393</f>
      </c>
      <c r="Z394" s="328">
        <f>+Z388+Z383+Z393</f>
      </c>
      <c r="AA394" s="328">
        <f>+AA388+AA383+AA393</f>
      </c>
      <c r="AB394" s="328">
        <f>+AB388+AB383+AB393</f>
      </c>
      <c r="AC394" s="328">
        <f>+AC388+AC383+AC393</f>
      </c>
      <c r="AD394" s="328">
        <f>+AD388+AD383+AD393</f>
      </c>
      <c r="AE394" s="293"/>
      <c r="AF394" s="293"/>
    </row>
    <row r="395">
      <c r="A395" s="352" t="s">
        <v>150</v>
      </c>
      <c r="B395" s="352"/>
      <c r="C395" s="352"/>
      <c r="D395" s="334" t="s">
        <v>151</v>
      </c>
      <c r="E395" s="334"/>
      <c r="F395" s="334"/>
      <c r="G395" s="334"/>
      <c r="H395" s="334"/>
      <c r="I395" s="334"/>
      <c r="J395" s="377" t="s">
        <v>152</v>
      </c>
      <c r="K395" s="377"/>
      <c r="L395" s="377"/>
      <c r="M395" s="377"/>
      <c r="N395" s="377"/>
      <c r="O395" s="377"/>
      <c r="P395" s="377"/>
      <c r="Q395" s="377"/>
      <c r="R395" s="377"/>
      <c r="S395" s="377"/>
      <c r="T395" s="370"/>
      <c r="U395" s="370"/>
      <c r="V395" s="370"/>
      <c r="W395" s="371"/>
      <c r="X395" s="371"/>
      <c r="Y395" s="371"/>
      <c r="Z395" s="371"/>
      <c r="AA395" s="371"/>
      <c r="AB395" s="371"/>
      <c r="AC395" s="371"/>
      <c r="AD395" s="372" t="s">
        <v>153</v>
      </c>
      <c r="AE395" s="293"/>
      <c r="AF395" s="293"/>
    </row>
    <row r="396">
      <c r="A396" s="354" t="s">
        <v>154</v>
      </c>
      <c r="B396" s="352" t="s">
        <v>155</v>
      </c>
      <c r="C396" s="352" t="s">
        <v>156</v>
      </c>
      <c r="D396" s="428" t="s">
        <v>157</v>
      </c>
      <c r="E396" s="427" t="s">
        <v>158</v>
      </c>
      <c r="F396" s="427" t="s">
        <v>159</v>
      </c>
      <c r="G396" s="414" t="s">
        <v>160</v>
      </c>
      <c r="H396" s="412" t="s">
        <v>161</v>
      </c>
      <c r="I396" s="413" t="s">
        <v>162</v>
      </c>
      <c r="J396" s="415" t="s">
        <v>163</v>
      </c>
      <c r="K396" s="415" t="s">
        <v>164</v>
      </c>
      <c r="L396" s="416" t="s">
        <v>165</v>
      </c>
      <c r="M396" s="378" t="s">
        <v>166</v>
      </c>
      <c r="N396" s="377" t="s">
        <v>167</v>
      </c>
      <c r="O396" s="378" t="s">
        <v>168</v>
      </c>
      <c r="P396" s="378" t="s">
        <v>169</v>
      </c>
      <c r="Q396" s="379" t="s">
        <v>170</v>
      </c>
      <c r="R396" s="378" t="s">
        <v>171</v>
      </c>
      <c r="S396" s="379" t="s">
        <v>172</v>
      </c>
      <c r="T396" s="380" t="s">
        <v>173</v>
      </c>
      <c r="U396" s="380" t="s">
        <v>174</v>
      </c>
      <c r="V396" s="380" t="s">
        <v>175</v>
      </c>
      <c r="W396" s="381" t="s">
        <v>176</v>
      </c>
      <c r="X396" s="382" t="s">
        <v>177</v>
      </c>
      <c r="Y396" s="382" t="s">
        <v>178</v>
      </c>
      <c r="Z396" s="382" t="s">
        <v>179</v>
      </c>
      <c r="AA396" s="382" t="s">
        <v>180</v>
      </c>
      <c r="AB396" s="382" t="s">
        <v>181</v>
      </c>
      <c r="AC396" s="383" t="s">
        <v>182</v>
      </c>
      <c r="AD396" s="372"/>
      <c r="AE396" s="293"/>
      <c r="AF396" s="293"/>
    </row>
    <row r="397">
      <c r="A397" s="384">
        <v>46261</v>
      </c>
      <c r="B397" s="385" t="s">
        <v>199</v>
      </c>
      <c r="C397" s="369" t="s">
        <v>184</v>
      </c>
      <c r="D397" s="360">
        <f t="shared" ref="D397:D400" si="69">E397+F397</f>
      </c>
      <c r="E397" s="402">
        <v>1951.18</v>
      </c>
      <c r="F397" s="369">
        <v>999.56</v>
      </c>
      <c r="G397" s="369">
        <v>1</v>
      </c>
      <c r="H397" s="369">
        <v>3817.08</v>
      </c>
      <c r="I397" s="387">
        <f t="shared" ref="I397:I415" si="344">H397/D397</f>
      </c>
      <c r="J397" s="388">
        <f t="shared" ref="J397:J415" si="240">Y397/X397</f>
      </c>
      <c r="K397" s="389">
        <f t="shared" ref="K397:K415" si="162">D397/Z397</f>
      </c>
      <c r="L397" s="417">
        <f t="shared" ref="L397:L415" si="266">AA397/Z397</f>
      </c>
      <c r="M397" s="388">
        <f t="shared" ref="M397:M415" si="110">AB397/Z397</f>
      </c>
      <c r="N397" s="389">
        <f t="shared" ref="N397:N415" si="370">D397/AB397</f>
      </c>
      <c r="O397" s="388">
        <f t="shared" ref="O397:O415" si="292">AC397/AB397</f>
      </c>
      <c r="P397" s="388">
        <f t="shared" ref="P397:P415" si="188">G397/AC397</f>
      </c>
      <c r="Q397" s="389">
        <f t="shared" ref="Q397:Q415" si="136">D397/G397</f>
      </c>
      <c r="R397" s="390">
        <f t="shared" ref="R397:R415" si="396">H397/G397</f>
      </c>
      <c r="S397" s="389">
        <f t="shared" ref="S397:S415" si="318">D397/W397</f>
      </c>
      <c r="T397" s="391">
        <f t="shared" ref="T397:T415" si="214">AD397*1000/D397</f>
      </c>
      <c r="U397" s="392" t="s">
        <v>185</v>
      </c>
      <c r="V397" s="423" t="s">
        <v>211</v>
      </c>
      <c r="W397" s="369">
        <v>0</v>
      </c>
      <c r="X397" s="360">
        <v>10509</v>
      </c>
      <c r="Y397" s="360">
        <v>842</v>
      </c>
      <c r="Z397" s="360">
        <v>1260</v>
      </c>
      <c r="AA397" s="360">
        <v>306</v>
      </c>
      <c r="AB397" s="360">
        <v>40</v>
      </c>
      <c r="AC397" s="394">
        <v>2</v>
      </c>
      <c r="AD397" s="364">
        <v>21</v>
      </c>
      <c r="AE397" s="293"/>
      <c r="AF397" s="293"/>
    </row>
    <row r="398">
      <c r="A398" s="384"/>
      <c r="B398" s="385" t="s">
        <v>200</v>
      </c>
      <c r="C398" s="369" t="s">
        <v>184</v>
      </c>
      <c r="D398" s="360">
        <f t="shared" si="69"/>
      </c>
      <c r="E398" s="360">
        <v>896.87</v>
      </c>
      <c r="F398" s="360">
        <v>850.44</v>
      </c>
      <c r="G398" s="369">
        <v>2</v>
      </c>
      <c r="H398" s="369">
        <v>7532.4</v>
      </c>
      <c r="I398" s="387">
        <f t="shared" si="344"/>
      </c>
      <c r="J398" s="388">
        <f t="shared" si="240"/>
      </c>
      <c r="K398" s="389">
        <f t="shared" si="162"/>
      </c>
      <c r="L398" s="417">
        <f t="shared" si="266"/>
      </c>
      <c r="M398" s="388">
        <f t="shared" si="110"/>
      </c>
      <c r="N398" s="389">
        <f t="shared" si="370"/>
      </c>
      <c r="O398" s="388">
        <f t="shared" si="292"/>
      </c>
      <c r="P398" s="388">
        <f t="shared" si="188"/>
      </c>
      <c r="Q398" s="389">
        <f t="shared" si="136"/>
      </c>
      <c r="R398" s="390">
        <f t="shared" si="396"/>
      </c>
      <c r="S398" s="389">
        <f t="shared" si="318"/>
      </c>
      <c r="T398" s="391">
        <f t="shared" si="214"/>
      </c>
      <c r="U398" s="392" t="s">
        <v>185</v>
      </c>
      <c r="V398" s="423" t="s">
        <v>211</v>
      </c>
      <c r="W398" s="360">
        <v>1</v>
      </c>
      <c r="X398" s="360">
        <v>6732</v>
      </c>
      <c r="Y398" s="360">
        <v>186</v>
      </c>
      <c r="Z398" s="360">
        <v>216</v>
      </c>
      <c r="AA398" s="360">
        <v>43</v>
      </c>
      <c r="AB398" s="360">
        <v>34</v>
      </c>
      <c r="AC398" s="395">
        <v>4</v>
      </c>
      <c r="AD398" s="359">
        <v>6</v>
      </c>
      <c r="AE398" s="293"/>
      <c r="AF398" s="293"/>
    </row>
    <row r="399">
      <c r="A399" s="384"/>
      <c r="B399" s="385" t="s">
        <v>201</v>
      </c>
      <c r="C399" s="369" t="s">
        <v>184</v>
      </c>
      <c r="D399" s="360">
        <f t="shared" si="69"/>
      </c>
      <c r="E399" s="360">
        <v>2062.1</v>
      </c>
      <c r="F399" s="360">
        <v>760.54</v>
      </c>
      <c r="G399" s="369">
        <v>1</v>
      </c>
      <c r="H399" s="369">
        <v>8563.919999999998</v>
      </c>
      <c r="I399" s="387">
        <f t="shared" si="344"/>
      </c>
      <c r="J399" s="388">
        <f t="shared" si="240"/>
      </c>
      <c r="K399" s="389">
        <f t="shared" si="162"/>
      </c>
      <c r="L399" s="417">
        <f t="shared" si="266"/>
      </c>
      <c r="M399" s="388">
        <f t="shared" si="110"/>
      </c>
      <c r="N399" s="389">
        <f t="shared" si="370"/>
      </c>
      <c r="O399" s="388">
        <f t="shared" si="292"/>
      </c>
      <c r="P399" s="388">
        <f t="shared" si="188"/>
      </c>
      <c r="Q399" s="389">
        <f t="shared" si="136"/>
      </c>
      <c r="R399" s="390">
        <f t="shared" si="396"/>
      </c>
      <c r="S399" s="389">
        <f t="shared" si="318"/>
      </c>
      <c r="T399" s="391">
        <f t="shared" si="214"/>
      </c>
      <c r="U399" s="392" t="s">
        <v>185</v>
      </c>
      <c r="V399" s="423" t="s">
        <v>211</v>
      </c>
      <c r="W399" s="360">
        <v>1</v>
      </c>
      <c r="X399" s="360">
        <v>9433</v>
      </c>
      <c r="Y399" s="360">
        <v>459</v>
      </c>
      <c r="Z399" s="360">
        <v>520</v>
      </c>
      <c r="AA399" s="360">
        <v>154</v>
      </c>
      <c r="AB399" s="360">
        <v>38</v>
      </c>
      <c r="AC399" s="395">
        <v>2</v>
      </c>
      <c r="AD399" s="359">
        <v>17</v>
      </c>
      <c r="AE399" s="293"/>
      <c r="AF399" s="293"/>
    </row>
    <row r="400">
      <c r="A400" s="384"/>
      <c r="B400" s="385" t="s">
        <v>202</v>
      </c>
      <c r="C400" s="369" t="s">
        <v>184</v>
      </c>
      <c r="D400" s="360">
        <f t="shared" si="69"/>
      </c>
      <c r="E400" s="360">
        <v>1432.2800000000002</v>
      </c>
      <c r="F400" s="360">
        <v>728.67</v>
      </c>
      <c r="G400" s="369">
        <v>4</v>
      </c>
      <c r="H400" s="369">
        <v>17783.88</v>
      </c>
      <c r="I400" s="387">
        <f t="shared" si="344"/>
      </c>
      <c r="J400" s="388">
        <f t="shared" si="240"/>
      </c>
      <c r="K400" s="389">
        <f t="shared" si="162"/>
      </c>
      <c r="L400" s="417">
        <f t="shared" si="266"/>
      </c>
      <c r="M400" s="388">
        <f t="shared" si="110"/>
      </c>
      <c r="N400" s="389">
        <f t="shared" si="370"/>
      </c>
      <c r="O400" s="388">
        <f t="shared" si="292"/>
      </c>
      <c r="P400" s="388">
        <f t="shared" si="188"/>
      </c>
      <c r="Q400" s="389">
        <f t="shared" si="136"/>
      </c>
      <c r="R400" s="390">
        <f t="shared" si="396"/>
      </c>
      <c r="S400" s="389">
        <f t="shared" si="318"/>
      </c>
      <c r="T400" s="391">
        <f t="shared" si="214"/>
      </c>
      <c r="U400" s="392" t="s">
        <v>185</v>
      </c>
      <c r="V400" s="423" t="s">
        <v>211</v>
      </c>
      <c r="W400" s="360">
        <v>1</v>
      </c>
      <c r="X400" s="360">
        <v>11428</v>
      </c>
      <c r="Y400" s="360">
        <v>284</v>
      </c>
      <c r="Z400" s="360">
        <v>325</v>
      </c>
      <c r="AA400" s="360">
        <v>61</v>
      </c>
      <c r="AB400" s="369">
        <v>49</v>
      </c>
      <c r="AC400" s="395">
        <v>6</v>
      </c>
      <c r="AD400" s="359">
        <v>16</v>
      </c>
      <c r="AE400" s="293"/>
      <c r="AF400" s="293"/>
    </row>
    <row r="401">
      <c r="A401" s="384"/>
      <c r="B401" s="361" t="s">
        <v>189</v>
      </c>
      <c r="C401" s="361"/>
      <c r="D401" s="361">
        <f>SUM(D397:D400)</f>
      </c>
      <c r="E401" s="361">
        <f>SUM(E397:E400)</f>
      </c>
      <c r="F401" s="361">
        <f>SUM(F397:F400)</f>
      </c>
      <c r="G401" s="361">
        <f>SUM(G397:G400)</f>
      </c>
      <c r="H401" s="361">
        <f>SUM(H397:H400)</f>
      </c>
      <c r="I401" s="396">
        <f t="shared" si="344"/>
      </c>
      <c r="J401" s="397">
        <f t="shared" si="240"/>
      </c>
      <c r="K401" s="398">
        <f t="shared" si="162"/>
      </c>
      <c r="L401" s="418">
        <f t="shared" si="266"/>
      </c>
      <c r="M401" s="397">
        <f t="shared" si="110"/>
      </c>
      <c r="N401" s="398">
        <f t="shared" si="370"/>
      </c>
      <c r="O401" s="397">
        <f t="shared" si="292"/>
      </c>
      <c r="P401" s="397">
        <f t="shared" si="188"/>
      </c>
      <c r="Q401" s="398">
        <f t="shared" si="136"/>
      </c>
      <c r="R401" s="399">
        <f t="shared" si="396"/>
      </c>
      <c r="S401" s="398">
        <f t="shared" si="318"/>
      </c>
      <c r="T401" s="400">
        <f t="shared" si="214"/>
      </c>
      <c r="U401" s="400"/>
      <c r="V401" s="400"/>
      <c r="W401" s="361">
        <f>SUM(W397:W400)</f>
      </c>
      <c r="X401" s="361">
        <f>SUM(X397:X400)</f>
      </c>
      <c r="Y401" s="361">
        <f>SUM(Y397:Y400)</f>
      </c>
      <c r="Z401" s="361">
        <f>SUM(Z397:Z400)</f>
      </c>
      <c r="AA401" s="361">
        <f>SUM(AA397:AA400)</f>
      </c>
      <c r="AB401" s="361">
        <f>SUM(AB397:AB400)</f>
      </c>
      <c r="AC401" s="319">
        <f>SUM(AC397:AC400)</f>
      </c>
      <c r="AD401" s="320">
        <f>SUM(AD397:AD400)</f>
      </c>
      <c r="AE401" s="293"/>
      <c r="AF401" s="293"/>
    </row>
    <row r="402">
      <c r="A402" s="384"/>
      <c r="B402" s="385" t="s">
        <v>203</v>
      </c>
      <c r="C402" s="369" t="s">
        <v>197</v>
      </c>
      <c r="D402" s="360">
        <f t="shared" ref="D402:D405" si="70">E402+F402</f>
      </c>
      <c r="E402" s="360">
        <v>2217.45</v>
      </c>
      <c r="F402" s="360">
        <v>1510.79</v>
      </c>
      <c r="G402" s="369">
        <v>3</v>
      </c>
      <c r="H402" s="369">
        <v>5863</v>
      </c>
      <c r="I402" s="387">
        <f t="shared" si="344"/>
      </c>
      <c r="J402" s="388">
        <f t="shared" si="240"/>
      </c>
      <c r="K402" s="389">
        <f t="shared" si="162"/>
      </c>
      <c r="L402" s="417">
        <f t="shared" si="266"/>
      </c>
      <c r="M402" s="388">
        <f t="shared" si="110"/>
      </c>
      <c r="N402" s="389">
        <f t="shared" si="370"/>
      </c>
      <c r="O402" s="388">
        <f t="shared" si="292"/>
      </c>
      <c r="P402" s="388">
        <f t="shared" si="188"/>
      </c>
      <c r="Q402" s="389">
        <f t="shared" si="136"/>
      </c>
      <c r="R402" s="390">
        <f t="shared" si="396"/>
      </c>
      <c r="S402" s="389">
        <f t="shared" si="318"/>
      </c>
      <c r="T402" s="391">
        <f t="shared" si="214"/>
      </c>
      <c r="U402" s="392" t="s">
        <v>185</v>
      </c>
      <c r="V402" s="423" t="s">
        <v>211</v>
      </c>
      <c r="W402" s="369">
        <v>5</v>
      </c>
      <c r="X402" s="360">
        <v>15262</v>
      </c>
      <c r="Y402" s="360">
        <v>412</v>
      </c>
      <c r="Z402" s="360">
        <v>455</v>
      </c>
      <c r="AA402" s="360">
        <v>97</v>
      </c>
      <c r="AB402" s="360">
        <v>77</v>
      </c>
      <c r="AC402" s="395">
        <v>4</v>
      </c>
      <c r="AD402" s="359">
        <v>27</v>
      </c>
      <c r="AE402" s="293"/>
      <c r="AF402" s="293"/>
    </row>
    <row r="403">
      <c r="A403" s="384"/>
      <c r="B403" s="385" t="s">
        <v>204</v>
      </c>
      <c r="C403" s="369" t="s">
        <v>197</v>
      </c>
      <c r="D403" s="360">
        <f t="shared" si="70"/>
      </c>
      <c r="E403" s="360">
        <v>3628.83</v>
      </c>
      <c r="F403" s="360">
        <v>1000.02</v>
      </c>
      <c r="G403" s="369">
        <v>8</v>
      </c>
      <c r="H403" s="369">
        <v>22396.440000000002</v>
      </c>
      <c r="I403" s="387">
        <f t="shared" si="344"/>
      </c>
      <c r="J403" s="388">
        <f t="shared" si="240"/>
      </c>
      <c r="K403" s="389">
        <f t="shared" si="162"/>
      </c>
      <c r="L403" s="417">
        <f t="shared" si="266"/>
      </c>
      <c r="M403" s="388">
        <f t="shared" si="110"/>
      </c>
      <c r="N403" s="389">
        <f t="shared" si="370"/>
      </c>
      <c r="O403" s="388">
        <f t="shared" si="292"/>
      </c>
      <c r="P403" s="388">
        <f t="shared" si="188"/>
      </c>
      <c r="Q403" s="389">
        <f t="shared" si="136"/>
      </c>
      <c r="R403" s="390">
        <f t="shared" si="396"/>
      </c>
      <c r="S403" s="389">
        <f t="shared" si="318"/>
      </c>
      <c r="T403" s="391">
        <f t="shared" si="214"/>
      </c>
      <c r="U403" s="392" t="s">
        <v>185</v>
      </c>
      <c r="V403" s="423" t="s">
        <v>211</v>
      </c>
      <c r="W403" s="360">
        <v>7</v>
      </c>
      <c r="X403" s="360">
        <v>18134</v>
      </c>
      <c r="Y403" s="360">
        <v>510</v>
      </c>
      <c r="Z403" s="360">
        <v>579</v>
      </c>
      <c r="AA403" s="360">
        <v>134</v>
      </c>
      <c r="AB403" s="360">
        <v>83</v>
      </c>
      <c r="AC403" s="395">
        <v>12</v>
      </c>
      <c r="AD403" s="359">
        <v>29</v>
      </c>
      <c r="AE403" s="293"/>
      <c r="AF403" s="293"/>
    </row>
    <row r="404">
      <c r="A404" s="384"/>
      <c r="B404" s="385" t="s">
        <v>205</v>
      </c>
      <c r="C404" s="369" t="s">
        <v>197</v>
      </c>
      <c r="D404" s="360">
        <f t="shared" si="70"/>
      </c>
      <c r="E404" s="360">
        <v>2986.62</v>
      </c>
      <c r="F404" s="360">
        <v>999.53</v>
      </c>
      <c r="G404" s="369">
        <v>2</v>
      </c>
      <c r="H404" s="369">
        <v>3733.5599999999977</v>
      </c>
      <c r="I404" s="387">
        <f t="shared" si="344"/>
      </c>
      <c r="J404" s="388">
        <f t="shared" si="240"/>
      </c>
      <c r="K404" s="389">
        <f t="shared" si="162"/>
      </c>
      <c r="L404" s="417">
        <f t="shared" si="266"/>
      </c>
      <c r="M404" s="388">
        <f t="shared" si="110"/>
      </c>
      <c r="N404" s="389">
        <f t="shared" si="370"/>
      </c>
      <c r="O404" s="388">
        <f t="shared" si="292"/>
      </c>
      <c r="P404" s="388">
        <f t="shared" si="188"/>
      </c>
      <c r="Q404" s="389">
        <f t="shared" si="136"/>
      </c>
      <c r="R404" s="390">
        <f t="shared" si="396"/>
      </c>
      <c r="S404" s="389">
        <f t="shared" si="318"/>
      </c>
      <c r="T404" s="391">
        <f t="shared" si="214"/>
      </c>
      <c r="U404" s="392" t="s">
        <v>185</v>
      </c>
      <c r="V404" s="423" t="s">
        <v>211</v>
      </c>
      <c r="W404" s="360">
        <v>2</v>
      </c>
      <c r="X404" s="360">
        <v>16143</v>
      </c>
      <c r="Y404" s="360">
        <v>430</v>
      </c>
      <c r="Z404" s="360">
        <v>483</v>
      </c>
      <c r="AA404" s="360">
        <v>113</v>
      </c>
      <c r="AB404" s="360">
        <v>82</v>
      </c>
      <c r="AC404" s="395">
        <v>4</v>
      </c>
      <c r="AD404" s="359">
        <v>35</v>
      </c>
      <c r="AE404" s="293"/>
      <c r="AF404" s="293"/>
    </row>
    <row r="405">
      <c r="A405" s="384"/>
      <c r="B405" s="419" t="s">
        <v>196</v>
      </c>
      <c r="C405" s="369" t="s">
        <v>197</v>
      </c>
      <c r="D405" s="360">
        <f t="shared" si="70"/>
      </c>
      <c r="E405" s="360">
        <v>3276.96</v>
      </c>
      <c r="F405" s="360">
        <v>117.16</v>
      </c>
      <c r="G405" s="369">
        <v>6</v>
      </c>
      <c r="H405" s="369">
        <v>16601.880000000005</v>
      </c>
      <c r="I405" s="387">
        <f t="shared" si="344"/>
      </c>
      <c r="J405" s="388">
        <f t="shared" si="240"/>
      </c>
      <c r="K405" s="389">
        <f t="shared" si="162"/>
      </c>
      <c r="L405" s="417">
        <f t="shared" si="266"/>
      </c>
      <c r="M405" s="388">
        <f t="shared" si="110"/>
      </c>
      <c r="N405" s="389">
        <f t="shared" si="370"/>
      </c>
      <c r="O405" s="388">
        <f t="shared" si="292"/>
      </c>
      <c r="P405" s="388">
        <f t="shared" si="188"/>
      </c>
      <c r="Q405" s="389">
        <f t="shared" si="136"/>
      </c>
      <c r="R405" s="390">
        <f t="shared" si="396"/>
      </c>
      <c r="S405" s="389">
        <f t="shared" si="318"/>
      </c>
      <c r="T405" s="391">
        <f t="shared" si="214"/>
      </c>
      <c r="U405" s="392" t="s">
        <v>185</v>
      </c>
      <c r="V405" s="393" t="s">
        <v>186</v>
      </c>
      <c r="W405" s="360">
        <v>5</v>
      </c>
      <c r="X405" s="360">
        <v>11831</v>
      </c>
      <c r="Y405" s="360">
        <v>317</v>
      </c>
      <c r="Z405" s="360">
        <v>377</v>
      </c>
      <c r="AA405" s="360">
        <v>104</v>
      </c>
      <c r="AB405" s="360">
        <v>60</v>
      </c>
      <c r="AC405" s="395">
        <v>6</v>
      </c>
      <c r="AD405" s="359">
        <v>23</v>
      </c>
      <c r="AE405" s="293"/>
      <c r="AF405" s="293"/>
    </row>
    <row r="406">
      <c r="A406" s="384"/>
      <c r="B406" s="361" t="s">
        <v>189</v>
      </c>
      <c r="C406" s="361"/>
      <c r="D406" s="361">
        <f>SUM(D402:D405)</f>
      </c>
      <c r="E406" s="361">
        <f>SUM(E402:E405)</f>
      </c>
      <c r="F406" s="361">
        <f>SUM(F402:F405)</f>
      </c>
      <c r="G406" s="361">
        <f>SUM(G402:G405)</f>
      </c>
      <c r="H406" s="361">
        <f>SUM(H402:H405)</f>
      </c>
      <c r="I406" s="396">
        <f t="shared" si="344"/>
      </c>
      <c r="J406" s="397">
        <f t="shared" si="240"/>
      </c>
      <c r="K406" s="398">
        <f t="shared" si="162"/>
      </c>
      <c r="L406" s="418">
        <f t="shared" si="266"/>
      </c>
      <c r="M406" s="397">
        <f t="shared" si="110"/>
      </c>
      <c r="N406" s="398">
        <f t="shared" si="370"/>
      </c>
      <c r="O406" s="397">
        <f t="shared" si="292"/>
      </c>
      <c r="P406" s="397">
        <f t="shared" si="188"/>
      </c>
      <c r="Q406" s="398">
        <f t="shared" si="136"/>
      </c>
      <c r="R406" s="399">
        <f t="shared" si="396"/>
      </c>
      <c r="S406" s="398">
        <f t="shared" si="318"/>
      </c>
      <c r="T406" s="400">
        <f t="shared" si="214"/>
      </c>
      <c r="U406" s="400"/>
      <c r="V406" s="400"/>
      <c r="W406" s="361">
        <f>SUM(W402:W405)</f>
      </c>
      <c r="X406" s="361">
        <f>SUM(X402:X405)</f>
      </c>
      <c r="Y406" s="361">
        <f>SUM(Y402:Y405)</f>
      </c>
      <c r="Z406" s="361">
        <f>SUM(Z402:Z405)</f>
      </c>
      <c r="AA406" s="361">
        <f>SUM(AA402:AA405)</f>
      </c>
      <c r="AB406" s="361">
        <f>SUM(AB402:AB405)</f>
      </c>
      <c r="AC406" s="361">
        <f>SUM(AC402:AC405)</f>
      </c>
      <c r="AD406" s="361">
        <f>SUM(AD402:AD405)</f>
      </c>
      <c r="AE406" s="293"/>
      <c r="AF406" s="293"/>
    </row>
    <row r="407">
      <c r="A407" s="384"/>
      <c r="B407" s="401" t="s">
        <v>183</v>
      </c>
      <c r="C407" s="369" t="s">
        <v>198</v>
      </c>
      <c r="D407" s="360">
        <f t="shared" ref="D407:D409" si="71">E407+F407</f>
      </c>
      <c r="E407" s="356">
        <v>3929.01</v>
      </c>
      <c r="F407" s="356">
        <v>1033.29</v>
      </c>
      <c r="G407" s="402">
        <v>4</v>
      </c>
      <c r="H407" s="402">
        <v>16099.800000000003</v>
      </c>
      <c r="I407" s="420">
        <f t="shared" si="344"/>
      </c>
      <c r="J407" s="421">
        <f t="shared" si="240"/>
      </c>
      <c r="K407" s="422">
        <f t="shared" si="162"/>
      </c>
      <c r="L407" s="388">
        <f t="shared" si="266"/>
      </c>
      <c r="M407" s="388">
        <f t="shared" si="110"/>
      </c>
      <c r="N407" s="389">
        <f t="shared" si="370"/>
      </c>
      <c r="O407" s="388">
        <f t="shared" si="292"/>
      </c>
      <c r="P407" s="388">
        <f t="shared" si="188"/>
      </c>
      <c r="Q407" s="389">
        <f t="shared" si="136"/>
      </c>
      <c r="R407" s="390">
        <f t="shared" si="396"/>
      </c>
      <c r="S407" s="389">
        <f t="shared" si="318"/>
      </c>
      <c r="T407" s="391">
        <f t="shared" si="214"/>
      </c>
      <c r="U407" s="392" t="s">
        <v>185</v>
      </c>
      <c r="V407" s="393" t="s">
        <v>186</v>
      </c>
      <c r="W407" s="360">
        <v>4</v>
      </c>
      <c r="X407" s="360">
        <v>22841</v>
      </c>
      <c r="Y407" s="360">
        <v>655</v>
      </c>
      <c r="Z407" s="360">
        <v>840</v>
      </c>
      <c r="AA407" s="360">
        <v>219</v>
      </c>
      <c r="AB407" s="360">
        <v>92</v>
      </c>
      <c r="AC407" s="395">
        <v>4</v>
      </c>
      <c r="AD407" s="359">
        <v>47</v>
      </c>
      <c r="AE407" s="293"/>
      <c r="AF407" s="293"/>
    </row>
    <row r="408">
      <c r="A408" s="384"/>
      <c r="B408" s="385" t="s">
        <v>187</v>
      </c>
      <c r="C408" s="369" t="s">
        <v>198</v>
      </c>
      <c r="D408" s="360">
        <f t="shared" si="71"/>
      </c>
      <c r="E408" s="360">
        <v>4225.2</v>
      </c>
      <c r="F408" s="360">
        <v>1010.13</v>
      </c>
      <c r="G408" s="369">
        <v>5</v>
      </c>
      <c r="H408" s="369">
        <v>7469.240000000005</v>
      </c>
      <c r="I408" s="387">
        <f t="shared" si="344"/>
      </c>
      <c r="J408" s="388">
        <f t="shared" si="240"/>
      </c>
      <c r="K408" s="389">
        <f t="shared" si="162"/>
      </c>
      <c r="L408" s="388">
        <f t="shared" si="266"/>
      </c>
      <c r="M408" s="388">
        <f t="shared" si="110"/>
      </c>
      <c r="N408" s="389">
        <f t="shared" si="370"/>
      </c>
      <c r="O408" s="388">
        <f t="shared" si="292"/>
      </c>
      <c r="P408" s="388">
        <f t="shared" si="188"/>
      </c>
      <c r="Q408" s="389">
        <f t="shared" si="136"/>
      </c>
      <c r="R408" s="390">
        <f t="shared" si="396"/>
      </c>
      <c r="S408" s="389">
        <f t="shared" si="318"/>
      </c>
      <c r="T408" s="391">
        <f t="shared" si="214"/>
      </c>
      <c r="U408" s="392" t="s">
        <v>185</v>
      </c>
      <c r="V408" s="393" t="s">
        <v>186</v>
      </c>
      <c r="W408" s="360">
        <v>5</v>
      </c>
      <c r="X408" s="360">
        <v>29701</v>
      </c>
      <c r="Y408" s="360">
        <v>594</v>
      </c>
      <c r="Z408" s="360">
        <v>659</v>
      </c>
      <c r="AA408" s="360">
        <v>159</v>
      </c>
      <c r="AB408" s="360">
        <v>88</v>
      </c>
      <c r="AC408" s="395">
        <v>6</v>
      </c>
      <c r="AD408" s="359">
        <v>33</v>
      </c>
      <c r="AE408" s="293"/>
      <c r="AF408" s="293"/>
    </row>
    <row r="409">
      <c r="A409" s="384"/>
      <c r="B409" s="385" t="s">
        <v>188</v>
      </c>
      <c r="C409" s="369" t="s">
        <v>198</v>
      </c>
      <c r="D409" s="360">
        <f t="shared" si="71"/>
      </c>
      <c r="E409" s="360">
        <v>4579.29</v>
      </c>
      <c r="F409" s="360">
        <v>873.72</v>
      </c>
      <c r="G409" s="369">
        <v>6</v>
      </c>
      <c r="H409" s="369">
        <v>22433.640000000014</v>
      </c>
      <c r="I409" s="387">
        <f t="shared" si="344"/>
      </c>
      <c r="J409" s="388">
        <f t="shared" si="240"/>
      </c>
      <c r="K409" s="389">
        <f t="shared" si="162"/>
      </c>
      <c r="L409" s="388">
        <f t="shared" si="266"/>
      </c>
      <c r="M409" s="388">
        <f t="shared" si="110"/>
      </c>
      <c r="N409" s="389">
        <f t="shared" si="370"/>
      </c>
      <c r="O409" s="388">
        <f t="shared" si="292"/>
      </c>
      <c r="P409" s="388">
        <f t="shared" si="188"/>
      </c>
      <c r="Q409" s="389">
        <f t="shared" si="136"/>
      </c>
      <c r="R409" s="390">
        <f t="shared" si="396"/>
      </c>
      <c r="S409" s="389">
        <f t="shared" si="318"/>
      </c>
      <c r="T409" s="391">
        <f t="shared" si="214"/>
      </c>
      <c r="U409" s="392" t="s">
        <v>185</v>
      </c>
      <c r="V409" s="393" t="s">
        <v>186</v>
      </c>
      <c r="W409" s="360">
        <v>5</v>
      </c>
      <c r="X409" s="360">
        <v>30812</v>
      </c>
      <c r="Y409" s="360">
        <v>807</v>
      </c>
      <c r="Z409" s="360">
        <v>923</v>
      </c>
      <c r="AA409" s="360">
        <v>196</v>
      </c>
      <c r="AB409" s="360">
        <v>66</v>
      </c>
      <c r="AC409" s="395">
        <v>8</v>
      </c>
      <c r="AD409" s="359">
        <v>37</v>
      </c>
      <c r="AE409" s="293"/>
      <c r="AF409" s="293"/>
    </row>
    <row r="410">
      <c r="A410" s="384"/>
      <c r="B410" s="361" t="s">
        <v>189</v>
      </c>
      <c r="C410" s="361"/>
      <c r="D410" s="361">
        <f>SUM(D407:D409)</f>
      </c>
      <c r="E410" s="361">
        <f>SUM(E407:E409)</f>
      </c>
      <c r="F410" s="361">
        <f>SUM(F407:F409)</f>
      </c>
      <c r="G410" s="361">
        <f>SUM(G407:G409)</f>
      </c>
      <c r="H410" s="361">
        <f>SUM(H407:H409)</f>
      </c>
      <c r="I410" s="344">
        <f t="shared" si="344"/>
      </c>
      <c r="J410" s="345">
        <f t="shared" si="240"/>
      </c>
      <c r="K410" s="323">
        <f t="shared" si="162"/>
      </c>
      <c r="L410" s="322">
        <f t="shared" si="266"/>
      </c>
      <c r="M410" s="322">
        <f t="shared" si="110"/>
      </c>
      <c r="N410" s="323">
        <f t="shared" si="370"/>
      </c>
      <c r="O410" s="322">
        <f t="shared" si="292"/>
      </c>
      <c r="P410" s="322">
        <f t="shared" si="188"/>
      </c>
      <c r="Q410" s="324">
        <f t="shared" si="136"/>
      </c>
      <c r="R410" s="325">
        <f t="shared" si="396"/>
      </c>
      <c r="S410" s="324">
        <f t="shared" si="318"/>
      </c>
      <c r="T410" s="326">
        <f t="shared" si="214"/>
      </c>
      <c r="U410" s="326"/>
      <c r="V410" s="326"/>
      <c r="W410" s="320">
        <f>SUM(W407:W409)</f>
      </c>
      <c r="X410" s="320">
        <f>SUM(X407:X409)</f>
      </c>
      <c r="Y410" s="320">
        <f>SUM(Y407:Y409)</f>
      </c>
      <c r="Z410" s="320">
        <f>SUM(Z407:Z409)</f>
      </c>
      <c r="AA410" s="320">
        <f>SUM(AA407:AA409)</f>
      </c>
      <c r="AB410" s="320">
        <f>SUM(AB407:AB409)</f>
      </c>
      <c r="AC410" s="320">
        <f>SUM(AC407:AC409)</f>
      </c>
      <c r="AD410" s="320">
        <f>SUM(AD407:AD409)</f>
      </c>
      <c r="AE410" s="293"/>
      <c r="AF410" s="293"/>
    </row>
    <row customHeight="true" ht="18.452380952380953" r="411">
      <c r="A411" s="384"/>
      <c r="B411" s="429" t="s">
        <v>190</v>
      </c>
      <c r="C411" s="309" t="s">
        <v>191</v>
      </c>
      <c r="D411" s="309">
        <f t="shared" ref="D411:D413" si="72">E411+F411</f>
      </c>
      <c r="E411" s="309">
        <v>4922.21</v>
      </c>
      <c r="F411" s="309">
        <v>995.08</v>
      </c>
      <c r="G411" s="309">
        <v>3</v>
      </c>
      <c r="H411" s="309">
        <v>16214.880000000005</v>
      </c>
      <c r="I411" s="341">
        <f t="shared" si="344"/>
      </c>
      <c r="J411" s="430">
        <f t="shared" si="240"/>
      </c>
      <c r="K411" s="431">
        <f t="shared" si="162"/>
      </c>
      <c r="L411" s="430">
        <f t="shared" si="266"/>
      </c>
      <c r="M411" s="430">
        <f t="shared" si="110"/>
      </c>
      <c r="N411" s="431">
        <f t="shared" si="370"/>
      </c>
      <c r="O411" s="430">
        <f t="shared" si="292"/>
      </c>
      <c r="P411" s="430">
        <f t="shared" si="188"/>
      </c>
      <c r="Q411" s="431">
        <f t="shared" si="136"/>
      </c>
      <c r="R411" s="432">
        <f t="shared" si="396"/>
      </c>
      <c r="S411" s="431">
        <f t="shared" si="318"/>
      </c>
      <c r="T411" s="433">
        <f t="shared" si="214"/>
      </c>
      <c r="U411" s="434" t="s">
        <v>185</v>
      </c>
      <c r="V411" s="434" t="s">
        <v>186</v>
      </c>
      <c r="W411" s="309">
        <v>3</v>
      </c>
      <c r="X411" s="309">
        <v>48344</v>
      </c>
      <c r="Y411" s="309">
        <v>825</v>
      </c>
      <c r="Z411" s="309">
        <v>979</v>
      </c>
      <c r="AA411" s="309">
        <v>195</v>
      </c>
      <c r="AB411" s="309">
        <v>89</v>
      </c>
      <c r="AC411" s="395">
        <v>3</v>
      </c>
      <c r="AD411" s="310">
        <v>25</v>
      </c>
      <c r="AE411" s="293"/>
      <c r="AF411" s="293"/>
    </row>
    <row customHeight="true" ht="18.452380952380953" r="412">
      <c r="A412" s="384"/>
      <c r="B412" s="309" t="s">
        <v>192</v>
      </c>
      <c r="C412" s="309" t="s">
        <v>191</v>
      </c>
      <c r="D412" s="346">
        <f t="shared" si="72"/>
      </c>
      <c r="E412" s="347">
        <v>1648.81</v>
      </c>
      <c r="F412" s="347">
        <v>996.7</v>
      </c>
      <c r="G412" s="364">
        <v>0</v>
      </c>
      <c r="H412" s="364">
        <v>0</v>
      </c>
      <c r="I412" s="349">
        <f t="shared" si="344"/>
      </c>
      <c r="J412" s="312">
        <f t="shared" si="240"/>
      </c>
      <c r="K412" s="313">
        <f t="shared" si="162"/>
      </c>
      <c r="L412" s="312">
        <f t="shared" si="266"/>
      </c>
      <c r="M412" s="312">
        <f t="shared" si="110"/>
      </c>
      <c r="N412" s="313">
        <f t="shared" si="370"/>
      </c>
      <c r="O412" s="312">
        <f t="shared" si="292"/>
      </c>
      <c r="P412" s="312">
        <f t="shared" si="188"/>
      </c>
      <c r="Q412" s="314">
        <f t="shared" si="136"/>
      </c>
      <c r="R412" s="315">
        <f t="shared" si="396"/>
      </c>
      <c r="S412" s="314">
        <f t="shared" si="318"/>
      </c>
      <c r="T412" s="316">
        <f t="shared" si="214"/>
      </c>
      <c r="U412" s="317" t="s">
        <v>185</v>
      </c>
      <c r="V412" s="317" t="s">
        <v>186</v>
      </c>
      <c r="W412" s="310">
        <v>0</v>
      </c>
      <c r="X412" s="310">
        <v>19919</v>
      </c>
      <c r="Y412" s="310">
        <v>247</v>
      </c>
      <c r="Z412" s="310">
        <v>241</v>
      </c>
      <c r="AA412" s="310">
        <v>38</v>
      </c>
      <c r="AB412" s="310">
        <v>46</v>
      </c>
      <c r="AC412" s="359">
        <v>1</v>
      </c>
      <c r="AD412" s="310">
        <v>21</v>
      </c>
      <c r="AE412" s="293"/>
      <c r="AF412" s="293"/>
    </row>
    <row customHeight="true" ht="18.452380952380953" r="413">
      <c r="A413" s="384"/>
      <c r="B413" s="309" t="s">
        <v>193</v>
      </c>
      <c r="C413" s="309" t="s">
        <v>191</v>
      </c>
      <c r="D413" s="346">
        <f t="shared" si="72"/>
      </c>
      <c r="E413" s="309">
        <v>2077.87</v>
      </c>
      <c r="F413" s="309">
        <v>1124.37</v>
      </c>
      <c r="G413" s="359">
        <v>0</v>
      </c>
      <c r="H413" s="359">
        <v>0</v>
      </c>
      <c r="I413" s="311">
        <f t="shared" si="344"/>
      </c>
      <c r="J413" s="312">
        <f t="shared" si="240"/>
      </c>
      <c r="K413" s="313">
        <f t="shared" si="162"/>
      </c>
      <c r="L413" s="312">
        <f t="shared" si="266"/>
      </c>
      <c r="M413" s="312">
        <f t="shared" si="110"/>
      </c>
      <c r="N413" s="313">
        <f t="shared" si="370"/>
      </c>
      <c r="O413" s="312">
        <f t="shared" si="292"/>
      </c>
      <c r="P413" s="312">
        <f t="shared" si="188"/>
      </c>
      <c r="Q413" s="314">
        <f t="shared" si="136"/>
      </c>
      <c r="R413" s="315">
        <f t="shared" si="396"/>
      </c>
      <c r="S413" s="314">
        <f t="shared" si="318"/>
      </c>
      <c r="T413" s="316">
        <f t="shared" si="214"/>
      </c>
      <c r="U413" s="317" t="s">
        <v>185</v>
      </c>
      <c r="V413" s="317" t="s">
        <v>186</v>
      </c>
      <c r="W413" s="310">
        <v>0</v>
      </c>
      <c r="X413" s="310">
        <v>30712</v>
      </c>
      <c r="Y413" s="310">
        <v>360</v>
      </c>
      <c r="Z413" s="310">
        <v>416</v>
      </c>
      <c r="AA413" s="310">
        <v>60</v>
      </c>
      <c r="AB413" s="310">
        <v>40</v>
      </c>
      <c r="AC413" s="359">
        <v>0</v>
      </c>
      <c r="AD413" s="310">
        <v>11</v>
      </c>
      <c r="AE413" s="293"/>
      <c r="AF413" s="293"/>
    </row>
    <row customHeight="true" ht="18.452380952380953" r="414">
      <c r="A414" s="384"/>
      <c r="B414" s="343" t="s">
        <v>189</v>
      </c>
      <c r="C414" s="343"/>
      <c r="D414" s="319">
        <f>SUM(D411:D413)</f>
      </c>
      <c r="E414" s="319">
        <f>SUM(E411:E413)</f>
      </c>
      <c r="F414" s="319">
        <f>SUM(F411:F413)</f>
      </c>
      <c r="G414" s="319">
        <f>SUM(G411:G413)</f>
      </c>
      <c r="H414" s="319">
        <f>SUM(H411:H413)</f>
      </c>
      <c r="I414" s="321">
        <f t="shared" si="344"/>
      </c>
      <c r="J414" s="322">
        <f t="shared" si="240"/>
      </c>
      <c r="K414" s="323">
        <f t="shared" si="162"/>
      </c>
      <c r="L414" s="322">
        <f t="shared" si="266"/>
      </c>
      <c r="M414" s="322">
        <f t="shared" si="110"/>
      </c>
      <c r="N414" s="323">
        <f t="shared" si="370"/>
      </c>
      <c r="O414" s="322">
        <f t="shared" si="292"/>
      </c>
      <c r="P414" s="322">
        <f t="shared" si="188"/>
      </c>
      <c r="Q414" s="324">
        <f t="shared" si="136"/>
      </c>
      <c r="R414" s="325">
        <f t="shared" si="396"/>
      </c>
      <c r="S414" s="324">
        <f t="shared" si="318"/>
      </c>
      <c r="T414" s="326">
        <f t="shared" si="214"/>
      </c>
      <c r="U414" s="326"/>
      <c r="V414" s="326"/>
      <c r="W414" s="320">
        <f>SUM(W411:W413)</f>
      </c>
      <c r="X414" s="320">
        <f>SUM(X411:X413)</f>
      </c>
      <c r="Y414" s="320">
        <f>SUM(Y411:Y413)</f>
      </c>
      <c r="Z414" s="320">
        <f>SUM(Z411:Z413)</f>
      </c>
      <c r="AA414" s="320">
        <f>SUM(AA411:AA413)</f>
      </c>
      <c r="AB414" s="320">
        <f>SUM(AB411:AB413)</f>
      </c>
      <c r="AC414" s="320">
        <f>SUM(AC411:AC413)</f>
      </c>
      <c r="AD414" s="320">
        <f>SUM(AD411:AD413)</f>
      </c>
      <c r="AE414" s="293"/>
      <c r="AF414" s="293"/>
    </row>
    <row r="415">
      <c r="A415" s="384"/>
      <c r="B415" s="366" t="s">
        <v>195</v>
      </c>
      <c r="C415" s="366"/>
      <c r="D415" s="367">
        <f>+D406+D401+D410+D414</f>
      </c>
      <c r="E415" s="367">
        <f>+E406+E401+E410+E414</f>
      </c>
      <c r="F415" s="367">
        <f>+F406+F401+F410+F414</f>
      </c>
      <c r="G415" s="367">
        <f>+G406+G401+G410+G414</f>
      </c>
      <c r="H415" s="367">
        <f>+H406+H401+H410+H414</f>
      </c>
      <c r="I415" s="328">
        <f t="shared" si="344"/>
      </c>
      <c r="J415" s="329">
        <f t="shared" si="240"/>
      </c>
      <c r="K415" s="330">
        <f t="shared" si="162"/>
      </c>
      <c r="L415" s="331">
        <f t="shared" si="266"/>
      </c>
      <c r="M415" s="331">
        <f t="shared" si="110"/>
      </c>
      <c r="N415" s="330">
        <f t="shared" si="370"/>
      </c>
      <c r="O415" s="331">
        <f t="shared" si="292"/>
      </c>
      <c r="P415" s="331">
        <f t="shared" si="188"/>
      </c>
      <c r="Q415" s="330">
        <f t="shared" si="136"/>
      </c>
      <c r="R415" s="332">
        <f t="shared" si="396"/>
      </c>
      <c r="S415" s="330">
        <f t="shared" si="318"/>
      </c>
      <c r="T415" s="333">
        <f t="shared" si="214"/>
      </c>
      <c r="U415" s="333"/>
      <c r="V415" s="333"/>
      <c r="W415" s="328">
        <f>+W406+W401+W410+W414</f>
      </c>
      <c r="X415" s="328">
        <f>+X406+X401+X410+X414</f>
      </c>
      <c r="Y415" s="328">
        <f>+Y406+Y401+Y410+Y414</f>
      </c>
      <c r="Z415" s="328">
        <f>+Z406+Z401+Z410+Z414</f>
      </c>
      <c r="AA415" s="328">
        <f>+AA406+AA401+AA410+AA414</f>
      </c>
      <c r="AB415" s="328">
        <f>+AB406+AB401+AB410+AB414</f>
      </c>
      <c r="AC415" s="328">
        <f>+AC406+AC401+AC410+AC414</f>
      </c>
      <c r="AD415" s="328">
        <f>+AD406+AD401+AD410+AD414</f>
      </c>
      <c r="AE415" s="293"/>
      <c r="AF415" s="293"/>
    </row>
    <row r="416">
      <c r="A416" s="287" t="s">
        <v>150</v>
      </c>
      <c r="B416" s="287"/>
      <c r="C416" s="287"/>
      <c r="D416" s="334" t="s">
        <v>151</v>
      </c>
      <c r="E416" s="334"/>
      <c r="F416" s="334"/>
      <c r="G416" s="334"/>
      <c r="H416" s="334"/>
      <c r="I416" s="334"/>
      <c r="J416" s="377" t="s">
        <v>152</v>
      </c>
      <c r="K416" s="377"/>
      <c r="L416" s="377"/>
      <c r="M416" s="377"/>
      <c r="N416" s="377"/>
      <c r="O416" s="377"/>
      <c r="P416" s="377"/>
      <c r="Q416" s="377"/>
      <c r="R416" s="377"/>
      <c r="S416" s="377"/>
      <c r="T416" s="436"/>
      <c r="U416" s="436"/>
      <c r="V416" s="436"/>
      <c r="W416" s="437"/>
      <c r="X416" s="437"/>
      <c r="Y416" s="437"/>
      <c r="Z416" s="437"/>
      <c r="AA416" s="437"/>
      <c r="AB416" s="437"/>
      <c r="AC416" s="437"/>
      <c r="AD416" s="438" t="s">
        <v>153</v>
      </c>
      <c r="AE416" s="293"/>
      <c r="AF416" s="293"/>
    </row>
    <row r="417">
      <c r="A417" s="439" t="s">
        <v>154</v>
      </c>
      <c r="B417" s="287" t="s">
        <v>155</v>
      </c>
      <c r="C417" s="287" t="s">
        <v>156</v>
      </c>
      <c r="D417" s="440" t="s">
        <v>157</v>
      </c>
      <c r="E417" s="337" t="s">
        <v>158</v>
      </c>
      <c r="F417" s="337" t="s">
        <v>159</v>
      </c>
      <c r="G417" s="338" t="s">
        <v>160</v>
      </c>
      <c r="H417" s="336" t="s">
        <v>161</v>
      </c>
      <c r="I417" s="337" t="s">
        <v>162</v>
      </c>
      <c r="J417" s="441" t="s">
        <v>163</v>
      </c>
      <c r="K417" s="441" t="s">
        <v>164</v>
      </c>
      <c r="L417" s="416" t="s">
        <v>165</v>
      </c>
      <c r="M417" s="378" t="s">
        <v>166</v>
      </c>
      <c r="N417" s="377" t="s">
        <v>167</v>
      </c>
      <c r="O417" s="378" t="s">
        <v>168</v>
      </c>
      <c r="P417" s="378" t="s">
        <v>169</v>
      </c>
      <c r="Q417" s="379" t="s">
        <v>170</v>
      </c>
      <c r="R417" s="378" t="s">
        <v>171</v>
      </c>
      <c r="S417" s="379" t="s">
        <v>172</v>
      </c>
      <c r="T417" s="442" t="s">
        <v>173</v>
      </c>
      <c r="U417" s="442" t="s">
        <v>174</v>
      </c>
      <c r="V417" s="442" t="s">
        <v>175</v>
      </c>
      <c r="W417" s="443" t="s">
        <v>176</v>
      </c>
      <c r="X417" s="444" t="s">
        <v>177</v>
      </c>
      <c r="Y417" s="444" t="s">
        <v>178</v>
      </c>
      <c r="Z417" s="444" t="s">
        <v>179</v>
      </c>
      <c r="AA417" s="444" t="s">
        <v>180</v>
      </c>
      <c r="AB417" s="444" t="s">
        <v>181</v>
      </c>
      <c r="AC417" s="445" t="s">
        <v>182</v>
      </c>
      <c r="AD417" s="438"/>
      <c r="AE417" s="293"/>
      <c r="AF417" s="293"/>
    </row>
    <row r="418">
      <c r="A418" s="425">
        <v>46262</v>
      </c>
      <c r="B418" s="446" t="s">
        <v>212</v>
      </c>
      <c r="C418" s="309" t="s">
        <v>184</v>
      </c>
      <c r="D418" s="309">
        <f t="shared" ref="D418:D420" si="73">E418+F418</f>
      </c>
      <c r="E418" s="347">
        <v>1922</v>
      </c>
      <c r="F418" s="309">
        <v>969.54</v>
      </c>
      <c r="G418" s="358">
        <v>0</v>
      </c>
      <c r="H418" s="358">
        <v>0</v>
      </c>
      <c r="I418" s="341">
        <f t="shared" ref="I418:I435" si="345">H418/D418</f>
      </c>
      <c r="J418" s="430">
        <f t="shared" ref="J418:J435" si="241">Y418/X418</f>
      </c>
      <c r="K418" s="431">
        <f t="shared" ref="K418:K435" si="163">D418/Z418</f>
      </c>
      <c r="L418" s="447">
        <f t="shared" ref="L418:L435" si="267">AA418/Z418</f>
      </c>
      <c r="M418" s="430">
        <f t="shared" ref="M418:M435" si="111">AB418/Z418</f>
      </c>
      <c r="N418" s="431">
        <f t="shared" ref="N418:N435" si="371">D418/AB418</f>
      </c>
      <c r="O418" s="430">
        <f t="shared" ref="O418:O435" si="293">AC418/AB418</f>
      </c>
      <c r="P418" s="430">
        <f t="shared" ref="P418:P435" si="189">G418/AC418</f>
      </c>
      <c r="Q418" s="431">
        <f t="shared" ref="Q418:Q435" si="137">D418/G418</f>
      </c>
      <c r="R418" s="432">
        <f t="shared" ref="R418:R435" si="397">H418/G418</f>
      </c>
      <c r="S418" s="431">
        <f t="shared" ref="S418:S435" si="319">D418/W418</f>
      </c>
      <c r="T418" s="433">
        <f t="shared" ref="T418:T435" si="215">AD418*1000/D418</f>
      </c>
      <c r="U418" s="434" t="s">
        <v>185</v>
      </c>
      <c r="V418" s="435" t="s">
        <v>211</v>
      </c>
      <c r="W418" s="309">
        <v>0</v>
      </c>
      <c r="X418" s="309">
        <v>14387</v>
      </c>
      <c r="Y418" s="309">
        <v>679</v>
      </c>
      <c r="Z418" s="309">
        <v>977</v>
      </c>
      <c r="AA418" s="309">
        <v>198</v>
      </c>
      <c r="AB418" s="309">
        <v>28</v>
      </c>
      <c r="AC418" s="394">
        <v>2</v>
      </c>
      <c r="AD418" s="364">
        <v>12</v>
      </c>
      <c r="AE418" s="293"/>
      <c r="AF418" s="293"/>
    </row>
    <row r="419">
      <c r="A419" s="425"/>
      <c r="B419" s="429" t="s">
        <v>199</v>
      </c>
      <c r="C419" s="309" t="s">
        <v>184</v>
      </c>
      <c r="D419" s="309">
        <f t="shared" si="73"/>
      </c>
      <c r="E419" s="309">
        <v>1597.63</v>
      </c>
      <c r="F419" s="309">
        <v>978.29</v>
      </c>
      <c r="G419" s="358">
        <v>0</v>
      </c>
      <c r="H419" s="358">
        <v>0</v>
      </c>
      <c r="I419" s="341">
        <f t="shared" si="345"/>
      </c>
      <c r="J419" s="430">
        <f t="shared" si="241"/>
      </c>
      <c r="K419" s="431">
        <f t="shared" si="163"/>
      </c>
      <c r="L419" s="447">
        <f t="shared" si="267"/>
      </c>
      <c r="M419" s="430">
        <f t="shared" si="111"/>
      </c>
      <c r="N419" s="431">
        <f t="shared" si="371"/>
      </c>
      <c r="O419" s="430">
        <f t="shared" si="293"/>
      </c>
      <c r="P419" s="430">
        <f t="shared" si="189"/>
      </c>
      <c r="Q419" s="431">
        <f t="shared" si="137"/>
      </c>
      <c r="R419" s="432">
        <f t="shared" si="397"/>
      </c>
      <c r="S419" s="431">
        <f t="shared" si="319"/>
      </c>
      <c r="T419" s="433">
        <f t="shared" si="215"/>
      </c>
      <c r="U419" s="434" t="s">
        <v>185</v>
      </c>
      <c r="V419" s="435" t="s">
        <v>211</v>
      </c>
      <c r="W419" s="309">
        <v>0</v>
      </c>
      <c r="X419" s="309">
        <v>13270</v>
      </c>
      <c r="Y419" s="309">
        <v>283</v>
      </c>
      <c r="Z419" s="309">
        <v>308</v>
      </c>
      <c r="AA419" s="309">
        <v>63</v>
      </c>
      <c r="AB419" s="309">
        <v>79</v>
      </c>
      <c r="AC419" s="395">
        <v>2</v>
      </c>
      <c r="AD419" s="359">
        <v>23</v>
      </c>
      <c r="AE419" s="293"/>
      <c r="AF419" s="293"/>
    </row>
    <row r="420">
      <c r="A420" s="425"/>
      <c r="B420" s="429" t="s">
        <v>200</v>
      </c>
      <c r="C420" s="309" t="s">
        <v>184</v>
      </c>
      <c r="D420" s="309">
        <f t="shared" si="73"/>
      </c>
      <c r="E420" s="309">
        <v>2205.74</v>
      </c>
      <c r="F420" s="309">
        <v>1216.5500000000002</v>
      </c>
      <c r="G420" s="358">
        <v>0</v>
      </c>
      <c r="H420" s="358">
        <v>0</v>
      </c>
      <c r="I420" s="341">
        <f t="shared" si="345"/>
      </c>
      <c r="J420" s="430">
        <f t="shared" si="241"/>
      </c>
      <c r="K420" s="431">
        <f t="shared" si="163"/>
      </c>
      <c r="L420" s="447">
        <f t="shared" si="267"/>
      </c>
      <c r="M420" s="430">
        <f t="shared" si="111"/>
      </c>
      <c r="N420" s="431">
        <f t="shared" si="371"/>
      </c>
      <c r="O420" s="430">
        <f t="shared" si="293"/>
      </c>
      <c r="P420" s="430">
        <f t="shared" si="189"/>
      </c>
      <c r="Q420" s="431">
        <f t="shared" si="137"/>
      </c>
      <c r="R420" s="432">
        <f t="shared" si="397"/>
      </c>
      <c r="S420" s="431">
        <f t="shared" si="319"/>
      </c>
      <c r="T420" s="433">
        <f t="shared" si="215"/>
      </c>
      <c r="U420" s="434" t="s">
        <v>185</v>
      </c>
      <c r="V420" s="435" t="s">
        <v>211</v>
      </c>
      <c r="W420" s="309">
        <v>0</v>
      </c>
      <c r="X420" s="309">
        <v>12164</v>
      </c>
      <c r="Y420" s="309">
        <v>799</v>
      </c>
      <c r="Z420" s="309">
        <v>1182</v>
      </c>
      <c r="AA420" s="309">
        <v>256</v>
      </c>
      <c r="AB420" s="309">
        <v>23</v>
      </c>
      <c r="AC420" s="395">
        <v>1</v>
      </c>
      <c r="AD420" s="359">
        <v>19</v>
      </c>
      <c r="AE420" s="293"/>
      <c r="AF420" s="293"/>
    </row>
    <row r="421">
      <c r="A421" s="425"/>
      <c r="B421" s="343" t="s">
        <v>189</v>
      </c>
      <c r="C421" s="343"/>
      <c r="D421" s="343">
        <f>SUM(D418:D420)</f>
      </c>
      <c r="E421" s="343">
        <f>SUM(E418:E420)</f>
      </c>
      <c r="F421" s="343">
        <f>SUM(F418:F420)</f>
      </c>
      <c r="G421" s="343">
        <f>SUM(G418:G420)</f>
      </c>
      <c r="H421" s="343">
        <f>SUM(H418:H420)</f>
      </c>
      <c r="I421" s="344">
        <f t="shared" si="345"/>
      </c>
      <c r="J421" s="448">
        <f t="shared" si="241"/>
      </c>
      <c r="K421" s="449">
        <f t="shared" si="163"/>
      </c>
      <c r="L421" s="450">
        <f t="shared" si="267"/>
      </c>
      <c r="M421" s="448">
        <f t="shared" si="111"/>
      </c>
      <c r="N421" s="449">
        <f t="shared" si="371"/>
      </c>
      <c r="O421" s="448">
        <f t="shared" si="293"/>
      </c>
      <c r="P421" s="448">
        <f t="shared" si="189"/>
      </c>
      <c r="Q421" s="449">
        <f t="shared" si="137"/>
      </c>
      <c r="R421" s="451">
        <f t="shared" si="397"/>
      </c>
      <c r="S421" s="449">
        <f t="shared" si="319"/>
      </c>
      <c r="T421" s="452">
        <f t="shared" si="215"/>
      </c>
      <c r="U421" s="452"/>
      <c r="V421" s="452"/>
      <c r="W421" s="343">
        <f>SUM(W418:W420)</f>
      </c>
      <c r="X421" s="343">
        <f>SUM(X418:X420)</f>
      </c>
      <c r="Y421" s="343">
        <f>SUM(Y418:Y420)</f>
      </c>
      <c r="Z421" s="343">
        <f>SUM(Z418:Z420)</f>
      </c>
      <c r="AA421" s="343">
        <f>SUM(AA418:AA420)</f>
      </c>
      <c r="AB421" s="343">
        <f>SUM(AB418:AB420)</f>
      </c>
      <c r="AC421" s="319">
        <f>SUM(AC418:AC420)</f>
      </c>
      <c r="AD421" s="320">
        <f>SUM(AD418:AD420)</f>
      </c>
      <c r="AE421" s="293"/>
      <c r="AF421" s="293"/>
    </row>
    <row r="422">
      <c r="A422" s="425"/>
      <c r="B422" s="385" t="s">
        <v>202</v>
      </c>
      <c r="C422" s="309" t="s">
        <v>197</v>
      </c>
      <c r="D422" s="309">
        <f t="shared" ref="D422:D425" si="74">E422+F422</f>
      </c>
      <c r="E422" s="309">
        <v>2529.4700000000003</v>
      </c>
      <c r="F422" s="309">
        <v>708.93</v>
      </c>
      <c r="G422" s="358">
        <v>2</v>
      </c>
      <c r="H422" s="309">
        <v>6217.799999999999</v>
      </c>
      <c r="I422" s="341">
        <f t="shared" si="345"/>
      </c>
      <c r="J422" s="430">
        <f t="shared" si="241"/>
      </c>
      <c r="K422" s="431">
        <f t="shared" si="163"/>
      </c>
      <c r="L422" s="447">
        <f t="shared" si="267"/>
      </c>
      <c r="M422" s="430">
        <f t="shared" si="111"/>
      </c>
      <c r="N422" s="431">
        <f t="shared" si="371"/>
      </c>
      <c r="O422" s="430">
        <f t="shared" si="293"/>
      </c>
      <c r="P422" s="430">
        <f t="shared" si="189"/>
      </c>
      <c r="Q422" s="431">
        <f t="shared" si="137"/>
      </c>
      <c r="R422" s="432">
        <f t="shared" si="397"/>
      </c>
      <c r="S422" s="431">
        <f t="shared" si="319"/>
      </c>
      <c r="T422" s="433">
        <f t="shared" si="215"/>
      </c>
      <c r="U422" s="434" t="s">
        <v>185</v>
      </c>
      <c r="V422" s="435" t="s">
        <v>211</v>
      </c>
      <c r="W422" s="309">
        <v>1</v>
      </c>
      <c r="X422" s="309">
        <v>12943</v>
      </c>
      <c r="Y422" s="309">
        <v>700</v>
      </c>
      <c r="Z422" s="309">
        <v>1017</v>
      </c>
      <c r="AA422" s="309">
        <v>221</v>
      </c>
      <c r="AB422" s="309">
        <v>22</v>
      </c>
      <c r="AC422" s="395">
        <v>3</v>
      </c>
      <c r="AD422" s="359">
        <v>21</v>
      </c>
      <c r="AE422" s="293"/>
      <c r="AF422" s="293"/>
    </row>
    <row r="423">
      <c r="A423" s="425"/>
      <c r="B423" s="429" t="s">
        <v>203</v>
      </c>
      <c r="C423" s="309" t="s">
        <v>197</v>
      </c>
      <c r="D423" s="309">
        <f t="shared" si="74"/>
      </c>
      <c r="E423" s="309">
        <v>2547.71</v>
      </c>
      <c r="F423" s="309">
        <v>524.6</v>
      </c>
      <c r="G423" s="358">
        <v>1</v>
      </c>
      <c r="H423" s="309">
        <v>1995.7200000000012</v>
      </c>
      <c r="I423" s="341">
        <f t="shared" si="345"/>
      </c>
      <c r="J423" s="430">
        <f t="shared" si="241"/>
      </c>
      <c r="K423" s="431">
        <f t="shared" si="163"/>
      </c>
      <c r="L423" s="447">
        <f t="shared" si="267"/>
      </c>
      <c r="M423" s="430">
        <f t="shared" si="111"/>
      </c>
      <c r="N423" s="431">
        <f t="shared" si="371"/>
      </c>
      <c r="O423" s="430">
        <f t="shared" si="293"/>
      </c>
      <c r="P423" s="430">
        <f t="shared" si="189"/>
      </c>
      <c r="Q423" s="431">
        <f t="shared" si="137"/>
      </c>
      <c r="R423" s="432">
        <f t="shared" si="397"/>
      </c>
      <c r="S423" s="431">
        <f t="shared" si="319"/>
      </c>
      <c r="T423" s="433">
        <f t="shared" si="215"/>
      </c>
      <c r="U423" s="434" t="s">
        <v>185</v>
      </c>
      <c r="V423" s="435" t="s">
        <v>211</v>
      </c>
      <c r="W423" s="309">
        <v>1</v>
      </c>
      <c r="X423" s="309">
        <v>11076</v>
      </c>
      <c r="Y423" s="309">
        <v>450</v>
      </c>
      <c r="Z423" s="309">
        <v>630</v>
      </c>
      <c r="AA423" s="309">
        <v>136</v>
      </c>
      <c r="AB423" s="309">
        <v>41</v>
      </c>
      <c r="AC423" s="395">
        <v>2</v>
      </c>
      <c r="AD423" s="359">
        <v>17</v>
      </c>
      <c r="AE423" s="293"/>
      <c r="AF423" s="293"/>
    </row>
    <row r="424">
      <c r="A424" s="425"/>
      <c r="B424" s="429" t="s">
        <v>204</v>
      </c>
      <c r="C424" s="309" t="s">
        <v>197</v>
      </c>
      <c r="D424" s="309">
        <f t="shared" si="74"/>
      </c>
      <c r="E424" s="309">
        <v>1907.12</v>
      </c>
      <c r="F424" s="309">
        <v>892.34</v>
      </c>
      <c r="G424" s="358">
        <v>0</v>
      </c>
      <c r="H424" s="358">
        <v>0</v>
      </c>
      <c r="I424" s="341">
        <f t="shared" si="345"/>
      </c>
      <c r="J424" s="430">
        <f t="shared" si="241"/>
      </c>
      <c r="K424" s="431">
        <f t="shared" si="163"/>
      </c>
      <c r="L424" s="447">
        <f t="shared" si="267"/>
      </c>
      <c r="M424" s="430">
        <f t="shared" si="111"/>
      </c>
      <c r="N424" s="431">
        <f t="shared" si="371"/>
      </c>
      <c r="O424" s="430">
        <f t="shared" si="293"/>
      </c>
      <c r="P424" s="430">
        <f t="shared" si="189"/>
      </c>
      <c r="Q424" s="431">
        <f t="shared" si="137"/>
      </c>
      <c r="R424" s="432">
        <f t="shared" si="397"/>
      </c>
      <c r="S424" s="431">
        <f t="shared" si="319"/>
      </c>
      <c r="T424" s="433">
        <f t="shared" si="215"/>
      </c>
      <c r="U424" s="434" t="s">
        <v>185</v>
      </c>
      <c r="V424" s="435" t="s">
        <v>211</v>
      </c>
      <c r="W424" s="309">
        <v>0</v>
      </c>
      <c r="X424" s="309">
        <v>9708</v>
      </c>
      <c r="Y424" s="309">
        <v>655</v>
      </c>
      <c r="Z424" s="309">
        <v>965</v>
      </c>
      <c r="AA424" s="309">
        <v>241</v>
      </c>
      <c r="AB424" s="309">
        <v>27</v>
      </c>
      <c r="AC424" s="395">
        <v>2</v>
      </c>
      <c r="AD424" s="359">
        <v>18</v>
      </c>
      <c r="AE424" s="293"/>
      <c r="AF424" s="293"/>
    </row>
    <row r="425">
      <c r="A425" s="425"/>
      <c r="B425" s="429" t="s">
        <v>205</v>
      </c>
      <c r="C425" s="309" t="s">
        <v>197</v>
      </c>
      <c r="D425" s="309">
        <f t="shared" si="74"/>
      </c>
      <c r="E425" s="309">
        <v>480.65</v>
      </c>
      <c r="F425" s="309">
        <v>725.57</v>
      </c>
      <c r="G425" s="309">
        <v>1</v>
      </c>
      <c r="H425" s="309">
        <v>6666</v>
      </c>
      <c r="I425" s="341">
        <f t="shared" si="345"/>
      </c>
      <c r="J425" s="430">
        <f t="shared" si="241"/>
      </c>
      <c r="K425" s="431">
        <f t="shared" si="163"/>
      </c>
      <c r="L425" s="447">
        <f t="shared" si="267"/>
      </c>
      <c r="M425" s="430">
        <f t="shared" si="111"/>
      </c>
      <c r="N425" s="431">
        <f t="shared" si="371"/>
      </c>
      <c r="O425" s="430">
        <f t="shared" si="293"/>
      </c>
      <c r="P425" s="430">
        <f t="shared" si="189"/>
      </c>
      <c r="Q425" s="431">
        <f t="shared" si="137"/>
      </c>
      <c r="R425" s="432">
        <f t="shared" si="397"/>
      </c>
      <c r="S425" s="431">
        <f t="shared" si="319"/>
      </c>
      <c r="T425" s="433">
        <f t="shared" si="215"/>
      </c>
      <c r="U425" s="434" t="s">
        <v>185</v>
      </c>
      <c r="V425" s="435" t="s">
        <v>211</v>
      </c>
      <c r="W425" s="309">
        <v>1</v>
      </c>
      <c r="X425" s="309">
        <v>5957</v>
      </c>
      <c r="Y425" s="309">
        <v>401</v>
      </c>
      <c r="Z425" s="309">
        <v>658</v>
      </c>
      <c r="AA425" s="309">
        <v>136</v>
      </c>
      <c r="AB425" s="309">
        <v>19</v>
      </c>
      <c r="AC425" s="395">
        <v>1</v>
      </c>
      <c r="AD425" s="310">
        <v>11</v>
      </c>
      <c r="AE425" s="293"/>
      <c r="AF425" s="293"/>
    </row>
    <row r="426">
      <c r="A426" s="425"/>
      <c r="B426" s="343" t="s">
        <v>189</v>
      </c>
      <c r="C426" s="343"/>
      <c r="D426" s="343">
        <f>SUM(D422:D425)</f>
      </c>
      <c r="E426" s="343">
        <f>SUM(E422:E425)</f>
      </c>
      <c r="F426" s="343">
        <f>SUM(F422:F425)</f>
      </c>
      <c r="G426" s="343">
        <f>SUM(G422:G425)</f>
      </c>
      <c r="H426" s="343">
        <f>SUM(H422:H425)</f>
      </c>
      <c r="I426" s="344">
        <f t="shared" si="345"/>
      </c>
      <c r="J426" s="448">
        <f t="shared" si="241"/>
      </c>
      <c r="K426" s="449">
        <f t="shared" si="163"/>
      </c>
      <c r="L426" s="450">
        <f t="shared" si="267"/>
      </c>
      <c r="M426" s="448">
        <f t="shared" si="111"/>
      </c>
      <c r="N426" s="449">
        <f t="shared" si="371"/>
      </c>
      <c r="O426" s="448">
        <f t="shared" si="293"/>
      </c>
      <c r="P426" s="448">
        <f t="shared" si="189"/>
      </c>
      <c r="Q426" s="449">
        <f t="shared" si="137"/>
      </c>
      <c r="R426" s="451">
        <f t="shared" si="397"/>
      </c>
      <c r="S426" s="449">
        <f t="shared" si="319"/>
      </c>
      <c r="T426" s="452">
        <f t="shared" si="215"/>
      </c>
      <c r="U426" s="452"/>
      <c r="V426" s="452"/>
      <c r="W426" s="343">
        <f>SUM(W422:W425)</f>
      </c>
      <c r="X426" s="343">
        <f>SUM(X422:X425)</f>
      </c>
      <c r="Y426" s="343">
        <f>SUM(Y422:Y425)</f>
      </c>
      <c r="Z426" s="343">
        <f>SUM(Z422:Z425)</f>
      </c>
      <c r="AA426" s="343">
        <f>SUM(AA422:AA425)</f>
      </c>
      <c r="AB426" s="343">
        <f>SUM(AB422:AB425)</f>
      </c>
      <c r="AC426" s="343">
        <f>SUM(AC422:AC425)</f>
      </c>
      <c r="AD426" s="343">
        <f>SUM(AD422:AD425)</f>
      </c>
      <c r="AE426" s="293"/>
      <c r="AF426" s="293"/>
    </row>
    <row r="427">
      <c r="A427" s="425"/>
      <c r="B427" s="419" t="s">
        <v>196</v>
      </c>
      <c r="C427" s="369" t="s">
        <v>198</v>
      </c>
      <c r="D427" s="309">
        <f t="shared" ref="D427:D430" si="75">E427+F427</f>
      </c>
      <c r="E427" s="309">
        <v>1330.99</v>
      </c>
      <c r="F427" s="309">
        <v>689.85</v>
      </c>
      <c r="G427" s="309">
        <v>2</v>
      </c>
      <c r="H427" s="309">
        <v>3632.5200000000004</v>
      </c>
      <c r="I427" s="341">
        <f t="shared" si="345"/>
      </c>
      <c r="J427" s="430">
        <f t="shared" si="241"/>
      </c>
      <c r="K427" s="431">
        <f t="shared" si="163"/>
      </c>
      <c r="L427" s="447">
        <f t="shared" si="267"/>
      </c>
      <c r="M427" s="430">
        <f t="shared" si="111"/>
      </c>
      <c r="N427" s="431">
        <f t="shared" si="371"/>
      </c>
      <c r="O427" s="430">
        <f t="shared" si="293"/>
      </c>
      <c r="P427" s="430">
        <f t="shared" si="189"/>
      </c>
      <c r="Q427" s="431">
        <f t="shared" si="137"/>
      </c>
      <c r="R427" s="432">
        <f t="shared" si="397"/>
      </c>
      <c r="S427" s="431">
        <f t="shared" si="319"/>
      </c>
      <c r="T427" s="433">
        <f t="shared" si="215"/>
      </c>
      <c r="U427" s="434" t="s">
        <v>185</v>
      </c>
      <c r="V427" s="435" t="s">
        <v>186</v>
      </c>
      <c r="W427" s="309">
        <v>2</v>
      </c>
      <c r="X427" s="309">
        <v>6563</v>
      </c>
      <c r="Y427" s="309">
        <v>414</v>
      </c>
      <c r="Z427" s="309">
        <v>700</v>
      </c>
      <c r="AA427" s="309">
        <v>146</v>
      </c>
      <c r="AB427" s="309">
        <v>34</v>
      </c>
      <c r="AC427" s="395">
        <v>2</v>
      </c>
      <c r="AD427" s="310">
        <v>16</v>
      </c>
      <c r="AE427" s="293"/>
      <c r="AF427" s="293"/>
    </row>
    <row r="428">
      <c r="A428" s="425"/>
      <c r="B428" s="401" t="s">
        <v>183</v>
      </c>
      <c r="C428" s="369" t="s">
        <v>198</v>
      </c>
      <c r="D428" s="309">
        <f t="shared" si="75"/>
      </c>
      <c r="E428" s="309">
        <v>1154.77</v>
      </c>
      <c r="F428" s="309">
        <v>880.99</v>
      </c>
      <c r="G428" s="358">
        <v>0</v>
      </c>
      <c r="H428" s="358">
        <v>0</v>
      </c>
      <c r="I428" s="341">
        <f t="shared" si="345"/>
      </c>
      <c r="J428" s="430">
        <f t="shared" si="241"/>
      </c>
      <c r="K428" s="431">
        <f t="shared" si="163"/>
      </c>
      <c r="L428" s="447">
        <f t="shared" si="267"/>
      </c>
      <c r="M428" s="430">
        <f t="shared" si="111"/>
      </c>
      <c r="N428" s="431">
        <f t="shared" si="371"/>
      </c>
      <c r="O428" s="430">
        <f t="shared" si="293"/>
      </c>
      <c r="P428" s="430">
        <f t="shared" si="189"/>
      </c>
      <c r="Q428" s="431">
        <f t="shared" si="137"/>
      </c>
      <c r="R428" s="432">
        <f t="shared" si="397"/>
      </c>
      <c r="S428" s="431">
        <f t="shared" si="319"/>
      </c>
      <c r="T428" s="433">
        <f t="shared" si="215"/>
      </c>
      <c r="U428" s="434" t="s">
        <v>185</v>
      </c>
      <c r="V428" s="435" t="s">
        <v>186</v>
      </c>
      <c r="W428" s="309">
        <v>0</v>
      </c>
      <c r="X428" s="309">
        <v>6355</v>
      </c>
      <c r="Y428" s="309">
        <v>445</v>
      </c>
      <c r="Z428" s="309">
        <v>799</v>
      </c>
      <c r="AA428" s="309">
        <v>166</v>
      </c>
      <c r="AB428" s="309">
        <v>12</v>
      </c>
      <c r="AC428" s="395">
        <v>1</v>
      </c>
      <c r="AD428" s="359">
        <v>10</v>
      </c>
      <c r="AE428" s="293"/>
      <c r="AF428" s="293"/>
    </row>
    <row r="429">
      <c r="A429" s="425"/>
      <c r="B429" s="385" t="s">
        <v>187</v>
      </c>
      <c r="C429" s="369" t="s">
        <v>198</v>
      </c>
      <c r="D429" s="309">
        <f t="shared" si="75"/>
      </c>
      <c r="E429" s="309">
        <v>772.24</v>
      </c>
      <c r="F429" s="309">
        <v>875.13</v>
      </c>
      <c r="G429" s="358">
        <v>0</v>
      </c>
      <c r="H429" s="358">
        <v>0</v>
      </c>
      <c r="I429" s="341">
        <f t="shared" si="345"/>
      </c>
      <c r="J429" s="430">
        <f t="shared" si="241"/>
      </c>
      <c r="K429" s="431">
        <f t="shared" si="163"/>
      </c>
      <c r="L429" s="447">
        <f t="shared" si="267"/>
      </c>
      <c r="M429" s="430">
        <f t="shared" si="111"/>
      </c>
      <c r="N429" s="431">
        <f t="shared" si="371"/>
      </c>
      <c r="O429" s="430">
        <f t="shared" si="293"/>
      </c>
      <c r="P429" s="430">
        <f t="shared" si="189"/>
      </c>
      <c r="Q429" s="431">
        <f t="shared" si="137"/>
      </c>
      <c r="R429" s="432">
        <f t="shared" si="397"/>
      </c>
      <c r="S429" s="431">
        <f t="shared" si="319"/>
      </c>
      <c r="T429" s="433">
        <f t="shared" si="215"/>
      </c>
      <c r="U429" s="434" t="s">
        <v>185</v>
      </c>
      <c r="V429" s="435" t="s">
        <v>186</v>
      </c>
      <c r="W429" s="309">
        <v>0</v>
      </c>
      <c r="X429" s="309">
        <v>5086</v>
      </c>
      <c r="Y429" s="309">
        <v>427</v>
      </c>
      <c r="Z429" s="309">
        <v>775</v>
      </c>
      <c r="AA429" s="309">
        <v>184</v>
      </c>
      <c r="AB429" s="309">
        <v>11</v>
      </c>
      <c r="AC429" s="395">
        <v>0</v>
      </c>
      <c r="AD429" s="310">
        <v>6</v>
      </c>
      <c r="AE429" s="293"/>
      <c r="AF429" s="293"/>
    </row>
    <row r="430">
      <c r="A430" s="425"/>
      <c r="B430" s="385" t="s">
        <v>188</v>
      </c>
      <c r="C430" s="369" t="s">
        <v>198</v>
      </c>
      <c r="D430" s="309">
        <f t="shared" si="75"/>
      </c>
      <c r="E430" s="309">
        <v>1082.68</v>
      </c>
      <c r="F430" s="309">
        <v>1338.27</v>
      </c>
      <c r="G430" s="358">
        <v>0</v>
      </c>
      <c r="H430" s="358">
        <v>0</v>
      </c>
      <c r="I430" s="341">
        <f t="shared" si="345"/>
      </c>
      <c r="J430" s="430">
        <f t="shared" si="241"/>
      </c>
      <c r="K430" s="431">
        <f t="shared" si="163"/>
      </c>
      <c r="L430" s="447">
        <f t="shared" si="267"/>
      </c>
      <c r="M430" s="430">
        <f t="shared" si="111"/>
      </c>
      <c r="N430" s="431">
        <f t="shared" si="371"/>
      </c>
      <c r="O430" s="430">
        <f t="shared" si="293"/>
      </c>
      <c r="P430" s="430">
        <f t="shared" si="189"/>
      </c>
      <c r="Q430" s="431">
        <f t="shared" si="137"/>
      </c>
      <c r="R430" s="432">
        <f t="shared" si="397"/>
      </c>
      <c r="S430" s="431">
        <f t="shared" si="319"/>
      </c>
      <c r="T430" s="433">
        <f t="shared" si="215"/>
      </c>
      <c r="U430" s="434" t="s">
        <v>185</v>
      </c>
      <c r="V430" s="435" t="s">
        <v>186</v>
      </c>
      <c r="W430" s="309">
        <v>0</v>
      </c>
      <c r="X430" s="309">
        <v>11378</v>
      </c>
      <c r="Y430" s="309">
        <v>687</v>
      </c>
      <c r="Z430" s="309">
        <v>1266</v>
      </c>
      <c r="AA430" s="309">
        <v>221</v>
      </c>
      <c r="AB430" s="309">
        <v>30</v>
      </c>
      <c r="AC430" s="395">
        <v>0</v>
      </c>
      <c r="AD430" s="310">
        <v>22</v>
      </c>
      <c r="AE430" s="293"/>
      <c r="AF430" s="293"/>
    </row>
    <row r="431">
      <c r="A431" s="425"/>
      <c r="B431" s="343" t="s">
        <v>189</v>
      </c>
      <c r="C431" s="343"/>
      <c r="D431" s="343">
        <f>SUM(D427:D430)</f>
      </c>
      <c r="E431" s="343">
        <f>SUM(E427:E430)</f>
      </c>
      <c r="F431" s="343">
        <f>SUM(F427:F430)</f>
      </c>
      <c r="G431" s="343">
        <f>SUM(G427:G430)</f>
      </c>
      <c r="H431" s="343">
        <f>SUM(H427:H430)</f>
      </c>
      <c r="I431" s="344">
        <f t="shared" si="345"/>
      </c>
      <c r="J431" s="448">
        <f t="shared" si="241"/>
      </c>
      <c r="K431" s="449">
        <f t="shared" si="163"/>
      </c>
      <c r="L431" s="450">
        <f t="shared" si="267"/>
      </c>
      <c r="M431" s="448">
        <f t="shared" si="111"/>
      </c>
      <c r="N431" s="449">
        <f t="shared" si="371"/>
      </c>
      <c r="O431" s="448">
        <f t="shared" si="293"/>
      </c>
      <c r="P431" s="448">
        <f t="shared" si="189"/>
      </c>
      <c r="Q431" s="449">
        <f t="shared" si="137"/>
      </c>
      <c r="R431" s="451">
        <f t="shared" si="397"/>
      </c>
      <c r="S431" s="449">
        <f t="shared" si="319"/>
      </c>
      <c r="T431" s="452">
        <f t="shared" si="215"/>
      </c>
      <c r="U431" s="452"/>
      <c r="V431" s="452"/>
      <c r="W431" s="343">
        <f>SUM(W427:W430)</f>
      </c>
      <c r="X431" s="343">
        <f>SUM(X427:X430)</f>
      </c>
      <c r="Y431" s="343">
        <f>SUM(Y427:Y430)</f>
      </c>
      <c r="Z431" s="343">
        <f>SUM(Z427:Z430)</f>
      </c>
      <c r="AA431" s="343">
        <f>SUM(AA427:AA430)</f>
      </c>
      <c r="AB431" s="343">
        <f>SUM(AB427:AB430)</f>
      </c>
      <c r="AC431" s="343">
        <f>SUM(AC427:AC430)</f>
      </c>
      <c r="AD431" s="343">
        <f>SUM(AD427:AD430)</f>
      </c>
      <c r="AE431" s="293"/>
      <c r="AF431" s="293"/>
    </row>
    <row r="432">
      <c r="A432" s="425"/>
      <c r="B432" s="429" t="s">
        <v>190</v>
      </c>
      <c r="C432" s="369" t="s">
        <v>210</v>
      </c>
      <c r="D432" s="309">
        <f t="shared" ref="D432:D433" si="76">E432+F432</f>
      </c>
      <c r="E432" s="309">
        <v>888.3199999999999</v>
      </c>
      <c r="F432" s="309">
        <v>997.23</v>
      </c>
      <c r="G432" s="358">
        <v>0</v>
      </c>
      <c r="H432" s="358">
        <v>0</v>
      </c>
      <c r="I432" s="341">
        <f t="shared" si="345"/>
      </c>
      <c r="J432" s="430">
        <f t="shared" si="241"/>
      </c>
      <c r="K432" s="431">
        <f t="shared" si="163"/>
      </c>
      <c r="L432" s="447">
        <f t="shared" si="267"/>
      </c>
      <c r="M432" s="430">
        <f t="shared" si="111"/>
      </c>
      <c r="N432" s="431">
        <f t="shared" si="371"/>
      </c>
      <c r="O432" s="430">
        <f t="shared" si="293"/>
      </c>
      <c r="P432" s="430">
        <f t="shared" si="189"/>
      </c>
      <c r="Q432" s="431">
        <f t="shared" si="137"/>
      </c>
      <c r="R432" s="432">
        <f t="shared" si="397"/>
      </c>
      <c r="S432" s="431">
        <f t="shared" si="319"/>
      </c>
      <c r="T432" s="433">
        <f t="shared" si="215"/>
      </c>
      <c r="U432" s="434" t="s">
        <v>185</v>
      </c>
      <c r="V432" s="435" t="s">
        <v>186</v>
      </c>
      <c r="W432" s="309">
        <v>0</v>
      </c>
      <c r="X432" s="309">
        <v>9893</v>
      </c>
      <c r="Y432" s="309">
        <v>577</v>
      </c>
      <c r="Z432" s="309">
        <v>1025</v>
      </c>
      <c r="AA432" s="309">
        <v>181</v>
      </c>
      <c r="AB432" s="309">
        <v>53</v>
      </c>
      <c r="AC432" s="395">
        <v>0</v>
      </c>
      <c r="AD432" s="310">
        <v>12</v>
      </c>
      <c r="AE432" s="293"/>
      <c r="AF432" s="293"/>
    </row>
    <row customHeight="true" ht="18.452380952380953" r="433">
      <c r="A433" s="425"/>
      <c r="B433" s="309" t="s">
        <v>192</v>
      </c>
      <c r="C433" s="369" t="s">
        <v>210</v>
      </c>
      <c r="D433" s="309">
        <f t="shared" si="76"/>
      </c>
      <c r="E433" s="309">
        <v>563.25</v>
      </c>
      <c r="F433" s="309">
        <v>579.34</v>
      </c>
      <c r="G433" s="358">
        <v>0</v>
      </c>
      <c r="H433" s="358">
        <v>0</v>
      </c>
      <c r="I433" s="341">
        <f t="shared" si="345"/>
      </c>
      <c r="J433" s="430">
        <f t="shared" si="241"/>
      </c>
      <c r="K433" s="431">
        <f t="shared" si="163"/>
      </c>
      <c r="L433" s="447">
        <f t="shared" si="267"/>
      </c>
      <c r="M433" s="430">
        <f t="shared" si="111"/>
      </c>
      <c r="N433" s="431">
        <f t="shared" si="371"/>
      </c>
      <c r="O433" s="430">
        <f t="shared" si="293"/>
      </c>
      <c r="P433" s="430">
        <f t="shared" si="189"/>
      </c>
      <c r="Q433" s="431">
        <f t="shared" si="137"/>
      </c>
      <c r="R433" s="432">
        <f t="shared" si="397"/>
      </c>
      <c r="S433" s="431">
        <f t="shared" si="319"/>
      </c>
      <c r="T433" s="433">
        <f t="shared" si="215"/>
      </c>
      <c r="U433" s="434" t="s">
        <v>185</v>
      </c>
      <c r="V433" s="435" t="s">
        <v>186</v>
      </c>
      <c r="W433" s="309">
        <v>0</v>
      </c>
      <c r="X433" s="309">
        <v>6076</v>
      </c>
      <c r="Y433" s="309">
        <v>332</v>
      </c>
      <c r="Z433" s="309">
        <v>609</v>
      </c>
      <c r="AA433" s="309">
        <v>114</v>
      </c>
      <c r="AB433" s="309">
        <v>19</v>
      </c>
      <c r="AC433" s="395">
        <v>0</v>
      </c>
      <c r="AD433" s="310">
        <v>12</v>
      </c>
      <c r="AE433" s="293"/>
      <c r="AF433" s="293"/>
    </row>
    <row r="434">
      <c r="A434" s="425"/>
      <c r="B434" s="343" t="s">
        <v>189</v>
      </c>
      <c r="C434" s="343"/>
      <c r="D434" s="343">
        <f>SUM(D432:D433)</f>
      </c>
      <c r="E434" s="343">
        <f>SUM(E432:E433)</f>
      </c>
      <c r="F434" s="343">
        <f>SUM(F432:F433)</f>
      </c>
      <c r="G434" s="343">
        <f>SUM(G432:G433)</f>
      </c>
      <c r="H434" s="343">
        <f>SUM(H432:H433)</f>
      </c>
      <c r="I434" s="344">
        <f t="shared" si="345"/>
      </c>
      <c r="J434" s="448">
        <f t="shared" si="241"/>
      </c>
      <c r="K434" s="449">
        <f t="shared" si="163"/>
      </c>
      <c r="L434" s="450">
        <f t="shared" si="267"/>
      </c>
      <c r="M434" s="448">
        <f t="shared" si="111"/>
      </c>
      <c r="N434" s="449">
        <f t="shared" si="371"/>
      </c>
      <c r="O434" s="448">
        <f t="shared" si="293"/>
      </c>
      <c r="P434" s="448">
        <f t="shared" si="189"/>
      </c>
      <c r="Q434" s="449">
        <f t="shared" si="137"/>
      </c>
      <c r="R434" s="451">
        <f t="shared" si="397"/>
      </c>
      <c r="S434" s="449">
        <f t="shared" si="319"/>
      </c>
      <c r="T434" s="452">
        <f t="shared" si="215"/>
      </c>
      <c r="U434" s="452"/>
      <c r="V434" s="452"/>
      <c r="W434" s="343">
        <f>SUM(W432:W433)</f>
      </c>
      <c r="X434" s="343">
        <f>SUM(X432:X433)</f>
      </c>
      <c r="Y434" s="343">
        <f>SUM(Y432:Y433)</f>
      </c>
      <c r="Z434" s="343">
        <f>SUM(Z432:Z433)</f>
      </c>
      <c r="AA434" s="343">
        <f>SUM(AA432:AA433)</f>
      </c>
      <c r="AB434" s="343">
        <f>SUM(AB432:AB433)</f>
      </c>
      <c r="AC434" s="343">
        <f>SUM(AC432:AC433)</f>
      </c>
      <c r="AD434" s="343">
        <f>SUM(AD432:AD433)</f>
      </c>
      <c r="AE434" s="293"/>
      <c r="AF434" s="293"/>
    </row>
    <row r="435">
      <c r="A435" s="425"/>
      <c r="B435" s="327" t="s">
        <v>195</v>
      </c>
      <c r="C435" s="327"/>
      <c r="D435" s="367">
        <f>+D426+D421+D431+D434</f>
      </c>
      <c r="E435" s="367">
        <f>+E426+E421+E431+E434</f>
      </c>
      <c r="F435" s="367">
        <f>+F426+F421+F431+F434</f>
      </c>
      <c r="G435" s="367">
        <f>+G426+G421+G431+G434</f>
      </c>
      <c r="H435" s="367">
        <f>+H426+H421+H431+H434</f>
      </c>
      <c r="I435" s="328">
        <f t="shared" si="345"/>
      </c>
      <c r="J435" s="329">
        <f t="shared" si="241"/>
      </c>
      <c r="K435" s="330">
        <f t="shared" si="163"/>
      </c>
      <c r="L435" s="331">
        <f t="shared" si="267"/>
      </c>
      <c r="M435" s="331">
        <f t="shared" si="111"/>
      </c>
      <c r="N435" s="330">
        <f t="shared" si="371"/>
      </c>
      <c r="O435" s="331">
        <f t="shared" si="293"/>
      </c>
      <c r="P435" s="331">
        <f t="shared" si="189"/>
      </c>
      <c r="Q435" s="330">
        <f t="shared" si="137"/>
      </c>
      <c r="R435" s="332">
        <f t="shared" si="397"/>
      </c>
      <c r="S435" s="330">
        <f t="shared" si="319"/>
      </c>
      <c r="T435" s="333">
        <f t="shared" si="215"/>
      </c>
      <c r="U435" s="333"/>
      <c r="V435" s="333"/>
      <c r="W435" s="328">
        <f>+W426+W421+W431+W434</f>
      </c>
      <c r="X435" s="328">
        <f>+X426+X421+X431+X434</f>
      </c>
      <c r="Y435" s="328">
        <f>+Y426+Y421+Y431+Y434</f>
      </c>
      <c r="Z435" s="328">
        <f>+Z426+Z421+Z431+Z434</f>
      </c>
      <c r="AA435" s="328">
        <f>+AA426+AA421+AA431+AA434</f>
      </c>
      <c r="AB435" s="328">
        <f>+AB426+AB421+AB431+AB434</f>
      </c>
      <c r="AC435" s="328">
        <f>+AC426+AC421+AC431+AC434</f>
      </c>
      <c r="AD435" s="328">
        <f>+AD426+AD421+AD431+AD434</f>
      </c>
      <c r="AE435" s="293"/>
      <c r="AF435" s="293"/>
    </row>
    <row r="436">
      <c r="A436" s="287" t="s">
        <v>150</v>
      </c>
      <c r="B436" s="287"/>
      <c r="C436" s="287"/>
      <c r="D436" s="334" t="s">
        <v>151</v>
      </c>
      <c r="E436" s="334"/>
      <c r="F436" s="334"/>
      <c r="G436" s="334"/>
      <c r="H436" s="334"/>
      <c r="I436" s="334"/>
      <c r="J436" s="377" t="s">
        <v>152</v>
      </c>
      <c r="K436" s="377"/>
      <c r="L436" s="377"/>
      <c r="M436" s="377"/>
      <c r="N436" s="377"/>
      <c r="O436" s="377"/>
      <c r="P436" s="377"/>
      <c r="Q436" s="377"/>
      <c r="R436" s="377"/>
      <c r="S436" s="377"/>
      <c r="T436" s="436"/>
      <c r="U436" s="436"/>
      <c r="V436" s="436"/>
      <c r="W436" s="437"/>
      <c r="X436" s="437"/>
      <c r="Y436" s="437"/>
      <c r="Z436" s="437"/>
      <c r="AA436" s="437"/>
      <c r="AB436" s="437"/>
      <c r="AC436" s="437"/>
      <c r="AD436" s="438" t="s">
        <v>153</v>
      </c>
      <c r="AE436" s="293"/>
      <c r="AF436" s="293"/>
    </row>
    <row r="437">
      <c r="A437" s="453" t="s">
        <v>154</v>
      </c>
      <c r="B437" s="287" t="s">
        <v>155</v>
      </c>
      <c r="C437" s="287" t="s">
        <v>156</v>
      </c>
      <c r="D437" s="440" t="s">
        <v>157</v>
      </c>
      <c r="E437" s="337" t="s">
        <v>158</v>
      </c>
      <c r="F437" s="337" t="s">
        <v>159</v>
      </c>
      <c r="G437" s="338" t="s">
        <v>160</v>
      </c>
      <c r="H437" s="336" t="s">
        <v>161</v>
      </c>
      <c r="I437" s="337" t="s">
        <v>162</v>
      </c>
      <c r="J437" s="441" t="s">
        <v>163</v>
      </c>
      <c r="K437" s="441" t="s">
        <v>164</v>
      </c>
      <c r="L437" s="416" t="s">
        <v>165</v>
      </c>
      <c r="M437" s="378" t="s">
        <v>166</v>
      </c>
      <c r="N437" s="377" t="s">
        <v>167</v>
      </c>
      <c r="O437" s="378" t="s">
        <v>168</v>
      </c>
      <c r="P437" s="378" t="s">
        <v>169</v>
      </c>
      <c r="Q437" s="379" t="s">
        <v>170</v>
      </c>
      <c r="R437" s="378" t="s">
        <v>171</v>
      </c>
      <c r="S437" s="379" t="s">
        <v>172</v>
      </c>
      <c r="T437" s="442" t="s">
        <v>173</v>
      </c>
      <c r="U437" s="442" t="s">
        <v>174</v>
      </c>
      <c r="V437" s="442" t="s">
        <v>175</v>
      </c>
      <c r="W437" s="443" t="s">
        <v>176</v>
      </c>
      <c r="X437" s="444" t="s">
        <v>177</v>
      </c>
      <c r="Y437" s="444" t="s">
        <v>178</v>
      </c>
      <c r="Z437" s="444" t="s">
        <v>179</v>
      </c>
      <c r="AA437" s="444" t="s">
        <v>180</v>
      </c>
      <c r="AB437" s="444" t="s">
        <v>181</v>
      </c>
      <c r="AC437" s="445" t="s">
        <v>182</v>
      </c>
      <c r="AD437" s="438"/>
      <c r="AE437" s="293"/>
      <c r="AF437" s="293"/>
    </row>
    <row r="438">
      <c r="A438" s="454">
        <v>46263</v>
      </c>
      <c r="B438" s="455" t="s">
        <v>212</v>
      </c>
      <c r="C438" s="309" t="s">
        <v>197</v>
      </c>
      <c r="D438" s="309">
        <f t="shared" ref="D438:D441" si="77">E438+F438</f>
      </c>
      <c r="E438" s="309">
        <v>1961.04</v>
      </c>
      <c r="F438" s="309">
        <v>990.13</v>
      </c>
      <c r="G438" s="358">
        <v>3</v>
      </c>
      <c r="H438" s="309">
        <v>6228.48</v>
      </c>
      <c r="I438" s="341">
        <f t="shared" ref="I438:I458" si="346">H438/D438</f>
      </c>
      <c r="J438" s="430">
        <f t="shared" ref="J438:J458" si="242">Y438/X438</f>
      </c>
      <c r="K438" s="431">
        <f t="shared" ref="K438:K458" si="164">D438/Z438</f>
      </c>
      <c r="L438" s="447">
        <f t="shared" ref="L438:L458" si="268">AA438/Z438</f>
      </c>
      <c r="M438" s="430">
        <f t="shared" ref="M438:M458" si="112">AB438/Z438</f>
      </c>
      <c r="N438" s="431">
        <f t="shared" ref="N438:N458" si="372">D438/AB438</f>
      </c>
      <c r="O438" s="430">
        <f t="shared" ref="O438:O458" si="294">AC438/AB438</f>
      </c>
      <c r="P438" s="430">
        <f t="shared" ref="P438:P458" si="190">G438/AC438</f>
      </c>
      <c r="Q438" s="431">
        <f t="shared" ref="Q438:Q458" si="138">D438/G438</f>
      </c>
      <c r="R438" s="432">
        <f t="shared" ref="R438:R458" si="398">H438/G438</f>
      </c>
      <c r="S438" s="431">
        <f t="shared" ref="S438:S458" si="320">D438/W438</f>
      </c>
      <c r="T438" s="433">
        <f t="shared" ref="T438:T458" si="216">AD438*1000/D438</f>
      </c>
      <c r="U438" s="434" t="s">
        <v>185</v>
      </c>
      <c r="V438" s="435" t="s">
        <v>211</v>
      </c>
      <c r="W438" s="309">
        <v>2</v>
      </c>
      <c r="X438" s="309">
        <v>14957</v>
      </c>
      <c r="Y438" s="309">
        <v>838</v>
      </c>
      <c r="Z438" s="309">
        <v>1168</v>
      </c>
      <c r="AA438" s="309">
        <v>223</v>
      </c>
      <c r="AB438" s="309">
        <v>64</v>
      </c>
      <c r="AC438" s="395">
        <v>6</v>
      </c>
      <c r="AD438" s="359">
        <v>22</v>
      </c>
      <c r="AE438" s="293"/>
      <c r="AF438" s="293"/>
    </row>
    <row r="439">
      <c r="A439" s="456"/>
      <c r="B439" s="457" t="s">
        <v>199</v>
      </c>
      <c r="C439" s="309" t="s">
        <v>197</v>
      </c>
      <c r="D439" s="309">
        <f t="shared" si="77"/>
      </c>
      <c r="E439" s="309">
        <v>3060.77</v>
      </c>
      <c r="F439" s="309">
        <v>970.19</v>
      </c>
      <c r="G439" s="358">
        <v>1</v>
      </c>
      <c r="H439" s="309">
        <v>948.2399999999998</v>
      </c>
      <c r="I439" s="341">
        <f t="shared" si="346"/>
      </c>
      <c r="J439" s="430">
        <f t="shared" si="242"/>
      </c>
      <c r="K439" s="431">
        <f t="shared" si="164"/>
      </c>
      <c r="L439" s="447">
        <f t="shared" si="268"/>
      </c>
      <c r="M439" s="430">
        <f t="shared" si="112"/>
      </c>
      <c r="N439" s="431">
        <f t="shared" si="372"/>
      </c>
      <c r="O439" s="430">
        <f t="shared" si="294"/>
      </c>
      <c r="P439" s="430">
        <f t="shared" si="190"/>
      </c>
      <c r="Q439" s="431">
        <f t="shared" si="138"/>
      </c>
      <c r="R439" s="432">
        <f t="shared" si="398"/>
      </c>
      <c r="S439" s="431">
        <f t="shared" si="320"/>
      </c>
      <c r="T439" s="433">
        <f t="shared" si="216"/>
      </c>
      <c r="U439" s="434" t="s">
        <v>185</v>
      </c>
      <c r="V439" s="435" t="s">
        <v>211</v>
      </c>
      <c r="W439" s="309">
        <v>1</v>
      </c>
      <c r="X439" s="309">
        <v>22430</v>
      </c>
      <c r="Y439" s="309">
        <v>686</v>
      </c>
      <c r="Z439" s="309">
        <v>827</v>
      </c>
      <c r="AA439" s="309">
        <v>180</v>
      </c>
      <c r="AB439" s="309">
        <v>74</v>
      </c>
      <c r="AC439" s="395">
        <v>3</v>
      </c>
      <c r="AD439" s="359">
        <v>34</v>
      </c>
      <c r="AE439" s="293"/>
      <c r="AF439" s="293"/>
    </row>
    <row r="440">
      <c r="A440" s="456"/>
      <c r="B440" s="457" t="s">
        <v>200</v>
      </c>
      <c r="C440" s="309" t="s">
        <v>197</v>
      </c>
      <c r="D440" s="309">
        <f t="shared" si="77"/>
      </c>
      <c r="E440" s="309">
        <v>6957.02</v>
      </c>
      <c r="F440" s="309">
        <v>939.97</v>
      </c>
      <c r="G440" s="358">
        <v>5</v>
      </c>
      <c r="H440" s="309">
        <v>11878.960000000001</v>
      </c>
      <c r="I440" s="341">
        <f t="shared" si="346"/>
      </c>
      <c r="J440" s="430">
        <f t="shared" si="242"/>
      </c>
      <c r="K440" s="431">
        <f t="shared" si="164"/>
      </c>
      <c r="L440" s="447">
        <f t="shared" si="268"/>
      </c>
      <c r="M440" s="430">
        <f t="shared" si="112"/>
      </c>
      <c r="N440" s="431">
        <f t="shared" si="372"/>
      </c>
      <c r="O440" s="430">
        <f t="shared" si="294"/>
      </c>
      <c r="P440" s="430">
        <f t="shared" si="190"/>
      </c>
      <c r="Q440" s="431">
        <f t="shared" si="138"/>
      </c>
      <c r="R440" s="432">
        <f t="shared" si="398"/>
      </c>
      <c r="S440" s="431">
        <f t="shared" si="320"/>
      </c>
      <c r="T440" s="433">
        <f t="shared" si="216"/>
      </c>
      <c r="U440" s="434" t="s">
        <v>185</v>
      </c>
      <c r="V440" s="435" t="s">
        <v>211</v>
      </c>
      <c r="W440" s="309">
        <v>5</v>
      </c>
      <c r="X440" s="309">
        <v>28548</v>
      </c>
      <c r="Y440" s="309">
        <v>1362</v>
      </c>
      <c r="Z440" s="309">
        <v>1748</v>
      </c>
      <c r="AA440" s="309">
        <v>447</v>
      </c>
      <c r="AB440" s="309">
        <v>76</v>
      </c>
      <c r="AC440" s="395">
        <v>8</v>
      </c>
      <c r="AD440" s="359">
        <v>44</v>
      </c>
      <c r="AE440" s="293"/>
      <c r="AF440" s="293"/>
    </row>
    <row r="441">
      <c r="A441" s="456"/>
      <c r="B441" s="458" t="s">
        <v>201</v>
      </c>
      <c r="C441" s="309" t="s">
        <v>197</v>
      </c>
      <c r="D441" s="309">
        <f t="shared" si="77"/>
      </c>
      <c r="E441" s="309">
        <v>5701.13</v>
      </c>
      <c r="F441" s="309">
        <v>1118.09</v>
      </c>
      <c r="G441" s="358">
        <v>5</v>
      </c>
      <c r="H441" s="309">
        <v>13506.479999999996</v>
      </c>
      <c r="I441" s="341">
        <f t="shared" si="346"/>
      </c>
      <c r="J441" s="430">
        <f t="shared" si="242"/>
      </c>
      <c r="K441" s="431">
        <f t="shared" si="164"/>
      </c>
      <c r="L441" s="447">
        <f t="shared" si="268"/>
      </c>
      <c r="M441" s="430">
        <f t="shared" si="112"/>
      </c>
      <c r="N441" s="431">
        <f t="shared" si="372"/>
      </c>
      <c r="O441" s="430">
        <f t="shared" si="294"/>
      </c>
      <c r="P441" s="430">
        <f t="shared" si="190"/>
      </c>
      <c r="Q441" s="431">
        <f t="shared" si="138"/>
      </c>
      <c r="R441" s="432">
        <f t="shared" si="398"/>
      </c>
      <c r="S441" s="431">
        <f t="shared" si="320"/>
      </c>
      <c r="T441" s="433">
        <f t="shared" si="216"/>
      </c>
      <c r="U441" s="434" t="s">
        <v>185</v>
      </c>
      <c r="V441" s="435" t="s">
        <v>211</v>
      </c>
      <c r="W441" s="309">
        <v>4</v>
      </c>
      <c r="X441" s="309">
        <v>25126</v>
      </c>
      <c r="Y441" s="309">
        <v>1230</v>
      </c>
      <c r="Z441" s="309">
        <v>1785</v>
      </c>
      <c r="AA441" s="309">
        <v>455</v>
      </c>
      <c r="AB441" s="309">
        <v>42</v>
      </c>
      <c r="AC441" s="395">
        <v>9</v>
      </c>
      <c r="AD441" s="359">
        <v>42</v>
      </c>
      <c r="AE441" s="293"/>
      <c r="AF441" s="293"/>
    </row>
    <row r="442">
      <c r="A442" s="456"/>
      <c r="B442" s="363" t="s">
        <v>189</v>
      </c>
      <c r="C442" s="343"/>
      <c r="D442" s="343">
        <f>SUM(D438:D441)</f>
      </c>
      <c r="E442" s="343">
        <f>SUM(E438:E441)</f>
      </c>
      <c r="F442" s="343">
        <f>SUM(F438:F441)</f>
      </c>
      <c r="G442" s="343">
        <f>SUM(G438:G441)</f>
      </c>
      <c r="H442" s="343">
        <f>SUM(H438:H441)</f>
      </c>
      <c r="I442" s="344">
        <f t="shared" si="346"/>
      </c>
      <c r="J442" s="448">
        <f t="shared" si="242"/>
      </c>
      <c r="K442" s="449">
        <f t="shared" si="164"/>
      </c>
      <c r="L442" s="450">
        <f t="shared" si="268"/>
      </c>
      <c r="M442" s="448">
        <f t="shared" si="112"/>
      </c>
      <c r="N442" s="449">
        <f t="shared" si="372"/>
      </c>
      <c r="O442" s="448">
        <f t="shared" si="294"/>
      </c>
      <c r="P442" s="448">
        <f t="shared" si="190"/>
      </c>
      <c r="Q442" s="449">
        <f t="shared" si="138"/>
      </c>
      <c r="R442" s="451">
        <f t="shared" si="398"/>
      </c>
      <c r="S442" s="449">
        <f t="shared" si="320"/>
      </c>
      <c r="T442" s="452">
        <f t="shared" si="216"/>
      </c>
      <c r="U442" s="452"/>
      <c r="V442" s="452"/>
      <c r="W442" s="343">
        <f>SUM(W438:W441)</f>
      </c>
      <c r="X442" s="343">
        <f>SUM(X438:X441)</f>
      </c>
      <c r="Y442" s="343">
        <f>SUM(Y438:Y441)</f>
      </c>
      <c r="Z442" s="343">
        <f>SUM(Z438:Z441)</f>
      </c>
      <c r="AA442" s="343">
        <f>SUM(AA438:AA441)</f>
      </c>
      <c r="AB442" s="343">
        <f>SUM(AB438:AB441)</f>
      </c>
      <c r="AC442" s="343">
        <f>SUM(AC438:AC441)</f>
      </c>
      <c r="AD442" s="343">
        <f>SUM(AD438:AD441)</f>
      </c>
      <c r="AE442" s="293"/>
      <c r="AF442" s="293"/>
    </row>
    <row r="443">
      <c r="A443" s="456"/>
      <c r="B443" s="457" t="s">
        <v>202</v>
      </c>
      <c r="C443" s="369" t="s">
        <v>184</v>
      </c>
      <c r="D443" s="309">
        <f t="shared" ref="D443:D446" si="78">E443+F443</f>
      </c>
      <c r="E443" s="309">
        <v>4249.68</v>
      </c>
      <c r="F443" s="309">
        <v>517.84</v>
      </c>
      <c r="G443" s="358">
        <v>0</v>
      </c>
      <c r="H443" s="358">
        <v>0</v>
      </c>
      <c r="I443" s="341">
        <f t="shared" si="346"/>
      </c>
      <c r="J443" s="430">
        <f t="shared" si="242"/>
      </c>
      <c r="K443" s="431">
        <f t="shared" si="164"/>
      </c>
      <c r="L443" s="447">
        <f t="shared" si="268"/>
      </c>
      <c r="M443" s="430">
        <f t="shared" si="112"/>
      </c>
      <c r="N443" s="431">
        <f t="shared" si="372"/>
      </c>
      <c r="O443" s="430">
        <f t="shared" si="294"/>
      </c>
      <c r="P443" s="430">
        <f t="shared" si="190"/>
      </c>
      <c r="Q443" s="431">
        <f t="shared" si="138"/>
      </c>
      <c r="R443" s="432">
        <f t="shared" si="398"/>
      </c>
      <c r="S443" s="431">
        <f t="shared" si="320"/>
      </c>
      <c r="T443" s="433">
        <f t="shared" si="216"/>
      </c>
      <c r="U443" s="434" t="s">
        <v>185</v>
      </c>
      <c r="V443" s="435" t="s">
        <v>211</v>
      </c>
      <c r="W443" s="309">
        <v>0</v>
      </c>
      <c r="X443" s="309">
        <v>18138</v>
      </c>
      <c r="Y443" s="309">
        <v>818</v>
      </c>
      <c r="Z443" s="309">
        <v>1121</v>
      </c>
      <c r="AA443" s="309">
        <v>257</v>
      </c>
      <c r="AB443" s="309">
        <v>34</v>
      </c>
      <c r="AC443" s="395">
        <v>3</v>
      </c>
      <c r="AD443" s="359">
        <v>15</v>
      </c>
      <c r="AE443" s="293"/>
      <c r="AF443" s="293"/>
    </row>
    <row r="444">
      <c r="A444" s="456"/>
      <c r="B444" s="457" t="s">
        <v>203</v>
      </c>
      <c r="C444" s="369" t="s">
        <v>184</v>
      </c>
      <c r="D444" s="309">
        <f t="shared" si="78"/>
      </c>
      <c r="E444" s="309">
        <v>2419.39</v>
      </c>
      <c r="F444" s="309">
        <v>715.81</v>
      </c>
      <c r="G444" s="358">
        <v>0</v>
      </c>
      <c r="H444" s="358">
        <v>0</v>
      </c>
      <c r="I444" s="341">
        <f t="shared" si="346"/>
      </c>
      <c r="J444" s="430">
        <f t="shared" si="242"/>
      </c>
      <c r="K444" s="431">
        <f t="shared" si="164"/>
      </c>
      <c r="L444" s="447">
        <f t="shared" si="268"/>
      </c>
      <c r="M444" s="430">
        <f t="shared" si="112"/>
      </c>
      <c r="N444" s="431">
        <f t="shared" si="372"/>
      </c>
      <c r="O444" s="430">
        <f t="shared" si="294"/>
      </c>
      <c r="P444" s="430">
        <f t="shared" si="190"/>
      </c>
      <c r="Q444" s="431">
        <f t="shared" si="138"/>
      </c>
      <c r="R444" s="432">
        <f t="shared" si="398"/>
      </c>
      <c r="S444" s="431">
        <f t="shared" si="320"/>
      </c>
      <c r="T444" s="433">
        <f t="shared" si="216"/>
      </c>
      <c r="U444" s="434" t="s">
        <v>185</v>
      </c>
      <c r="V444" s="435" t="s">
        <v>211</v>
      </c>
      <c r="W444" s="309">
        <v>0</v>
      </c>
      <c r="X444" s="309">
        <v>12476</v>
      </c>
      <c r="Y444" s="309">
        <v>620</v>
      </c>
      <c r="Z444" s="309">
        <v>865</v>
      </c>
      <c r="AA444" s="309">
        <v>202</v>
      </c>
      <c r="AB444" s="309">
        <v>35</v>
      </c>
      <c r="AC444" s="395">
        <v>0</v>
      </c>
      <c r="AD444" s="359">
        <v>19</v>
      </c>
      <c r="AE444" s="293"/>
      <c r="AF444" s="293"/>
    </row>
    <row r="445">
      <c r="A445" s="456"/>
      <c r="B445" s="457" t="s">
        <v>204</v>
      </c>
      <c r="C445" s="369" t="s">
        <v>184</v>
      </c>
      <c r="D445" s="309">
        <f t="shared" si="78"/>
      </c>
      <c r="E445" s="309">
        <v>1394.81</v>
      </c>
      <c r="F445" s="309">
        <v>1556.71</v>
      </c>
      <c r="G445" s="358">
        <v>0</v>
      </c>
      <c r="H445" s="358">
        <v>0</v>
      </c>
      <c r="I445" s="341">
        <f t="shared" si="346"/>
      </c>
      <c r="J445" s="430">
        <f t="shared" si="242"/>
      </c>
      <c r="K445" s="431">
        <f t="shared" si="164"/>
      </c>
      <c r="L445" s="447">
        <f t="shared" si="268"/>
      </c>
      <c r="M445" s="430">
        <f t="shared" si="112"/>
      </c>
      <c r="N445" s="431">
        <f t="shared" si="372"/>
      </c>
      <c r="O445" s="430">
        <f t="shared" si="294"/>
      </c>
      <c r="P445" s="430">
        <f t="shared" si="190"/>
      </c>
      <c r="Q445" s="431">
        <f t="shared" si="138"/>
      </c>
      <c r="R445" s="432">
        <f t="shared" si="398"/>
      </c>
      <c r="S445" s="431">
        <f t="shared" si="320"/>
      </c>
      <c r="T445" s="433">
        <f t="shared" si="216"/>
      </c>
      <c r="U445" s="434" t="s">
        <v>185</v>
      </c>
      <c r="V445" s="435" t="s">
        <v>211</v>
      </c>
      <c r="W445" s="309">
        <v>0</v>
      </c>
      <c r="X445" s="309">
        <v>11888</v>
      </c>
      <c r="Y445" s="309">
        <v>699</v>
      </c>
      <c r="Z445" s="309">
        <v>1057</v>
      </c>
      <c r="AA445" s="309">
        <v>207</v>
      </c>
      <c r="AB445" s="309">
        <v>40</v>
      </c>
      <c r="AC445" s="395">
        <v>0</v>
      </c>
      <c r="AD445" s="359">
        <v>34</v>
      </c>
      <c r="AE445" s="293"/>
      <c r="AF445" s="293"/>
    </row>
    <row r="446">
      <c r="A446" s="456"/>
      <c r="B446" s="457" t="s">
        <v>205</v>
      </c>
      <c r="C446" s="369" t="s">
        <v>184</v>
      </c>
      <c r="D446" s="309">
        <f t="shared" si="78"/>
      </c>
      <c r="E446" s="309">
        <v>299.56</v>
      </c>
      <c r="F446" s="309">
        <v>950.17</v>
      </c>
      <c r="G446" s="309">
        <v>1</v>
      </c>
      <c r="H446" s="309">
        <v>3019.199999999997</v>
      </c>
      <c r="I446" s="341">
        <f t="shared" si="346"/>
      </c>
      <c r="J446" s="430">
        <f t="shared" si="242"/>
      </c>
      <c r="K446" s="431">
        <f t="shared" si="164"/>
      </c>
      <c r="L446" s="447">
        <f t="shared" si="268"/>
      </c>
      <c r="M446" s="430">
        <f t="shared" si="112"/>
      </c>
      <c r="N446" s="431">
        <f t="shared" si="372"/>
      </c>
      <c r="O446" s="430">
        <f t="shared" si="294"/>
      </c>
      <c r="P446" s="430">
        <f t="shared" si="190"/>
      </c>
      <c r="Q446" s="431">
        <f t="shared" si="138"/>
      </c>
      <c r="R446" s="432">
        <f t="shared" si="398"/>
      </c>
      <c r="S446" s="431">
        <f t="shared" si="320"/>
      </c>
      <c r="T446" s="433">
        <f t="shared" si="216"/>
      </c>
      <c r="U446" s="434" t="s">
        <v>185</v>
      </c>
      <c r="V446" s="434" t="s">
        <v>211</v>
      </c>
      <c r="W446" s="309">
        <v>1</v>
      </c>
      <c r="X446" s="309">
        <v>7831</v>
      </c>
      <c r="Y446" s="309">
        <v>607</v>
      </c>
      <c r="Z446" s="309">
        <v>1013</v>
      </c>
      <c r="AA446" s="309">
        <v>159</v>
      </c>
      <c r="AB446" s="309">
        <v>30</v>
      </c>
      <c r="AC446" s="395">
        <v>1</v>
      </c>
      <c r="AD446" s="359">
        <v>7</v>
      </c>
      <c r="AE446" s="293"/>
      <c r="AF446" s="293"/>
    </row>
    <row r="447">
      <c r="A447" s="456"/>
      <c r="B447" s="363" t="s">
        <v>189</v>
      </c>
      <c r="C447" s="343"/>
      <c r="D447" s="343">
        <f>SUM(D443:D446)</f>
      </c>
      <c r="E447" s="343">
        <f>SUM(E443:E446)</f>
      </c>
      <c r="F447" s="343">
        <f>SUM(F443:F446)</f>
      </c>
      <c r="G447" s="343">
        <f>SUM(G443:G446)</f>
      </c>
      <c r="H447" s="343">
        <f>SUM(H443:H446)</f>
      </c>
      <c r="I447" s="344">
        <f t="shared" si="346"/>
      </c>
      <c r="J447" s="448">
        <f t="shared" si="242"/>
      </c>
      <c r="K447" s="449">
        <f t="shared" si="164"/>
      </c>
      <c r="L447" s="450">
        <f t="shared" si="268"/>
      </c>
      <c r="M447" s="448">
        <f t="shared" si="112"/>
      </c>
      <c r="N447" s="449">
        <f t="shared" si="372"/>
      </c>
      <c r="O447" s="448">
        <f t="shared" si="294"/>
      </c>
      <c r="P447" s="448">
        <f t="shared" si="190"/>
      </c>
      <c r="Q447" s="449">
        <f t="shared" si="138"/>
      </c>
      <c r="R447" s="451">
        <f t="shared" si="398"/>
      </c>
      <c r="S447" s="449">
        <f t="shared" si="320"/>
      </c>
      <c r="T447" s="452">
        <f t="shared" si="216"/>
      </c>
      <c r="U447" s="452"/>
      <c r="V447" s="452"/>
      <c r="W447" s="343">
        <f>SUM(W443:W446)</f>
      </c>
      <c r="X447" s="343">
        <f>SUM(X443:X446)</f>
      </c>
      <c r="Y447" s="343">
        <f>SUM(Y443:Y446)</f>
      </c>
      <c r="Z447" s="343">
        <f>SUM(Z443:Z446)</f>
      </c>
      <c r="AA447" s="343">
        <f>SUM(AA443:AA446)</f>
      </c>
      <c r="AB447" s="343">
        <f>SUM(AB443:AB446)</f>
      </c>
      <c r="AC447" s="343">
        <f>SUM(AC443:AC446)</f>
      </c>
      <c r="AD447" s="343">
        <f>SUM(AD443:AD446)</f>
      </c>
      <c r="AE447" s="293"/>
      <c r="AF447" s="293"/>
    </row>
    <row r="448">
      <c r="A448" s="456"/>
      <c r="B448" s="459" t="s">
        <v>196</v>
      </c>
      <c r="C448" s="369" t="s">
        <v>198</v>
      </c>
      <c r="D448" s="309">
        <f t="shared" ref="D448:D451" si="79">E448+F448</f>
      </c>
      <c r="E448" s="309">
        <v>1775.0700000000002</v>
      </c>
      <c r="F448" s="309">
        <v>1244.51</v>
      </c>
      <c r="G448" s="309">
        <v>3</v>
      </c>
      <c r="H448" s="309">
        <v>2075.760000000002</v>
      </c>
      <c r="I448" s="341">
        <f t="shared" si="346"/>
      </c>
      <c r="J448" s="430">
        <f t="shared" si="242"/>
      </c>
      <c r="K448" s="431">
        <f t="shared" si="164"/>
      </c>
      <c r="L448" s="447">
        <f t="shared" si="268"/>
      </c>
      <c r="M448" s="430">
        <f t="shared" si="112"/>
      </c>
      <c r="N448" s="431">
        <f t="shared" si="372"/>
      </c>
      <c r="O448" s="430">
        <f t="shared" si="294"/>
      </c>
      <c r="P448" s="430">
        <f t="shared" si="190"/>
      </c>
      <c r="Q448" s="431">
        <f t="shared" si="138"/>
      </c>
      <c r="R448" s="432">
        <f t="shared" si="398"/>
      </c>
      <c r="S448" s="431">
        <f t="shared" si="320"/>
      </c>
      <c r="T448" s="433">
        <f t="shared" si="216"/>
      </c>
      <c r="U448" s="434" t="s">
        <v>185</v>
      </c>
      <c r="V448" s="435" t="s">
        <v>186</v>
      </c>
      <c r="W448" s="309">
        <v>2</v>
      </c>
      <c r="X448" s="309">
        <v>11989</v>
      </c>
      <c r="Y448" s="309">
        <v>800</v>
      </c>
      <c r="Z448" s="309">
        <v>1139</v>
      </c>
      <c r="AA448" s="309">
        <v>166</v>
      </c>
      <c r="AB448" s="309">
        <v>45</v>
      </c>
      <c r="AC448" s="395">
        <v>4</v>
      </c>
      <c r="AD448" s="310">
        <v>8</v>
      </c>
      <c r="AE448" s="293"/>
      <c r="AF448" s="293"/>
    </row>
    <row r="449">
      <c r="A449" s="456"/>
      <c r="B449" s="460" t="s">
        <v>183</v>
      </c>
      <c r="C449" s="369" t="s">
        <v>198</v>
      </c>
      <c r="D449" s="309">
        <f t="shared" si="79"/>
      </c>
      <c r="E449" s="309">
        <v>1239.01</v>
      </c>
      <c r="F449" s="309">
        <v>1271.84</v>
      </c>
      <c r="G449" s="358">
        <v>0</v>
      </c>
      <c r="H449" s="358">
        <v>0</v>
      </c>
      <c r="I449" s="341">
        <f t="shared" si="346"/>
      </c>
      <c r="J449" s="430">
        <f t="shared" si="242"/>
      </c>
      <c r="K449" s="431">
        <f t="shared" si="164"/>
      </c>
      <c r="L449" s="447">
        <f t="shared" si="268"/>
      </c>
      <c r="M449" s="430">
        <f t="shared" si="112"/>
      </c>
      <c r="N449" s="431">
        <f t="shared" si="372"/>
      </c>
      <c r="O449" s="430">
        <f t="shared" si="294"/>
      </c>
      <c r="P449" s="430">
        <f t="shared" si="190"/>
      </c>
      <c r="Q449" s="431">
        <f t="shared" si="138"/>
      </c>
      <c r="R449" s="432">
        <f t="shared" si="398"/>
      </c>
      <c r="S449" s="431">
        <f t="shared" si="320"/>
      </c>
      <c r="T449" s="433">
        <f t="shared" si="216"/>
      </c>
      <c r="U449" s="434" t="s">
        <v>185</v>
      </c>
      <c r="V449" s="435" t="s">
        <v>186</v>
      </c>
      <c r="W449" s="309">
        <v>0</v>
      </c>
      <c r="X449" s="309">
        <v>12563</v>
      </c>
      <c r="Y449" s="309">
        <v>820</v>
      </c>
      <c r="Z449" s="309">
        <v>1266</v>
      </c>
      <c r="AA449" s="309">
        <v>219</v>
      </c>
      <c r="AB449" s="309">
        <v>49</v>
      </c>
      <c r="AC449" s="395">
        <v>0</v>
      </c>
      <c r="AD449" s="310">
        <v>22</v>
      </c>
      <c r="AE449" s="293"/>
      <c r="AF449" s="293"/>
    </row>
    <row r="450">
      <c r="A450" s="456"/>
      <c r="B450" s="458" t="s">
        <v>187</v>
      </c>
      <c r="C450" s="369" t="s">
        <v>198</v>
      </c>
      <c r="D450" s="309">
        <f t="shared" si="79"/>
      </c>
      <c r="E450" s="309">
        <v>1194.97</v>
      </c>
      <c r="F450" s="309">
        <v>748.57</v>
      </c>
      <c r="G450" s="309">
        <v>1</v>
      </c>
      <c r="H450" s="309">
        <v>459</v>
      </c>
      <c r="I450" s="341">
        <f t="shared" si="346"/>
      </c>
      <c r="J450" s="430">
        <f t="shared" si="242"/>
      </c>
      <c r="K450" s="431">
        <f t="shared" si="164"/>
      </c>
      <c r="L450" s="447">
        <f t="shared" si="268"/>
      </c>
      <c r="M450" s="430">
        <f t="shared" si="112"/>
      </c>
      <c r="N450" s="431">
        <f t="shared" si="372"/>
      </c>
      <c r="O450" s="430">
        <f t="shared" si="294"/>
      </c>
      <c r="P450" s="430">
        <f t="shared" si="190"/>
      </c>
      <c r="Q450" s="431">
        <f t="shared" si="138"/>
      </c>
      <c r="R450" s="432">
        <f t="shared" si="398"/>
      </c>
      <c r="S450" s="431">
        <f t="shared" si="320"/>
      </c>
      <c r="T450" s="433">
        <f t="shared" si="216"/>
      </c>
      <c r="U450" s="434" t="s">
        <v>185</v>
      </c>
      <c r="V450" s="435" t="s">
        <v>186</v>
      </c>
      <c r="W450" s="309">
        <v>1</v>
      </c>
      <c r="X450" s="309">
        <v>8814</v>
      </c>
      <c r="Y450" s="309">
        <v>449</v>
      </c>
      <c r="Z450" s="309">
        <v>680</v>
      </c>
      <c r="AA450" s="309">
        <v>138</v>
      </c>
      <c r="AB450" s="309">
        <v>33</v>
      </c>
      <c r="AC450" s="395">
        <v>2</v>
      </c>
      <c r="AD450" s="310">
        <v>15</v>
      </c>
      <c r="AE450" s="293"/>
      <c r="AF450" s="293"/>
    </row>
    <row r="451">
      <c r="A451" s="456"/>
      <c r="B451" s="458" t="s">
        <v>188</v>
      </c>
      <c r="C451" s="369" t="s">
        <v>198</v>
      </c>
      <c r="D451" s="309">
        <f t="shared" si="79"/>
      </c>
      <c r="E451" s="309">
        <v>1003.26</v>
      </c>
      <c r="F451" s="309">
        <v>447.63</v>
      </c>
      <c r="G451" s="309">
        <v>1</v>
      </c>
      <c r="H451" s="309">
        <v>563.7599999999948</v>
      </c>
      <c r="I451" s="341">
        <f t="shared" si="346"/>
      </c>
      <c r="J451" s="430">
        <f t="shared" si="242"/>
      </c>
      <c r="K451" s="431">
        <f t="shared" si="164"/>
      </c>
      <c r="L451" s="447">
        <f t="shared" si="268"/>
      </c>
      <c r="M451" s="430">
        <f t="shared" si="112"/>
      </c>
      <c r="N451" s="431">
        <f t="shared" si="372"/>
      </c>
      <c r="O451" s="430">
        <f t="shared" si="294"/>
      </c>
      <c r="P451" s="430">
        <f t="shared" si="190"/>
      </c>
      <c r="Q451" s="431">
        <f t="shared" si="138"/>
      </c>
      <c r="R451" s="432">
        <f t="shared" si="398"/>
      </c>
      <c r="S451" s="431">
        <f t="shared" si="320"/>
      </c>
      <c r="T451" s="433">
        <f t="shared" si="216"/>
      </c>
      <c r="U451" s="434" t="s">
        <v>185</v>
      </c>
      <c r="V451" s="435" t="s">
        <v>186</v>
      </c>
      <c r="W451" s="309">
        <v>1</v>
      </c>
      <c r="X451" s="309">
        <v>6373</v>
      </c>
      <c r="Y451" s="309">
        <v>489</v>
      </c>
      <c r="Z451" s="309">
        <v>706</v>
      </c>
      <c r="AA451" s="309">
        <v>146</v>
      </c>
      <c r="AB451" s="309">
        <v>23</v>
      </c>
      <c r="AC451" s="395">
        <v>1</v>
      </c>
      <c r="AD451" s="310">
        <v>20</v>
      </c>
      <c r="AE451" s="293"/>
      <c r="AF451" s="293"/>
    </row>
    <row r="452">
      <c r="A452" s="456"/>
      <c r="B452" s="363" t="s">
        <v>189</v>
      </c>
      <c r="C452" s="343"/>
      <c r="D452" s="343">
        <f>SUM(D448:D451)</f>
      </c>
      <c r="E452" s="343">
        <f>SUM(E448:E451)</f>
      </c>
      <c r="F452" s="343">
        <f>SUM(F448:F451)</f>
      </c>
      <c r="G452" s="343">
        <f>SUM(G448:G451)</f>
      </c>
      <c r="H452" s="343">
        <f>SUM(H448:H451)</f>
      </c>
      <c r="I452" s="344">
        <f t="shared" si="346"/>
      </c>
      <c r="J452" s="448">
        <f t="shared" si="242"/>
      </c>
      <c r="K452" s="449">
        <f t="shared" si="164"/>
      </c>
      <c r="L452" s="450">
        <f t="shared" si="268"/>
      </c>
      <c r="M452" s="448">
        <f t="shared" si="112"/>
      </c>
      <c r="N452" s="449">
        <f t="shared" si="372"/>
      </c>
      <c r="O452" s="448">
        <f t="shared" si="294"/>
      </c>
      <c r="P452" s="448">
        <f t="shared" si="190"/>
      </c>
      <c r="Q452" s="449">
        <f t="shared" si="138"/>
      </c>
      <c r="R452" s="451">
        <f t="shared" si="398"/>
      </c>
      <c r="S452" s="449">
        <f t="shared" si="320"/>
      </c>
      <c r="T452" s="452">
        <f t="shared" si="216"/>
      </c>
      <c r="U452" s="452"/>
      <c r="V452" s="452"/>
      <c r="W452" s="343">
        <f>SUM(W448:W451)</f>
      </c>
      <c r="X452" s="343">
        <f>SUM(X448:X451)</f>
      </c>
      <c r="Y452" s="343">
        <f>SUM(Y448:Y451)</f>
      </c>
      <c r="Z452" s="343">
        <f>SUM(Z448:Z451)</f>
      </c>
      <c r="AA452" s="343">
        <f>SUM(AA448:AA451)</f>
      </c>
      <c r="AB452" s="343">
        <f>SUM(AB448:AB451)</f>
      </c>
      <c r="AC452" s="343">
        <f>SUM(AC448:AC451)</f>
      </c>
      <c r="AD452" s="343">
        <f>SUM(AD448:AD451)</f>
      </c>
      <c r="AE452" s="293"/>
      <c r="AF452" s="293"/>
    </row>
    <row r="453">
      <c r="A453" s="456"/>
      <c r="B453" s="457" t="s">
        <v>190</v>
      </c>
      <c r="C453" s="369" t="s">
        <v>210</v>
      </c>
      <c r="D453" s="309">
        <f t="shared" ref="D453:D456" si="80">E453+F453</f>
      </c>
      <c r="E453" s="309">
        <v>413.17</v>
      </c>
      <c r="F453" s="309">
        <v>407.84</v>
      </c>
      <c r="G453" s="309">
        <v>1</v>
      </c>
      <c r="H453" s="309">
        <v>563.760000000002</v>
      </c>
      <c r="I453" s="341">
        <f t="shared" si="346"/>
      </c>
      <c r="J453" s="430">
        <f t="shared" si="242"/>
      </c>
      <c r="K453" s="431">
        <f t="shared" si="164"/>
      </c>
      <c r="L453" s="447">
        <f t="shared" si="268"/>
      </c>
      <c r="M453" s="430">
        <f t="shared" si="112"/>
      </c>
      <c r="N453" s="431">
        <f t="shared" si="372"/>
      </c>
      <c r="O453" s="430">
        <f t="shared" si="294"/>
      </c>
      <c r="P453" s="430">
        <f t="shared" si="190"/>
      </c>
      <c r="Q453" s="431">
        <f t="shared" si="138"/>
      </c>
      <c r="R453" s="432">
        <f t="shared" si="398"/>
      </c>
      <c r="S453" s="431">
        <f t="shared" si="320"/>
      </c>
      <c r="T453" s="433">
        <f t="shared" si="216"/>
      </c>
      <c r="U453" s="434" t="s">
        <v>185</v>
      </c>
      <c r="V453" s="435" t="s">
        <v>186</v>
      </c>
      <c r="W453" s="309">
        <v>1</v>
      </c>
      <c r="X453" s="309">
        <v>3337</v>
      </c>
      <c r="Y453" s="309">
        <v>232</v>
      </c>
      <c r="Z453" s="309">
        <v>366</v>
      </c>
      <c r="AA453" s="309">
        <v>68</v>
      </c>
      <c r="AB453" s="309">
        <v>12</v>
      </c>
      <c r="AC453" s="395">
        <v>1</v>
      </c>
      <c r="AD453" s="310">
        <v>7</v>
      </c>
      <c r="AE453" s="293"/>
      <c r="AF453" s="293"/>
    </row>
    <row customHeight="true" ht="18.452380952380953" r="454">
      <c r="A454" s="456"/>
      <c r="B454" s="308" t="s">
        <v>192</v>
      </c>
      <c r="C454" s="369" t="s">
        <v>210</v>
      </c>
      <c r="D454" s="309">
        <f t="shared" si="80"/>
      </c>
      <c r="E454" s="309">
        <v>746.98</v>
      </c>
      <c r="F454" s="309">
        <v>700.7</v>
      </c>
      <c r="G454" s="309">
        <v>1</v>
      </c>
      <c r="H454" s="309">
        <v>739.7999999999956</v>
      </c>
      <c r="I454" s="341">
        <f t="shared" si="346"/>
      </c>
      <c r="J454" s="430">
        <f t="shared" si="242"/>
      </c>
      <c r="K454" s="431">
        <f t="shared" si="164"/>
      </c>
      <c r="L454" s="447">
        <f t="shared" si="268"/>
      </c>
      <c r="M454" s="430">
        <f t="shared" si="112"/>
      </c>
      <c r="N454" s="431">
        <f t="shared" si="372"/>
      </c>
      <c r="O454" s="430">
        <f t="shared" si="294"/>
      </c>
      <c r="P454" s="430">
        <f t="shared" si="190"/>
      </c>
      <c r="Q454" s="431">
        <f t="shared" si="138"/>
      </c>
      <c r="R454" s="432">
        <f t="shared" si="398"/>
      </c>
      <c r="S454" s="431">
        <f t="shared" si="320"/>
      </c>
      <c r="T454" s="433">
        <f t="shared" si="216"/>
      </c>
      <c r="U454" s="434" t="s">
        <v>185</v>
      </c>
      <c r="V454" s="435" t="s">
        <v>186</v>
      </c>
      <c r="W454" s="309">
        <v>1</v>
      </c>
      <c r="X454" s="309">
        <v>5379</v>
      </c>
      <c r="Y454" s="309">
        <v>317</v>
      </c>
      <c r="Z454" s="309">
        <v>535</v>
      </c>
      <c r="AA454" s="309">
        <v>101</v>
      </c>
      <c r="AB454" s="309">
        <v>23</v>
      </c>
      <c r="AC454" s="395">
        <v>2</v>
      </c>
      <c r="AD454" s="310">
        <v>12</v>
      </c>
      <c r="AE454" s="293"/>
      <c r="AF454" s="293"/>
    </row>
    <row customHeight="true" ht="18.452380952380953" r="455">
      <c r="A455" s="456"/>
      <c r="B455" s="308" t="s">
        <v>193</v>
      </c>
      <c r="C455" s="369" t="s">
        <v>210</v>
      </c>
      <c r="D455" s="309">
        <f t="shared" si="80"/>
      </c>
      <c r="E455" s="309">
        <v>2019.69</v>
      </c>
      <c r="F455" s="309">
        <v>703.93</v>
      </c>
      <c r="G455" s="309">
        <v>1</v>
      </c>
      <c r="H455" s="309">
        <v>2625.480000000003</v>
      </c>
      <c r="I455" s="341">
        <f t="shared" si="346"/>
      </c>
      <c r="J455" s="430">
        <f t="shared" si="242"/>
      </c>
      <c r="K455" s="431">
        <f t="shared" si="164"/>
      </c>
      <c r="L455" s="447">
        <f t="shared" si="268"/>
      </c>
      <c r="M455" s="430">
        <f t="shared" si="112"/>
      </c>
      <c r="N455" s="431">
        <f t="shared" si="372"/>
      </c>
      <c r="O455" s="430">
        <f t="shared" si="294"/>
      </c>
      <c r="P455" s="430">
        <f t="shared" si="190"/>
      </c>
      <c r="Q455" s="431">
        <f t="shared" si="138"/>
      </c>
      <c r="R455" s="432">
        <f t="shared" si="398"/>
      </c>
      <c r="S455" s="431">
        <f t="shared" si="320"/>
      </c>
      <c r="T455" s="433">
        <f t="shared" si="216"/>
      </c>
      <c r="U455" s="434" t="s">
        <v>185</v>
      </c>
      <c r="V455" s="435" t="s">
        <v>186</v>
      </c>
      <c r="W455" s="309">
        <v>1</v>
      </c>
      <c r="X455" s="309">
        <v>10121</v>
      </c>
      <c r="Y455" s="309">
        <v>512</v>
      </c>
      <c r="Z455" s="309">
        <v>813</v>
      </c>
      <c r="AA455" s="309">
        <v>178</v>
      </c>
      <c r="AB455" s="309">
        <v>43</v>
      </c>
      <c r="AC455" s="395">
        <v>2</v>
      </c>
      <c r="AD455" s="359">
        <v>20</v>
      </c>
      <c r="AE455" s="293"/>
      <c r="AF455" s="293"/>
    </row>
    <row customHeight="true" ht="18.452380952380953" r="456">
      <c r="A456" s="456"/>
      <c r="B456" s="455" t="s">
        <v>194</v>
      </c>
      <c r="C456" s="369" t="s">
        <v>210</v>
      </c>
      <c r="D456" s="309">
        <f t="shared" si="80"/>
      </c>
      <c r="E456" s="309">
        <v>701.7</v>
      </c>
      <c r="F456" s="309">
        <v>284.83</v>
      </c>
      <c r="G456" s="309">
        <v>1</v>
      </c>
      <c r="H456" s="309">
        <v>6847.32</v>
      </c>
      <c r="I456" s="341">
        <f t="shared" si="346"/>
      </c>
      <c r="J456" s="430">
        <f t="shared" si="242"/>
      </c>
      <c r="K456" s="431">
        <f t="shared" si="164"/>
      </c>
      <c r="L456" s="447">
        <f t="shared" si="268"/>
      </c>
      <c r="M456" s="430">
        <f t="shared" si="112"/>
      </c>
      <c r="N456" s="431">
        <f t="shared" si="372"/>
      </c>
      <c r="O456" s="430">
        <f t="shared" si="294"/>
      </c>
      <c r="P456" s="430">
        <f t="shared" si="190"/>
      </c>
      <c r="Q456" s="431">
        <f t="shared" si="138"/>
      </c>
      <c r="R456" s="432">
        <f t="shared" si="398"/>
      </c>
      <c r="S456" s="431">
        <f t="shared" si="320"/>
      </c>
      <c r="T456" s="433">
        <f t="shared" si="216"/>
      </c>
      <c r="U456" s="434" t="s">
        <v>185</v>
      </c>
      <c r="V456" s="435" t="s">
        <v>186</v>
      </c>
      <c r="W456" s="358">
        <v>1</v>
      </c>
      <c r="X456" s="309">
        <v>3267</v>
      </c>
      <c r="Y456" s="309">
        <v>218</v>
      </c>
      <c r="Z456" s="309">
        <v>354</v>
      </c>
      <c r="AA456" s="309">
        <v>81</v>
      </c>
      <c r="AB456" s="309">
        <v>22</v>
      </c>
      <c r="AC456" s="395">
        <v>2</v>
      </c>
      <c r="AD456" s="310">
        <v>13</v>
      </c>
      <c r="AE456" s="293"/>
      <c r="AF456" s="293"/>
    </row>
    <row customHeight="true" ht="18.452380952380953" r="457">
      <c r="A457" s="456"/>
      <c r="B457" s="363" t="s">
        <v>189</v>
      </c>
      <c r="C457" s="343"/>
      <c r="D457" s="343">
        <f>SUM(D453:D456)</f>
      </c>
      <c r="E457" s="343">
        <f>SUM(E453:E456)</f>
      </c>
      <c r="F457" s="343">
        <f>SUM(F453:F456)</f>
      </c>
      <c r="G457" s="343">
        <f>SUM(G453:G456)</f>
      </c>
      <c r="H457" s="343">
        <f>SUM(H453:H456)</f>
      </c>
      <c r="I457" s="344">
        <f t="shared" si="346"/>
      </c>
      <c r="J457" s="448">
        <f t="shared" si="242"/>
      </c>
      <c r="K457" s="449">
        <f t="shared" si="164"/>
      </c>
      <c r="L457" s="450">
        <f t="shared" si="268"/>
      </c>
      <c r="M457" s="448">
        <f t="shared" si="112"/>
      </c>
      <c r="N457" s="449">
        <f t="shared" si="372"/>
      </c>
      <c r="O457" s="448">
        <f t="shared" si="294"/>
      </c>
      <c r="P457" s="448">
        <f t="shared" si="190"/>
      </c>
      <c r="Q457" s="449">
        <f t="shared" si="138"/>
      </c>
      <c r="R457" s="451">
        <f t="shared" si="398"/>
      </c>
      <c r="S457" s="449">
        <f t="shared" si="320"/>
      </c>
      <c r="T457" s="452">
        <f t="shared" si="216"/>
      </c>
      <c r="U457" s="452"/>
      <c r="V457" s="452"/>
      <c r="W457" s="343">
        <f>SUM(W453:W456)</f>
      </c>
      <c r="X457" s="343">
        <f>SUM(X453:X456)</f>
      </c>
      <c r="Y457" s="343">
        <f>SUM(Y453:Y456)</f>
      </c>
      <c r="Z457" s="343">
        <f>SUM(Z453:Z456)</f>
      </c>
      <c r="AA457" s="343">
        <f>SUM(AA453:AA456)</f>
      </c>
      <c r="AB457" s="343">
        <f>SUM(AB453:AB456)</f>
      </c>
      <c r="AC457" s="343">
        <f>SUM(AC453:AC456)</f>
      </c>
      <c r="AD457" s="343">
        <f>SUM(AD453:AD456)</f>
      </c>
      <c r="AE457" s="293"/>
      <c r="AF457" s="293"/>
    </row>
    <row r="458">
      <c r="A458" s="456"/>
      <c r="B458" s="461" t="s">
        <v>195</v>
      </c>
      <c r="C458" s="327"/>
      <c r="D458" s="367">
        <f>D442+D447+D452+D457</f>
      </c>
      <c r="E458" s="367">
        <f>E442+E447+E452+E457</f>
      </c>
      <c r="F458" s="367">
        <f>F442+F447+F452+F457</f>
      </c>
      <c r="G458" s="367">
        <f>G442+G447+G452+G457</f>
      </c>
      <c r="H458" s="367">
        <f>H442+H447+H452+H457</f>
      </c>
      <c r="I458" s="328">
        <f t="shared" si="346"/>
      </c>
      <c r="J458" s="329">
        <f t="shared" si="242"/>
      </c>
      <c r="K458" s="330">
        <f t="shared" si="164"/>
      </c>
      <c r="L458" s="331">
        <f t="shared" si="268"/>
      </c>
      <c r="M458" s="331">
        <f t="shared" si="112"/>
      </c>
      <c r="N458" s="330">
        <f t="shared" si="372"/>
      </c>
      <c r="O458" s="331">
        <f t="shared" si="294"/>
      </c>
      <c r="P458" s="331">
        <f t="shared" si="190"/>
      </c>
      <c r="Q458" s="330">
        <f t="shared" si="138"/>
      </c>
      <c r="R458" s="332">
        <f t="shared" si="398"/>
      </c>
      <c r="S458" s="330">
        <f t="shared" si="320"/>
      </c>
      <c r="T458" s="333">
        <f t="shared" si="216"/>
      </c>
      <c r="U458" s="333"/>
      <c r="V458" s="333"/>
      <c r="W458" s="328">
        <f>W442+W447+W452+W457</f>
      </c>
      <c r="X458" s="328">
        <f>X442+X447+X452+X457</f>
      </c>
      <c r="Y458" s="328">
        <f>Y442+Y447+Y452+Y457</f>
      </c>
      <c r="Z458" s="328">
        <f>Z442+Z447+Z452+Z457</f>
      </c>
      <c r="AA458" s="328">
        <f>AA442+AA447+AA452+AA457</f>
      </c>
      <c r="AB458" s="328">
        <f>AB442+AB447+AB452+AB457</f>
      </c>
      <c r="AC458" s="328">
        <f>AC442+AC447+AC452+AC457</f>
      </c>
      <c r="AD458" s="328">
        <f>AD442+AD447+AD452+AD457</f>
      </c>
      <c r="AE458" s="293"/>
      <c r="AF458" s="293"/>
    </row>
    <row r="459">
      <c r="A459" s="287" t="s">
        <v>150</v>
      </c>
      <c r="B459" s="287"/>
      <c r="C459" s="287"/>
      <c r="D459" s="334" t="s">
        <v>151</v>
      </c>
      <c r="E459" s="334"/>
      <c r="F459" s="334"/>
      <c r="G459" s="334"/>
      <c r="H459" s="334"/>
      <c r="I459" s="334"/>
      <c r="J459" s="377" t="s">
        <v>152</v>
      </c>
      <c r="K459" s="377"/>
      <c r="L459" s="377"/>
      <c r="M459" s="377"/>
      <c r="N459" s="377"/>
      <c r="O459" s="377"/>
      <c r="P459" s="377"/>
      <c r="Q459" s="377"/>
      <c r="R459" s="377"/>
      <c r="S459" s="377"/>
      <c r="T459" s="436"/>
      <c r="U459" s="436"/>
      <c r="V459" s="436"/>
      <c r="W459" s="437"/>
      <c r="X459" s="437"/>
      <c r="Y459" s="437"/>
      <c r="Z459" s="437"/>
      <c r="AA459" s="437"/>
      <c r="AB459" s="437"/>
      <c r="AC459" s="437"/>
      <c r="AD459" s="438" t="s">
        <v>153</v>
      </c>
      <c r="AE459" s="293"/>
      <c r="AF459" s="293"/>
    </row>
    <row r="460">
      <c r="A460" s="453" t="s">
        <v>154</v>
      </c>
      <c r="B460" s="287" t="s">
        <v>155</v>
      </c>
      <c r="C460" s="287" t="s">
        <v>156</v>
      </c>
      <c r="D460" s="440" t="s">
        <v>157</v>
      </c>
      <c r="E460" s="337" t="s">
        <v>158</v>
      </c>
      <c r="F460" s="337" t="s">
        <v>159</v>
      </c>
      <c r="G460" s="338" t="s">
        <v>160</v>
      </c>
      <c r="H460" s="336" t="s">
        <v>161</v>
      </c>
      <c r="I460" s="337" t="s">
        <v>162</v>
      </c>
      <c r="J460" s="441" t="s">
        <v>163</v>
      </c>
      <c r="K460" s="441" t="s">
        <v>164</v>
      </c>
      <c r="L460" s="416" t="s">
        <v>165</v>
      </c>
      <c r="M460" s="378" t="s">
        <v>166</v>
      </c>
      <c r="N460" s="377" t="s">
        <v>167</v>
      </c>
      <c r="O460" s="378" t="s">
        <v>168</v>
      </c>
      <c r="P460" s="378" t="s">
        <v>169</v>
      </c>
      <c r="Q460" s="379" t="s">
        <v>170</v>
      </c>
      <c r="R460" s="378" t="s">
        <v>171</v>
      </c>
      <c r="S460" s="379" t="s">
        <v>172</v>
      </c>
      <c r="T460" s="442" t="s">
        <v>173</v>
      </c>
      <c r="U460" s="442" t="s">
        <v>174</v>
      </c>
      <c r="V460" s="442" t="s">
        <v>175</v>
      </c>
      <c r="W460" s="443" t="s">
        <v>176</v>
      </c>
      <c r="X460" s="444" t="s">
        <v>177</v>
      </c>
      <c r="Y460" s="444" t="s">
        <v>178</v>
      </c>
      <c r="Z460" s="444" t="s">
        <v>179</v>
      </c>
      <c r="AA460" s="444" t="s">
        <v>180</v>
      </c>
      <c r="AB460" s="444" t="s">
        <v>181</v>
      </c>
      <c r="AC460" s="445" t="s">
        <v>182</v>
      </c>
      <c r="AD460" s="438"/>
      <c r="AE460" s="293"/>
      <c r="AF460" s="293"/>
    </row>
    <row r="461">
      <c r="A461" s="454">
        <v>46264</v>
      </c>
      <c r="B461" s="455" t="s">
        <v>212</v>
      </c>
      <c r="C461" s="369" t="s">
        <v>184</v>
      </c>
      <c r="D461" s="309">
        <f t="shared" ref="D461:D464" si="81">E461+F461</f>
      </c>
      <c r="E461" s="358">
        <v>1986.7</v>
      </c>
      <c r="F461" s="309">
        <v>970.29</v>
      </c>
      <c r="G461" s="358">
        <v>1</v>
      </c>
      <c r="H461" s="309">
        <v>467.64</v>
      </c>
      <c r="I461" s="341">
        <f t="shared" ref="I461:I481" si="347">H461/D461</f>
      </c>
      <c r="J461" s="430">
        <f t="shared" ref="J461:J481" si="243">Y461/X461</f>
      </c>
      <c r="K461" s="431">
        <f t="shared" ref="K461:K481" si="165">D461/Z461</f>
      </c>
      <c r="L461" s="447">
        <f t="shared" ref="L461:L481" si="269">AA461/Z461</f>
      </c>
      <c r="M461" s="430">
        <f t="shared" ref="M461:M481" si="113">AB461/Z461</f>
      </c>
      <c r="N461" s="431">
        <f t="shared" ref="N461:N481" si="373">D461/AB461</f>
      </c>
      <c r="O461" s="430">
        <f t="shared" ref="O461:O481" si="295">AC461/AB461</f>
      </c>
      <c r="P461" s="430">
        <f t="shared" ref="P461:P481" si="191">G461/AC461</f>
      </c>
      <c r="Q461" s="431">
        <f t="shared" ref="Q461:Q481" si="139">D461/G461</f>
      </c>
      <c r="R461" s="432">
        <f t="shared" ref="R461:R481" si="399">H461/G461</f>
      </c>
      <c r="S461" s="431">
        <f t="shared" ref="S461:S481" si="321">D461/W461</f>
      </c>
      <c r="T461" s="433">
        <f t="shared" ref="T461:T481" si="217">AD461*1000/D461</f>
      </c>
      <c r="U461" s="434" t="s">
        <v>185</v>
      </c>
      <c r="V461" s="462" t="s">
        <v>213</v>
      </c>
      <c r="W461" s="309">
        <v>1</v>
      </c>
      <c r="X461" s="309">
        <v>12764</v>
      </c>
      <c r="Y461" s="309">
        <v>831</v>
      </c>
      <c r="Z461" s="309">
        <v>1284</v>
      </c>
      <c r="AA461" s="309">
        <v>270</v>
      </c>
      <c r="AB461" s="309">
        <v>45</v>
      </c>
      <c r="AC461" s="395">
        <v>1</v>
      </c>
      <c r="AD461" s="359">
        <v>40</v>
      </c>
      <c r="AE461" s="293"/>
      <c r="AF461" s="293"/>
    </row>
    <row r="462">
      <c r="A462" s="454"/>
      <c r="B462" s="457" t="s">
        <v>199</v>
      </c>
      <c r="C462" s="369" t="s">
        <v>184</v>
      </c>
      <c r="D462" s="309">
        <f t="shared" si="81"/>
      </c>
      <c r="E462" s="309">
        <v>1988.6</v>
      </c>
      <c r="F462" s="309">
        <v>1048.95</v>
      </c>
      <c r="G462" s="358">
        <v>3</v>
      </c>
      <c r="H462" s="309">
        <v>4086.28</v>
      </c>
      <c r="I462" s="341">
        <f t="shared" si="347"/>
      </c>
      <c r="J462" s="430">
        <f t="shared" si="243"/>
      </c>
      <c r="K462" s="431">
        <f t="shared" si="165"/>
      </c>
      <c r="L462" s="447">
        <f t="shared" si="269"/>
      </c>
      <c r="M462" s="430">
        <f t="shared" si="113"/>
      </c>
      <c r="N462" s="431">
        <f t="shared" si="373"/>
      </c>
      <c r="O462" s="430">
        <f t="shared" si="295"/>
      </c>
      <c r="P462" s="430">
        <f t="shared" si="191"/>
      </c>
      <c r="Q462" s="431">
        <f t="shared" si="139"/>
      </c>
      <c r="R462" s="432">
        <f t="shared" si="399"/>
      </c>
      <c r="S462" s="431">
        <f t="shared" si="321"/>
      </c>
      <c r="T462" s="433">
        <f t="shared" si="217"/>
      </c>
      <c r="U462" s="434" t="s">
        <v>185</v>
      </c>
      <c r="V462" s="435" t="s">
        <v>213</v>
      </c>
      <c r="W462" s="309">
        <v>3</v>
      </c>
      <c r="X462" s="309">
        <v>12401</v>
      </c>
      <c r="Y462" s="309">
        <v>394</v>
      </c>
      <c r="Z462" s="309">
        <v>447</v>
      </c>
      <c r="AA462" s="309">
        <v>93</v>
      </c>
      <c r="AB462" s="309">
        <v>53</v>
      </c>
      <c r="AC462" s="395">
        <v>3</v>
      </c>
      <c r="AD462" s="359">
        <v>24</v>
      </c>
      <c r="AE462" s="293"/>
      <c r="AF462" s="293"/>
    </row>
    <row r="463">
      <c r="A463" s="454"/>
      <c r="B463" s="457" t="s">
        <v>200</v>
      </c>
      <c r="C463" s="369" t="s">
        <v>184</v>
      </c>
      <c r="D463" s="309">
        <f t="shared" si="81"/>
      </c>
      <c r="E463" s="309">
        <v>2412.5299999999997</v>
      </c>
      <c r="F463" s="309">
        <v>1519.35</v>
      </c>
      <c r="G463" s="358">
        <v>4</v>
      </c>
      <c r="H463" s="309">
        <v>15680.319999999998</v>
      </c>
      <c r="I463" s="341">
        <f t="shared" si="347"/>
      </c>
      <c r="J463" s="430">
        <f t="shared" si="243"/>
      </c>
      <c r="K463" s="431">
        <f t="shared" si="165"/>
      </c>
      <c r="L463" s="447">
        <f t="shared" si="269"/>
      </c>
      <c r="M463" s="430">
        <f t="shared" si="113"/>
      </c>
      <c r="N463" s="431">
        <f t="shared" si="373"/>
      </c>
      <c r="O463" s="430">
        <f t="shared" si="295"/>
      </c>
      <c r="P463" s="430">
        <f t="shared" si="191"/>
      </c>
      <c r="Q463" s="431">
        <f t="shared" si="139"/>
      </c>
      <c r="R463" s="432">
        <f t="shared" si="399"/>
      </c>
      <c r="S463" s="431">
        <f t="shared" si="321"/>
      </c>
      <c r="T463" s="433">
        <f t="shared" si="217"/>
      </c>
      <c r="U463" s="434" t="s">
        <v>185</v>
      </c>
      <c r="V463" s="435" t="s">
        <v>213</v>
      </c>
      <c r="W463" s="309">
        <v>3</v>
      </c>
      <c r="X463" s="309">
        <v>15456</v>
      </c>
      <c r="Y463" s="309">
        <v>849</v>
      </c>
      <c r="Z463" s="309">
        <v>1381</v>
      </c>
      <c r="AA463" s="309">
        <v>339</v>
      </c>
      <c r="AB463" s="309">
        <v>49</v>
      </c>
      <c r="AC463" s="395">
        <v>4</v>
      </c>
      <c r="AD463" s="359">
        <v>22</v>
      </c>
      <c r="AE463" s="293"/>
      <c r="AF463" s="293"/>
    </row>
    <row r="464">
      <c r="A464" s="454"/>
      <c r="B464" s="458" t="s">
        <v>201</v>
      </c>
      <c r="C464" s="369" t="s">
        <v>184</v>
      </c>
      <c r="D464" s="309">
        <f t="shared" si="81"/>
      </c>
      <c r="E464" s="309">
        <v>1196.14</v>
      </c>
      <c r="F464" s="309">
        <v>1873.34</v>
      </c>
      <c r="G464" s="358">
        <v>0</v>
      </c>
      <c r="H464" s="358">
        <v>0</v>
      </c>
      <c r="I464" s="341">
        <f t="shared" si="347"/>
      </c>
      <c r="J464" s="430">
        <f t="shared" si="243"/>
      </c>
      <c r="K464" s="431">
        <f t="shared" si="165"/>
      </c>
      <c r="L464" s="447">
        <f t="shared" si="269"/>
      </c>
      <c r="M464" s="430">
        <f t="shared" si="113"/>
      </c>
      <c r="N464" s="431">
        <f t="shared" si="373"/>
      </c>
      <c r="O464" s="430">
        <f t="shared" si="295"/>
      </c>
      <c r="P464" s="430">
        <f t="shared" si="191"/>
      </c>
      <c r="Q464" s="431">
        <f t="shared" si="139"/>
      </c>
      <c r="R464" s="432">
        <f t="shared" si="399"/>
      </c>
      <c r="S464" s="431">
        <f t="shared" si="321"/>
      </c>
      <c r="T464" s="433">
        <f t="shared" si="217"/>
      </c>
      <c r="U464" s="434" t="s">
        <v>185</v>
      </c>
      <c r="V464" s="435" t="s">
        <v>213</v>
      </c>
      <c r="W464" s="309">
        <v>0</v>
      </c>
      <c r="X464" s="309">
        <v>17962</v>
      </c>
      <c r="Y464" s="309">
        <v>1057</v>
      </c>
      <c r="Z464" s="309">
        <v>1821</v>
      </c>
      <c r="AA464" s="309">
        <v>378</v>
      </c>
      <c r="AB464" s="309">
        <v>37</v>
      </c>
      <c r="AC464" s="395">
        <v>0</v>
      </c>
      <c r="AD464" s="359">
        <v>26</v>
      </c>
      <c r="AE464" s="293"/>
      <c r="AF464" s="293"/>
    </row>
    <row r="465">
      <c r="A465" s="454"/>
      <c r="B465" s="363" t="s">
        <v>189</v>
      </c>
      <c r="C465" s="363"/>
      <c r="D465" s="343">
        <f>SUM(D461:D464)</f>
      </c>
      <c r="E465" s="343">
        <f>SUM(E461:E464)</f>
      </c>
      <c r="F465" s="343">
        <f>SUM(F461:F464)</f>
      </c>
      <c r="G465" s="343">
        <f>SUM(G461:G464)</f>
      </c>
      <c r="H465" s="343">
        <f>SUM(H461:H464)</f>
      </c>
      <c r="I465" s="344">
        <f t="shared" si="347"/>
      </c>
      <c r="J465" s="448">
        <f t="shared" si="243"/>
      </c>
      <c r="K465" s="449">
        <f t="shared" si="165"/>
      </c>
      <c r="L465" s="450">
        <f t="shared" si="269"/>
      </c>
      <c r="M465" s="448">
        <f t="shared" si="113"/>
      </c>
      <c r="N465" s="449">
        <f t="shared" si="373"/>
      </c>
      <c r="O465" s="448">
        <f t="shared" si="295"/>
      </c>
      <c r="P465" s="448">
        <f t="shared" si="191"/>
      </c>
      <c r="Q465" s="449">
        <f t="shared" si="139"/>
      </c>
      <c r="R465" s="451">
        <f t="shared" si="399"/>
      </c>
      <c r="S465" s="449">
        <f t="shared" si="321"/>
      </c>
      <c r="T465" s="452">
        <f t="shared" si="217"/>
      </c>
      <c r="U465" s="452"/>
      <c r="V465" s="452"/>
      <c r="W465" s="343">
        <f>SUM(W461:W464)</f>
      </c>
      <c r="X465" s="343">
        <f>SUM(X461:X464)</f>
      </c>
      <c r="Y465" s="343">
        <f>SUM(Y461:Y464)</f>
      </c>
      <c r="Z465" s="343">
        <f>SUM(Z461:Z464)</f>
      </c>
      <c r="AA465" s="343">
        <f>SUM(AA461:AA464)</f>
      </c>
      <c r="AB465" s="343">
        <f>SUM(AB461:AB464)</f>
      </c>
      <c r="AC465" s="343">
        <f>SUM(AC461:AC464)</f>
      </c>
      <c r="AD465" s="343">
        <f>SUM(AD461:AD464)</f>
      </c>
      <c r="AE465" s="293"/>
      <c r="AF465" s="293"/>
    </row>
    <row r="466">
      <c r="A466" s="454"/>
      <c r="B466" s="457" t="s">
        <v>202</v>
      </c>
      <c r="C466" s="309" t="s">
        <v>197</v>
      </c>
      <c r="D466" s="309">
        <f t="shared" ref="D466:D469" si="82">E466+F466</f>
      </c>
      <c r="E466" s="309">
        <v>897</v>
      </c>
      <c r="F466" s="309">
        <v>2192.73</v>
      </c>
      <c r="G466" s="358">
        <v>0</v>
      </c>
      <c r="H466" s="358">
        <v>0</v>
      </c>
      <c r="I466" s="341">
        <f t="shared" si="347"/>
      </c>
      <c r="J466" s="430">
        <f t="shared" si="243"/>
      </c>
      <c r="K466" s="431">
        <f t="shared" si="165"/>
      </c>
      <c r="L466" s="447">
        <f t="shared" si="269"/>
      </c>
      <c r="M466" s="430">
        <f t="shared" si="113"/>
      </c>
      <c r="N466" s="431">
        <f t="shared" si="373"/>
      </c>
      <c r="O466" s="430">
        <f t="shared" si="295"/>
      </c>
      <c r="P466" s="430">
        <f t="shared" si="191"/>
      </c>
      <c r="Q466" s="431">
        <f t="shared" si="139"/>
      </c>
      <c r="R466" s="432">
        <f t="shared" si="399"/>
      </c>
      <c r="S466" s="431">
        <f t="shared" si="321"/>
      </c>
      <c r="T466" s="433">
        <f t="shared" si="217"/>
      </c>
      <c r="U466" s="434" t="s">
        <v>185</v>
      </c>
      <c r="V466" s="435" t="s">
        <v>213</v>
      </c>
      <c r="W466" s="309">
        <v>0</v>
      </c>
      <c r="X466" s="309">
        <v>22143</v>
      </c>
      <c r="Y466" s="309">
        <v>1302</v>
      </c>
      <c r="Z466" s="309">
        <v>2633</v>
      </c>
      <c r="AA466" s="309">
        <v>428</v>
      </c>
      <c r="AB466" s="309">
        <v>60</v>
      </c>
      <c r="AC466" s="395">
        <v>0</v>
      </c>
      <c r="AD466" s="359">
        <v>28</v>
      </c>
      <c r="AE466" s="293"/>
      <c r="AF466" s="293"/>
    </row>
    <row r="467">
      <c r="A467" s="454"/>
      <c r="B467" s="457" t="s">
        <v>203</v>
      </c>
      <c r="C467" s="309" t="s">
        <v>197</v>
      </c>
      <c r="D467" s="309">
        <f t="shared" si="82"/>
      </c>
      <c r="E467" s="309">
        <v>377.65</v>
      </c>
      <c r="F467" s="309">
        <v>1752.47</v>
      </c>
      <c r="G467" s="358">
        <v>1</v>
      </c>
      <c r="H467" s="358">
        <v>2625.4799999999996</v>
      </c>
      <c r="I467" s="341">
        <f t="shared" si="347"/>
      </c>
      <c r="J467" s="430">
        <f t="shared" si="243"/>
      </c>
      <c r="K467" s="431">
        <f t="shared" si="165"/>
      </c>
      <c r="L467" s="447">
        <f t="shared" si="269"/>
      </c>
      <c r="M467" s="430">
        <f t="shared" si="113"/>
      </c>
      <c r="N467" s="431">
        <f t="shared" si="373"/>
      </c>
      <c r="O467" s="430">
        <f t="shared" si="295"/>
      </c>
      <c r="P467" s="430">
        <f t="shared" si="191"/>
      </c>
      <c r="Q467" s="431">
        <f t="shared" si="139"/>
      </c>
      <c r="R467" s="432">
        <f t="shared" si="399"/>
      </c>
      <c r="S467" s="431">
        <f t="shared" si="321"/>
      </c>
      <c r="T467" s="433">
        <f t="shared" si="217"/>
      </c>
      <c r="U467" s="434" t="s">
        <v>185</v>
      </c>
      <c r="V467" s="435" t="s">
        <v>213</v>
      </c>
      <c r="W467" s="309">
        <v>0</v>
      </c>
      <c r="X467" s="309">
        <v>13159</v>
      </c>
      <c r="Y467" s="309">
        <v>756</v>
      </c>
      <c r="Z467" s="309">
        <v>1449</v>
      </c>
      <c r="AA467" s="309">
        <v>252</v>
      </c>
      <c r="AB467" s="309">
        <v>35</v>
      </c>
      <c r="AC467" s="395">
        <v>2</v>
      </c>
      <c r="AD467" s="359">
        <v>16</v>
      </c>
      <c r="AE467" s="293"/>
      <c r="AF467" s="293"/>
    </row>
    <row r="468">
      <c r="A468" s="454"/>
      <c r="B468" s="457" t="s">
        <v>204</v>
      </c>
      <c r="C468" s="309" t="s">
        <v>197</v>
      </c>
      <c r="D468" s="309">
        <f t="shared" si="82"/>
      </c>
      <c r="E468" s="309">
        <v>1789.65</v>
      </c>
      <c r="F468" s="309">
        <v>644.63</v>
      </c>
      <c r="G468" s="358">
        <v>2</v>
      </c>
      <c r="H468" s="358">
        <v>2332.079999999998</v>
      </c>
      <c r="I468" s="341">
        <f t="shared" si="347"/>
      </c>
      <c r="J468" s="430">
        <f t="shared" si="243"/>
      </c>
      <c r="K468" s="431">
        <f t="shared" si="165"/>
      </c>
      <c r="L468" s="447">
        <f t="shared" si="269"/>
      </c>
      <c r="M468" s="430">
        <f t="shared" si="113"/>
      </c>
      <c r="N468" s="431">
        <f t="shared" si="373"/>
      </c>
      <c r="O468" s="430">
        <f t="shared" si="295"/>
      </c>
      <c r="P468" s="430">
        <f t="shared" si="191"/>
      </c>
      <c r="Q468" s="431">
        <f t="shared" si="139"/>
      </c>
      <c r="R468" s="432">
        <f t="shared" si="399"/>
      </c>
      <c r="S468" s="431">
        <f t="shared" si="321"/>
      </c>
      <c r="T468" s="433">
        <f t="shared" si="217"/>
      </c>
      <c r="U468" s="434" t="s">
        <v>185</v>
      </c>
      <c r="V468" s="435" t="s">
        <v>213</v>
      </c>
      <c r="W468" s="309">
        <v>1</v>
      </c>
      <c r="X468" s="309">
        <v>9547</v>
      </c>
      <c r="Y468" s="309">
        <v>616</v>
      </c>
      <c r="Z468" s="309">
        <v>912</v>
      </c>
      <c r="AA468" s="309">
        <v>188</v>
      </c>
      <c r="AB468" s="309">
        <v>16</v>
      </c>
      <c r="AC468" s="395">
        <v>2</v>
      </c>
      <c r="AD468" s="359">
        <v>20</v>
      </c>
      <c r="AE468" s="293"/>
      <c r="AF468" s="293"/>
    </row>
    <row r="469">
      <c r="A469" s="454"/>
      <c r="B469" s="457" t="s">
        <v>205</v>
      </c>
      <c r="C469" s="309" t="s">
        <v>197</v>
      </c>
      <c r="D469" s="309">
        <f t="shared" si="82"/>
      </c>
      <c r="E469" s="309">
        <v>1955.66</v>
      </c>
      <c r="F469" s="309">
        <v>1139.53</v>
      </c>
      <c r="G469" s="309">
        <v>1</v>
      </c>
      <c r="H469" s="309">
        <v>878</v>
      </c>
      <c r="I469" s="341">
        <f t="shared" si="347"/>
      </c>
      <c r="J469" s="430">
        <f t="shared" si="243"/>
      </c>
      <c r="K469" s="431">
        <f t="shared" si="165"/>
      </c>
      <c r="L469" s="447">
        <f t="shared" si="269"/>
      </c>
      <c r="M469" s="430">
        <f t="shared" si="113"/>
      </c>
      <c r="N469" s="431">
        <f t="shared" si="373"/>
      </c>
      <c r="O469" s="430">
        <f t="shared" si="295"/>
      </c>
      <c r="P469" s="430">
        <f t="shared" si="191"/>
      </c>
      <c r="Q469" s="431">
        <f t="shared" si="139"/>
      </c>
      <c r="R469" s="432">
        <f t="shared" si="399"/>
      </c>
      <c r="S469" s="431">
        <f t="shared" si="321"/>
      </c>
      <c r="T469" s="433">
        <f t="shared" si="217"/>
      </c>
      <c r="U469" s="434" t="s">
        <v>185</v>
      </c>
      <c r="V469" s="434" t="s">
        <v>213</v>
      </c>
      <c r="W469" s="309">
        <v>1</v>
      </c>
      <c r="X469" s="309">
        <v>11181</v>
      </c>
      <c r="Y469" s="309">
        <v>905</v>
      </c>
      <c r="Z469" s="309">
        <v>1512</v>
      </c>
      <c r="AA469" s="309">
        <v>315</v>
      </c>
      <c r="AB469" s="309">
        <v>18</v>
      </c>
      <c r="AC469" s="395">
        <v>2</v>
      </c>
      <c r="AD469" s="359">
        <v>19</v>
      </c>
      <c r="AE469" s="293"/>
      <c r="AF469" s="293"/>
    </row>
    <row r="470">
      <c r="A470" s="454"/>
      <c r="B470" s="363" t="s">
        <v>189</v>
      </c>
      <c r="C470" s="363"/>
      <c r="D470" s="343">
        <f>SUM(D466:D469)</f>
      </c>
      <c r="E470" s="343">
        <f>SUM(E466:E469)</f>
      </c>
      <c r="F470" s="343">
        <f>SUM(F466:F469)</f>
      </c>
      <c r="G470" s="343">
        <f>SUM(G466:G469)</f>
      </c>
      <c r="H470" s="343">
        <f>SUM(H466:H469)</f>
      </c>
      <c r="I470" s="344">
        <f t="shared" si="347"/>
      </c>
      <c r="J470" s="448">
        <f t="shared" si="243"/>
      </c>
      <c r="K470" s="449">
        <f t="shared" si="165"/>
      </c>
      <c r="L470" s="450">
        <f t="shared" si="269"/>
      </c>
      <c r="M470" s="448">
        <f t="shared" si="113"/>
      </c>
      <c r="N470" s="449">
        <f t="shared" si="373"/>
      </c>
      <c r="O470" s="448">
        <f t="shared" si="295"/>
      </c>
      <c r="P470" s="448">
        <f t="shared" si="191"/>
      </c>
      <c r="Q470" s="449">
        <f t="shared" si="139"/>
      </c>
      <c r="R470" s="451">
        <f t="shared" si="399"/>
      </c>
      <c r="S470" s="449">
        <f t="shared" si="321"/>
      </c>
      <c r="T470" s="452">
        <f t="shared" si="217"/>
      </c>
      <c r="U470" s="452"/>
      <c r="V470" s="452"/>
      <c r="W470" s="343">
        <f>SUM(W466:W469)</f>
      </c>
      <c r="X470" s="343">
        <f>SUM(X466:X469)</f>
      </c>
      <c r="Y470" s="343">
        <f>SUM(Y466:Y469)</f>
      </c>
      <c r="Z470" s="343">
        <f>SUM(Z466:Z469)</f>
      </c>
      <c r="AA470" s="343">
        <f>SUM(AA466:AA469)</f>
      </c>
      <c r="AB470" s="343">
        <f>SUM(AB466:AB469)</f>
      </c>
      <c r="AC470" s="343">
        <f>SUM(AC466:AC469)</f>
      </c>
      <c r="AD470" s="343">
        <f>SUM(AD466:AD469)</f>
      </c>
      <c r="AE470" s="293"/>
      <c r="AF470" s="293"/>
    </row>
    <row r="471">
      <c r="A471" s="454"/>
      <c r="B471" s="459" t="s">
        <v>196</v>
      </c>
      <c r="C471" s="369" t="s">
        <v>208</v>
      </c>
      <c r="D471" s="309">
        <f t="shared" ref="D471:D474" si="83">E471+F471</f>
      </c>
      <c r="E471" s="309">
        <v>1914.28</v>
      </c>
      <c r="F471" s="463">
        <v>1149.57</v>
      </c>
      <c r="G471" s="309">
        <v>1</v>
      </c>
      <c r="H471" s="309">
        <v>948.2400000000016</v>
      </c>
      <c r="I471" s="341">
        <f t="shared" si="347"/>
      </c>
      <c r="J471" s="430">
        <f t="shared" si="243"/>
      </c>
      <c r="K471" s="431">
        <f t="shared" si="165"/>
      </c>
      <c r="L471" s="447">
        <f t="shared" si="269"/>
      </c>
      <c r="M471" s="430">
        <f t="shared" si="113"/>
      </c>
      <c r="N471" s="431">
        <f t="shared" si="373"/>
      </c>
      <c r="O471" s="430">
        <f t="shared" si="295"/>
      </c>
      <c r="P471" s="430">
        <f t="shared" si="191"/>
      </c>
      <c r="Q471" s="431">
        <f t="shared" si="139"/>
      </c>
      <c r="R471" s="432">
        <f t="shared" si="399"/>
      </c>
      <c r="S471" s="431">
        <f t="shared" si="321"/>
      </c>
      <c r="T471" s="433">
        <f t="shared" si="217"/>
      </c>
      <c r="U471" s="434" t="s">
        <v>185</v>
      </c>
      <c r="V471" s="435" t="s">
        <v>186</v>
      </c>
      <c r="W471" s="309">
        <v>1</v>
      </c>
      <c r="X471" s="309">
        <v>11993</v>
      </c>
      <c r="Y471" s="309">
        <v>1067</v>
      </c>
      <c r="Z471" s="309">
        <v>1669</v>
      </c>
      <c r="AA471" s="309">
        <v>361</v>
      </c>
      <c r="AB471" s="309">
        <v>25</v>
      </c>
      <c r="AC471" s="395">
        <v>2</v>
      </c>
      <c r="AD471" s="310">
        <v>33</v>
      </c>
      <c r="AE471" s="293"/>
      <c r="AF471" s="293"/>
    </row>
    <row r="472">
      <c r="A472" s="454"/>
      <c r="B472" s="460" t="s">
        <v>183</v>
      </c>
      <c r="C472" s="369" t="s">
        <v>208</v>
      </c>
      <c r="D472" s="309">
        <f t="shared" si="83"/>
      </c>
      <c r="E472" s="309">
        <v>1465.65</v>
      </c>
      <c r="F472" s="309">
        <v>1134.96</v>
      </c>
      <c r="G472" s="358">
        <v>3</v>
      </c>
      <c r="H472" s="358">
        <v>9632.880000000001</v>
      </c>
      <c r="I472" s="341">
        <f t="shared" si="347"/>
      </c>
      <c r="J472" s="430">
        <f t="shared" si="243"/>
      </c>
      <c r="K472" s="431">
        <f t="shared" si="165"/>
      </c>
      <c r="L472" s="447">
        <f t="shared" si="269"/>
      </c>
      <c r="M472" s="430">
        <f t="shared" si="113"/>
      </c>
      <c r="N472" s="431">
        <f t="shared" si="373"/>
      </c>
      <c r="O472" s="430">
        <f t="shared" si="295"/>
      </c>
      <c r="P472" s="430">
        <f t="shared" si="191"/>
      </c>
      <c r="Q472" s="431">
        <f t="shared" si="139"/>
      </c>
      <c r="R472" s="432">
        <f t="shared" si="399"/>
      </c>
      <c r="S472" s="431">
        <f t="shared" si="321"/>
      </c>
      <c r="T472" s="433">
        <f t="shared" si="217"/>
      </c>
      <c r="U472" s="434" t="s">
        <v>185</v>
      </c>
      <c r="V472" s="435" t="s">
        <v>186</v>
      </c>
      <c r="W472" s="309">
        <v>0</v>
      </c>
      <c r="X472" s="309">
        <v>8945</v>
      </c>
      <c r="Y472" s="309">
        <v>773</v>
      </c>
      <c r="Z472" s="309">
        <v>1365</v>
      </c>
      <c r="AA472" s="309">
        <v>307</v>
      </c>
      <c r="AB472" s="309">
        <v>28</v>
      </c>
      <c r="AC472" s="395">
        <v>4</v>
      </c>
      <c r="AD472" s="310">
        <v>28</v>
      </c>
      <c r="AE472" s="293"/>
      <c r="AF472" s="293"/>
    </row>
    <row r="473">
      <c r="A473" s="454"/>
      <c r="B473" s="458" t="s">
        <v>187</v>
      </c>
      <c r="C473" s="369" t="s">
        <v>208</v>
      </c>
      <c r="D473" s="309">
        <f t="shared" si="83"/>
      </c>
      <c r="E473" s="309">
        <v>764.18</v>
      </c>
      <c r="F473" s="309">
        <v>705.93</v>
      </c>
      <c r="G473" s="309">
        <v>1</v>
      </c>
      <c r="H473" s="309">
        <v>13107.839999999997</v>
      </c>
      <c r="I473" s="341">
        <f t="shared" si="347"/>
      </c>
      <c r="J473" s="430">
        <f t="shared" si="243"/>
      </c>
      <c r="K473" s="431">
        <f t="shared" si="165"/>
      </c>
      <c r="L473" s="447">
        <f t="shared" si="269"/>
      </c>
      <c r="M473" s="430">
        <f t="shared" si="113"/>
      </c>
      <c r="N473" s="431">
        <f t="shared" si="373"/>
      </c>
      <c r="O473" s="430">
        <f t="shared" si="295"/>
      </c>
      <c r="P473" s="430">
        <f t="shared" si="191"/>
      </c>
      <c r="Q473" s="431">
        <f t="shared" si="139"/>
      </c>
      <c r="R473" s="432">
        <f t="shared" si="399"/>
      </c>
      <c r="S473" s="431">
        <f t="shared" si="321"/>
      </c>
      <c r="T473" s="433">
        <f t="shared" si="217"/>
      </c>
      <c r="U473" s="434" t="s">
        <v>185</v>
      </c>
      <c r="V473" s="435" t="s">
        <v>186</v>
      </c>
      <c r="W473" s="309">
        <v>1</v>
      </c>
      <c r="X473" s="309">
        <v>7454</v>
      </c>
      <c r="Y473" s="309">
        <v>656</v>
      </c>
      <c r="Z473" s="309">
        <v>1141</v>
      </c>
      <c r="AA473" s="309">
        <v>227</v>
      </c>
      <c r="AB473" s="309">
        <v>13</v>
      </c>
      <c r="AC473" s="395">
        <v>1</v>
      </c>
      <c r="AD473" s="310">
        <v>17</v>
      </c>
      <c r="AE473" s="293"/>
      <c r="AF473" s="293"/>
    </row>
    <row r="474">
      <c r="A474" s="454"/>
      <c r="B474" s="458" t="s">
        <v>188</v>
      </c>
      <c r="C474" s="369" t="s">
        <v>208</v>
      </c>
      <c r="D474" s="309">
        <f t="shared" si="83"/>
      </c>
      <c r="E474" s="309">
        <v>1357.82</v>
      </c>
      <c r="F474" s="309">
        <v>681.09</v>
      </c>
      <c r="G474" s="309">
        <v>1</v>
      </c>
      <c r="H474" s="309">
        <v>2676.840000000004</v>
      </c>
      <c r="I474" s="341">
        <f t="shared" si="347"/>
      </c>
      <c r="J474" s="430">
        <f t="shared" si="243"/>
      </c>
      <c r="K474" s="431">
        <f t="shared" si="165"/>
      </c>
      <c r="L474" s="447">
        <f t="shared" si="269"/>
      </c>
      <c r="M474" s="430">
        <f t="shared" si="113"/>
      </c>
      <c r="N474" s="431">
        <f t="shared" si="373"/>
      </c>
      <c r="O474" s="430">
        <f t="shared" si="295"/>
      </c>
      <c r="P474" s="430">
        <f t="shared" si="191"/>
      </c>
      <c r="Q474" s="431">
        <f t="shared" si="139"/>
      </c>
      <c r="R474" s="432">
        <f t="shared" si="399"/>
      </c>
      <c r="S474" s="431">
        <f t="shared" si="321"/>
      </c>
      <c r="T474" s="433">
        <f t="shared" si="217"/>
      </c>
      <c r="U474" s="434" t="s">
        <v>185</v>
      </c>
      <c r="V474" s="435" t="s">
        <v>186</v>
      </c>
      <c r="W474" s="309">
        <v>1</v>
      </c>
      <c r="X474" s="309">
        <v>6643</v>
      </c>
      <c r="Y474" s="309">
        <v>692</v>
      </c>
      <c r="Z474" s="309">
        <v>960</v>
      </c>
      <c r="AA474" s="309">
        <v>237</v>
      </c>
      <c r="AB474" s="309">
        <v>21</v>
      </c>
      <c r="AC474" s="395">
        <v>3</v>
      </c>
      <c r="AD474" s="310">
        <v>20</v>
      </c>
      <c r="AE474" s="293"/>
      <c r="AF474" s="293"/>
    </row>
    <row r="475">
      <c r="A475" s="454"/>
      <c r="B475" s="363" t="s">
        <v>189</v>
      </c>
      <c r="C475" s="363"/>
      <c r="D475" s="343">
        <f>SUM(D471:D474)</f>
      </c>
      <c r="E475" s="343">
        <f>SUM(E471:E474)</f>
      </c>
      <c r="F475" s="343">
        <f>SUM(F471:F474)</f>
      </c>
      <c r="G475" s="343">
        <f>SUM(G471:G474)</f>
      </c>
      <c r="H475" s="343">
        <f>SUM(H471:H474)</f>
      </c>
      <c r="I475" s="344">
        <f t="shared" si="347"/>
      </c>
      <c r="J475" s="448">
        <f t="shared" si="243"/>
      </c>
      <c r="K475" s="449">
        <f t="shared" si="165"/>
      </c>
      <c r="L475" s="450">
        <f t="shared" si="269"/>
      </c>
      <c r="M475" s="448">
        <f t="shared" si="113"/>
      </c>
      <c r="N475" s="449">
        <f t="shared" si="373"/>
      </c>
      <c r="O475" s="448">
        <f t="shared" si="295"/>
      </c>
      <c r="P475" s="448">
        <f t="shared" si="191"/>
      </c>
      <c r="Q475" s="449">
        <f t="shared" si="139"/>
      </c>
      <c r="R475" s="451">
        <f t="shared" si="399"/>
      </c>
      <c r="S475" s="449">
        <f t="shared" si="321"/>
      </c>
      <c r="T475" s="452">
        <f t="shared" si="217"/>
      </c>
      <c r="U475" s="452"/>
      <c r="V475" s="452"/>
      <c r="W475" s="343">
        <f>SUM(W471:W474)</f>
      </c>
      <c r="X475" s="343">
        <f>SUM(X471:X474)</f>
      </c>
      <c r="Y475" s="343">
        <f>SUM(Y471:Y474)</f>
      </c>
      <c r="Z475" s="343">
        <f>SUM(Z471:Z474)</f>
      </c>
      <c r="AA475" s="343">
        <f>SUM(AA471:AA474)</f>
      </c>
      <c r="AB475" s="343">
        <f>SUM(AB471:AB474)</f>
      </c>
      <c r="AC475" s="343">
        <f>SUM(AC471:AC474)</f>
      </c>
      <c r="AD475" s="343">
        <f>SUM(AD471:AD474)</f>
      </c>
      <c r="AE475" s="293"/>
      <c r="AF475" s="293"/>
    </row>
    <row r="476">
      <c r="A476" s="454"/>
      <c r="B476" s="457" t="s">
        <v>190</v>
      </c>
      <c r="C476" s="369" t="s">
        <v>210</v>
      </c>
      <c r="D476" s="309">
        <f t="shared" ref="D476:D479" si="84">E476+F476</f>
      </c>
      <c r="E476" s="309">
        <v>1416.37</v>
      </c>
      <c r="F476" s="309">
        <v>858.89</v>
      </c>
      <c r="G476" s="309">
        <v>1</v>
      </c>
      <c r="H476" s="309">
        <v>1222.560000000005</v>
      </c>
      <c r="I476" s="341">
        <f t="shared" si="347"/>
      </c>
      <c r="J476" s="430">
        <f t="shared" si="243"/>
      </c>
      <c r="K476" s="431">
        <f t="shared" si="165"/>
      </c>
      <c r="L476" s="447">
        <f t="shared" si="269"/>
      </c>
      <c r="M476" s="430">
        <f t="shared" si="113"/>
      </c>
      <c r="N476" s="431">
        <f t="shared" si="373"/>
      </c>
      <c r="O476" s="430">
        <f t="shared" si="295"/>
      </c>
      <c r="P476" s="430">
        <f t="shared" si="191"/>
      </c>
      <c r="Q476" s="431">
        <f t="shared" si="139"/>
      </c>
      <c r="R476" s="432">
        <f t="shared" si="399"/>
      </c>
      <c r="S476" s="431">
        <f t="shared" si="321"/>
      </c>
      <c r="T476" s="433">
        <f t="shared" si="217"/>
      </c>
      <c r="U476" s="434" t="s">
        <v>185</v>
      </c>
      <c r="V476" s="435" t="s">
        <v>186</v>
      </c>
      <c r="W476" s="309">
        <v>1</v>
      </c>
      <c r="X476" s="309">
        <v>7845</v>
      </c>
      <c r="Y476" s="309">
        <v>681</v>
      </c>
      <c r="Z476" s="309">
        <v>955</v>
      </c>
      <c r="AA476" s="309">
        <v>222</v>
      </c>
      <c r="AB476" s="309">
        <v>31</v>
      </c>
      <c r="AC476" s="395">
        <v>2</v>
      </c>
      <c r="AD476" s="310">
        <v>20</v>
      </c>
      <c r="AE476" s="293"/>
      <c r="AF476" s="293"/>
    </row>
    <row r="477">
      <c r="A477" s="454"/>
      <c r="B477" s="308" t="s">
        <v>192</v>
      </c>
      <c r="C477" s="369" t="s">
        <v>210</v>
      </c>
      <c r="D477" s="309">
        <f t="shared" si="84"/>
      </c>
      <c r="E477" s="309">
        <v>1736.76</v>
      </c>
      <c r="F477" s="309">
        <v>1254.27</v>
      </c>
      <c r="G477" s="358">
        <v>0</v>
      </c>
      <c r="H477" s="358">
        <v>0</v>
      </c>
      <c r="I477" s="341">
        <f t="shared" si="347"/>
      </c>
      <c r="J477" s="430">
        <f t="shared" si="243"/>
      </c>
      <c r="K477" s="431">
        <f t="shared" si="165"/>
      </c>
      <c r="L477" s="447">
        <f t="shared" si="269"/>
      </c>
      <c r="M477" s="430">
        <f t="shared" si="113"/>
      </c>
      <c r="N477" s="431">
        <f t="shared" si="373"/>
      </c>
      <c r="O477" s="430">
        <f t="shared" si="295"/>
      </c>
      <c r="P477" s="430">
        <f t="shared" si="191"/>
      </c>
      <c r="Q477" s="431">
        <f t="shared" si="139"/>
      </c>
      <c r="R477" s="432">
        <f t="shared" si="399"/>
      </c>
      <c r="S477" s="431">
        <f t="shared" si="321"/>
      </c>
      <c r="T477" s="433">
        <f t="shared" si="217"/>
      </c>
      <c r="U477" s="434" t="s">
        <v>185</v>
      </c>
      <c r="V477" s="435" t="s">
        <v>186</v>
      </c>
      <c r="W477" s="309">
        <v>0</v>
      </c>
      <c r="X477" s="309">
        <v>9792</v>
      </c>
      <c r="Y477" s="309">
        <v>829</v>
      </c>
      <c r="Z477" s="309">
        <v>1215</v>
      </c>
      <c r="AA477" s="309">
        <v>201</v>
      </c>
      <c r="AB477" s="309">
        <v>37</v>
      </c>
      <c r="AC477" s="395">
        <v>1</v>
      </c>
      <c r="AD477" s="310">
        <v>17</v>
      </c>
      <c r="AE477" s="293"/>
      <c r="AF477" s="293"/>
    </row>
    <row r="478">
      <c r="A478" s="454"/>
      <c r="B478" s="308" t="s">
        <v>193</v>
      </c>
      <c r="C478" s="369" t="s">
        <v>210</v>
      </c>
      <c r="D478" s="309">
        <f t="shared" si="84"/>
      </c>
      <c r="E478" s="309">
        <v>987.44</v>
      </c>
      <c r="F478" s="309">
        <v>1217.44</v>
      </c>
      <c r="G478" s="309">
        <v>3</v>
      </c>
      <c r="H478" s="309">
        <v>15255.51999999999</v>
      </c>
      <c r="I478" s="341">
        <f t="shared" si="347"/>
      </c>
      <c r="J478" s="430">
        <f t="shared" si="243"/>
      </c>
      <c r="K478" s="431">
        <f t="shared" si="165"/>
      </c>
      <c r="L478" s="447">
        <f t="shared" si="269"/>
      </c>
      <c r="M478" s="430">
        <f t="shared" si="113"/>
      </c>
      <c r="N478" s="431">
        <f t="shared" si="373"/>
      </c>
      <c r="O478" s="430">
        <f t="shared" si="295"/>
      </c>
      <c r="P478" s="430">
        <f t="shared" si="191"/>
      </c>
      <c r="Q478" s="431">
        <f t="shared" si="139"/>
      </c>
      <c r="R478" s="432">
        <f t="shared" si="399"/>
      </c>
      <c r="S478" s="431">
        <f t="shared" si="321"/>
      </c>
      <c r="T478" s="433">
        <f t="shared" si="217"/>
      </c>
      <c r="U478" s="434" t="s">
        <v>185</v>
      </c>
      <c r="V478" s="435" t="s">
        <v>186</v>
      </c>
      <c r="W478" s="309">
        <v>1</v>
      </c>
      <c r="X478" s="309">
        <v>9110</v>
      </c>
      <c r="Y478" s="309">
        <v>867</v>
      </c>
      <c r="Z478" s="309">
        <v>1372</v>
      </c>
      <c r="AA478" s="309">
        <v>205</v>
      </c>
      <c r="AB478" s="309">
        <v>29</v>
      </c>
      <c r="AC478" s="395">
        <v>5</v>
      </c>
      <c r="AD478" s="359">
        <v>17</v>
      </c>
      <c r="AE478" s="293"/>
      <c r="AF478" s="293"/>
    </row>
    <row r="479">
      <c r="A479" s="454"/>
      <c r="B479" s="455" t="s">
        <v>194</v>
      </c>
      <c r="C479" s="369" t="s">
        <v>210</v>
      </c>
      <c r="D479" s="309">
        <f t="shared" si="84"/>
      </c>
      <c r="E479" s="309">
        <v>444.81</v>
      </c>
      <c r="F479" s="309">
        <v>577.17</v>
      </c>
      <c r="G479" s="358">
        <v>0</v>
      </c>
      <c r="H479" s="358">
        <v>0</v>
      </c>
      <c r="I479" s="341">
        <f t="shared" si="347"/>
      </c>
      <c r="J479" s="430">
        <f t="shared" si="243"/>
      </c>
      <c r="K479" s="431">
        <f t="shared" si="165"/>
      </c>
      <c r="L479" s="447">
        <f t="shared" si="269"/>
      </c>
      <c r="M479" s="430">
        <f t="shared" si="113"/>
      </c>
      <c r="N479" s="431">
        <f t="shared" si="373"/>
      </c>
      <c r="O479" s="430">
        <f t="shared" si="295"/>
      </c>
      <c r="P479" s="430">
        <f t="shared" si="191"/>
      </c>
      <c r="Q479" s="431">
        <f t="shared" si="139"/>
      </c>
      <c r="R479" s="432">
        <f t="shared" si="399"/>
      </c>
      <c r="S479" s="431">
        <f t="shared" si="321"/>
      </c>
      <c r="T479" s="433">
        <f t="shared" si="217"/>
      </c>
      <c r="U479" s="434" t="s">
        <v>185</v>
      </c>
      <c r="V479" s="435" t="s">
        <v>186</v>
      </c>
      <c r="W479" s="358">
        <v>0</v>
      </c>
      <c r="X479" s="309">
        <v>4032</v>
      </c>
      <c r="Y479" s="309">
        <v>304</v>
      </c>
      <c r="Z479" s="309">
        <v>534</v>
      </c>
      <c r="AA479" s="309">
        <v>93</v>
      </c>
      <c r="AB479" s="309">
        <v>11</v>
      </c>
      <c r="AC479" s="395">
        <v>1</v>
      </c>
      <c r="AD479" s="310">
        <v>10</v>
      </c>
      <c r="AE479" s="293"/>
      <c r="AF479" s="293"/>
    </row>
    <row r="480">
      <c r="A480" s="454"/>
      <c r="B480" s="363" t="s">
        <v>189</v>
      </c>
      <c r="C480" s="363"/>
      <c r="D480" s="343">
        <f>SUM(D476:D479)</f>
      </c>
      <c r="E480" s="343">
        <f>SUM(E476:E479)</f>
      </c>
      <c r="F480" s="343">
        <f>SUM(F476:F479)</f>
      </c>
      <c r="G480" s="343">
        <f>SUM(G476:G479)</f>
      </c>
      <c r="H480" s="343">
        <f>SUM(H476:H479)</f>
      </c>
      <c r="I480" s="344">
        <f t="shared" si="347"/>
      </c>
      <c r="J480" s="448">
        <f t="shared" si="243"/>
      </c>
      <c r="K480" s="449">
        <f t="shared" si="165"/>
      </c>
      <c r="L480" s="450">
        <f t="shared" si="269"/>
      </c>
      <c r="M480" s="448">
        <f t="shared" si="113"/>
      </c>
      <c r="N480" s="449">
        <f t="shared" si="373"/>
      </c>
      <c r="O480" s="448">
        <f t="shared" si="295"/>
      </c>
      <c r="P480" s="448">
        <f t="shared" si="191"/>
      </c>
      <c r="Q480" s="449">
        <f t="shared" si="139"/>
      </c>
      <c r="R480" s="451">
        <f t="shared" si="399"/>
      </c>
      <c r="S480" s="449">
        <f t="shared" si="321"/>
      </c>
      <c r="T480" s="452">
        <f t="shared" si="217"/>
      </c>
      <c r="U480" s="452"/>
      <c r="V480" s="452"/>
      <c r="W480" s="343">
        <f>SUM(W476:W479)</f>
      </c>
      <c r="X480" s="343">
        <f>SUM(X476:X479)</f>
      </c>
      <c r="Y480" s="343">
        <f>SUM(Y476:Y479)</f>
      </c>
      <c r="Z480" s="343">
        <f>SUM(Z476:Z479)</f>
      </c>
      <c r="AA480" s="343">
        <f>SUM(AA476:AA479)</f>
      </c>
      <c r="AB480" s="343">
        <f>SUM(AB476:AB479)</f>
      </c>
      <c r="AC480" s="343">
        <f>SUM(AC476:AC479)</f>
      </c>
      <c r="AD480" s="343">
        <f>SUM(AD476:AD479)</f>
      </c>
      <c r="AE480" s="293"/>
      <c r="AF480" s="293"/>
    </row>
    <row r="481">
      <c r="A481" s="454"/>
      <c r="B481" s="461" t="s">
        <v>195</v>
      </c>
      <c r="C481" s="461"/>
      <c r="D481" s="367">
        <f>D465+D470+D475+D480</f>
      </c>
      <c r="E481" s="367">
        <f>E465+E470+E475+E480</f>
      </c>
      <c r="F481" s="367">
        <f>F465+F470+F475+F480</f>
      </c>
      <c r="G481" s="367">
        <f>G465+G470+G475+G480</f>
      </c>
      <c r="H481" s="367">
        <f>H465+H470+H475+H480</f>
      </c>
      <c r="I481" s="328">
        <f t="shared" si="347"/>
      </c>
      <c r="J481" s="329">
        <f t="shared" si="243"/>
      </c>
      <c r="K481" s="330">
        <f t="shared" si="165"/>
      </c>
      <c r="L481" s="331">
        <f t="shared" si="269"/>
      </c>
      <c r="M481" s="331">
        <f t="shared" si="113"/>
      </c>
      <c r="N481" s="330">
        <f t="shared" si="373"/>
      </c>
      <c r="O481" s="331">
        <f t="shared" si="295"/>
      </c>
      <c r="P481" s="331">
        <f t="shared" si="191"/>
      </c>
      <c r="Q481" s="330">
        <f t="shared" si="139"/>
      </c>
      <c r="R481" s="332">
        <f t="shared" si="399"/>
      </c>
      <c r="S481" s="330">
        <f t="shared" si="321"/>
      </c>
      <c r="T481" s="333">
        <f t="shared" si="217"/>
      </c>
      <c r="U481" s="333"/>
      <c r="V481" s="333"/>
      <c r="W481" s="328">
        <f>W465+W470+W475+W480</f>
      </c>
      <c r="X481" s="328">
        <f>X465+X470+X475+X480</f>
      </c>
      <c r="Y481" s="328">
        <f>Y465+Y470+Y475+Y480</f>
      </c>
      <c r="Z481" s="328">
        <f>Z465+Z470+Z475+Z480</f>
      </c>
      <c r="AA481" s="328">
        <f>AA465+AA470+AA475+AA480</f>
      </c>
      <c r="AB481" s="328">
        <f>AB465+AB470+AB475+AB480</f>
      </c>
      <c r="AC481" s="328">
        <f>AC465+AC470+AC475+AC480</f>
      </c>
      <c r="AD481" s="328">
        <f>AD465+AD470+AD475+AD480</f>
      </c>
      <c r="AE481" s="293"/>
      <c r="AF481" s="293"/>
    </row>
    <row r="482">
      <c r="A482" s="287" t="s">
        <v>150</v>
      </c>
      <c r="B482" s="287"/>
      <c r="C482" s="287"/>
      <c r="D482" s="334" t="s">
        <v>151</v>
      </c>
      <c r="E482" s="334"/>
      <c r="F482" s="334"/>
      <c r="G482" s="334"/>
      <c r="H482" s="334"/>
      <c r="I482" s="334"/>
      <c r="J482" s="377" t="s">
        <v>152</v>
      </c>
      <c r="K482" s="377"/>
      <c r="L482" s="377"/>
      <c r="M482" s="377"/>
      <c r="N482" s="377"/>
      <c r="O482" s="377"/>
      <c r="P482" s="377"/>
      <c r="Q482" s="377"/>
      <c r="R482" s="377"/>
      <c r="S482" s="377"/>
      <c r="T482" s="436"/>
      <c r="U482" s="436"/>
      <c r="V482" s="436"/>
      <c r="W482" s="437"/>
      <c r="X482" s="437"/>
      <c r="Y482" s="437"/>
      <c r="Z482" s="437"/>
      <c r="AA482" s="437"/>
      <c r="AB482" s="437"/>
      <c r="AC482" s="437"/>
      <c r="AD482" s="438" t="s">
        <v>153</v>
      </c>
      <c r="AE482" s="293"/>
      <c r="AF482" s="293"/>
    </row>
    <row r="483">
      <c r="A483" s="453" t="s">
        <v>154</v>
      </c>
      <c r="B483" s="287" t="s">
        <v>155</v>
      </c>
      <c r="C483" s="287" t="s">
        <v>156</v>
      </c>
      <c r="D483" s="440" t="s">
        <v>157</v>
      </c>
      <c r="E483" s="337" t="s">
        <v>158</v>
      </c>
      <c r="F483" s="337" t="s">
        <v>159</v>
      </c>
      <c r="G483" s="338" t="s">
        <v>160</v>
      </c>
      <c r="H483" s="336" t="s">
        <v>161</v>
      </c>
      <c r="I483" s="337" t="s">
        <v>162</v>
      </c>
      <c r="J483" s="441" t="s">
        <v>163</v>
      </c>
      <c r="K483" s="441" t="s">
        <v>164</v>
      </c>
      <c r="L483" s="416" t="s">
        <v>165</v>
      </c>
      <c r="M483" s="378" t="s">
        <v>166</v>
      </c>
      <c r="N483" s="377" t="s">
        <v>167</v>
      </c>
      <c r="O483" s="378" t="s">
        <v>168</v>
      </c>
      <c r="P483" s="378" t="s">
        <v>169</v>
      </c>
      <c r="Q483" s="379" t="s">
        <v>170</v>
      </c>
      <c r="R483" s="378" t="s">
        <v>171</v>
      </c>
      <c r="S483" s="379" t="s">
        <v>172</v>
      </c>
      <c r="T483" s="442" t="s">
        <v>173</v>
      </c>
      <c r="U483" s="442" t="s">
        <v>174</v>
      </c>
      <c r="V483" s="442" t="s">
        <v>175</v>
      </c>
      <c r="W483" s="443" t="s">
        <v>176</v>
      </c>
      <c r="X483" s="444" t="s">
        <v>177</v>
      </c>
      <c r="Y483" s="444" t="s">
        <v>178</v>
      </c>
      <c r="Z483" s="444" t="s">
        <v>179</v>
      </c>
      <c r="AA483" s="444" t="s">
        <v>180</v>
      </c>
      <c r="AB483" s="444" t="s">
        <v>181</v>
      </c>
      <c r="AC483" s="445" t="s">
        <v>182</v>
      </c>
      <c r="AD483" s="438"/>
      <c r="AE483" s="293"/>
      <c r="AF483" s="293"/>
    </row>
    <row r="484">
      <c r="A484" s="454">
        <v>46265</v>
      </c>
      <c r="B484" s="455" t="s">
        <v>212</v>
      </c>
      <c r="C484" s="369" t="s">
        <v>184</v>
      </c>
      <c r="D484" s="309">
        <f t="shared" ref="D484:D486" si="85">E484+F484</f>
      </c>
      <c r="E484" s="358">
        <v>1994.6399999999999</v>
      </c>
      <c r="F484" s="309">
        <v>973.1</v>
      </c>
      <c r="G484" s="358">
        <v>0</v>
      </c>
      <c r="H484" s="358">
        <v>0</v>
      </c>
      <c r="I484" s="341">
        <f t="shared" ref="I484:I503" si="348">H484/D484</f>
      </c>
      <c r="J484" s="430">
        <f t="shared" ref="J484:J503" si="244">Y484/X484</f>
      </c>
      <c r="K484" s="431">
        <f t="shared" ref="K484:K503" si="166">D484/Z484</f>
      </c>
      <c r="L484" s="447">
        <f t="shared" ref="L484:L503" si="270">AA484/Z484</f>
      </c>
      <c r="M484" s="430">
        <f t="shared" ref="M484:M503" si="114">AB484/Z484</f>
      </c>
      <c r="N484" s="431">
        <f t="shared" ref="N484:N503" si="374">D484/AB484</f>
      </c>
      <c r="O484" s="430">
        <f t="shared" ref="O484:O503" si="296">AC484/AB484</f>
      </c>
      <c r="P484" s="430">
        <f t="shared" ref="P484:P503" si="192">G484/AC484</f>
      </c>
      <c r="Q484" s="431">
        <f t="shared" ref="Q484:Q503" si="140">D484/G484</f>
      </c>
      <c r="R484" s="432">
        <f t="shared" ref="R484:R503" si="400">H484/G484</f>
      </c>
      <c r="S484" s="431">
        <f t="shared" ref="S484:S503" si="322">D484/W484</f>
      </c>
      <c r="T484" s="433">
        <f t="shared" ref="T484:T503" si="218">AD484*1000/D484</f>
      </c>
      <c r="U484" s="434" t="s">
        <v>185</v>
      </c>
      <c r="V484" s="435" t="s">
        <v>211</v>
      </c>
      <c r="W484" s="309">
        <v>0</v>
      </c>
      <c r="X484" s="309">
        <v>12571</v>
      </c>
      <c r="Y484" s="309">
        <v>1007</v>
      </c>
      <c r="Z484" s="309">
        <v>1576</v>
      </c>
      <c r="AA484" s="309">
        <v>324</v>
      </c>
      <c r="AB484" s="309">
        <v>40</v>
      </c>
      <c r="AC484" s="395">
        <v>2</v>
      </c>
      <c r="AD484" s="359">
        <v>24</v>
      </c>
      <c r="AE484" s="293"/>
      <c r="AF484" s="293"/>
    </row>
    <row r="485">
      <c r="A485" s="454"/>
      <c r="B485" s="457" t="s">
        <v>199</v>
      </c>
      <c r="C485" s="369" t="s">
        <v>184</v>
      </c>
      <c r="D485" s="309">
        <f t="shared" si="85"/>
      </c>
      <c r="E485" s="309">
        <v>514.8199999999999</v>
      </c>
      <c r="F485" s="309">
        <v>688.08</v>
      </c>
      <c r="G485" s="358">
        <v>0</v>
      </c>
      <c r="H485" s="358">
        <v>0</v>
      </c>
      <c r="I485" s="341">
        <f t="shared" si="348"/>
      </c>
      <c r="J485" s="430">
        <f t="shared" si="244"/>
      </c>
      <c r="K485" s="431">
        <f t="shared" si="166"/>
      </c>
      <c r="L485" s="447">
        <f t="shared" si="270"/>
      </c>
      <c r="M485" s="430">
        <f t="shared" si="114"/>
      </c>
      <c r="N485" s="431">
        <f t="shared" si="374"/>
      </c>
      <c r="O485" s="430">
        <f t="shared" si="296"/>
      </c>
      <c r="P485" s="430">
        <f t="shared" si="192"/>
      </c>
      <c r="Q485" s="431">
        <f t="shared" si="140"/>
      </c>
      <c r="R485" s="432">
        <f t="shared" si="400"/>
      </c>
      <c r="S485" s="431">
        <f t="shared" si="322"/>
      </c>
      <c r="T485" s="433">
        <f t="shared" si="218"/>
      </c>
      <c r="U485" s="434" t="s">
        <v>185</v>
      </c>
      <c r="V485" s="435" t="s">
        <v>211</v>
      </c>
      <c r="W485" s="309">
        <v>0</v>
      </c>
      <c r="X485" s="309">
        <v>4083</v>
      </c>
      <c r="Y485" s="309">
        <v>175</v>
      </c>
      <c r="Z485" s="309">
        <v>209</v>
      </c>
      <c r="AA485" s="309">
        <v>40</v>
      </c>
      <c r="AB485" s="309">
        <v>21</v>
      </c>
      <c r="AC485" s="395">
        <v>0</v>
      </c>
      <c r="AD485" s="359">
        <v>13</v>
      </c>
      <c r="AE485" s="293"/>
      <c r="AF485" s="293"/>
    </row>
    <row r="486">
      <c r="A486" s="454"/>
      <c r="B486" s="457" t="s">
        <v>200</v>
      </c>
      <c r="C486" s="369" t="s">
        <v>184</v>
      </c>
      <c r="D486" s="309">
        <f t="shared" si="85"/>
      </c>
      <c r="E486" s="358">
        <v>1633.94</v>
      </c>
      <c r="F486" s="358">
        <v>1329.61</v>
      </c>
      <c r="G486" s="358">
        <v>0</v>
      </c>
      <c r="H486" s="358">
        <v>0</v>
      </c>
      <c r="I486" s="341">
        <f t="shared" si="348"/>
      </c>
      <c r="J486" s="430">
        <f t="shared" si="244"/>
      </c>
      <c r="K486" s="431">
        <f t="shared" si="166"/>
      </c>
      <c r="L486" s="447">
        <f t="shared" si="270"/>
      </c>
      <c r="M486" s="430">
        <f t="shared" si="114"/>
      </c>
      <c r="N486" s="431">
        <f t="shared" si="374"/>
      </c>
      <c r="O486" s="430">
        <f t="shared" si="296"/>
      </c>
      <c r="P486" s="430">
        <f t="shared" si="192"/>
      </c>
      <c r="Q486" s="431">
        <f t="shared" si="140"/>
      </c>
      <c r="R486" s="432">
        <f t="shared" si="400"/>
      </c>
      <c r="S486" s="431">
        <f t="shared" si="322"/>
      </c>
      <c r="T486" s="433">
        <f t="shared" si="218"/>
      </c>
      <c r="U486" s="434" t="s">
        <v>185</v>
      </c>
      <c r="V486" s="435" t="s">
        <v>211</v>
      </c>
      <c r="W486" s="309">
        <v>0</v>
      </c>
      <c r="X486" s="309">
        <v>9146</v>
      </c>
      <c r="Y486" s="309">
        <v>678</v>
      </c>
      <c r="Z486" s="309">
        <v>1063</v>
      </c>
      <c r="AA486" s="309">
        <v>226</v>
      </c>
      <c r="AB486" s="309">
        <v>40</v>
      </c>
      <c r="AC486" s="395">
        <v>2</v>
      </c>
      <c r="AD486" s="359">
        <v>22</v>
      </c>
      <c r="AE486" s="293"/>
      <c r="AF486" s="293"/>
    </row>
    <row r="487">
      <c r="A487" s="454"/>
      <c r="B487" s="363" t="s">
        <v>189</v>
      </c>
      <c r="C487" s="363"/>
      <c r="D487" s="343">
        <f>SUM(D484:D486)</f>
      </c>
      <c r="E487" s="343">
        <f>SUM(E484:E486)</f>
      </c>
      <c r="F487" s="343">
        <f>SUM(F484:F486)</f>
      </c>
      <c r="G487" s="343">
        <f>SUM(G484:G486)</f>
      </c>
      <c r="H487" s="343">
        <f>SUM(H484:H486)</f>
      </c>
      <c r="I487" s="344">
        <f t="shared" si="348"/>
      </c>
      <c r="J487" s="448">
        <f t="shared" si="244"/>
      </c>
      <c r="K487" s="449">
        <f t="shared" si="166"/>
      </c>
      <c r="L487" s="450">
        <f t="shared" si="270"/>
      </c>
      <c r="M487" s="448">
        <f t="shared" si="114"/>
      </c>
      <c r="N487" s="449">
        <f t="shared" si="374"/>
      </c>
      <c r="O487" s="448">
        <f t="shared" si="296"/>
      </c>
      <c r="P487" s="448">
        <f t="shared" si="192"/>
      </c>
      <c r="Q487" s="449">
        <f t="shared" si="140"/>
      </c>
      <c r="R487" s="451">
        <f t="shared" si="400"/>
      </c>
      <c r="S487" s="449">
        <f t="shared" si="322"/>
      </c>
      <c r="T487" s="452">
        <f t="shared" si="218"/>
      </c>
      <c r="U487" s="452"/>
      <c r="V487" s="452"/>
      <c r="W487" s="343">
        <f>SUM(W484:W486)</f>
      </c>
      <c r="X487" s="343">
        <f>SUM(X484:X486)</f>
      </c>
      <c r="Y487" s="343">
        <f>SUM(Y484:Y486)</f>
      </c>
      <c r="Z487" s="343">
        <f>SUM(Z484:Z486)</f>
      </c>
      <c r="AA487" s="343">
        <f>SUM(AA484:AA486)</f>
      </c>
      <c r="AB487" s="343">
        <f>SUM(AB484:AB486)</f>
      </c>
      <c r="AC487" s="343">
        <f>SUM(AC484:AC486)</f>
      </c>
      <c r="AD487" s="343">
        <f>SUM(AD484:AD486)</f>
      </c>
      <c r="AE487" s="293"/>
      <c r="AF487" s="293"/>
    </row>
    <row r="488">
      <c r="A488" s="454"/>
      <c r="B488" s="457" t="s">
        <v>202</v>
      </c>
      <c r="C488" s="309" t="s">
        <v>197</v>
      </c>
      <c r="D488" s="309">
        <f t="shared" ref="D488:D491" si="86">E488+F488</f>
      </c>
      <c r="E488" s="309">
        <v>2032.47</v>
      </c>
      <c r="F488" s="309">
        <v>680.56</v>
      </c>
      <c r="G488" s="358">
        <v>2</v>
      </c>
      <c r="H488" s="358">
        <v>5214.24</v>
      </c>
      <c r="I488" s="341">
        <f t="shared" si="348"/>
      </c>
      <c r="J488" s="430">
        <f t="shared" si="244"/>
      </c>
      <c r="K488" s="431">
        <f t="shared" si="166"/>
      </c>
      <c r="L488" s="447">
        <f t="shared" si="270"/>
      </c>
      <c r="M488" s="430">
        <f t="shared" si="114"/>
      </c>
      <c r="N488" s="431">
        <f t="shared" si="374"/>
      </c>
      <c r="O488" s="430">
        <f t="shared" si="296"/>
      </c>
      <c r="P488" s="430">
        <f t="shared" si="192"/>
      </c>
      <c r="Q488" s="431">
        <f t="shared" si="140"/>
      </c>
      <c r="R488" s="432">
        <f t="shared" si="400"/>
      </c>
      <c r="S488" s="431">
        <f t="shared" si="322"/>
      </c>
      <c r="T488" s="433">
        <f t="shared" si="218"/>
      </c>
      <c r="U488" s="434" t="s">
        <v>185</v>
      </c>
      <c r="V488" s="435" t="s">
        <v>211</v>
      </c>
      <c r="W488" s="309">
        <v>2</v>
      </c>
      <c r="X488" s="309">
        <v>10633</v>
      </c>
      <c r="Y488" s="309">
        <v>521</v>
      </c>
      <c r="Z488" s="309">
        <v>894</v>
      </c>
      <c r="AA488" s="309">
        <v>175</v>
      </c>
      <c r="AB488" s="309">
        <v>30</v>
      </c>
      <c r="AC488" s="395">
        <v>4</v>
      </c>
      <c r="AD488" s="359">
        <v>25</v>
      </c>
      <c r="AE488" s="293"/>
      <c r="AF488" s="293"/>
    </row>
    <row r="489">
      <c r="A489" s="454"/>
      <c r="B489" s="457" t="s">
        <v>203</v>
      </c>
      <c r="C489" s="309" t="s">
        <v>197</v>
      </c>
      <c r="D489" s="309">
        <f t="shared" si="86"/>
      </c>
      <c r="E489" s="309">
        <v>2379.77</v>
      </c>
      <c r="F489" s="309">
        <v>471.4</v>
      </c>
      <c r="G489" s="358">
        <v>4</v>
      </c>
      <c r="H489" s="358">
        <v>11807.999999999998</v>
      </c>
      <c r="I489" s="341">
        <f t="shared" si="348"/>
      </c>
      <c r="J489" s="430">
        <f t="shared" si="244"/>
      </c>
      <c r="K489" s="431">
        <f t="shared" si="166"/>
      </c>
      <c r="L489" s="447">
        <f t="shared" si="270"/>
      </c>
      <c r="M489" s="430">
        <f t="shared" si="114"/>
      </c>
      <c r="N489" s="431">
        <f t="shared" si="374"/>
      </c>
      <c r="O489" s="430">
        <f t="shared" si="296"/>
      </c>
      <c r="P489" s="430">
        <f t="shared" si="192"/>
      </c>
      <c r="Q489" s="431">
        <f t="shared" si="140"/>
      </c>
      <c r="R489" s="432">
        <f t="shared" si="400"/>
      </c>
      <c r="S489" s="431">
        <f t="shared" si="322"/>
      </c>
      <c r="T489" s="433">
        <f t="shared" si="218"/>
      </c>
      <c r="U489" s="434" t="s">
        <v>185</v>
      </c>
      <c r="V489" s="435" t="s">
        <v>211</v>
      </c>
      <c r="W489" s="309">
        <v>1</v>
      </c>
      <c r="X489" s="309">
        <v>10498</v>
      </c>
      <c r="Y489" s="309">
        <v>492</v>
      </c>
      <c r="Z489" s="309">
        <v>764</v>
      </c>
      <c r="AA489" s="309">
        <v>170</v>
      </c>
      <c r="AB489" s="309">
        <v>27</v>
      </c>
      <c r="AC489" s="395">
        <v>7</v>
      </c>
      <c r="AD489" s="359">
        <v>11</v>
      </c>
      <c r="AE489" s="293"/>
      <c r="AF489" s="293"/>
    </row>
    <row r="490">
      <c r="A490" s="454"/>
      <c r="B490" s="457" t="s">
        <v>204</v>
      </c>
      <c r="C490" s="309" t="s">
        <v>197</v>
      </c>
      <c r="D490" s="309">
        <f t="shared" si="86"/>
      </c>
      <c r="E490" s="309">
        <v>2054.42</v>
      </c>
      <c r="F490" s="309">
        <v>594.88</v>
      </c>
      <c r="G490" s="358">
        <v>1</v>
      </c>
      <c r="H490" s="358">
        <v>948.2400000000016</v>
      </c>
      <c r="I490" s="341">
        <f t="shared" si="348"/>
      </c>
      <c r="J490" s="430">
        <f t="shared" si="244"/>
      </c>
      <c r="K490" s="431">
        <f t="shared" si="166"/>
      </c>
      <c r="L490" s="447">
        <f t="shared" si="270"/>
      </c>
      <c r="M490" s="430">
        <f t="shared" si="114"/>
      </c>
      <c r="N490" s="431">
        <f t="shared" si="374"/>
      </c>
      <c r="O490" s="430">
        <f t="shared" si="296"/>
      </c>
      <c r="P490" s="430">
        <f t="shared" si="192"/>
      </c>
      <c r="Q490" s="431">
        <f t="shared" si="140"/>
      </c>
      <c r="R490" s="432">
        <f t="shared" si="400"/>
      </c>
      <c r="S490" s="431">
        <f t="shared" si="322"/>
      </c>
      <c r="T490" s="433">
        <f t="shared" si="218"/>
      </c>
      <c r="U490" s="434" t="s">
        <v>185</v>
      </c>
      <c r="V490" s="435" t="s">
        <v>211</v>
      </c>
      <c r="W490" s="309">
        <v>1</v>
      </c>
      <c r="X490" s="309">
        <v>10672</v>
      </c>
      <c r="Y490" s="309">
        <v>720</v>
      </c>
      <c r="Z490" s="309">
        <v>1143</v>
      </c>
      <c r="AA490" s="309">
        <v>282</v>
      </c>
      <c r="AB490" s="309">
        <v>48</v>
      </c>
      <c r="AC490" s="395">
        <v>3</v>
      </c>
      <c r="AD490" s="359">
        <v>24</v>
      </c>
      <c r="AE490" s="293"/>
      <c r="AF490" s="293"/>
    </row>
    <row r="491">
      <c r="A491" s="454"/>
      <c r="B491" s="457" t="s">
        <v>205</v>
      </c>
      <c r="C491" s="309" t="s">
        <v>197</v>
      </c>
      <c r="D491" s="309">
        <f t="shared" si="86"/>
      </c>
      <c r="E491" s="309">
        <v>1492.3600000000001</v>
      </c>
      <c r="F491" s="309">
        <v>260.96</v>
      </c>
      <c r="G491" s="309">
        <v>3</v>
      </c>
      <c r="H491" s="309">
        <v>10172.639999999996</v>
      </c>
      <c r="I491" s="341">
        <f t="shared" si="348"/>
      </c>
      <c r="J491" s="430">
        <f t="shared" si="244"/>
      </c>
      <c r="K491" s="431">
        <f t="shared" si="166"/>
      </c>
      <c r="L491" s="447">
        <f t="shared" si="270"/>
      </c>
      <c r="M491" s="430">
        <f t="shared" si="114"/>
      </c>
      <c r="N491" s="431">
        <f t="shared" si="374"/>
      </c>
      <c r="O491" s="430">
        <f t="shared" si="296"/>
      </c>
      <c r="P491" s="430">
        <f t="shared" si="192"/>
      </c>
      <c r="Q491" s="431">
        <f t="shared" si="140"/>
      </c>
      <c r="R491" s="432">
        <f t="shared" si="400"/>
      </c>
      <c r="S491" s="431">
        <f t="shared" si="322"/>
      </c>
      <c r="T491" s="433">
        <f t="shared" si="218"/>
      </c>
      <c r="U491" s="434" t="s">
        <v>185</v>
      </c>
      <c r="V491" s="434" t="s">
        <v>211</v>
      </c>
      <c r="W491" s="309">
        <v>2</v>
      </c>
      <c r="X491" s="309">
        <v>6488</v>
      </c>
      <c r="Y491" s="309">
        <v>485</v>
      </c>
      <c r="Z491" s="309">
        <v>711</v>
      </c>
      <c r="AA491" s="309">
        <v>161</v>
      </c>
      <c r="AB491" s="309">
        <v>21</v>
      </c>
      <c r="AC491" s="395">
        <v>4</v>
      </c>
      <c r="AD491" s="359">
        <v>14</v>
      </c>
      <c r="AE491" s="293"/>
      <c r="AF491" s="293"/>
    </row>
    <row r="492">
      <c r="A492" s="454"/>
      <c r="B492" s="363" t="s">
        <v>189</v>
      </c>
      <c r="C492" s="363"/>
      <c r="D492" s="343">
        <f>SUM(D488:D491)</f>
      </c>
      <c r="E492" s="343">
        <f>SUM(E488:E491)</f>
      </c>
      <c r="F492" s="343">
        <f>SUM(F488:F491)</f>
      </c>
      <c r="G492" s="343">
        <f>SUM(G488:G491)</f>
      </c>
      <c r="H492" s="343">
        <f>SUM(H488:H491)</f>
      </c>
      <c r="I492" s="344">
        <f t="shared" si="348"/>
      </c>
      <c r="J492" s="448">
        <f t="shared" si="244"/>
      </c>
      <c r="K492" s="449">
        <f t="shared" si="166"/>
      </c>
      <c r="L492" s="450">
        <f t="shared" si="270"/>
      </c>
      <c r="M492" s="448">
        <f t="shared" si="114"/>
      </c>
      <c r="N492" s="449">
        <f t="shared" si="374"/>
      </c>
      <c r="O492" s="448">
        <f t="shared" si="296"/>
      </c>
      <c r="P492" s="448">
        <f t="shared" si="192"/>
      </c>
      <c r="Q492" s="449">
        <f t="shared" si="140"/>
      </c>
      <c r="R492" s="451">
        <f t="shared" si="400"/>
      </c>
      <c r="S492" s="449">
        <f t="shared" si="322"/>
      </c>
      <c r="T492" s="452">
        <f t="shared" si="218"/>
      </c>
      <c r="U492" s="452"/>
      <c r="V492" s="452"/>
      <c r="W492" s="343">
        <f>SUM(W488:W491)</f>
      </c>
      <c r="X492" s="343">
        <f>SUM(X488:X491)</f>
      </c>
      <c r="Y492" s="343">
        <f>SUM(Y488:Y491)</f>
      </c>
      <c r="Z492" s="343">
        <f>SUM(Z488:Z491)</f>
      </c>
      <c r="AA492" s="343">
        <f>SUM(AA488:AA491)</f>
      </c>
      <c r="AB492" s="343">
        <f>SUM(AB488:AB491)</f>
      </c>
      <c r="AC492" s="343">
        <f>SUM(AC488:AC491)</f>
      </c>
      <c r="AD492" s="343">
        <f>SUM(AD488:AD491)</f>
      </c>
      <c r="AE492" s="293"/>
      <c r="AF492" s="293"/>
    </row>
    <row r="493">
      <c r="A493" s="454"/>
      <c r="B493" s="459" t="s">
        <v>196</v>
      </c>
      <c r="C493" s="369" t="s">
        <v>208</v>
      </c>
      <c r="D493" s="309">
        <f t="shared" ref="D493:D496" si="87">E493+F493</f>
      </c>
      <c r="E493" s="309">
        <v>1790.94</v>
      </c>
      <c r="F493" s="463">
        <v>949.02</v>
      </c>
      <c r="G493" s="358">
        <v>1</v>
      </c>
      <c r="H493" s="358">
        <v>1838.6399999999994</v>
      </c>
      <c r="I493" s="341">
        <f t="shared" si="348"/>
      </c>
      <c r="J493" s="430">
        <f t="shared" si="244"/>
      </c>
      <c r="K493" s="431">
        <f t="shared" si="166"/>
      </c>
      <c r="L493" s="447">
        <f t="shared" si="270"/>
      </c>
      <c r="M493" s="430">
        <f t="shared" si="114"/>
      </c>
      <c r="N493" s="431">
        <f t="shared" si="374"/>
      </c>
      <c r="O493" s="430">
        <f t="shared" si="296"/>
      </c>
      <c r="P493" s="430">
        <f t="shared" si="192"/>
      </c>
      <c r="Q493" s="431">
        <f t="shared" si="140"/>
      </c>
      <c r="R493" s="432">
        <f t="shared" si="400"/>
      </c>
      <c r="S493" s="431">
        <f t="shared" si="322"/>
      </c>
      <c r="T493" s="433">
        <f t="shared" si="218"/>
      </c>
      <c r="U493" s="434" t="s">
        <v>185</v>
      </c>
      <c r="V493" s="435" t="s">
        <v>186</v>
      </c>
      <c r="W493" s="309">
        <v>1</v>
      </c>
      <c r="X493" s="309">
        <v>9434</v>
      </c>
      <c r="Y493" s="309">
        <v>904</v>
      </c>
      <c r="Z493" s="309">
        <v>1329</v>
      </c>
      <c r="AA493" s="309">
        <v>294</v>
      </c>
      <c r="AB493" s="309">
        <v>36</v>
      </c>
      <c r="AC493" s="395">
        <v>2</v>
      </c>
      <c r="AD493" s="310">
        <v>21</v>
      </c>
      <c r="AE493" s="293"/>
      <c r="AF493" s="293"/>
    </row>
    <row r="494">
      <c r="A494" s="454"/>
      <c r="B494" s="460" t="s">
        <v>183</v>
      </c>
      <c r="C494" s="369" t="s">
        <v>208</v>
      </c>
      <c r="D494" s="309">
        <f t="shared" si="87"/>
      </c>
      <c r="E494" s="309">
        <v>2190.4</v>
      </c>
      <c r="F494" s="309">
        <v>1162.92</v>
      </c>
      <c r="G494" s="358">
        <v>2</v>
      </c>
      <c r="H494" s="358">
        <v>4532.279999999999</v>
      </c>
      <c r="I494" s="341">
        <f t="shared" si="348"/>
      </c>
      <c r="J494" s="430">
        <f t="shared" si="244"/>
      </c>
      <c r="K494" s="431">
        <f t="shared" si="166"/>
      </c>
      <c r="L494" s="447">
        <f t="shared" si="270"/>
      </c>
      <c r="M494" s="430">
        <f t="shared" si="114"/>
      </c>
      <c r="N494" s="431">
        <f t="shared" si="374"/>
      </c>
      <c r="O494" s="430">
        <f t="shared" si="296"/>
      </c>
      <c r="P494" s="430">
        <f t="shared" si="192"/>
      </c>
      <c r="Q494" s="431">
        <f t="shared" si="140"/>
      </c>
      <c r="R494" s="432">
        <f t="shared" si="400"/>
      </c>
      <c r="S494" s="431">
        <f t="shared" si="322"/>
      </c>
      <c r="T494" s="433">
        <f t="shared" si="218"/>
      </c>
      <c r="U494" s="434" t="s">
        <v>185</v>
      </c>
      <c r="V494" s="435" t="s">
        <v>186</v>
      </c>
      <c r="W494" s="309">
        <v>2</v>
      </c>
      <c r="X494" s="309">
        <v>11792</v>
      </c>
      <c r="Y494" s="309">
        <v>886</v>
      </c>
      <c r="Z494" s="309">
        <v>1339</v>
      </c>
      <c r="AA494" s="309">
        <v>278</v>
      </c>
      <c r="AB494" s="309">
        <v>46</v>
      </c>
      <c r="AC494" s="395">
        <v>3</v>
      </c>
      <c r="AD494" s="310">
        <v>20</v>
      </c>
      <c r="AE494" s="293"/>
      <c r="AF494" s="293"/>
    </row>
    <row r="495">
      <c r="A495" s="454"/>
      <c r="B495" s="458" t="s">
        <v>187</v>
      </c>
      <c r="C495" s="369" t="s">
        <v>208</v>
      </c>
      <c r="D495" s="309">
        <f t="shared" si="87"/>
      </c>
      <c r="E495" s="309">
        <v>3204.2999999999997</v>
      </c>
      <c r="F495" s="309">
        <v>1205.33</v>
      </c>
      <c r="G495" s="309">
        <v>3</v>
      </c>
      <c r="H495" s="309">
        <v>2816.1600000000035</v>
      </c>
      <c r="I495" s="341">
        <f t="shared" si="348"/>
      </c>
      <c r="J495" s="430">
        <f t="shared" si="244"/>
      </c>
      <c r="K495" s="431">
        <f t="shared" si="166"/>
      </c>
      <c r="L495" s="447">
        <f t="shared" si="270"/>
      </c>
      <c r="M495" s="430">
        <f t="shared" si="114"/>
      </c>
      <c r="N495" s="431">
        <f t="shared" si="374"/>
      </c>
      <c r="O495" s="430">
        <f t="shared" si="296"/>
      </c>
      <c r="P495" s="430">
        <f t="shared" si="192"/>
      </c>
      <c r="Q495" s="431">
        <f t="shared" si="140"/>
      </c>
      <c r="R495" s="432">
        <f t="shared" si="400"/>
      </c>
      <c r="S495" s="431">
        <f t="shared" si="322"/>
      </c>
      <c r="T495" s="433">
        <f t="shared" si="218"/>
      </c>
      <c r="U495" s="434" t="s">
        <v>185</v>
      </c>
      <c r="V495" s="435" t="s">
        <v>186</v>
      </c>
      <c r="W495" s="309">
        <v>2</v>
      </c>
      <c r="X495" s="309">
        <v>16909</v>
      </c>
      <c r="Y495" s="309">
        <v>971</v>
      </c>
      <c r="Z495" s="309">
        <v>1599</v>
      </c>
      <c r="AA495" s="309">
        <v>320</v>
      </c>
      <c r="AB495" s="309">
        <v>48</v>
      </c>
      <c r="AC495" s="395">
        <v>4</v>
      </c>
      <c r="AD495" s="310">
        <v>29</v>
      </c>
      <c r="AE495" s="293"/>
      <c r="AF495" s="293"/>
    </row>
    <row r="496">
      <c r="A496" s="454"/>
      <c r="B496" s="458" t="s">
        <v>188</v>
      </c>
      <c r="C496" s="369" t="s">
        <v>208</v>
      </c>
      <c r="D496" s="309">
        <f t="shared" si="87"/>
      </c>
      <c r="E496" s="309">
        <v>3191.67</v>
      </c>
      <c r="F496" s="309">
        <v>1246.42</v>
      </c>
      <c r="G496" s="309">
        <v>5</v>
      </c>
      <c r="H496" s="309">
        <v>14581.919999999998</v>
      </c>
      <c r="I496" s="341">
        <f t="shared" si="348"/>
      </c>
      <c r="J496" s="430">
        <f t="shared" si="244"/>
      </c>
      <c r="K496" s="431">
        <f t="shared" si="166"/>
      </c>
      <c r="L496" s="447">
        <f t="shared" si="270"/>
      </c>
      <c r="M496" s="430">
        <f t="shared" si="114"/>
      </c>
      <c r="N496" s="431">
        <f t="shared" si="374"/>
      </c>
      <c r="O496" s="430">
        <f t="shared" si="296"/>
      </c>
      <c r="P496" s="430">
        <f t="shared" si="192"/>
      </c>
      <c r="Q496" s="431">
        <f t="shared" si="140"/>
      </c>
      <c r="R496" s="432">
        <f t="shared" si="400"/>
      </c>
      <c r="S496" s="431">
        <f t="shared" si="322"/>
      </c>
      <c r="T496" s="433">
        <f t="shared" si="218"/>
      </c>
      <c r="U496" s="434" t="s">
        <v>185</v>
      </c>
      <c r="V496" s="435" t="s">
        <v>186</v>
      </c>
      <c r="W496" s="309">
        <v>2</v>
      </c>
      <c r="X496" s="309">
        <v>20854</v>
      </c>
      <c r="Y496" s="309">
        <v>752</v>
      </c>
      <c r="Z496" s="309">
        <v>1211</v>
      </c>
      <c r="AA496" s="309">
        <v>204</v>
      </c>
      <c r="AB496" s="309">
        <v>50</v>
      </c>
      <c r="AC496" s="395">
        <v>6</v>
      </c>
      <c r="AD496" s="310">
        <v>29</v>
      </c>
      <c r="AE496" s="293"/>
      <c r="AF496" s="293"/>
    </row>
    <row r="497">
      <c r="A497" s="454"/>
      <c r="B497" s="363" t="s">
        <v>189</v>
      </c>
      <c r="C497" s="363"/>
      <c r="D497" s="343">
        <f>SUM(D493:D496)</f>
      </c>
      <c r="E497" s="343">
        <f>SUM(E493:E496)</f>
      </c>
      <c r="F497" s="343">
        <f>SUM(F493:F496)</f>
      </c>
      <c r="G497" s="343">
        <f>SUM(G493:G496)</f>
      </c>
      <c r="H497" s="343">
        <f>SUM(H493:H496)</f>
      </c>
      <c r="I497" s="344">
        <f t="shared" si="348"/>
      </c>
      <c r="J497" s="448">
        <f t="shared" si="244"/>
      </c>
      <c r="K497" s="449">
        <f t="shared" si="166"/>
      </c>
      <c r="L497" s="450">
        <f t="shared" si="270"/>
      </c>
      <c r="M497" s="448">
        <f t="shared" si="114"/>
      </c>
      <c r="N497" s="449">
        <f t="shared" si="374"/>
      </c>
      <c r="O497" s="448">
        <f t="shared" si="296"/>
      </c>
      <c r="P497" s="448">
        <f t="shared" si="192"/>
      </c>
      <c r="Q497" s="449">
        <f t="shared" si="140"/>
      </c>
      <c r="R497" s="451">
        <f t="shared" si="400"/>
      </c>
      <c r="S497" s="449">
        <f t="shared" si="322"/>
      </c>
      <c r="T497" s="452">
        <f t="shared" si="218"/>
      </c>
      <c r="U497" s="452"/>
      <c r="V497" s="452"/>
      <c r="W497" s="343">
        <f>SUM(W493:W496)</f>
      </c>
      <c r="X497" s="343">
        <f>SUM(X493:X496)</f>
      </c>
      <c r="Y497" s="343">
        <f>SUM(Y493:Y496)</f>
      </c>
      <c r="Z497" s="343">
        <f>SUM(Z493:Z496)</f>
      </c>
      <c r="AA497" s="343">
        <f>SUM(AA493:AA496)</f>
      </c>
      <c r="AB497" s="343">
        <f>SUM(AB493:AB496)</f>
      </c>
      <c r="AC497" s="343">
        <f>SUM(AC493:AC496)</f>
      </c>
      <c r="AD497" s="343">
        <f>SUM(AD493:AD496)</f>
      </c>
      <c r="AE497" s="293"/>
      <c r="AF497" s="293"/>
    </row>
    <row r="498">
      <c r="A498" s="454"/>
      <c r="B498" s="457" t="s">
        <v>190</v>
      </c>
      <c r="C498" s="369" t="s">
        <v>210</v>
      </c>
      <c r="D498" s="309">
        <f t="shared" ref="D498:D501" si="88">E498+F498</f>
      </c>
      <c r="E498" s="309">
        <v>2925.57</v>
      </c>
      <c r="F498" s="309">
        <v>772.51</v>
      </c>
      <c r="G498" s="358">
        <v>0</v>
      </c>
      <c r="H498" s="358">
        <v>0</v>
      </c>
      <c r="I498" s="341">
        <f t="shared" si="348"/>
      </c>
      <c r="J498" s="430">
        <f t="shared" si="244"/>
      </c>
      <c r="K498" s="431">
        <f t="shared" si="166"/>
      </c>
      <c r="L498" s="447">
        <f t="shared" si="270"/>
      </c>
      <c r="M498" s="430">
        <f t="shared" si="114"/>
      </c>
      <c r="N498" s="431">
        <f t="shared" si="374"/>
      </c>
      <c r="O498" s="430">
        <f t="shared" si="296"/>
      </c>
      <c r="P498" s="430">
        <f t="shared" si="192"/>
      </c>
      <c r="Q498" s="431">
        <f t="shared" si="140"/>
      </c>
      <c r="R498" s="432">
        <f t="shared" si="400"/>
      </c>
      <c r="S498" s="431">
        <f t="shared" si="322"/>
      </c>
      <c r="T498" s="433">
        <f t="shared" si="218"/>
      </c>
      <c r="U498" s="434" t="s">
        <v>185</v>
      </c>
      <c r="V498" s="435" t="s">
        <v>186</v>
      </c>
      <c r="W498" s="309">
        <v>1</v>
      </c>
      <c r="X498" s="309">
        <v>15279</v>
      </c>
      <c r="Y498" s="309">
        <v>680</v>
      </c>
      <c r="Z498" s="309">
        <v>1064</v>
      </c>
      <c r="AA498" s="309">
        <v>211</v>
      </c>
      <c r="AB498" s="309">
        <v>64</v>
      </c>
      <c r="AC498" s="395">
        <v>1</v>
      </c>
      <c r="AD498" s="310">
        <v>26</v>
      </c>
      <c r="AE498" s="293"/>
      <c r="AF498" s="293"/>
    </row>
    <row r="499">
      <c r="A499" s="454"/>
      <c r="B499" s="308" t="s">
        <v>192</v>
      </c>
      <c r="C499" s="369" t="s">
        <v>210</v>
      </c>
      <c r="D499" s="309">
        <f t="shared" si="88"/>
      </c>
      <c r="E499" s="309">
        <v>1822.67</v>
      </c>
      <c r="F499" s="309">
        <v>272.2</v>
      </c>
      <c r="G499" s="358">
        <v>1</v>
      </c>
      <c r="H499" s="358">
        <v>2034.3600000000006</v>
      </c>
      <c r="I499" s="341">
        <f t="shared" si="348"/>
      </c>
      <c r="J499" s="430">
        <f t="shared" si="244"/>
      </c>
      <c r="K499" s="431">
        <f t="shared" si="166"/>
      </c>
      <c r="L499" s="447">
        <f t="shared" si="270"/>
      </c>
      <c r="M499" s="430">
        <f t="shared" si="114"/>
      </c>
      <c r="N499" s="431">
        <f t="shared" si="374"/>
      </c>
      <c r="O499" s="430">
        <f t="shared" si="296"/>
      </c>
      <c r="P499" s="430">
        <f t="shared" si="192"/>
      </c>
      <c r="Q499" s="431">
        <f t="shared" si="140"/>
      </c>
      <c r="R499" s="432">
        <f t="shared" si="400"/>
      </c>
      <c r="S499" s="431">
        <f t="shared" si="322"/>
      </c>
      <c r="T499" s="433">
        <f t="shared" si="218"/>
      </c>
      <c r="U499" s="434" t="s">
        <v>185</v>
      </c>
      <c r="V499" s="435" t="s">
        <v>186</v>
      </c>
      <c r="W499" s="309">
        <v>1</v>
      </c>
      <c r="X499" s="309">
        <v>8689</v>
      </c>
      <c r="Y499" s="309">
        <v>353</v>
      </c>
      <c r="Z499" s="309">
        <v>542</v>
      </c>
      <c r="AA499" s="309">
        <v>87</v>
      </c>
      <c r="AB499" s="309">
        <v>31</v>
      </c>
      <c r="AC499" s="395">
        <v>3</v>
      </c>
      <c r="AD499" s="310">
        <v>6</v>
      </c>
      <c r="AE499" s="293"/>
      <c r="AF499" s="293"/>
    </row>
    <row r="500">
      <c r="A500" s="454"/>
      <c r="B500" s="308" t="s">
        <v>193</v>
      </c>
      <c r="C500" s="369" t="s">
        <v>210</v>
      </c>
      <c r="D500" s="309">
        <f t="shared" si="88"/>
      </c>
      <c r="E500" s="309">
        <v>2358.43</v>
      </c>
      <c r="F500" s="309">
        <v>240.85</v>
      </c>
      <c r="G500" s="309">
        <v>1</v>
      </c>
      <c r="H500" s="309">
        <v>739.8000000000029</v>
      </c>
      <c r="I500" s="341">
        <f t="shared" si="348"/>
      </c>
      <c r="J500" s="430">
        <f t="shared" si="244"/>
      </c>
      <c r="K500" s="431">
        <f t="shared" si="166"/>
      </c>
      <c r="L500" s="447">
        <f t="shared" si="270"/>
      </c>
      <c r="M500" s="430">
        <f t="shared" si="114"/>
      </c>
      <c r="N500" s="431">
        <f t="shared" si="374"/>
      </c>
      <c r="O500" s="430">
        <f t="shared" si="296"/>
      </c>
      <c r="P500" s="430">
        <f t="shared" si="192"/>
      </c>
      <c r="Q500" s="431">
        <f t="shared" si="140"/>
      </c>
      <c r="R500" s="432">
        <f t="shared" si="400"/>
      </c>
      <c r="S500" s="431">
        <f t="shared" si="322"/>
      </c>
      <c r="T500" s="433">
        <f t="shared" si="218"/>
      </c>
      <c r="U500" s="434" t="s">
        <v>185</v>
      </c>
      <c r="V500" s="435" t="s">
        <v>186</v>
      </c>
      <c r="W500" s="309">
        <v>0</v>
      </c>
      <c r="X500" s="309">
        <v>11576</v>
      </c>
      <c r="Y500" s="309">
        <v>485</v>
      </c>
      <c r="Z500" s="309">
        <v>712</v>
      </c>
      <c r="AA500" s="309">
        <v>142</v>
      </c>
      <c r="AB500" s="309">
        <v>35</v>
      </c>
      <c r="AC500" s="395">
        <v>1</v>
      </c>
      <c r="AD500" s="359">
        <v>15</v>
      </c>
      <c r="AE500" s="293"/>
      <c r="AF500" s="293"/>
    </row>
    <row r="501">
      <c r="A501" s="454"/>
      <c r="B501" s="455" t="s">
        <v>194</v>
      </c>
      <c r="C501" s="369" t="s">
        <v>210</v>
      </c>
      <c r="D501" s="309">
        <f t="shared" si="88"/>
      </c>
      <c r="E501" s="309">
        <v>1897.31</v>
      </c>
      <c r="F501" s="309">
        <v>295.84</v>
      </c>
      <c r="G501" s="358">
        <v>1</v>
      </c>
      <c r="H501" s="358">
        <v>5695.919999999998</v>
      </c>
      <c r="I501" s="341">
        <f t="shared" si="348"/>
      </c>
      <c r="J501" s="430">
        <f t="shared" si="244"/>
      </c>
      <c r="K501" s="431">
        <f t="shared" si="166"/>
      </c>
      <c r="L501" s="447">
        <f t="shared" si="270"/>
      </c>
      <c r="M501" s="430">
        <f t="shared" si="114"/>
      </c>
      <c r="N501" s="431">
        <f t="shared" si="374"/>
      </c>
      <c r="O501" s="430">
        <f t="shared" si="296"/>
      </c>
      <c r="P501" s="430">
        <f t="shared" si="192"/>
      </c>
      <c r="Q501" s="431">
        <f t="shared" si="140"/>
      </c>
      <c r="R501" s="432">
        <f t="shared" si="400"/>
      </c>
      <c r="S501" s="431">
        <f t="shared" si="322"/>
      </c>
      <c r="T501" s="433">
        <f t="shared" si="218"/>
      </c>
      <c r="U501" s="434" t="s">
        <v>185</v>
      </c>
      <c r="V501" s="435" t="s">
        <v>186</v>
      </c>
      <c r="W501" s="358">
        <v>1</v>
      </c>
      <c r="X501" s="309">
        <v>8996</v>
      </c>
      <c r="Y501" s="309">
        <v>406</v>
      </c>
      <c r="Z501" s="309">
        <v>633</v>
      </c>
      <c r="AA501" s="309">
        <v>128</v>
      </c>
      <c r="AB501" s="309">
        <v>23</v>
      </c>
      <c r="AC501" s="464">
        <v>2</v>
      </c>
      <c r="AD501" s="310">
        <v>11</v>
      </c>
      <c r="AE501" s="293"/>
      <c r="AF501" s="293"/>
    </row>
    <row r="502">
      <c r="A502" s="454"/>
      <c r="B502" s="363" t="s">
        <v>189</v>
      </c>
      <c r="C502" s="363"/>
      <c r="D502" s="343">
        <f>SUM(D498:D501)</f>
      </c>
      <c r="E502" s="343">
        <f>SUM(E498:E501)</f>
      </c>
      <c r="F502" s="343">
        <f>SUM(F498:F501)</f>
      </c>
      <c r="G502" s="343">
        <f>SUM(G498:G501)</f>
      </c>
      <c r="H502" s="343">
        <f>SUM(H498:H501)</f>
      </c>
      <c r="I502" s="344">
        <f t="shared" si="348"/>
      </c>
      <c r="J502" s="448">
        <f t="shared" si="244"/>
      </c>
      <c r="K502" s="449">
        <f t="shared" si="166"/>
      </c>
      <c r="L502" s="450">
        <f t="shared" si="270"/>
      </c>
      <c r="M502" s="448">
        <f t="shared" si="114"/>
      </c>
      <c r="N502" s="449">
        <f t="shared" si="374"/>
      </c>
      <c r="O502" s="448">
        <f t="shared" si="296"/>
      </c>
      <c r="P502" s="448">
        <f t="shared" si="192"/>
      </c>
      <c r="Q502" s="449">
        <f t="shared" si="140"/>
      </c>
      <c r="R502" s="451">
        <f t="shared" si="400"/>
      </c>
      <c r="S502" s="449">
        <f t="shared" si="322"/>
      </c>
      <c r="T502" s="452">
        <f t="shared" si="218"/>
      </c>
      <c r="U502" s="452"/>
      <c r="V502" s="452"/>
      <c r="W502" s="343">
        <f>SUM(W498:W501)</f>
      </c>
      <c r="X502" s="343">
        <f>SUM(X498:X501)</f>
      </c>
      <c r="Y502" s="343">
        <f>SUM(Y498:Y501)</f>
      </c>
      <c r="Z502" s="343">
        <f>SUM(Z498:Z501)</f>
      </c>
      <c r="AA502" s="343">
        <f>SUM(AA498:AA501)</f>
      </c>
      <c r="AB502" s="343">
        <f>SUM(AB498:AB501)</f>
      </c>
      <c r="AC502" s="343">
        <f>SUM(AC498:AC501)</f>
      </c>
      <c r="AD502" s="343">
        <f>SUM(AD498:AD501)</f>
      </c>
      <c r="AE502" s="293"/>
      <c r="AF502" s="293"/>
    </row>
    <row r="503">
      <c r="A503" s="454"/>
      <c r="B503" s="461" t="s">
        <v>195</v>
      </c>
      <c r="C503" s="461"/>
      <c r="D503" s="367">
        <f>D487+D492+D497+D502</f>
      </c>
      <c r="E503" s="367">
        <f>E487+E492+E497+E502</f>
      </c>
      <c r="F503" s="367">
        <f>F487+F492+F497+F502</f>
      </c>
      <c r="G503" s="367">
        <f>G487+G492+G497+G502</f>
      </c>
      <c r="H503" s="367">
        <f>H487+H492+H497+H502</f>
      </c>
      <c r="I503" s="328">
        <f t="shared" si="348"/>
      </c>
      <c r="J503" s="329">
        <f t="shared" si="244"/>
      </c>
      <c r="K503" s="330">
        <f t="shared" si="166"/>
      </c>
      <c r="L503" s="331">
        <f t="shared" si="270"/>
      </c>
      <c r="M503" s="331">
        <f t="shared" si="114"/>
      </c>
      <c r="N503" s="330">
        <f t="shared" si="374"/>
      </c>
      <c r="O503" s="331">
        <f t="shared" si="296"/>
      </c>
      <c r="P503" s="331">
        <f t="shared" si="192"/>
      </c>
      <c r="Q503" s="330">
        <f t="shared" si="140"/>
      </c>
      <c r="R503" s="332">
        <f t="shared" si="400"/>
      </c>
      <c r="S503" s="330">
        <f t="shared" si="322"/>
      </c>
      <c r="T503" s="333">
        <f t="shared" si="218"/>
      </c>
      <c r="U503" s="333"/>
      <c r="V503" s="333"/>
      <c r="W503" s="328">
        <f>W487+W492+W497+W502</f>
      </c>
      <c r="X503" s="328">
        <f>X487+X492+X497+X502</f>
      </c>
      <c r="Y503" s="328">
        <f>Y487+Y492+Y497+Y502</f>
      </c>
      <c r="Z503" s="328">
        <f>Z487+Z492+Z497+Z502</f>
      </c>
      <c r="AA503" s="328">
        <f>AA487+AA492+AA497+AA502</f>
      </c>
      <c r="AB503" s="328">
        <f>AB487+AB492+AB497+AB502</f>
      </c>
      <c r="AC503" s="328">
        <f>AC487+AC492+AC497+AC502</f>
      </c>
      <c r="AD503" s="328">
        <f>AD487+AD492+AD497+AD502</f>
      </c>
      <c r="AE503" s="293"/>
      <c r="AF503" s="293"/>
    </row>
    <row r="504">
      <c r="A504" s="293"/>
      <c r="B504" s="293"/>
      <c r="C504" s="293"/>
      <c r="D504" s="293"/>
      <c r="E504" s="465">
        <f>E505+E506</f>
      </c>
      <c r="F504" s="293"/>
      <c r="G504" s="466">
        <f>G505-G503</f>
      </c>
      <c r="H504" s="466">
        <f>H505-H503</f>
      </c>
      <c r="I504" s="293"/>
      <c r="J504" s="293"/>
      <c r="K504" s="293"/>
      <c r="L504" s="293"/>
      <c r="M504" s="293"/>
      <c r="N504" s="293"/>
      <c r="O504" s="293"/>
      <c r="P504" s="293"/>
      <c r="Q504" s="293"/>
      <c r="R504" s="293"/>
      <c r="S504" s="293"/>
      <c r="T504" s="293"/>
      <c r="U504" s="293"/>
      <c r="V504" s="293"/>
      <c r="W504" s="466">
        <f>W505-W503</f>
      </c>
      <c r="X504" s="466">
        <f>X505-X503</f>
      </c>
      <c r="Y504" s="466">
        <f>Y505-Y503</f>
      </c>
      <c r="Z504" s="466">
        <f>Z505-Z503</f>
      </c>
      <c r="AA504" s="466">
        <f>AA505-AA503</f>
      </c>
      <c r="AB504" s="466">
        <f>AB505-AB503</f>
      </c>
      <c r="AC504" s="466"/>
      <c r="AD504" s="466">
        <f>AD505-AD492-AD497-AD502</f>
      </c>
      <c r="AE504" s="293"/>
      <c r="AF504" s="293"/>
    </row>
    <row r="505">
      <c r="A505" s="293"/>
      <c r="B505" s="293"/>
      <c r="C505" s="293"/>
      <c r="D505" s="467" t="s">
        <v>214</v>
      </c>
      <c r="E505" s="468">
        <v>2917.74</v>
      </c>
      <c r="F505" s="293"/>
      <c r="G505" s="469">
        <v>24</v>
      </c>
      <c r="H505" s="466">
        <v>60382.2</v>
      </c>
      <c r="I505" s="293"/>
      <c r="J505" s="293"/>
      <c r="K505" s="293"/>
      <c r="L505" s="293"/>
      <c r="M505" s="293"/>
      <c r="N505" s="293"/>
      <c r="O505" s="293"/>
      <c r="P505" s="293"/>
      <c r="Q505" s="293"/>
      <c r="R505" s="293"/>
      <c r="S505" s="293"/>
      <c r="T505" s="293"/>
      <c r="U505" s="293"/>
      <c r="V505" s="293"/>
      <c r="W505" s="470">
        <v>16</v>
      </c>
      <c r="X505" s="470">
        <v>167620</v>
      </c>
      <c r="Y505" s="470">
        <v>9515</v>
      </c>
      <c r="Z505" s="470">
        <v>14789</v>
      </c>
      <c r="AA505" s="470">
        <v>3042</v>
      </c>
      <c r="AB505" s="470">
        <v>560</v>
      </c>
      <c r="AC505" s="466"/>
      <c r="AD505" s="469">
        <v>231</v>
      </c>
      <c r="AE505" s="293"/>
      <c r="AF505" s="293"/>
    </row>
    <row r="506">
      <c r="A506" s="293"/>
      <c r="B506" s="293"/>
      <c r="C506" s="293"/>
      <c r="D506" s="467" t="s">
        <v>215</v>
      </c>
      <c r="E506" s="471">
        <v>286.56</v>
      </c>
      <c r="F506" s="293"/>
      <c r="G506" s="293"/>
      <c r="H506" s="293"/>
      <c r="I506" s="293"/>
      <c r="J506" s="293"/>
      <c r="K506" s="293"/>
      <c r="L506" s="293"/>
      <c r="M506" s="293"/>
      <c r="N506" s="293"/>
      <c r="O506" s="293"/>
      <c r="P506" s="293"/>
      <c r="Q506" s="293"/>
      <c r="R506" s="293"/>
      <c r="S506" s="293"/>
      <c r="T506" s="293"/>
      <c r="U506" s="293"/>
      <c r="V506" s="293"/>
      <c r="W506" s="293"/>
      <c r="X506" s="293"/>
      <c r="Y506" s="293"/>
      <c r="Z506" s="293"/>
      <c r="AA506" s="293"/>
      <c r="AB506" s="293"/>
      <c r="AC506" s="293"/>
      <c r="AD506" s="293"/>
      <c r="AE506" s="293"/>
      <c r="AF506" s="293"/>
    </row>
    <row r="507">
      <c r="E507" s="472"/>
    </row>
    <row r="508">
      <c r="E508" s="472"/>
    </row>
    <row r="509">
      <c r="E509" s="472"/>
    </row>
    <row r="510">
      <c r="E510" s="472"/>
    </row>
    <row r="511">
      <c r="E511" s="472"/>
    </row>
    <row r="512">
      <c r="E512" s="472"/>
    </row>
    <row r="513">
      <c r="E513" s="472"/>
    </row>
    <row r="514">
      <c r="E514" s="472"/>
    </row>
    <row r="515">
      <c r="E515" s="472"/>
    </row>
    <row r="516">
      <c r="E516" s="472"/>
    </row>
    <row r="517">
      <c r="E517" s="472"/>
    </row>
    <row r="518">
      <c r="E518" s="472"/>
    </row>
    <row r="519">
      <c r="E519" s="472"/>
    </row>
    <row r="520">
      <c r="E520" s="472"/>
    </row>
    <row r="521">
      <c r="E521" s="472"/>
    </row>
    <row r="522">
      <c r="E522" s="472"/>
    </row>
    <row r="523">
      <c r="E523" s="472"/>
    </row>
    <row r="524">
      <c r="E524" s="472"/>
    </row>
    <row r="525">
      <c r="E525" s="472"/>
    </row>
    <row r="526">
      <c r="E526" s="472"/>
    </row>
    <row r="527">
      <c r="E527" s="472"/>
    </row>
    <row r="528">
      <c r="E528" s="472"/>
    </row>
    <row r="529">
      <c r="E529" s="472"/>
    </row>
    <row r="530">
      <c r="E530" s="472"/>
    </row>
    <row r="531">
      <c r="E531" s="472"/>
    </row>
    <row r="532">
      <c r="E532" s="472"/>
    </row>
    <row r="533">
      <c r="E533" s="472"/>
    </row>
    <row r="534">
      <c r="E534" s="472"/>
    </row>
    <row r="535">
      <c r="E535" s="472"/>
    </row>
    <row r="536">
      <c r="E536" s="472"/>
    </row>
    <row r="537">
      <c r="E537" s="472"/>
    </row>
    <row r="538">
      <c r="E538" s="472"/>
    </row>
    <row r="539">
      <c r="E539" s="472"/>
    </row>
    <row r="540">
      <c r="E540" s="472"/>
    </row>
    <row r="541">
      <c r="E541" s="472"/>
    </row>
    <row r="542">
      <c r="E542" s="472"/>
    </row>
    <row r="543">
      <c r="E543" s="472"/>
    </row>
    <row r="544">
      <c r="E544" s="472"/>
    </row>
    <row r="545">
      <c r="E545" s="472"/>
    </row>
    <row r="546">
      <c r="E546" s="472"/>
    </row>
    <row r="547">
      <c r="E547" s="472"/>
    </row>
    <row r="548">
      <c r="E548" s="472"/>
    </row>
    <row r="549">
      <c r="E549" s="472"/>
    </row>
    <row r="550">
      <c r="E550" s="472"/>
    </row>
    <row r="551">
      <c r="E551" s="472"/>
    </row>
    <row r="552">
      <c r="E552" s="472"/>
    </row>
    <row r="553">
      <c r="E553" s="472"/>
    </row>
    <row r="554">
      <c r="E554" s="472"/>
    </row>
    <row r="555">
      <c r="E555" s="472"/>
    </row>
    <row r="556">
      <c r="E556" s="472"/>
    </row>
    <row r="557">
      <c r="E557" s="472"/>
    </row>
    <row r="558">
      <c r="E558" s="472"/>
    </row>
    <row r="559">
      <c r="E559" s="472"/>
    </row>
    <row r="560">
      <c r="E560" s="472"/>
    </row>
    <row r="561">
      <c r="E561" s="472"/>
    </row>
    <row r="562">
      <c r="E562" s="472"/>
    </row>
  </sheetData>
  <mergeCells>
    <mergeCell ref="B503:C503"/>
    <mergeCell ref="B502:C502"/>
    <mergeCell ref="B497:C497"/>
    <mergeCell ref="B492:C492"/>
    <mergeCell ref="B487:C487"/>
    <mergeCell ref="A484:A503"/>
    <mergeCell ref="A482:C482"/>
    <mergeCell ref="D482:I482"/>
    <mergeCell ref="J482:S482"/>
    <mergeCell ref="T482:V482"/>
    <mergeCell ref="AD482:AD483"/>
    <mergeCell ref="B481:C481"/>
    <mergeCell ref="B480:C480"/>
    <mergeCell ref="B475:C475"/>
    <mergeCell ref="B470:C470"/>
    <mergeCell ref="B465:C465"/>
    <mergeCell ref="A461:A481"/>
    <mergeCell ref="A459:C459"/>
    <mergeCell ref="D459:I459"/>
    <mergeCell ref="J459:S459"/>
    <mergeCell ref="T459:V459"/>
    <mergeCell ref="AD459:AD460"/>
    <mergeCell ref="A438:A458"/>
    <mergeCell ref="A397:A415"/>
    <mergeCell ref="B410:C410"/>
    <mergeCell ref="B406:C406"/>
    <mergeCell ref="B401:C401"/>
    <mergeCell ref="A395:C395"/>
    <mergeCell ref="AD395:AD396"/>
    <mergeCell ref="T395:V395"/>
    <mergeCell ref="J395:S395"/>
    <mergeCell ref="D395:I395"/>
    <mergeCell ref="B394:C394"/>
    <mergeCell ref="B393:C393"/>
    <mergeCell ref="B388:C388"/>
    <mergeCell ref="B383:C383"/>
    <mergeCell ref="A379:A394"/>
    <mergeCell ref="A377:C377"/>
    <mergeCell ref="AD377:AD378"/>
    <mergeCell ref="T377:V377"/>
    <mergeCell ref="J377:S377"/>
    <mergeCell ref="D377:I377"/>
    <mergeCell ref="A361:A376"/>
    <mergeCell ref="B375:C375"/>
    <mergeCell ref="B376:C376"/>
    <mergeCell ref="B370:C370"/>
    <mergeCell ref="B365:C365"/>
    <mergeCell ref="A359:C359"/>
    <mergeCell ref="AD359:AD360"/>
    <mergeCell ref="T359:V359"/>
    <mergeCell ref="J359:S359"/>
    <mergeCell ref="D359:I359"/>
    <mergeCell ref="B358:C358"/>
    <mergeCell ref="B357:C357"/>
    <mergeCell ref="B353:C353"/>
    <mergeCell ref="B348:C348"/>
    <mergeCell ref="B343:C343"/>
    <mergeCell ref="A339:A358"/>
    <mergeCell ref="A337:C337"/>
    <mergeCell ref="AD337:AD338"/>
    <mergeCell ref="T337:V337"/>
    <mergeCell ref="J337:S337"/>
    <mergeCell ref="D337:I337"/>
    <mergeCell ref="A317:A336"/>
    <mergeCell ref="B313:C313"/>
    <mergeCell ref="B314:C314"/>
    <mergeCell ref="B308:C308"/>
    <mergeCell ref="B304:C304"/>
    <mergeCell ref="B299:C299"/>
    <mergeCell ref="A293:C293"/>
    <mergeCell ref="AD293:AD294"/>
    <mergeCell ref="T293:V293"/>
    <mergeCell ref="J293:S293"/>
    <mergeCell ref="D293:I293"/>
    <mergeCell ref="B292:C292"/>
    <mergeCell ref="B291:C291"/>
    <mergeCell ref="B287:C287"/>
    <mergeCell ref="B282:C282"/>
    <mergeCell ref="B277:C277"/>
    <mergeCell ref="A273:A292"/>
    <mergeCell ref="A271:C271"/>
    <mergeCell ref="AD271:AD272"/>
    <mergeCell ref="T271:V271"/>
    <mergeCell ref="J271:S271"/>
    <mergeCell ref="D271:I271"/>
    <mergeCell ref="B270:C270"/>
    <mergeCell ref="B269:C269"/>
    <mergeCell ref="B265:C265"/>
    <mergeCell ref="B260:C260"/>
    <mergeCell ref="B255:C255"/>
    <mergeCell ref="A251:A270"/>
    <mergeCell ref="A249:C249"/>
    <mergeCell ref="AD249:AD250"/>
    <mergeCell ref="T249:V249"/>
    <mergeCell ref="J249:S249"/>
    <mergeCell ref="D249:I249"/>
    <mergeCell ref="B248:C248"/>
    <mergeCell ref="B247:C247"/>
    <mergeCell ref="B243:C243"/>
    <mergeCell ref="B238:C238"/>
    <mergeCell ref="B233:C233"/>
    <mergeCell ref="A229:A248"/>
    <mergeCell ref="A227:C227"/>
    <mergeCell ref="AD227:AD228"/>
    <mergeCell ref="T227:V227"/>
    <mergeCell ref="J227:S227"/>
    <mergeCell ref="D227:I227"/>
    <mergeCell ref="B204:C204"/>
    <mergeCell ref="B203:C203"/>
    <mergeCell ref="B199:C199"/>
    <mergeCell ref="B194:C194"/>
    <mergeCell ref="B189:C189"/>
    <mergeCell ref="A185:A204"/>
    <mergeCell ref="A183:C183"/>
    <mergeCell ref="B154:C154"/>
    <mergeCell ref="B150:C150"/>
    <mergeCell ref="B145:C145"/>
    <mergeCell ref="A139:C139"/>
    <mergeCell ref="A119:A138"/>
    <mergeCell ref="A107:A116"/>
    <mergeCell ref="B137:C137"/>
    <mergeCell ref="B138:C138"/>
    <mergeCell ref="B133:C133"/>
    <mergeCell ref="B128:C128"/>
    <mergeCell ref="B123:C123"/>
    <mergeCell ref="A117:C117"/>
    <mergeCell ref="B68:C68"/>
    <mergeCell ref="B67:C67"/>
    <mergeCell ref="B62:C62"/>
    <mergeCell ref="B58:C58"/>
    <mergeCell ref="A54:A68"/>
    <mergeCell ref="A52:C52"/>
    <mergeCell ref="B51:C51"/>
    <mergeCell ref="B50:C50"/>
    <mergeCell ref="B45:C45"/>
    <mergeCell ref="A41:A51"/>
    <mergeCell ref="A39:C39"/>
    <mergeCell ref="B38:C38"/>
    <mergeCell ref="B37:C37"/>
    <mergeCell ref="B32:C32"/>
    <mergeCell ref="A28:A38"/>
    <mergeCell ref="A26:C26"/>
    <mergeCell ref="B25:C25"/>
    <mergeCell ref="B24:C24"/>
    <mergeCell ref="B19:C19"/>
    <mergeCell ref="A15:A25"/>
    <mergeCell ref="A13:C13"/>
    <mergeCell ref="B12:C12"/>
    <mergeCell ref="B11:C11"/>
    <mergeCell ref="B6:C6"/>
    <mergeCell ref="A3:A12"/>
    <mergeCell ref="A1:C1"/>
    <mergeCell ref="A69:C69"/>
    <mergeCell ref="B75:C75"/>
    <mergeCell ref="B86:C86"/>
    <mergeCell ref="B85:C85"/>
    <mergeCell ref="B80:C80"/>
    <mergeCell ref="A71:A86"/>
    <mergeCell ref="A87:C87"/>
    <mergeCell ref="A89:A104"/>
    <mergeCell ref="B93:C93"/>
    <mergeCell ref="B98:C98"/>
    <mergeCell ref="B103:C103"/>
    <mergeCell ref="B104:C104"/>
    <mergeCell ref="A105:C105"/>
    <mergeCell ref="B111:C111"/>
    <mergeCell ref="B115:C115"/>
    <mergeCell ref="B116:C116"/>
    <mergeCell ref="A141:A160"/>
    <mergeCell ref="B159:C159"/>
    <mergeCell ref="B160:C160"/>
    <mergeCell ref="A161:C161"/>
    <mergeCell ref="B167:C167"/>
    <mergeCell ref="B172:C172"/>
    <mergeCell ref="B182:C182"/>
    <mergeCell ref="B181:C181"/>
    <mergeCell ref="B177:C177"/>
    <mergeCell ref="A163:A182"/>
    <mergeCell ref="A205:C205"/>
    <mergeCell ref="A207:A226"/>
    <mergeCell ref="B211:C211"/>
    <mergeCell ref="B216:C216"/>
    <mergeCell ref="B221:C221"/>
    <mergeCell ref="B225:C225"/>
    <mergeCell ref="B226:C226"/>
    <mergeCell ref="AD205:AD206"/>
    <mergeCell ref="T205:V205"/>
    <mergeCell ref="J205:S205"/>
    <mergeCell ref="D205:I205"/>
    <mergeCell ref="AD161:AD162"/>
    <mergeCell ref="T161:V161"/>
    <mergeCell ref="J161:S161"/>
    <mergeCell ref="D161:I161"/>
    <mergeCell ref="D105:I105"/>
    <mergeCell ref="J105:S105"/>
    <mergeCell ref="T105:V105"/>
    <mergeCell ref="AD105:AD106"/>
    <mergeCell ref="AD87:AD88"/>
    <mergeCell ref="T87:V87"/>
    <mergeCell ref="J87:S87"/>
    <mergeCell ref="D87:I87"/>
    <mergeCell ref="AD69:AD70"/>
    <mergeCell ref="T69:V69"/>
    <mergeCell ref="J69:S69"/>
    <mergeCell ref="D69:I69"/>
    <mergeCell ref="D1:I1"/>
    <mergeCell ref="J1:S1"/>
    <mergeCell ref="T1:V1"/>
    <mergeCell ref="AD1:AD2"/>
    <mergeCell ref="D13:I13"/>
    <mergeCell ref="J13:S13"/>
    <mergeCell ref="T13:V13"/>
    <mergeCell ref="AD13:AD14"/>
    <mergeCell ref="D26:I26"/>
    <mergeCell ref="J26:S26"/>
    <mergeCell ref="T26:V26"/>
    <mergeCell ref="AD26:AD27"/>
    <mergeCell ref="D39:I39"/>
    <mergeCell ref="J39:S39"/>
    <mergeCell ref="T39:V39"/>
    <mergeCell ref="AD39:AD40"/>
    <mergeCell ref="AD52:AD53"/>
    <mergeCell ref="T52:V52"/>
    <mergeCell ref="J52:S52"/>
    <mergeCell ref="D52:I52"/>
    <mergeCell ref="AD117:AD118"/>
    <mergeCell ref="T117:V117"/>
    <mergeCell ref="J117:S117"/>
    <mergeCell ref="D117:I117"/>
    <mergeCell ref="AD139:AD140"/>
    <mergeCell ref="T139:V139"/>
    <mergeCell ref="J139:S139"/>
    <mergeCell ref="D139:I139"/>
    <mergeCell ref="AD183:AD184"/>
    <mergeCell ref="T183:V183"/>
    <mergeCell ref="J183:S183"/>
    <mergeCell ref="D183:I183"/>
    <mergeCell ref="A315:C315"/>
    <mergeCell ref="AD315:AD316"/>
    <mergeCell ref="T315:V315"/>
    <mergeCell ref="J315:S315"/>
    <mergeCell ref="D315:I315"/>
    <mergeCell ref="B321:C321"/>
    <mergeCell ref="B326:C326"/>
    <mergeCell ref="B336:C336"/>
    <mergeCell ref="B335:C335"/>
    <mergeCell ref="B331:C331"/>
    <mergeCell ref="B415:C415"/>
    <mergeCell ref="A295:A314"/>
    <mergeCell ref="B414:C414"/>
    <mergeCell ref="A416:C416"/>
    <mergeCell ref="D416:I416"/>
    <mergeCell ref="J416:S416"/>
    <mergeCell ref="T416:V416"/>
    <mergeCell ref="AD416:AD417"/>
    <mergeCell ref="B421:C421"/>
    <mergeCell ref="B426:C426"/>
    <mergeCell ref="B431:C431"/>
    <mergeCell ref="B435:C435"/>
    <mergeCell ref="B434:C434"/>
    <mergeCell ref="A418:A435"/>
    <mergeCell ref="A436:C436"/>
    <mergeCell ref="D436:I436"/>
    <mergeCell ref="J436:S436"/>
    <mergeCell ref="T436:V436"/>
    <mergeCell ref="AD436:AD437"/>
    <mergeCell ref="B442:C442"/>
    <mergeCell ref="B447:C447"/>
    <mergeCell ref="B452:C452"/>
    <mergeCell ref="B458:C458"/>
    <mergeCell ref="B457:C45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