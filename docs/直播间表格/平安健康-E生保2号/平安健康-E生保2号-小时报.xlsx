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快捷表勿删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4" a="true"/>
  <c r="H15" i="4" a="true"/>
  <c r="G33" i="4" a="true"/>
  <c r="H33" i="4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<sst xmlns="http://schemas.openxmlformats.org/spreadsheetml/2006/main" count="176" uniqueCount="176">
  <si>
    <t xml:space="preserve">  </t>
  </si>
  <si>
    <t xml:space="preserve"> </t>
  </si>
  <si>
    <t/>
    <r>
      <rPr>
        <b val="true"/>
        <i val="false"/>
        <strike val="false"/>
        <sz val="12"/>
        <color rgb="FF000000"/>
      </rPr>
      <t>业务数据</t>
    </r>
  </si>
  <si>
    <t/>
    <r>
      <rPr>
        <b val="true"/>
        <i val="false"/>
        <strike val="false"/>
        <sz val="12"/>
        <color rgb="FF000000"/>
      </rPr>
      <t>过程指标</t>
    </r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</si>
  <si>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</si>
  <si>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</si>
  <si>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</si>
  <si>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</si>
  <si>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</si>
  <si>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</si>
  <si>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</si>
  <si>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</si>
  <si>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</si>
  <si>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</si>
  <si>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</si>
  <si>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</si>
  <si>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</si>
  <si>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</si>
  <si>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</si>
  <si>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</si>
  <si>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</si>
  <si>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</si>
  <si>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</si>
  <si>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</si>
  <si>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</si>
  <si>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</si>
  <si>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</si>
  <si>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</si>
  <si>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</si>
  <si>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</si>
  <si>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</si>
  <si>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</si>
  <si>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</si>
  <si>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</si>
  <si>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16:00-17:00</t>
  </si>
  <si>
    <t xml:space="preserve">王井伊</t>
  </si>
  <si>
    <t xml:space="preserve">徐铜</t>
  </si>
  <si>
    <t xml:space="preserve">李叶叶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</si>
  <si>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</si>
  <si>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</si>
  <si>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</si>
  <si>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</si>
  <si>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20:00-21:00</t>
  </si>
  <si>
    <t xml:space="preserve">徐梦婷</t>
  </si>
  <si>
    <t xml:space="preserve">21:00-22:00</t>
  </si>
  <si>
    <t xml:space="preserve">22:00-23:00</t>
  </si>
  <si>
    <t xml:space="preserve">23:00-24:00</t>
  </si>
  <si>
    <t xml:space="preserve">合计</t>
  </si>
  <si>
    <t xml:space="preserve">白孟卓</t>
  </si>
  <si>
    <t xml:space="preserve">边倩</t>
  </si>
  <si>
    <t xml:space="preserve">智擎版消耗</t>
  </si>
  <si>
    <t xml:space="preserve">12:00-13:00</t>
  </si>
  <si>
    <t xml:space="preserve">李芳</t>
  </si>
  <si>
    <t xml:space="preserve">13:00-14:00</t>
  </si>
  <si>
    <t xml:space="preserve">14:00-15:00</t>
  </si>
  <si>
    <t xml:space="preserve">15:00-16:00</t>
  </si>
  <si>
    <t xml:space="preserve">张欣</t>
  </si>
  <si>
    <t xml:space="preserve">曹颖慧</t>
  </si>
  <si>
    <t xml:space="preserve">陈蕾</t>
  </si>
  <si>
    <t xml:space="preserve"> </t>
  </si>
  <si>
    <t/>
    <r>
      <rPr>
        <b val="true"/>
        <i val="false"/>
        <strike val="false"/>
        <sz val="12"/>
        <color rgb="FF000000"/>
      </rPr>
      <t>业务数据</t>
    </r>
  </si>
  <si>
    <t/>
    <r>
      <rPr>
        <b val="true"/>
        <i val="false"/>
        <strike val="false"/>
        <sz val="12"/>
        <color rgb="FF000000"/>
      </rPr>
      <t>过程指标</t>
    </r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</si>
  <si>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</si>
  <si>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</si>
  <si>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</si>
  <si>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</si>
  <si>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</si>
  <si>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</si>
  <si>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</si>
  <si>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</si>
  <si>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</si>
  <si>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</si>
  <si>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</si>
  <si>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</si>
  <si>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</si>
  <si>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</si>
  <si>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</si>
  <si>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</si>
  <si>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</si>
  <si>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</si>
  <si>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</si>
  <si>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</si>
  <si>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</si>
  <si>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</si>
  <si>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</si>
  <si>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</si>
  <si>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</si>
  <si>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</si>
  <si>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</si>
  <si>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</si>
  <si>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</si>
  <si>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</si>
  <si>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19:00-20:00</t>
  </si>
  <si>
    <t xml:space="preserve">宁书毅</t>
  </si>
  <si>
    <t xml:space="preserve">李芳</t>
  </si>
  <si>
    <t xml:space="preserve">李叶叶</t>
  </si>
  <si>
    <t xml:space="preserve">20:00-21:00</t>
  </si>
  <si>
    <t xml:space="preserve">21:00-22:00</t>
  </si>
  <si>
    <t xml:space="preserve">22:00-23:00</t>
  </si>
  <si>
    <t xml:space="preserve">分主播汇总</t>
  </si>
  <si>
    <t xml:space="preserve">合计</t>
  </si>
  <si>
    <t xml:space="preserve">边倩</t>
  </si>
  <si>
    <t xml:space="preserve">23:00-24:00</t>
  </si>
  <si>
    <t xml:space="preserve">16:00-17:00</t>
  </si>
  <si>
    <t xml:space="preserve">17:00-18:00</t>
  </si>
  <si>
    <t xml:space="preserve">18:00-19:00</t>
  </si>
  <si>
    <t xml:space="preserve">王文怡</t>
  </si>
  <si>
    <t xml:space="preserve">孙文曜</t>
  </si>
  <si>
    <t xml:space="preserve">陈哲贤</t>
  </si>
  <si>
    <t xml:space="preserve">曹颖慧</t>
  </si>
  <si>
    <t xml:space="preserve">曾美晴</t>
  </si>
  <si>
    <t xml:space="preserve">高琎梅</t>
  </si>
  <si>
    <t xml:space="preserve"> 白孟卓</t>
  </si>
  <si>
    <t xml:space="preserve">赵宁尧</t>
  </si>
  <si>
    <t xml:space="preserve">徐梦婷</t>
  </si>
  <si>
    <t xml:space="preserve">罗丽洋</t>
  </si>
  <si>
    <t xml:space="preserve">白孟卓</t>
  </si>
  <si>
    <t xml:space="preserve">视频消耗</t>
  </si>
  <si>
    <t xml:space="preserve"> </t>
  </si>
  <si>
    <t/>
    <r>
      <rPr>
        <b val="true"/>
        <i val="false"/>
        <strike val="false"/>
        <sz val="12"/>
        <color rgb="FF000000"/>
      </rPr>
      <t>业务数据</t>
    </r>
  </si>
  <si>
    <t/>
    <r>
      <rPr>
        <b val="true"/>
        <i val="false"/>
        <strike val="false"/>
        <sz val="12"/>
        <color rgb="FF000000"/>
      </rPr>
      <t>过程指标</t>
    </r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</si>
  <si>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</si>
  <si>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</si>
  <si>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</si>
  <si>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</si>
  <si>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</si>
  <si>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</si>
  <si>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</si>
  <si>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</si>
  <si>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</si>
  <si>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</si>
  <si>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</si>
  <si>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</si>
  <si>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</si>
  <si>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组件点击率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</si>
  <si>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</si>
  <si>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</si>
  <si>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</si>
  <si>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</si>
  <si>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</si>
  <si>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</si>
  <si>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</si>
  <si>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</si>
  <si>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</si>
  <si>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</si>
  <si>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</si>
  <si>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</si>
  <si>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</si>
  <si>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</si>
  <si>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</si>
  <si>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</si>
  <si>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16:00-17:00</t>
  </si>
  <si>
    <t xml:space="preserve">曾美晴</t>
  </si>
  <si>
    <t xml:space="preserve">李芳</t>
  </si>
  <si>
    <t xml:space="preserve">曹颖慧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</si>
  <si>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</si>
  <si>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</si>
  <si>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</si>
  <si>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</si>
  <si>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20:00-21:00</t>
  </si>
  <si>
    <t xml:space="preserve">陈哲贤</t>
  </si>
  <si>
    <t xml:space="preserve">21:00-22:00</t>
  </si>
  <si>
    <t xml:space="preserve">22:00-23:00</t>
  </si>
  <si>
    <t xml:space="preserve">23:00-24:00</t>
  </si>
  <si>
    <t xml:space="preserve">合计</t>
  </si>
  <si>
    <t xml:space="preserve">视频消耗</t>
  </si>
  <si>
    <t xml:space="preserve">宁书毅</t>
  </si>
  <si>
    <t xml:space="preserve">智擎版消耗</t>
  </si>
  <si>
    <t xml:space="preserve">12:00-13:00</t>
  </si>
  <si>
    <t xml:space="preserve">张欣</t>
  </si>
  <si>
    <t xml:space="preserve">13:00-14:00</t>
  </si>
  <si>
    <t xml:space="preserve">14:00-15:00</t>
  </si>
  <si>
    <t xml:space="preserve">15:00-16:00</t>
  </si>
  <si>
    <t xml:space="preserve">徐梦婷</t>
  </si>
  <si>
    <t xml:space="preserve">徐铜</t>
  </si>
  <si>
    <t xml:space="preserve">陈蕾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</si>
</sst>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0.00_);[Red]\(0.00\)"/>
    <numFmt numFmtId="165" formatCode="0.00_ ;[Red]\-0.00\ "/>
    <numFmt numFmtId="166" formatCode="0_ ;[Red]\-0\ "/>
    <numFmt numFmtId="167" formatCode="0_);[Red]\(0\)"/>
    <numFmt numFmtId="168" formatCode="0"/>
    <numFmt numFmtId="169" formatCode="0.00%"/>
    <numFmt numFmtId="170" formatCode="yyyy/MM/dd"/>
    <numFmt numFmtId="171" formatCode="General"/>
    <numFmt numFmtId="172" formatCode="0.00_);[Red](0.00)"/>
    <numFmt numFmtId="173" formatCode="0_);[Red](0)"/>
    <numFmt numFmtId="174" formatCode="#,##0.00"/>
    <numFmt numFmtId="175" formatCode="h:mm;@"/>
    <numFmt numFmtId="176" formatCode="0.00_);[Red]\(0.00\)"/>
    <numFmt numFmtId="177" formatCode="0"/>
    <numFmt numFmtId="178" formatCode="0.00_ ;[Red]\-0.00\ "/>
    <numFmt numFmtId="179" formatCode="0_ ;[Red]\-0\ "/>
    <numFmt numFmtId="180" formatCode="0_);[Red]\(0\)"/>
    <numFmt numFmtId="181" formatCode="0.00%"/>
    <numFmt numFmtId="182" formatCode="yyyy/MM/dd"/>
    <numFmt numFmtId="183" formatCode="General"/>
    <numFmt numFmtId="184" formatCode="0.00_);[Red](0.00)"/>
    <numFmt numFmtId="185" formatCode="0_);[Red](0)"/>
    <numFmt numFmtId="186" formatCode="0.00_);[Red]\(0.00\)"/>
    <numFmt numFmtId="187" formatCode="0.00_ ;[Red]\-0.00\ "/>
    <numFmt numFmtId="188" formatCode="0_ ;[Red]\-0\ "/>
    <numFmt numFmtId="189" formatCode="0_);[Red]\(0\)"/>
    <numFmt numFmtId="190" formatCode="0"/>
    <numFmt numFmtId="191" formatCode="0.00%"/>
    <numFmt numFmtId="192" formatCode="yyyy/MM/dd"/>
    <numFmt numFmtId="193" formatCode="General"/>
    <numFmt numFmtId="194" formatCode="0.00_);[Red](0.00)"/>
    <numFmt numFmtId="195" formatCode="0_);[Red](0)"/>
    <numFmt numFmtId="196" formatCode="#,##0.00"/>
    <numFmt numFmtId="197" formatCode="h:mm;@"/>
  </numFmts>
  <fonts count="1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12"/>
      <color rgb="FF31343B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373C43"/>
      <name val="Calibri"/>
      <family val="2"/>
      <scheme val="minor"/>
    </font>
    <font>
      <sz val="14"/>
      <color rgb="FF373C43"/>
      <name val="Calibri"/>
      <family val="2"/>
      <scheme val="minor"/>
    </font>
  </fonts>
  <fills count="3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9FA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64E8D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5F6F2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64E8D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5F6F2"/>
        <bgColor/>
      </patternFill>
    </fill>
    <fill>
      <patternFill patternType="solid">
        <fgColor rgb="FFF8F9FA"/>
        <bgColor/>
      </patternFill>
    </fill>
  </fills>
  <borders count="2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2" fillId="4" fontId="1" numFmtId="164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6" xfId="0">
      <alignment horizontal="center" vertical="center"/>
    </xf>
    <xf applyAlignment="true" applyBorder="false" applyFill="true" applyFont="true" applyNumberFormat="true" applyProtection="false" borderId="1" fillId="5" fontId="3" numFmtId="167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8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9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true" applyFont="true" applyNumberFormat="true" applyProtection="false" borderId="1" fillId="6" fontId="4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3" numFmtId="170" xfId="0">
      <alignment horizontal="center" vertical="center"/>
    </xf>
    <xf applyAlignment="true" applyBorder="false" applyFill="false" applyFont="true" applyNumberFormat="true" applyProtection="false" borderId="3" fillId="0" fontId="4" numFmtId="171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center"/>
    </xf>
    <xf applyAlignment="true" applyBorder="false" applyFill="false" applyFont="true" applyNumberFormat="true" applyProtection="false" borderId="1" fillId="0" fontId="4" numFmtId="171" xfId="0">
      <alignment horizontal="center" vertical="center"/>
    </xf>
    <xf applyAlignment="true" applyBorder="false" applyFill="false" applyFont="true" applyNumberFormat="true" applyProtection="false" borderId="1" fillId="0" fontId="4" numFmtId="168" xfId="0">
      <alignment horizontal="center" vertical="center"/>
    </xf>
    <xf applyAlignment="true" applyBorder="false" applyFill="true" applyFont="true" applyNumberFormat="true" applyProtection="false" borderId="1" fillId="7" fontId="5" numFmtId="172" xfId="0">
      <alignment horizontal="center" vertical="center"/>
    </xf>
    <xf applyAlignment="true" applyBorder="false" applyFill="false" applyFont="true" applyNumberFormat="true" applyProtection="false" borderId="2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1" fillId="0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bottom"/>
    </xf>
    <xf applyAlignment="true" applyBorder="false" applyFill="false" applyFont="true" applyNumberFormat="true" applyProtection="false" borderId="1" fillId="0" fontId="5" numFmtId="165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bottom"/>
    </xf>
    <xf applyAlignment="true" applyBorder="false" applyFill="false" applyFont="true" applyNumberFormat="true" applyProtection="false" borderId="1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3" numFmtId="171" xfId="0">
      <alignment horizontal="center" vertical="center"/>
    </xf>
    <xf applyAlignment="true" applyBorder="false" applyFill="false" applyFont="true" applyNumberFormat="true" applyProtection="false" borderId="4" fillId="0" fontId="4" numFmtId="171" xfId="0">
      <alignment horizontal="center" vertical="center"/>
    </xf>
    <xf applyAlignment="true" applyBorder="false" applyFill="true" applyFont="true" applyNumberFormat="true" applyProtection="false" borderId="1" fillId="8" fontId="1" numFmtId="171" xfId="0">
      <alignment horizontal="center" vertical="center"/>
    </xf>
    <xf applyAlignment="true" applyBorder="false" applyFill="true" applyFont="true" applyNumberFormat="true" applyProtection="false" borderId="1" fillId="8" fontId="5" numFmtId="172" xfId="0">
      <alignment horizontal="center" vertical="center"/>
    </xf>
    <xf applyAlignment="true" applyBorder="false" applyFill="true" applyFont="true" applyNumberFormat="true" applyProtection="false" borderId="2" fillId="8" fontId="1" numFmtId="169" xfId="0">
      <alignment horizontal="center" vertical="center"/>
    </xf>
    <xf applyAlignment="true" applyBorder="false" applyFill="true" applyFont="true" applyNumberFormat="true" applyProtection="false" borderId="1" fillId="8" fontId="1" numFmtId="164" xfId="0">
      <alignment horizontal="center" vertical="center"/>
    </xf>
    <xf applyAlignment="true" applyBorder="false" applyFill="true" applyFont="true" applyNumberFormat="true" applyProtection="false" borderId="1" fillId="8" fontId="1" numFmtId="169" xfId="0">
      <alignment horizontal="center" vertical="center"/>
    </xf>
    <xf applyAlignment="true" applyBorder="false" applyFill="true" applyFont="true" applyNumberFormat="true" applyProtection="false" borderId="1" fillId="8" fontId="1" numFmtId="164" xfId="0">
      <alignment horizontal="center" vertical="bottom"/>
    </xf>
    <xf applyAlignment="true" applyBorder="false" applyFill="true" applyFont="true" applyNumberFormat="true" applyProtection="false" borderId="1" fillId="8" fontId="5" numFmtId="165" xfId="0">
      <alignment horizontal="center" vertical="center"/>
    </xf>
    <xf applyAlignment="true" applyBorder="false" applyFill="true" applyFont="true" applyNumberFormat="true" applyProtection="false" borderId="1" fillId="9" fontId="5" numFmtId="171" xfId="0">
      <alignment horizontal="center" vertical="center"/>
    </xf>
    <xf applyAlignment="true" applyBorder="false" applyFill="true" applyFont="true" applyNumberFormat="true" applyProtection="false" borderId="1" fillId="9" fontId="5" numFmtId="172" xfId="0">
      <alignment horizontal="center" vertical="center"/>
    </xf>
    <xf applyAlignment="true" applyBorder="false" applyFill="true" applyFont="true" applyNumberFormat="true" applyProtection="false" borderId="2" fillId="9" fontId="5" numFmtId="169" xfId="0">
      <alignment horizontal="center" vertical="center"/>
    </xf>
    <xf applyAlignment="true" applyBorder="false" applyFill="true" applyFont="true" applyNumberFormat="true" applyProtection="false" borderId="1" fillId="9" fontId="5" numFmtId="169" xfId="0">
      <alignment horizontal="center" vertical="center"/>
    </xf>
    <xf applyAlignment="true" applyBorder="false" applyFill="true" applyFont="true" applyNumberFormat="true" applyProtection="false" borderId="1" fillId="9" fontId="5" numFmtId="164" xfId="0">
      <alignment horizontal="center" vertical="center"/>
    </xf>
    <xf applyAlignment="true" applyBorder="false" applyFill="true" applyFont="true" applyNumberFormat="true" applyProtection="false" borderId="1" fillId="9" fontId="5" numFmtId="165" xfId="0">
      <alignment horizontal="center" vertical="center"/>
    </xf>
    <xf applyAlignment="true" applyBorder="false" applyFill="true" applyFont="true" applyNumberFormat="true" applyProtection="false" borderId="1" fillId="9" fontId="5" numFmtId="173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bottom"/>
    </xf>
    <xf applyAlignment="true" applyBorder="false" applyFill="true" applyFont="true" applyNumberFormat="true" applyProtection="false" borderId="0" fillId="10" fontId="6" numFmtId="171" xfId="0">
      <alignment horizontal="center" vertical="center" wrapText="true"/>
    </xf>
    <xf applyAlignment="true" applyBorder="false" applyFill="true" applyFont="true" applyNumberFormat="false" applyProtection="false" borderId="4" fillId="2" fontId="1" numFmtId="0" xfId="0">
      <alignment horizontal="center" vertical="center"/>
    </xf>
    <xf applyAlignment="true" applyBorder="false" applyFill="true" applyFont="true" applyNumberFormat="true" applyProtection="false" borderId="4" fillId="3" fontId="1" numFmtId="164" xfId="0">
      <alignment horizontal="center" vertical="center"/>
    </xf>
    <xf applyAlignment="true" applyBorder="false" applyFill="true" applyFont="true" applyNumberFormat="true" applyProtection="false" borderId="5" fillId="4" fontId="1" numFmtId="164" xfId="0">
      <alignment horizontal="center" vertical="center"/>
    </xf>
    <xf applyAlignment="true" applyBorder="false" applyFill="true" applyFont="true" applyNumberFormat="true" applyProtection="false" borderId="4" fillId="3" fontId="2" numFmtId="165" xfId="0">
      <alignment horizontal="center" vertical="center"/>
    </xf>
    <xf applyAlignment="true" applyBorder="false" applyFill="true" applyFont="true" applyNumberFormat="true" applyProtection="false" borderId="4" fillId="3" fontId="2" numFmtId="166" xfId="0">
      <alignment horizontal="center" vertical="center"/>
    </xf>
    <xf applyAlignment="true" applyBorder="false" applyFill="true" applyFont="true" applyNumberFormat="true" applyProtection="false" borderId="4" fillId="5" fontId="3" numFmtId="167" xfId="0">
      <alignment horizontal="center" vertical="center"/>
    </xf>
    <xf applyAlignment="true" applyBorder="false" applyFill="true" applyFont="true" applyNumberFormat="false" applyProtection="false" borderId="4" fillId="3" fontId="1" numFmtId="0" xfId="0">
      <alignment horizontal="center" vertical="center"/>
    </xf>
    <xf applyAlignment="true" applyBorder="false" applyFill="true" applyFont="true" applyNumberFormat="true" applyProtection="false" borderId="4" fillId="3" fontId="1" numFmtId="168" xfId="0">
      <alignment horizontal="center" vertical="center"/>
    </xf>
    <xf applyAlignment="true" applyBorder="false" applyFill="true" applyFont="true" applyNumberFormat="true" applyProtection="false" borderId="4" fillId="3" fontId="1" numFmtId="164" xfId="0">
      <alignment horizontal="center" vertical="center"/>
    </xf>
    <xf applyAlignment="true" applyBorder="false" applyFill="true" applyFont="true" applyNumberFormat="true" applyProtection="false" borderId="4" fillId="4" fontId="1" numFmtId="164" xfId="0">
      <alignment horizontal="center" vertical="center"/>
    </xf>
    <xf applyAlignment="true" applyBorder="false" applyFill="true" applyFont="true" applyNumberFormat="true" applyProtection="false" borderId="4" fillId="4" fontId="1" numFmtId="169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center"/>
    </xf>
    <xf applyAlignment="true" applyBorder="false" applyFill="true" applyFont="true" applyNumberFormat="true" applyProtection="false" borderId="4" fillId="6" fontId="4" numFmtId="166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true" applyProtection="false" borderId="4" fillId="0" fontId="3" numFmtId="170" xfId="0">
      <alignment horizontal="center" vertical="center"/>
    </xf>
    <xf applyAlignment="true" applyBorder="false" applyFill="false" applyFont="true" applyNumberFormat="true" applyProtection="false" borderId="4" fillId="0" fontId="4" numFmtId="171" xfId="0">
      <alignment horizontal="center" vertical="center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true" applyFont="true" applyNumberFormat="true" applyProtection="false" borderId="4" fillId="7" fontId="5" numFmtId="172" xfId="0">
      <alignment horizontal="center" vertical="center"/>
    </xf>
    <xf applyAlignment="true" applyBorder="false" applyFill="false" applyFont="true" applyNumberFormat="true" applyProtection="false" borderId="5" fillId="0" fontId="4" numFmtId="169" xfId="0">
      <alignment horizontal="center" vertical="center"/>
    </xf>
    <xf applyAlignment="true" applyBorder="false" applyFill="false" applyFont="true" applyNumberFormat="true" applyProtection="false" borderId="4" fillId="0" fontId="4" numFmtId="164" xfId="0">
      <alignment horizontal="center" vertical="center"/>
    </xf>
    <xf applyAlignment="true" applyBorder="false" applyFill="false" applyFont="true" applyNumberFormat="true" applyProtection="false" borderId="4" fillId="0" fontId="4" numFmtId="169" xfId="0">
      <alignment horizontal="center" vertical="center"/>
    </xf>
    <xf applyAlignment="true" applyBorder="false" applyFill="false" applyFont="true" applyNumberFormat="true" applyProtection="false" borderId="4" fillId="0" fontId="4" numFmtId="164" xfId="0">
      <alignment horizontal="center" vertical="bottom"/>
    </xf>
    <xf applyAlignment="true" applyBorder="false" applyFill="false" applyFont="true" applyNumberFormat="true" applyProtection="false" borderId="4" fillId="0" fontId="5" numFmtId="165" xfId="0">
      <alignment horizontal="center" vertical="center"/>
    </xf>
    <xf applyAlignment="true" applyBorder="false" applyFill="false" applyFont="true" applyNumberFormat="true" applyProtection="false" borderId="4" fillId="0" fontId="3" numFmtId="171" xfId="0">
      <alignment horizontal="center" vertical="center"/>
    </xf>
    <xf applyAlignment="true" applyBorder="false" applyFill="false" applyFont="true" applyNumberFormat="true" applyProtection="false" borderId="4" fillId="0" fontId="3" numFmtId="171" xfId="0">
      <alignment horizontal="center" vertical="center"/>
    </xf>
    <xf applyAlignment="true" applyBorder="false" applyFill="false" applyFont="true" applyNumberFormat="true" applyProtection="false" borderId="4" fillId="0" fontId="3" numFmtId="170" xfId="0">
      <alignment horizontal="center" vertical="center"/>
    </xf>
    <xf applyAlignment="true" applyBorder="false" applyFill="true" applyFont="true" applyNumberFormat="true" applyProtection="false" borderId="0" fillId="11" fontId="6" numFmtId="171" xfId="0">
      <alignment horizontal="center" vertical="center" wrapText="true"/>
    </xf>
    <xf applyAlignment="true" applyBorder="false" applyFill="false" applyFont="true" applyNumberFormat="true" applyProtection="false" borderId="4" fillId="0" fontId="4" numFmtId="168" xfId="0">
      <alignment horizontal="center" vertical="center"/>
    </xf>
    <xf applyAlignment="true" applyBorder="false" applyFill="true" applyFont="true" applyNumberFormat="true" applyProtection="false" borderId="4" fillId="8" fontId="1" numFmtId="171" xfId="0">
      <alignment horizontal="center" vertical="center"/>
    </xf>
    <xf applyAlignment="true" applyBorder="false" applyFill="true" applyFont="true" applyNumberFormat="true" applyProtection="false" borderId="4" fillId="8" fontId="5" numFmtId="172" xfId="0">
      <alignment horizontal="center" vertical="center"/>
    </xf>
    <xf applyAlignment="true" applyBorder="false" applyFill="true" applyFont="true" applyNumberFormat="true" applyProtection="false" borderId="5" fillId="8" fontId="1" numFmtId="169" xfId="0">
      <alignment horizontal="center" vertical="center"/>
    </xf>
    <xf applyAlignment="true" applyBorder="false" applyFill="true" applyFont="true" applyNumberFormat="true" applyProtection="false" borderId="4" fillId="8" fontId="1" numFmtId="164" xfId="0">
      <alignment horizontal="center" vertical="center"/>
    </xf>
    <xf applyAlignment="true" applyBorder="false" applyFill="true" applyFont="true" applyNumberFormat="true" applyProtection="false" borderId="4" fillId="8" fontId="1" numFmtId="169" xfId="0">
      <alignment horizontal="center" vertical="center"/>
    </xf>
    <xf applyAlignment="true" applyBorder="false" applyFill="true" applyFont="true" applyNumberFormat="true" applyProtection="false" borderId="4" fillId="8" fontId="1" numFmtId="164" xfId="0">
      <alignment horizontal="center" vertical="bottom"/>
    </xf>
    <xf applyAlignment="true" applyBorder="false" applyFill="true" applyFont="true" applyNumberFormat="true" applyProtection="false" borderId="4" fillId="8" fontId="5" numFmtId="165" xfId="0">
      <alignment horizontal="center" vertical="center"/>
    </xf>
    <xf applyAlignment="true" applyBorder="false" applyFill="true" applyFont="true" applyNumberFormat="true" applyProtection="false" borderId="4" fillId="9" fontId="5" numFmtId="171" xfId="0">
      <alignment horizontal="center" vertical="center"/>
    </xf>
    <xf applyAlignment="true" applyBorder="false" applyFill="true" applyFont="true" applyNumberFormat="true" applyProtection="false" borderId="4" fillId="9" fontId="5" numFmtId="172" xfId="0">
      <alignment horizontal="center" vertical="center"/>
    </xf>
    <xf applyAlignment="true" applyBorder="false" applyFill="true" applyFont="true" applyNumberFormat="true" applyProtection="false" borderId="5" fillId="9" fontId="5" numFmtId="169" xfId="0">
      <alignment horizontal="center" vertical="center"/>
    </xf>
    <xf applyAlignment="true" applyBorder="false" applyFill="true" applyFont="true" applyNumberFormat="true" applyProtection="false" borderId="4" fillId="9" fontId="5" numFmtId="169" xfId="0">
      <alignment horizontal="center" vertical="center"/>
    </xf>
    <xf applyAlignment="true" applyBorder="false" applyFill="true" applyFont="true" applyNumberFormat="true" applyProtection="false" borderId="4" fillId="9" fontId="5" numFmtId="164" xfId="0">
      <alignment horizontal="center" vertical="center"/>
    </xf>
    <xf applyAlignment="true" applyBorder="false" applyFill="true" applyFont="true" applyNumberFormat="true" applyProtection="false" borderId="4" fillId="9" fontId="5" numFmtId="165" xfId="0">
      <alignment horizontal="center" vertical="center"/>
    </xf>
    <xf applyAlignment="true" applyBorder="false" applyFill="true" applyFont="true" applyNumberFormat="true" applyProtection="false" borderId="4" fillId="9" fontId="5" numFmtId="173" xfId="0">
      <alignment horizontal="center" vertical="center"/>
    </xf>
    <xf applyAlignment="true" applyBorder="false" applyFill="true" applyFont="true" applyNumberFormat="true" applyProtection="false" borderId="5" fillId="12" fontId="4" numFmtId="175" xfId="0">
      <alignment horizontal="center" vertical="center"/>
    </xf>
    <xf applyAlignment="true" applyBorder="false" applyFill="false" applyFont="true" applyNumberFormat="true" applyProtection="false" borderId="4" fillId="0" fontId="4" numFmtId="165" xfId="0">
      <alignment horizontal="center" vertical="bottom"/>
    </xf>
    <xf applyAlignment="true" applyBorder="false" applyFill="true" applyFont="true" applyNumberFormat="true" applyProtection="false" borderId="6" fillId="12" fontId="4" numFmtId="175" xfId="0">
      <alignment horizontal="center" vertical="center"/>
    </xf>
    <xf applyAlignment="true" applyBorder="false" applyFill="false" applyFont="true" applyNumberFormat="true" applyProtection="false" borderId="5" fillId="0" fontId="4" numFmtId="171" xfId="0">
      <alignment horizontal="center" vertical="center"/>
    </xf>
    <xf applyAlignment="true" applyBorder="false" applyFill="true" applyFont="true" applyNumberFormat="true" applyProtection="false" borderId="0" fillId="11" fontId="6" numFmtId="171" xfId="0">
      <alignment horizontal="center" vertical="center" wrapText="true"/>
    </xf>
    <xf applyAlignment="true" applyBorder="false" applyFill="false" applyFont="true" applyNumberFormat="true" applyProtection="false" borderId="4" fillId="0" fontId="4" numFmtId="171" xfId="0">
      <alignment horizontal="center" vertical="center"/>
    </xf>
    <xf applyAlignment="true" applyBorder="false" applyFill="false" applyFont="true" applyNumberFormat="true" applyProtection="false" borderId="4" fillId="0" fontId="3" numFmtId="171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7" fillId="13" fontId="1" numFmtId="0" xfId="0">
      <alignment horizontal="center" vertical="center"/>
    </xf>
    <xf applyAlignment="true" applyBorder="false" applyFill="true" applyFont="true" applyNumberFormat="false" applyProtection="false" borderId="8" fillId="13" fontId="1" numFmtId="0" xfId="0">
      <alignment horizontal="center" vertical="center"/>
    </xf>
    <xf applyAlignment="true" applyBorder="false" applyFill="true" applyFont="true" applyNumberFormat="true" applyProtection="false" borderId="8" fillId="14" fontId="1" numFmtId="176" xfId="0">
      <alignment horizontal="center" vertical="center"/>
    </xf>
    <xf applyAlignment="true" applyBorder="false" applyFill="true" applyFont="true" applyNumberFormat="true" applyProtection="false" borderId="7" fillId="14" fontId="1" numFmtId="177" xfId="0">
      <alignment horizontal="center" vertical="center"/>
    </xf>
    <xf applyAlignment="true" applyBorder="false" applyFill="true" applyFont="true" applyNumberFormat="true" applyProtection="false" borderId="7" fillId="14" fontId="1" numFmtId="176" xfId="0">
      <alignment horizontal="center" vertical="center"/>
    </xf>
    <xf applyAlignment="true" applyBorder="false" applyFill="true" applyFont="true" applyNumberFormat="true" applyProtection="false" borderId="7" fillId="15" fontId="1" numFmtId="176" xfId="0">
      <alignment horizontal="center" vertical="center"/>
    </xf>
    <xf applyAlignment="true" applyBorder="false" applyFill="true" applyFont="true" applyNumberFormat="true" applyProtection="false" borderId="7" fillId="14" fontId="2" numFmtId="178" xfId="0">
      <alignment horizontal="center" vertical="center"/>
    </xf>
    <xf applyAlignment="true" applyBorder="false" applyFill="true" applyFont="true" applyNumberFormat="true" applyProtection="false" borderId="7" fillId="14" fontId="2" numFmtId="179" xfId="0">
      <alignment horizontal="center" vertical="center"/>
    </xf>
    <xf applyAlignment="true" applyBorder="false" applyFill="true" applyFont="true" applyNumberFormat="true" applyProtection="false" borderId="7" fillId="16" fontId="3" numFmtId="18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9" fillId="13" fontId="1" numFmtId="0" xfId="0">
      <alignment horizontal="center" vertical="center"/>
    </xf>
    <xf applyAlignment="true" applyBorder="false" applyFill="true" applyFont="true" applyNumberFormat="false" applyProtection="false" borderId="7" fillId="14" fontId="1" numFmtId="0" xfId="0">
      <alignment horizontal="center" vertical="center"/>
    </xf>
    <xf applyAlignment="true" applyBorder="false" applyFill="true" applyFont="true" applyNumberFormat="true" applyProtection="false" borderId="10" fillId="14" fontId="1" numFmtId="177" xfId="0">
      <alignment horizontal="center" vertical="center"/>
    </xf>
    <xf applyAlignment="true" applyBorder="false" applyFill="true" applyFont="true" applyNumberFormat="true" applyProtection="false" borderId="7" fillId="15" fontId="1" numFmtId="181" xfId="0">
      <alignment horizontal="center" vertical="center"/>
    </xf>
    <xf applyAlignment="true" applyBorder="false" applyFill="false" applyFont="true" applyNumberFormat="true" applyProtection="false" borderId="7" fillId="0" fontId="4" numFmtId="178" xfId="0">
      <alignment horizontal="center" vertical="center"/>
    </xf>
    <xf applyAlignment="true" applyBorder="false" applyFill="true" applyFont="true" applyNumberFormat="true" applyProtection="false" borderId="7" fillId="17" fontId="4" numFmtId="179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3" numFmtId="182" xfId="0">
      <alignment horizontal="center" vertical="center"/>
    </xf>
    <xf applyAlignment="true" applyBorder="false" applyFill="false" applyFont="true" applyNumberFormat="true" applyProtection="false" borderId="7" fillId="0" fontId="4" numFmtId="183" xfId="0">
      <alignment horizontal="center" vertical="center"/>
    </xf>
    <xf applyAlignment="true" applyBorder="false" applyFill="false" applyFont="true" applyNumberFormat="true" applyProtection="false" borderId="7" fillId="0" fontId="4" numFmtId="183" xfId="0">
      <alignment horizontal="center" vertical="center"/>
    </xf>
    <xf applyAlignment="true" applyBorder="false" applyFill="false" applyFont="true" applyNumberFormat="true" applyProtection="false" borderId="10" fillId="0" fontId="4" numFmtId="177" xfId="0">
      <alignment horizontal="center" vertical="center"/>
    </xf>
    <xf applyAlignment="true" applyBorder="false" applyFill="true" applyFont="true" applyNumberFormat="true" applyProtection="false" borderId="7" fillId="18" fontId="5" numFmtId="184" xfId="0">
      <alignment horizontal="center" vertical="center"/>
    </xf>
    <xf applyAlignment="true" applyBorder="false" applyFill="false" applyFont="true" applyNumberFormat="true" applyProtection="false" borderId="7" fillId="0" fontId="4" numFmtId="181" xfId="0">
      <alignment horizontal="center" vertical="center"/>
    </xf>
    <xf applyAlignment="true" applyBorder="false" applyFill="false" applyFont="true" applyNumberFormat="true" applyProtection="false" borderId="7" fillId="0" fontId="4" numFmtId="176" xfId="0">
      <alignment horizontal="center" vertical="center"/>
    </xf>
    <xf applyAlignment="true" applyBorder="false" applyFill="false" applyFont="true" applyNumberFormat="true" applyProtection="false" borderId="7" fillId="0" fontId="4" numFmtId="176" xfId="0">
      <alignment horizontal="center" vertical="bottom"/>
    </xf>
    <xf applyAlignment="true" applyBorder="false" applyFill="false" applyFont="true" applyNumberFormat="true" applyProtection="false" borderId="7" fillId="0" fontId="5" numFmtId="178" xfId="0">
      <alignment horizontal="center" vertical="center"/>
    </xf>
    <xf applyAlignment="true" applyBorder="false" applyFill="false" applyFont="true" applyNumberFormat="true" applyProtection="false" borderId="7" fillId="0" fontId="4" numFmtId="178" xfId="0">
      <alignment horizontal="center" vertical="bottom"/>
    </xf>
    <xf applyAlignment="true" applyBorder="false" applyFill="false" applyFont="true" applyNumberFormat="true" applyProtection="false" borderId="7" fillId="0" fontId="4" numFmtId="178" xfId="0">
      <alignment horizontal="center" vertical="bottom"/>
    </xf>
    <xf applyAlignment="true" applyBorder="false" applyFill="false" applyFont="true" applyNumberFormat="true" applyProtection="false" borderId="7" fillId="0" fontId="3" numFmtId="183" xfId="0">
      <alignment horizontal="center" vertical="center"/>
    </xf>
    <xf applyAlignment="true" applyBorder="false" applyFill="false" applyFont="true" applyNumberFormat="true" applyProtection="false" borderId="7" fillId="0" fontId="3" numFmtId="183" xfId="0">
      <alignment horizontal="center" vertical="center"/>
    </xf>
    <xf applyAlignment="true" applyBorder="false" applyFill="false" applyFont="true" applyNumberFormat="true" applyProtection="false" borderId="9" fillId="0" fontId="3" numFmtId="182" xfId="0">
      <alignment horizontal="center" vertical="center"/>
    </xf>
    <xf applyAlignment="true" applyBorder="false" applyFill="false" applyFont="true" applyNumberFormat="true" applyProtection="false" borderId="7" fillId="0" fontId="3" numFmtId="182" xfId="0">
      <alignment horizontal="center" vertical="center"/>
    </xf>
    <xf applyAlignment="true" applyBorder="false" applyFill="false" applyFont="true" applyNumberFormat="true" applyProtection="false" borderId="11" fillId="0" fontId="4" numFmtId="183" xfId="0">
      <alignment horizontal="center" vertical="center"/>
    </xf>
    <xf applyAlignment="true" applyBorder="false" applyFill="false" applyFont="true" applyNumberFormat="true" applyProtection="false" borderId="11" fillId="0" fontId="4" numFmtId="183" xfId="0">
      <alignment horizontal="center" vertical="center"/>
    </xf>
    <xf applyAlignment="true" applyBorder="false" applyFill="false" applyFont="true" applyNumberFormat="true" applyProtection="false" borderId="7" fillId="0" fontId="4" numFmtId="177" xfId="0">
      <alignment horizontal="center" vertical="center"/>
    </xf>
    <xf applyAlignment="true" applyBorder="false" applyFill="true" applyFont="true" applyNumberFormat="true" applyProtection="false" borderId="7" fillId="19" fontId="1" numFmtId="183" xfId="0">
      <alignment horizontal="center" vertical="center"/>
    </xf>
    <xf applyAlignment="true" applyBorder="false" applyFill="true" applyFont="true" applyNumberFormat="true" applyProtection="false" borderId="7" fillId="19" fontId="1" numFmtId="177" xfId="0">
      <alignment horizontal="center" vertical="center"/>
    </xf>
    <xf applyAlignment="true" applyBorder="false" applyFill="true" applyFont="true" applyNumberFormat="true" applyProtection="false" borderId="7" fillId="19" fontId="5" numFmtId="184" xfId="0">
      <alignment horizontal="center" vertical="center"/>
    </xf>
    <xf applyAlignment="true" applyBorder="false" applyFill="true" applyFont="true" applyNumberFormat="true" applyProtection="false" borderId="7" fillId="19" fontId="1" numFmtId="181" xfId="0">
      <alignment horizontal="center" vertical="center"/>
    </xf>
    <xf applyAlignment="true" applyBorder="false" applyFill="true" applyFont="true" applyNumberFormat="true" applyProtection="false" borderId="7" fillId="19" fontId="1" numFmtId="176" xfId="0">
      <alignment horizontal="center" vertical="center"/>
    </xf>
    <xf applyAlignment="true" applyBorder="false" applyFill="true" applyFont="true" applyNumberFormat="true" applyProtection="false" borderId="7" fillId="19" fontId="1" numFmtId="176" xfId="0">
      <alignment horizontal="center" vertical="bottom"/>
    </xf>
    <xf applyAlignment="true" applyBorder="false" applyFill="true" applyFont="true" applyNumberFormat="true" applyProtection="false" borderId="7" fillId="19" fontId="5" numFmtId="178" xfId="0">
      <alignment horizontal="center" vertical="center"/>
    </xf>
    <xf applyAlignment="true" applyBorder="false" applyFill="true" applyFont="true" applyNumberFormat="true" applyProtection="false" borderId="7" fillId="20" fontId="5" numFmtId="183" xfId="0">
      <alignment horizontal="center" vertical="center"/>
    </xf>
    <xf applyAlignment="true" applyBorder="false" applyFill="true" applyFont="true" applyNumberFormat="true" applyProtection="false" borderId="7" fillId="20" fontId="5" numFmtId="184" xfId="0">
      <alignment horizontal="center" vertical="center"/>
    </xf>
    <xf applyAlignment="true" applyBorder="false" applyFill="true" applyFont="true" applyNumberFormat="true" applyProtection="false" borderId="7" fillId="20" fontId="5" numFmtId="177" xfId="0">
      <alignment horizontal="center" vertical="center"/>
    </xf>
    <xf applyAlignment="true" applyBorder="false" applyFill="true" applyFont="true" applyNumberFormat="true" applyProtection="false" borderId="7" fillId="20" fontId="5" numFmtId="181" xfId="0">
      <alignment horizontal="center" vertical="center"/>
    </xf>
    <xf applyAlignment="true" applyBorder="false" applyFill="true" applyFont="true" applyNumberFormat="true" applyProtection="false" borderId="7" fillId="20" fontId="5" numFmtId="176" xfId="0">
      <alignment horizontal="center" vertical="center"/>
    </xf>
    <xf applyAlignment="true" applyBorder="false" applyFill="true" applyFont="true" applyNumberFormat="true" applyProtection="false" borderId="7" fillId="20" fontId="5" numFmtId="178" xfId="0">
      <alignment horizontal="center" vertical="center"/>
    </xf>
    <xf applyAlignment="true" applyBorder="false" applyFill="true" applyFont="true" applyNumberFormat="true" applyProtection="false" borderId="7" fillId="20" fontId="5" numFmtId="185" xfId="0">
      <alignment horizontal="center" vertical="center"/>
    </xf>
    <xf applyAlignment="true" applyBorder="false" applyFill="false" applyFont="true" applyNumberFormat="true" applyProtection="false" borderId="10" fillId="0" fontId="4" numFmtId="177" xfId="0">
      <alignment horizontal="center" vertical="center"/>
    </xf>
    <xf applyAlignment="true" applyBorder="false" applyFill="false" applyFont="true" applyNumberFormat="true" applyProtection="false" borderId="12" fillId="0" fontId="3" numFmtId="182" xfId="0">
      <alignment horizontal="center" vertical="center"/>
    </xf>
    <xf applyAlignment="true" applyBorder="false" applyFill="true" applyFont="true" applyNumberFormat="true" applyProtection="false" borderId="8" fillId="20" fontId="5" numFmtId="183" xfId="0">
      <alignment horizontal="center" vertical="center"/>
    </xf>
    <xf applyAlignment="true" applyBorder="false" applyFill="true" applyFont="true" applyNumberFormat="true" applyProtection="false" borderId="8" fillId="20" fontId="5" numFmtId="184" xfId="0">
      <alignment horizontal="center" vertical="center"/>
    </xf>
    <xf applyAlignment="true" applyBorder="false" applyFill="true" applyFont="true" applyNumberFormat="true" applyProtection="false" borderId="8" fillId="20" fontId="5" numFmtId="177" xfId="0">
      <alignment horizontal="center" vertical="center"/>
    </xf>
    <xf applyAlignment="true" applyBorder="false" applyFill="true" applyFont="true" applyNumberFormat="true" applyProtection="false" borderId="10" fillId="15" fontId="1" numFmtId="176" xfId="0">
      <alignment horizontal="center" vertical="center"/>
    </xf>
    <xf applyAlignment="true" applyBorder="false" applyFill="false" applyFont="true" applyNumberFormat="true" applyProtection="false" borderId="7" fillId="0" fontId="3" numFmtId="182" xfId="0">
      <alignment horizontal="center" vertical="center"/>
    </xf>
    <xf applyAlignment="true" applyBorder="false" applyFill="false" applyFont="true" applyNumberFormat="true" applyProtection="false" borderId="7" fillId="0" fontId="4" numFmtId="177" xfId="0">
      <alignment horizontal="center" vertical="center"/>
    </xf>
    <xf applyAlignment="true" applyBorder="false" applyFill="false" applyFont="true" applyNumberFormat="true" applyProtection="false" borderId="10" fillId="0" fontId="4" numFmtId="181" xfId="0">
      <alignment horizontal="center" vertical="center"/>
    </xf>
    <xf applyAlignment="true" applyBorder="false" applyFill="true" applyFont="true" applyNumberFormat="true" applyProtection="false" borderId="10" fillId="19" fontId="1" numFmtId="181" xfId="0">
      <alignment horizontal="center" vertical="center"/>
    </xf>
    <xf applyAlignment="true" applyBorder="false" applyFill="true" applyFont="true" applyNumberFormat="true" applyProtection="false" borderId="10" fillId="20" fontId="5" numFmtId="181" xfId="0">
      <alignment horizontal="center" vertical="center"/>
    </xf>
    <xf applyAlignment="true" applyBorder="false" applyFill="false" applyFont="true" applyNumberFormat="true" applyProtection="false" borderId="13" fillId="0" fontId="4" numFmtId="183" xfId="0">
      <alignment horizontal="center" vertical="center"/>
    </xf>
    <xf applyAlignment="true" applyBorder="false" applyFill="false" applyFont="true" applyNumberFormat="true" applyProtection="false" borderId="14" fillId="0" fontId="4" numFmtId="183" xfId="0">
      <alignment horizontal="center" vertical="center"/>
    </xf>
    <xf applyAlignment="true" applyBorder="false" applyFill="true" applyFont="true" applyNumberFormat="false" applyProtection="false" borderId="0" fillId="21" fontId="8" numFmtId="0" xfId="0">
      <alignment vertical="center"/>
    </xf>
    <xf applyAlignment="true" applyBorder="false" applyFill="true" applyFont="true" applyNumberFormat="false" applyProtection="false" borderId="0" fillId="21" fontId="8" numFmtId="0" xfId="0">
      <alignment vertical="center"/>
    </xf>
    <xf applyAlignment="true" applyBorder="false" applyFill="true" applyFont="true" applyNumberFormat="true" applyProtection="false" borderId="15" fillId="22" fontId="9" numFmtId="183" xfId="0">
      <alignment horizontal="center" vertical="center"/>
    </xf>
    <xf applyAlignment="true" applyBorder="false" applyFill="true" applyFont="true" applyNumberFormat="false" applyProtection="false" borderId="0" fillId="23" fontId="8" numFmtId="0" xfId="0">
      <alignment vertical="center"/>
    </xf>
    <xf applyAlignment="true" applyBorder="false" applyFill="true" applyFont="true" applyNumberFormat="false" applyProtection="false" borderId="0" fillId="24" fontId="8" numFmtId="0" xfId="0">
      <alignment vertical="center"/>
    </xf>
    <xf applyAlignment="true" applyBorder="false" applyFill="true" applyFont="true" applyNumberFormat="true" applyProtection="false" borderId="0" fillId="22" fontId="10" numFmtId="183" xfId="0">
      <alignment horizontal="center" vertical="center"/>
    </xf>
    <xf applyAlignment="true" applyBorder="false" applyFill="true" applyFont="true" applyNumberFormat="true" applyProtection="false" borderId="0" fillId="22" fontId="10" numFmtId="183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23" fontId="8" numFmtId="0" xfId="0">
      <alignment vertical="center"/>
    </xf>
    <xf applyAlignment="true" applyBorder="false" applyFill="false" applyFont="true" applyNumberFormat="true" applyProtection="false" borderId="0" fillId="0" fontId="8" numFmtId="177" xfId="0">
      <alignment vertical="center"/>
    </xf>
    <xf applyAlignment="true" applyBorder="false" applyFill="true" applyFont="true" applyNumberFormat="false" applyProtection="false" borderId="16" fillId="25" fontId="1" numFmtId="0" xfId="0">
      <alignment horizontal="center" vertical="center"/>
    </xf>
    <xf applyAlignment="true" applyBorder="false" applyFill="true" applyFont="true" applyNumberFormat="true" applyProtection="false" borderId="16" fillId="26" fontId="1" numFmtId="186" xfId="0">
      <alignment horizontal="center" vertical="center"/>
    </xf>
    <xf applyAlignment="true" applyBorder="false" applyFill="true" applyFont="true" applyNumberFormat="true" applyProtection="false" borderId="17" fillId="27" fontId="1" numFmtId="186" xfId="0">
      <alignment horizontal="center" vertical="center"/>
    </xf>
    <xf applyAlignment="true" applyBorder="false" applyFill="true" applyFont="true" applyNumberFormat="true" applyProtection="false" borderId="16" fillId="26" fontId="2" numFmtId="187" xfId="0">
      <alignment horizontal="center" vertical="center"/>
    </xf>
    <xf applyAlignment="true" applyBorder="false" applyFill="true" applyFont="true" applyNumberFormat="true" applyProtection="false" borderId="16" fillId="26" fontId="2" numFmtId="188" xfId="0">
      <alignment horizontal="center" vertical="center"/>
    </xf>
    <xf applyAlignment="true" applyBorder="false" applyFill="true" applyFont="true" applyNumberFormat="true" applyProtection="false" borderId="16" fillId="28" fontId="3" numFmtId="18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6" fillId="26" fontId="1" numFmtId="0" xfId="0">
      <alignment horizontal="center" vertical="center"/>
    </xf>
    <xf applyAlignment="true" applyBorder="false" applyFill="true" applyFont="true" applyNumberFormat="true" applyProtection="false" borderId="16" fillId="26" fontId="1" numFmtId="190" xfId="0">
      <alignment horizontal="center" vertical="center"/>
    </xf>
    <xf applyAlignment="true" applyBorder="false" applyFill="true" applyFont="true" applyNumberFormat="true" applyProtection="false" borderId="16" fillId="27" fontId="1" numFmtId="186" xfId="0">
      <alignment horizontal="center" vertical="center"/>
    </xf>
    <xf applyAlignment="true" applyBorder="false" applyFill="true" applyFont="true" applyNumberFormat="true" applyProtection="false" borderId="16" fillId="27" fontId="1" numFmtId="191" xfId="0">
      <alignment horizontal="center" vertical="center"/>
    </xf>
    <xf applyAlignment="true" applyBorder="false" applyFill="false" applyFont="true" applyNumberFormat="true" applyProtection="false" borderId="16" fillId="0" fontId="4" numFmtId="187" xfId="0">
      <alignment horizontal="center" vertical="center"/>
    </xf>
    <xf applyAlignment="true" applyBorder="false" applyFill="true" applyFont="true" applyNumberFormat="true" applyProtection="false" borderId="16" fillId="29" fontId="4" numFmtId="188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horizontal="center" vertical="center"/>
    </xf>
    <xf applyAlignment="true" applyBorder="false" applyFill="false" applyFont="true" applyNumberFormat="true" applyProtection="false" borderId="16" fillId="0" fontId="3" numFmtId="192" xfId="0">
      <alignment horizontal="center" vertical="center"/>
    </xf>
    <xf applyAlignment="true" applyBorder="false" applyFill="false" applyFont="true" applyNumberFormat="true" applyProtection="false" borderId="18" fillId="0" fontId="4" numFmtId="193" xfId="0">
      <alignment horizontal="center" vertical="center"/>
    </xf>
    <xf applyAlignment="true" applyBorder="false" applyFill="false" applyFont="true" applyNumberFormat="true" applyProtection="false" borderId="16" fillId="0" fontId="4" numFmtId="193" xfId="0">
      <alignment horizontal="center" vertical="center"/>
    </xf>
    <xf applyAlignment="true" applyBorder="false" applyFill="false" applyFont="true" applyNumberFormat="true" applyProtection="false" borderId="16" fillId="0" fontId="4" numFmtId="193" xfId="0">
      <alignment horizontal="center" vertical="center"/>
    </xf>
    <xf applyAlignment="true" applyBorder="false" applyFill="false" applyFont="true" applyNumberFormat="true" applyProtection="false" borderId="16" fillId="0" fontId="4" numFmtId="190" xfId="0">
      <alignment horizontal="center" vertical="center"/>
    </xf>
    <xf applyAlignment="true" applyBorder="false" applyFill="true" applyFont="true" applyNumberFormat="true" applyProtection="false" borderId="16" fillId="30" fontId="5" numFmtId="194" xfId="0">
      <alignment horizontal="center" vertical="center"/>
    </xf>
    <xf applyAlignment="true" applyBorder="false" applyFill="false" applyFont="true" applyNumberFormat="true" applyProtection="false" borderId="17" fillId="0" fontId="4" numFmtId="191" xfId="0">
      <alignment horizontal="center" vertical="center"/>
    </xf>
    <xf applyAlignment="true" applyBorder="false" applyFill="false" applyFont="true" applyNumberFormat="true" applyProtection="false" borderId="16" fillId="0" fontId="4" numFmtId="186" xfId="0">
      <alignment horizontal="center" vertical="center"/>
    </xf>
    <xf applyAlignment="true" applyBorder="false" applyFill="false" applyFont="true" applyNumberFormat="true" applyProtection="false" borderId="16" fillId="0" fontId="4" numFmtId="191" xfId="0">
      <alignment horizontal="center" vertical="center"/>
    </xf>
    <xf applyAlignment="true" applyBorder="false" applyFill="false" applyFont="true" applyNumberFormat="true" applyProtection="false" borderId="16" fillId="0" fontId="4" numFmtId="186" xfId="0">
      <alignment horizontal="center" vertical="bottom"/>
    </xf>
    <xf applyAlignment="true" applyBorder="false" applyFill="false" applyFont="true" applyNumberFormat="true" applyProtection="false" borderId="16" fillId="0" fontId="5" numFmtId="187" xfId="0">
      <alignment horizontal="center" vertical="center"/>
    </xf>
    <xf applyAlignment="true" applyBorder="false" applyFill="false" applyFont="true" applyNumberFormat="true" applyProtection="false" borderId="16" fillId="0" fontId="4" numFmtId="187" xfId="0">
      <alignment horizontal="center" vertical="bottom"/>
    </xf>
    <xf applyAlignment="true" applyBorder="false" applyFill="false" applyFont="true" applyNumberFormat="true" applyProtection="false" borderId="16" fillId="0" fontId="4" numFmtId="187" xfId="0">
      <alignment horizontal="center" vertical="bottom"/>
    </xf>
    <xf applyAlignment="true" applyBorder="false" applyFill="false" applyFont="true" applyNumberFormat="true" applyProtection="false" borderId="16" fillId="0" fontId="3" numFmtId="193" xfId="0">
      <alignment horizontal="center" vertical="center"/>
    </xf>
    <xf applyAlignment="true" applyBorder="false" applyFill="false" applyFont="true" applyNumberFormat="true" applyProtection="false" borderId="16" fillId="0" fontId="3" numFmtId="193" xfId="0">
      <alignment horizontal="center" vertical="center"/>
    </xf>
    <xf applyAlignment="true" applyBorder="false" applyFill="false" applyFont="true" applyNumberFormat="true" applyProtection="false" borderId="19" fillId="0" fontId="4" numFmtId="193" xfId="0">
      <alignment horizontal="center" vertical="center"/>
    </xf>
    <xf applyAlignment="true" applyBorder="false" applyFill="true" applyFont="true" applyNumberFormat="true" applyProtection="false" borderId="16" fillId="31" fontId="1" numFmtId="193" xfId="0">
      <alignment horizontal="center" vertical="center"/>
    </xf>
    <xf applyAlignment="true" applyBorder="false" applyFill="true" applyFont="true" applyNumberFormat="true" applyProtection="false" borderId="16" fillId="31" fontId="5" numFmtId="194" xfId="0">
      <alignment horizontal="center" vertical="center"/>
    </xf>
    <xf applyAlignment="true" applyBorder="false" applyFill="true" applyFont="true" applyNumberFormat="true" applyProtection="false" borderId="17" fillId="31" fontId="1" numFmtId="191" xfId="0">
      <alignment horizontal="center" vertical="center"/>
    </xf>
    <xf applyAlignment="true" applyBorder="false" applyFill="true" applyFont="true" applyNumberFormat="true" applyProtection="false" borderId="16" fillId="31" fontId="1" numFmtId="186" xfId="0">
      <alignment horizontal="center" vertical="center"/>
    </xf>
    <xf applyAlignment="true" applyBorder="false" applyFill="true" applyFont="true" applyNumberFormat="true" applyProtection="false" borderId="16" fillId="31" fontId="1" numFmtId="191" xfId="0">
      <alignment horizontal="center" vertical="center"/>
    </xf>
    <xf applyAlignment="true" applyBorder="false" applyFill="true" applyFont="true" applyNumberFormat="true" applyProtection="false" borderId="16" fillId="31" fontId="1" numFmtId="186" xfId="0">
      <alignment horizontal="center" vertical="bottom"/>
    </xf>
    <xf applyAlignment="true" applyBorder="false" applyFill="true" applyFont="true" applyNumberFormat="true" applyProtection="false" borderId="16" fillId="31" fontId="5" numFmtId="187" xfId="0">
      <alignment horizontal="center" vertical="center"/>
    </xf>
    <xf applyAlignment="true" applyBorder="false" applyFill="true" applyFont="true" applyNumberFormat="true" applyProtection="false" borderId="16" fillId="32" fontId="5" numFmtId="193" xfId="0">
      <alignment horizontal="center" vertical="center"/>
    </xf>
    <xf applyAlignment="true" applyBorder="false" applyFill="true" applyFont="true" applyNumberFormat="true" applyProtection="false" borderId="16" fillId="32" fontId="5" numFmtId="194" xfId="0">
      <alignment horizontal="center" vertical="center"/>
    </xf>
    <xf applyAlignment="true" applyBorder="false" applyFill="true" applyFont="true" applyNumberFormat="true" applyProtection="false" borderId="17" fillId="32" fontId="5" numFmtId="191" xfId="0">
      <alignment horizontal="center" vertical="center"/>
    </xf>
    <xf applyAlignment="true" applyBorder="false" applyFill="true" applyFont="true" applyNumberFormat="true" applyProtection="false" borderId="16" fillId="32" fontId="5" numFmtId="191" xfId="0">
      <alignment horizontal="center" vertical="center"/>
    </xf>
    <xf applyAlignment="true" applyBorder="false" applyFill="true" applyFont="true" applyNumberFormat="true" applyProtection="false" borderId="16" fillId="32" fontId="5" numFmtId="186" xfId="0">
      <alignment horizontal="center" vertical="center"/>
    </xf>
    <xf applyAlignment="true" applyBorder="false" applyFill="true" applyFont="true" applyNumberFormat="true" applyProtection="false" borderId="16" fillId="32" fontId="5" numFmtId="187" xfId="0">
      <alignment horizontal="center" vertical="center"/>
    </xf>
    <xf applyAlignment="true" applyBorder="false" applyFill="true" applyFont="true" applyNumberFormat="true" applyProtection="false" borderId="16" fillId="32" fontId="5" numFmtId="195" xfId="0">
      <alignment horizontal="center" vertical="center"/>
    </xf>
    <xf applyAlignment="true" applyBorder="false" applyFill="true" applyFont="true" applyNumberFormat="false" applyProtection="false" borderId="0" fillId="33" fontId="8" numFmtId="0" xfId="0">
      <alignment vertical="center"/>
    </xf>
    <xf applyAlignment="true" applyBorder="false" applyFill="true" applyFont="true" applyNumberFormat="false" applyProtection="false" borderId="0" fillId="33" fontId="8" numFmtId="0" xfId="0">
      <alignment vertical="center"/>
    </xf>
    <xf applyAlignment="true" applyBorder="false" applyFill="true" applyFont="true" applyNumberFormat="true" applyProtection="false" borderId="20" fillId="34" fontId="9" numFmtId="193" xfId="0">
      <alignment horizontal="center" vertical="center"/>
    </xf>
    <xf applyAlignment="true" applyBorder="false" applyFill="true" applyFont="true" applyNumberFormat="false" applyProtection="false" borderId="0" fillId="35" fontId="8" numFmtId="0" xfId="0">
      <alignment vertical="center"/>
    </xf>
    <xf applyAlignment="true" applyBorder="false" applyFill="true" applyFont="true" applyNumberFormat="false" applyProtection="false" borderId="0" fillId="36" fontId="8" numFmtId="0" xfId="0">
      <alignment vertical="center"/>
    </xf>
    <xf applyAlignment="true" applyBorder="false" applyFill="true" applyFont="true" applyNumberFormat="true" applyProtection="false" borderId="0" fillId="34" fontId="10" numFmtId="193" xfId="0">
      <alignment horizontal="center" vertical="center"/>
    </xf>
    <xf applyAlignment="true" applyBorder="false" applyFill="true" applyFont="true" applyNumberFormat="true" applyProtection="false" borderId="0" fillId="34" fontId="10" numFmtId="193" xfId="0">
      <alignment horizontal="center" vertical="center"/>
    </xf>
    <xf applyAlignment="true" applyBorder="false" applyFill="true" applyFont="true" applyNumberFormat="false" applyProtection="false" borderId="0" fillId="35" fontId="8" numFmtId="0" xfId="0">
      <alignment vertical="center"/>
    </xf>
    <xf applyAlignment="true" applyBorder="false" applyFill="true" applyFont="true" applyNumberFormat="false" applyProtection="false" borderId="19" fillId="25" fontId="1" numFmtId="0" xfId="0">
      <alignment horizontal="center" vertical="center"/>
    </xf>
    <xf applyAlignment="true" applyBorder="false" applyFill="true" applyFont="true" applyNumberFormat="true" applyProtection="false" borderId="19" fillId="26" fontId="1" numFmtId="186" xfId="0">
      <alignment horizontal="center" vertical="center"/>
    </xf>
    <xf applyAlignment="true" applyBorder="false" applyFill="true" applyFont="true" applyNumberFormat="true" applyProtection="false" borderId="21" fillId="27" fontId="1" numFmtId="186" xfId="0">
      <alignment horizontal="center" vertical="center"/>
    </xf>
    <xf applyAlignment="true" applyBorder="false" applyFill="true" applyFont="true" applyNumberFormat="true" applyProtection="false" borderId="19" fillId="26" fontId="2" numFmtId="187" xfId="0">
      <alignment horizontal="center" vertical="center"/>
    </xf>
    <xf applyAlignment="true" applyBorder="false" applyFill="true" applyFont="true" applyNumberFormat="true" applyProtection="false" borderId="19" fillId="26" fontId="2" numFmtId="188" xfId="0">
      <alignment horizontal="center" vertical="center"/>
    </xf>
    <xf applyAlignment="true" applyBorder="false" applyFill="true" applyFont="true" applyNumberFormat="true" applyProtection="false" borderId="19" fillId="28" fontId="3" numFmtId="189" xfId="0">
      <alignment horizontal="center" vertical="center"/>
    </xf>
    <xf applyAlignment="true" applyBorder="false" applyFill="true" applyFont="true" applyNumberFormat="false" applyProtection="false" borderId="19" fillId="26" fontId="1" numFmtId="0" xfId="0">
      <alignment horizontal="center" vertical="center"/>
    </xf>
    <xf applyAlignment="true" applyBorder="false" applyFill="true" applyFont="true" applyNumberFormat="true" applyProtection="false" borderId="19" fillId="26" fontId="1" numFmtId="190" xfId="0">
      <alignment horizontal="center" vertical="center"/>
    </xf>
    <xf applyAlignment="true" applyBorder="false" applyFill="true" applyFont="true" applyNumberFormat="true" applyProtection="false" borderId="19" fillId="26" fontId="1" numFmtId="186" xfId="0">
      <alignment horizontal="center" vertical="center"/>
    </xf>
    <xf applyAlignment="true" applyBorder="false" applyFill="true" applyFont="true" applyNumberFormat="true" applyProtection="false" borderId="19" fillId="27" fontId="1" numFmtId="186" xfId="0">
      <alignment horizontal="center" vertical="center"/>
    </xf>
    <xf applyAlignment="true" applyBorder="false" applyFill="true" applyFont="true" applyNumberFormat="true" applyProtection="false" borderId="19" fillId="27" fontId="1" numFmtId="191" xfId="0">
      <alignment horizontal="center" vertical="center"/>
    </xf>
    <xf applyAlignment="true" applyBorder="false" applyFill="false" applyFont="true" applyNumberFormat="true" applyProtection="false" borderId="19" fillId="0" fontId="4" numFmtId="187" xfId="0">
      <alignment horizontal="center" vertical="center"/>
    </xf>
    <xf applyAlignment="true" applyBorder="false" applyFill="true" applyFont="true" applyNumberFormat="true" applyProtection="false" borderId="19" fillId="29" fontId="4" numFmtId="188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/>
    </xf>
    <xf applyAlignment="true" applyBorder="false" applyFill="false" applyFont="true" applyNumberFormat="true" applyProtection="false" borderId="19" fillId="0" fontId="3" numFmtId="192" xfId="0">
      <alignment horizontal="center" vertical="center"/>
    </xf>
    <xf applyAlignment="true" applyBorder="false" applyFill="true" applyFont="true" applyNumberFormat="true" applyProtection="false" borderId="21" fillId="37" fontId="4" numFmtId="197" xfId="0">
      <alignment horizontal="center" vertical="center"/>
    </xf>
    <xf applyAlignment="true" applyBorder="false" applyFill="false" applyFont="true" applyNumberFormat="true" applyProtection="false" borderId="19" fillId="0" fontId="4" numFmtId="193" xfId="0">
      <alignment horizontal="center" vertical="center"/>
    </xf>
    <xf applyAlignment="true" applyBorder="false" applyFill="false" applyFont="true" applyNumberFormat="true" applyProtection="false" borderId="19" fillId="0" fontId="4" numFmtId="190" xfId="0">
      <alignment horizontal="center" vertical="center"/>
    </xf>
    <xf applyAlignment="true" applyBorder="false" applyFill="true" applyFont="true" applyNumberFormat="true" applyProtection="false" borderId="19" fillId="30" fontId="5" numFmtId="194" xfId="0">
      <alignment horizontal="center" vertical="center"/>
    </xf>
    <xf applyAlignment="true" applyBorder="false" applyFill="false" applyFont="true" applyNumberFormat="true" applyProtection="false" borderId="21" fillId="0" fontId="4" numFmtId="191" xfId="0">
      <alignment horizontal="center" vertical="center"/>
    </xf>
    <xf applyAlignment="true" applyBorder="false" applyFill="false" applyFont="true" applyNumberFormat="true" applyProtection="false" borderId="19" fillId="0" fontId="4" numFmtId="186" xfId="0">
      <alignment horizontal="center" vertical="center"/>
    </xf>
    <xf applyAlignment="true" applyBorder="false" applyFill="false" applyFont="true" applyNumberFormat="true" applyProtection="false" borderId="19" fillId="0" fontId="4" numFmtId="191" xfId="0">
      <alignment horizontal="center" vertical="center"/>
    </xf>
    <xf applyAlignment="true" applyBorder="false" applyFill="false" applyFont="true" applyNumberFormat="true" applyProtection="false" borderId="19" fillId="0" fontId="4" numFmtId="186" xfId="0">
      <alignment horizontal="center" vertical="bottom"/>
    </xf>
    <xf applyAlignment="true" applyBorder="false" applyFill="false" applyFont="true" applyNumberFormat="true" applyProtection="false" borderId="19" fillId="0" fontId="5" numFmtId="187" xfId="0">
      <alignment horizontal="center" vertical="center"/>
    </xf>
    <xf applyAlignment="true" applyBorder="false" applyFill="false" applyFont="true" applyNumberFormat="true" applyProtection="false" borderId="19" fillId="0" fontId="4" numFmtId="187" xfId="0">
      <alignment horizontal="center" vertical="bottom"/>
    </xf>
    <xf applyAlignment="true" applyBorder="false" applyFill="false" applyFont="true" applyNumberFormat="true" applyProtection="false" borderId="19" fillId="0" fontId="4" numFmtId="187" xfId="0">
      <alignment horizontal="center" vertical="bottom"/>
    </xf>
    <xf applyAlignment="true" applyBorder="false" applyFill="false" applyFont="true" applyNumberFormat="true" applyProtection="false" borderId="19" fillId="0" fontId="3" numFmtId="193" xfId="0">
      <alignment horizontal="center" vertical="center"/>
    </xf>
    <xf applyAlignment="true" applyBorder="false" applyFill="false" applyFont="true" applyNumberFormat="true" applyProtection="false" borderId="19" fillId="0" fontId="3" numFmtId="193" xfId="0">
      <alignment horizontal="center" vertical="center"/>
    </xf>
    <xf applyAlignment="true" applyBorder="false" applyFill="true" applyFont="true" applyNumberFormat="true" applyProtection="false" borderId="0" fillId="34" fontId="6" numFmtId="193" xfId="0">
      <alignment horizontal="center" vertical="center" wrapText="true"/>
    </xf>
    <xf applyAlignment="true" applyBorder="false" applyFill="true" applyFont="true" applyNumberFormat="true" applyProtection="false" borderId="19" fillId="31" fontId="1" numFmtId="193" xfId="0">
      <alignment horizontal="center" vertical="center"/>
    </xf>
    <xf applyAlignment="true" applyBorder="false" applyFill="true" applyFont="true" applyNumberFormat="true" applyProtection="false" borderId="19" fillId="31" fontId="5" numFmtId="194" xfId="0">
      <alignment horizontal="center" vertical="center"/>
    </xf>
    <xf applyAlignment="true" applyBorder="false" applyFill="true" applyFont="true" applyNumberFormat="true" applyProtection="false" borderId="21" fillId="31" fontId="1" numFmtId="191" xfId="0">
      <alignment horizontal="center" vertical="center"/>
    </xf>
    <xf applyAlignment="true" applyBorder="false" applyFill="true" applyFont="true" applyNumberFormat="true" applyProtection="false" borderId="19" fillId="31" fontId="1" numFmtId="186" xfId="0">
      <alignment horizontal="center" vertical="center"/>
    </xf>
    <xf applyAlignment="true" applyBorder="false" applyFill="true" applyFont="true" applyNumberFormat="true" applyProtection="false" borderId="19" fillId="31" fontId="1" numFmtId="191" xfId="0">
      <alignment horizontal="center" vertical="center"/>
    </xf>
    <xf applyAlignment="true" applyBorder="false" applyFill="true" applyFont="true" applyNumberFormat="true" applyProtection="false" borderId="19" fillId="31" fontId="1" numFmtId="186" xfId="0">
      <alignment horizontal="center" vertical="bottom"/>
    </xf>
    <xf applyAlignment="true" applyBorder="false" applyFill="true" applyFont="true" applyNumberFormat="true" applyProtection="false" borderId="19" fillId="31" fontId="5" numFmtId="187" xfId="0">
      <alignment horizontal="center" vertical="center"/>
    </xf>
    <xf applyAlignment="true" applyBorder="false" applyFill="false" applyFont="true" applyNumberFormat="true" applyProtection="false" borderId="19" fillId="0" fontId="4" numFmtId="187" xfId="0">
      <alignment horizontal="center" vertical="bottom"/>
    </xf>
    <xf applyAlignment="true" applyBorder="false" applyFill="true" applyFont="true" applyNumberFormat="true" applyProtection="false" borderId="22" fillId="37" fontId="4" numFmtId="197" xfId="0">
      <alignment horizontal="center" vertical="center"/>
    </xf>
    <xf applyAlignment="true" applyBorder="false" applyFill="false" applyFont="true" applyNumberFormat="true" applyProtection="false" borderId="21" fillId="0" fontId="4" numFmtId="193" xfId="0">
      <alignment horizontal="center" vertical="center"/>
    </xf>
    <xf applyAlignment="true" applyBorder="false" applyFill="true" applyFont="true" applyNumberFormat="true" applyProtection="false" borderId="19" fillId="32" fontId="5" numFmtId="193" xfId="0">
      <alignment horizontal="center" vertical="center"/>
    </xf>
    <xf applyAlignment="true" applyBorder="false" applyFill="true" applyFont="true" applyNumberFormat="true" applyProtection="false" borderId="19" fillId="32" fontId="5" numFmtId="194" xfId="0">
      <alignment horizontal="center" vertical="center"/>
    </xf>
    <xf applyAlignment="true" applyBorder="false" applyFill="true" applyFont="true" applyNumberFormat="true" applyProtection="false" borderId="21" fillId="32" fontId="5" numFmtId="191" xfId="0">
      <alignment horizontal="center" vertical="center"/>
    </xf>
    <xf applyAlignment="true" applyBorder="false" applyFill="true" applyFont="true" applyNumberFormat="true" applyProtection="false" borderId="19" fillId="32" fontId="5" numFmtId="191" xfId="0">
      <alignment horizontal="center" vertical="center"/>
    </xf>
    <xf applyAlignment="true" applyBorder="false" applyFill="true" applyFont="true" applyNumberFormat="true" applyProtection="false" borderId="19" fillId="32" fontId="5" numFmtId="186" xfId="0">
      <alignment horizontal="center" vertical="center"/>
    </xf>
    <xf applyAlignment="true" applyBorder="false" applyFill="true" applyFont="true" applyNumberFormat="true" applyProtection="false" borderId="19" fillId="32" fontId="5" numFmtId="187" xfId="0">
      <alignment horizontal="center" vertical="center"/>
    </xf>
    <xf applyAlignment="true" applyBorder="false" applyFill="true" applyFont="true" applyNumberFormat="true" applyProtection="false" borderId="19" fillId="32" fontId="5" numFmtId="195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calcChain.xml" Type="http://schemas.openxmlformats.org/officeDocument/2006/relationships/calcChain"></Relationship><Relationship Id="rId9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5" min="25" style="0" width="11.211267605633802"/>
    <col collapsed="false" customWidth="true" hidden="false" max="26" min="26" style="0" width="11.211267605633802"/>
    <col collapsed="false" customWidth="true" hidden="false" max="27" min="27" style="0" width="11.211267605633802"/>
    <col collapsed="false" customWidth="true" hidden="false" max="28" min="28" style="0" width="11.211267605633802"/>
    <col collapsed="false" customWidth="true" hidden="false" max="29" min="29" style="0" width="11.211267605633802"/>
    <col collapsed="false" customWidth="true" hidden="false" max="7" min="7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3" t="s">
        <v>3</v>
      </c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5"/>
      <c r="Y1" s="5"/>
      <c r="Z1" s="5"/>
      <c r="AA1" s="5"/>
      <c r="AB1" s="5"/>
      <c r="AC1" s="5"/>
      <c r="AD1" s="5"/>
      <c r="AE1" s="6" t="s">
        <v>4</v>
      </c>
      <c r="AF1" s="7"/>
      <c r="AG1" s="7"/>
    </row>
    <row r="2">
      <c r="A2" s="1" t="s">
        <v>5</v>
      </c>
      <c r="B2" s="1" t="s">
        <v>6</v>
      </c>
      <c r="C2" s="1" t="s">
        <v>7</v>
      </c>
      <c r="D2" s="2" t="s">
        <v>8</v>
      </c>
      <c r="E2" s="8" t="s">
        <v>9</v>
      </c>
      <c r="F2" s="8" t="s">
        <v>10</v>
      </c>
      <c r="G2" s="8"/>
      <c r="H2" s="9" t="s">
        <v>11</v>
      </c>
      <c r="I2" s="2" t="s">
        <v>12</v>
      </c>
      <c r="J2" s="8" t="s">
        <v>13</v>
      </c>
      <c r="K2" s="3" t="s">
        <v>14</v>
      </c>
      <c r="L2" s="10" t="s">
        <v>15</v>
      </c>
      <c r="M2" s="11" t="s">
        <v>16</v>
      </c>
      <c r="N2" s="11" t="s">
        <v>17</v>
      </c>
      <c r="O2" s="10" t="s">
        <v>18</v>
      </c>
      <c r="P2" s="11" t="s">
        <v>19</v>
      </c>
      <c r="Q2" s="11" t="s">
        <v>20</v>
      </c>
      <c r="R2" s="10" t="s">
        <v>21</v>
      </c>
      <c r="S2" s="11" t="s">
        <v>22</v>
      </c>
      <c r="T2" s="10" t="s">
        <v>23</v>
      </c>
      <c r="U2" s="12" t="s">
        <v>24</v>
      </c>
      <c r="V2" s="12" t="s">
        <v>25</v>
      </c>
      <c r="W2" s="12" t="s">
        <v>26</v>
      </c>
      <c r="X2" s="13" t="s">
        <v>27</v>
      </c>
      <c r="Y2" s="14" t="s">
        <v>28</v>
      </c>
      <c r="Z2" s="14" t="s">
        <v>29</v>
      </c>
      <c r="AA2" s="14" t="s">
        <v>30</v>
      </c>
      <c r="AB2" s="14" t="s">
        <v>31</v>
      </c>
      <c r="AC2" s="14" t="s">
        <v>32</v>
      </c>
      <c r="AD2" s="14" t="s">
        <v>33</v>
      </c>
      <c r="AE2" s="6"/>
      <c r="AF2" s="7"/>
      <c r="AG2" s="7"/>
    </row>
    <row r="3">
      <c r="A3" s="15">
        <v>46296</v>
      </c>
      <c r="B3" s="16" t="s">
        <v>34</v>
      </c>
      <c r="C3" s="17" t="s">
        <v>35</v>
      </c>
      <c r="D3" s="18">
        <f t="shared" ref="D3:D6" si="26">E3+F3</f>
      </c>
      <c r="E3" s="18">
        <v>2264.99</v>
      </c>
      <c r="F3" s="18">
        <v>354.15</v>
      </c>
      <c r="G3" s="18"/>
      <c r="H3" s="19">
        <v>1</v>
      </c>
      <c r="I3" s="17">
        <v>561.5999999999999</v>
      </c>
      <c r="J3" s="20">
        <f t="shared" ref="J3:J13" si="213">I3/D3</f>
      </c>
      <c r="K3" s="21">
        <f t="shared" ref="K3:K13" si="137">Z3/Y3</f>
      </c>
      <c r="L3" s="22">
        <f t="shared" ref="L3:L13" si="80">D3/AA3</f>
      </c>
      <c r="M3" s="23">
        <f t="shared" ref="M3:M13" si="156">AB3/AA3</f>
      </c>
      <c r="N3" s="23">
        <f t="shared" ref="N3:N13" si="42">AC3/AA3</f>
      </c>
      <c r="O3" s="22">
        <f t="shared" ref="O3:O13" si="232">D3/AC3</f>
      </c>
      <c r="P3" s="23">
        <f t="shared" ref="P3:P13" si="175">AD3/AC3</f>
      </c>
      <c r="Q3" s="23">
        <f t="shared" ref="Q3:Q13" si="99">H3/AD3</f>
      </c>
      <c r="R3" s="22">
        <f t="shared" ref="R3:R13" si="61">D3/H3</f>
      </c>
      <c r="S3" s="24">
        <f t="shared" ref="S3:S13" si="251">I3/H3</f>
      </c>
      <c r="T3" s="22">
        <f t="shared" ref="T3:T13" si="194">D3/X3</f>
      </c>
      <c r="U3" s="25">
        <f t="shared" ref="U3:U13" si="118">AE3*1000/D3</f>
      </c>
      <c r="V3" s="26" t="s">
        <v>36</v>
      </c>
      <c r="W3" s="26" t="s">
        <v>37</v>
      </c>
      <c r="X3" s="27">
        <v>1</v>
      </c>
      <c r="Y3" s="27">
        <v>7376</v>
      </c>
      <c r="Z3" s="27">
        <v>478</v>
      </c>
      <c r="AA3" s="27">
        <v>666</v>
      </c>
      <c r="AB3" s="27">
        <v>207</v>
      </c>
      <c r="AC3" s="27">
        <v>14</v>
      </c>
      <c r="AD3" s="28">
        <v>4</v>
      </c>
      <c r="AE3" s="28">
        <v>22</v>
      </c>
      <c r="AF3" s="7"/>
      <c r="AG3" s="7"/>
    </row>
    <row r="4">
      <c r="A4" s="15"/>
      <c r="B4" s="29" t="s">
        <v>38</v>
      </c>
      <c r="C4" s="17" t="s">
        <v>35</v>
      </c>
      <c r="D4" s="18">
        <f t="shared" si="26"/>
      </c>
      <c r="E4" s="18">
        <v>3771.97</v>
      </c>
      <c r="F4" s="18">
        <v>624.99</v>
      </c>
      <c r="G4" s="18"/>
      <c r="H4" s="19">
        <v>3</v>
      </c>
      <c r="I4" s="17">
        <v>8967.6</v>
      </c>
      <c r="J4" s="20">
        <f t="shared" si="213"/>
      </c>
      <c r="K4" s="21">
        <f t="shared" si="137"/>
      </c>
      <c r="L4" s="22">
        <f t="shared" si="80"/>
      </c>
      <c r="M4" s="23">
        <f t="shared" si="156"/>
      </c>
      <c r="N4" s="23">
        <f t="shared" si="42"/>
      </c>
      <c r="O4" s="22">
        <f t="shared" si="232"/>
      </c>
      <c r="P4" s="23">
        <f t="shared" si="175"/>
      </c>
      <c r="Q4" s="23">
        <f t="shared" si="99"/>
      </c>
      <c r="R4" s="22">
        <f t="shared" si="61"/>
      </c>
      <c r="S4" s="24">
        <f t="shared" si="251"/>
      </c>
      <c r="T4" s="22">
        <f t="shared" si="194"/>
      </c>
      <c r="U4" s="25">
        <f t="shared" si="118"/>
      </c>
      <c r="V4" s="26" t="s">
        <v>36</v>
      </c>
      <c r="W4" s="26" t="s">
        <v>37</v>
      </c>
      <c r="X4" s="27">
        <v>2</v>
      </c>
      <c r="Y4" s="27">
        <v>16486</v>
      </c>
      <c r="Z4" s="27">
        <v>900</v>
      </c>
      <c r="AA4" s="27">
        <v>1291</v>
      </c>
      <c r="AB4" s="27">
        <v>365</v>
      </c>
      <c r="AC4" s="27">
        <v>24</v>
      </c>
      <c r="AD4" s="28">
        <v>3</v>
      </c>
      <c r="AE4" s="28">
        <v>46</v>
      </c>
      <c r="AF4" s="7"/>
      <c r="AG4" s="7"/>
    </row>
    <row r="5">
      <c r="A5" s="15"/>
      <c r="B5" s="29" t="s">
        <v>39</v>
      </c>
      <c r="C5" s="17" t="s">
        <v>35</v>
      </c>
      <c r="D5" s="18">
        <f t="shared" si="26"/>
      </c>
      <c r="E5" s="18">
        <v>2978.53</v>
      </c>
      <c r="F5" s="18">
        <v>465.61</v>
      </c>
      <c r="G5" s="18"/>
      <c r="H5" s="19">
        <v>1</v>
      </c>
      <c r="I5" s="17">
        <v>807.9599999999991</v>
      </c>
      <c r="J5" s="20">
        <f t="shared" si="213"/>
      </c>
      <c r="K5" s="21">
        <f t="shared" si="137"/>
      </c>
      <c r="L5" s="22">
        <f t="shared" si="80"/>
      </c>
      <c r="M5" s="23">
        <f t="shared" si="156"/>
      </c>
      <c r="N5" s="23">
        <f t="shared" si="42"/>
      </c>
      <c r="O5" s="22">
        <f t="shared" si="232"/>
      </c>
      <c r="P5" s="23">
        <f t="shared" si="175"/>
      </c>
      <c r="Q5" s="23">
        <f t="shared" si="99"/>
      </c>
      <c r="R5" s="22">
        <f t="shared" si="61"/>
      </c>
      <c r="S5" s="24">
        <f t="shared" si="251"/>
      </c>
      <c r="T5" s="22">
        <f t="shared" si="194"/>
      </c>
      <c r="U5" s="25">
        <f t="shared" si="118"/>
      </c>
      <c r="V5" s="26" t="s">
        <v>36</v>
      </c>
      <c r="W5" s="26" t="s">
        <v>37</v>
      </c>
      <c r="X5" s="27">
        <v>1</v>
      </c>
      <c r="Y5" s="27">
        <v>13115</v>
      </c>
      <c r="Z5" s="27">
        <v>623</v>
      </c>
      <c r="AA5" s="27">
        <v>915</v>
      </c>
      <c r="AB5" s="27">
        <v>259</v>
      </c>
      <c r="AC5" s="27">
        <v>35</v>
      </c>
      <c r="AD5" s="28">
        <v>3</v>
      </c>
      <c r="AE5" s="28">
        <v>31</v>
      </c>
      <c r="AF5" s="7"/>
      <c r="AG5" s="7"/>
    </row>
    <row r="6">
      <c r="A6" s="15"/>
      <c r="B6" s="29" t="s">
        <v>40</v>
      </c>
      <c r="C6" s="17" t="s">
        <v>35</v>
      </c>
      <c r="D6" s="18">
        <f t="shared" si="26"/>
      </c>
      <c r="E6" s="18">
        <v>1467.39</v>
      </c>
      <c r="F6" s="18">
        <v>501.14</v>
      </c>
      <c r="G6" s="18"/>
      <c r="H6" s="19">
        <v>1</v>
      </c>
      <c r="I6" s="17">
        <v>2317.08</v>
      </c>
      <c r="J6" s="20">
        <f t="shared" si="213"/>
      </c>
      <c r="K6" s="21">
        <f t="shared" si="137"/>
      </c>
      <c r="L6" s="22">
        <f t="shared" si="80"/>
      </c>
      <c r="M6" s="23">
        <f t="shared" si="156"/>
      </c>
      <c r="N6" s="23">
        <f t="shared" si="42"/>
      </c>
      <c r="O6" s="22">
        <f t="shared" si="232"/>
      </c>
      <c r="P6" s="23">
        <f t="shared" si="175"/>
      </c>
      <c r="Q6" s="23">
        <f t="shared" si="99"/>
      </c>
      <c r="R6" s="22">
        <f t="shared" si="61"/>
      </c>
      <c r="S6" s="24">
        <f t="shared" si="251"/>
      </c>
      <c r="T6" s="22">
        <f t="shared" si="194"/>
      </c>
      <c r="U6" s="25">
        <f t="shared" si="118"/>
      </c>
      <c r="V6" s="26" t="s">
        <v>36</v>
      </c>
      <c r="W6" s="26" t="s">
        <v>37</v>
      </c>
      <c r="X6" s="27">
        <v>0</v>
      </c>
      <c r="Y6" s="27">
        <v>7517</v>
      </c>
      <c r="Z6" s="27">
        <v>403</v>
      </c>
      <c r="AA6" s="27">
        <v>614</v>
      </c>
      <c r="AB6" s="27">
        <v>198</v>
      </c>
      <c r="AC6" s="27">
        <v>18</v>
      </c>
      <c r="AD6" s="28">
        <v>3</v>
      </c>
      <c r="AE6" s="28">
        <v>23</v>
      </c>
      <c r="AF6" s="7"/>
      <c r="AG6" s="7"/>
    </row>
    <row r="7">
      <c r="A7" s="15"/>
      <c r="B7" s="30" t="s">
        <v>41</v>
      </c>
      <c r="C7" s="30"/>
      <c r="D7" s="30">
        <f>SUM(D3:D6)</f>
      </c>
      <c r="E7" s="30">
        <f>SUM(E3:E6)</f>
      </c>
      <c r="F7" s="30">
        <f>SUM(F3:F6)</f>
      </c>
      <c r="G7" s="30"/>
      <c r="H7" s="30">
        <f>SUM(H3:H6)</f>
      </c>
      <c r="I7" s="30">
        <f>SUM(I3:I6)</f>
      </c>
      <c r="J7" s="31">
        <f t="shared" si="213"/>
      </c>
      <c r="K7" s="32">
        <f t="shared" si="137"/>
      </c>
      <c r="L7" s="33">
        <f t="shared" si="80"/>
      </c>
      <c r="M7" s="34">
        <f t="shared" si="156"/>
      </c>
      <c r="N7" s="34">
        <f t="shared" si="42"/>
      </c>
      <c r="O7" s="33">
        <f t="shared" si="232"/>
      </c>
      <c r="P7" s="34">
        <f t="shared" si="175"/>
      </c>
      <c r="Q7" s="34">
        <f t="shared" si="99"/>
      </c>
      <c r="R7" s="33">
        <f t="shared" si="61"/>
      </c>
      <c r="S7" s="35">
        <f t="shared" si="251"/>
      </c>
      <c r="T7" s="33">
        <f t="shared" si="194"/>
      </c>
      <c r="U7" s="36">
        <f t="shared" si="118"/>
      </c>
      <c r="V7" s="36"/>
      <c r="W7" s="36"/>
      <c r="X7" s="30">
        <f>SUM(X3:X6)</f>
      </c>
      <c r="Y7" s="30">
        <f>SUM(Y3:Y6)</f>
      </c>
      <c r="Z7" s="30">
        <f>SUM(Z3:Z6)</f>
      </c>
      <c r="AA7" s="30">
        <f>SUM(AA3:AA6)</f>
      </c>
      <c r="AB7" s="30">
        <f>SUM(AB3:AB6)</f>
      </c>
      <c r="AC7" s="30">
        <f>SUM(AC3:AC6)</f>
      </c>
      <c r="AD7" s="30">
        <f>SUM(AD3:AD6)</f>
      </c>
      <c r="AE7" s="30">
        <f>SUM(AE3:AE6)</f>
      </c>
      <c r="AF7" s="7"/>
      <c r="AG7" s="7"/>
    </row>
    <row r="8">
      <c r="A8" s="15"/>
      <c r="B8" s="17" t="s">
        <v>42</v>
      </c>
      <c r="C8" s="17" t="s">
        <v>43</v>
      </c>
      <c r="D8" s="18">
        <f t="shared" ref="D8:D11" si="27">E8+F8</f>
      </c>
      <c r="E8" s="18">
        <v>788.27</v>
      </c>
      <c r="F8" s="18">
        <v>295.58</v>
      </c>
      <c r="G8" s="18"/>
      <c r="H8" s="19">
        <v>0</v>
      </c>
      <c r="I8" s="17">
        <v>0</v>
      </c>
      <c r="J8" s="20">
        <f t="shared" si="213"/>
      </c>
      <c r="K8" s="21">
        <f t="shared" si="137"/>
      </c>
      <c r="L8" s="22">
        <f t="shared" si="80"/>
      </c>
      <c r="M8" s="23">
        <f t="shared" si="156"/>
      </c>
      <c r="N8" s="23">
        <f t="shared" si="42"/>
      </c>
      <c r="O8" s="22">
        <f t="shared" si="232"/>
      </c>
      <c r="P8" s="23">
        <f t="shared" si="175"/>
      </c>
      <c r="Q8" s="23">
        <f t="shared" si="99"/>
      </c>
      <c r="R8" s="22">
        <f t="shared" si="61"/>
      </c>
      <c r="S8" s="24">
        <f t="shared" si="251"/>
      </c>
      <c r="T8" s="22">
        <f t="shared" si="194"/>
      </c>
      <c r="U8" s="25">
        <f t="shared" si="118"/>
      </c>
      <c r="V8" s="26" t="s">
        <v>36</v>
      </c>
      <c r="W8" s="26" t="s">
        <v>37</v>
      </c>
      <c r="X8" s="27">
        <v>0</v>
      </c>
      <c r="Y8" s="27">
        <v>3567</v>
      </c>
      <c r="Z8" s="27">
        <v>252</v>
      </c>
      <c r="AA8" s="27">
        <v>461</v>
      </c>
      <c r="AB8" s="27">
        <v>110</v>
      </c>
      <c r="AC8" s="27">
        <v>12</v>
      </c>
      <c r="AD8" s="28">
        <v>0</v>
      </c>
      <c r="AE8" s="28">
        <v>9</v>
      </c>
      <c r="AF8" s="7"/>
      <c r="AG8" s="7"/>
    </row>
    <row r="9">
      <c r="A9" s="15"/>
      <c r="B9" s="18" t="s">
        <v>44</v>
      </c>
      <c r="C9" s="17" t="s">
        <v>43</v>
      </c>
      <c r="D9" s="18">
        <f t="shared" si="27"/>
      </c>
      <c r="E9" s="18">
        <v>1448.05</v>
      </c>
      <c r="F9" s="18">
        <v>313.18</v>
      </c>
      <c r="G9" s="18"/>
      <c r="H9" s="19">
        <v>2</v>
      </c>
      <c r="I9" s="17">
        <v>3648.6000000000004</v>
      </c>
      <c r="J9" s="20">
        <f t="shared" si="213"/>
      </c>
      <c r="K9" s="21">
        <f t="shared" si="137"/>
      </c>
      <c r="L9" s="22">
        <f t="shared" si="80"/>
      </c>
      <c r="M9" s="23">
        <f t="shared" si="156"/>
      </c>
      <c r="N9" s="23">
        <f t="shared" si="42"/>
      </c>
      <c r="O9" s="22">
        <f t="shared" si="232"/>
      </c>
      <c r="P9" s="23">
        <f t="shared" si="175"/>
      </c>
      <c r="Q9" s="23">
        <f t="shared" si="99"/>
      </c>
      <c r="R9" s="22">
        <f t="shared" si="61"/>
      </c>
      <c r="S9" s="24">
        <f t="shared" si="251"/>
      </c>
      <c r="T9" s="22">
        <f t="shared" si="194"/>
      </c>
      <c r="U9" s="25">
        <f t="shared" si="118"/>
      </c>
      <c r="V9" s="26" t="s">
        <v>36</v>
      </c>
      <c r="W9" s="26" t="s">
        <v>37</v>
      </c>
      <c r="X9" s="27">
        <v>1</v>
      </c>
      <c r="Y9" s="27">
        <v>4952</v>
      </c>
      <c r="Z9" s="27">
        <v>266</v>
      </c>
      <c r="AA9" s="27">
        <v>415</v>
      </c>
      <c r="AB9" s="27">
        <v>129</v>
      </c>
      <c r="AC9" s="27">
        <v>19</v>
      </c>
      <c r="AD9" s="28">
        <v>4</v>
      </c>
      <c r="AE9" s="28">
        <v>15</v>
      </c>
      <c r="AF9" s="7"/>
      <c r="AG9" s="7"/>
    </row>
    <row r="10">
      <c r="A10" s="15"/>
      <c r="B10" s="18" t="s">
        <v>45</v>
      </c>
      <c r="C10" s="17" t="s">
        <v>43</v>
      </c>
      <c r="D10" s="18">
        <f t="shared" si="27"/>
      </c>
      <c r="E10" s="18">
        <v>2313.78</v>
      </c>
      <c r="F10" s="18">
        <v>587.48</v>
      </c>
      <c r="G10" s="18"/>
      <c r="H10" s="19">
        <v>3</v>
      </c>
      <c r="I10" s="17">
        <v>11260.2</v>
      </c>
      <c r="J10" s="20">
        <f t="shared" si="213"/>
      </c>
      <c r="K10" s="21">
        <f t="shared" si="137"/>
      </c>
      <c r="L10" s="22">
        <f t="shared" si="80"/>
      </c>
      <c r="M10" s="23">
        <f t="shared" si="156"/>
      </c>
      <c r="N10" s="23">
        <f t="shared" si="42"/>
      </c>
      <c r="O10" s="22">
        <f t="shared" si="232"/>
      </c>
      <c r="P10" s="23">
        <f t="shared" si="175"/>
      </c>
      <c r="Q10" s="23">
        <f t="shared" si="99"/>
      </c>
      <c r="R10" s="22">
        <f t="shared" si="61"/>
      </c>
      <c r="S10" s="24">
        <f t="shared" si="251"/>
      </c>
      <c r="T10" s="22">
        <f t="shared" si="194"/>
      </c>
      <c r="U10" s="25">
        <f t="shared" si="118"/>
      </c>
      <c r="V10" s="26" t="s">
        <v>36</v>
      </c>
      <c r="W10" s="26" t="s">
        <v>37</v>
      </c>
      <c r="X10" s="27">
        <v>2</v>
      </c>
      <c r="Y10" s="27">
        <v>8503</v>
      </c>
      <c r="Z10" s="27">
        <v>335</v>
      </c>
      <c r="AA10" s="27">
        <v>467</v>
      </c>
      <c r="AB10" s="27">
        <v>128</v>
      </c>
      <c r="AC10" s="27">
        <v>45</v>
      </c>
      <c r="AD10" s="28">
        <v>5</v>
      </c>
      <c r="AE10" s="28">
        <v>20</v>
      </c>
      <c r="AF10" s="7"/>
      <c r="AG10" s="7"/>
    </row>
    <row r="11">
      <c r="A11" s="15"/>
      <c r="B11" s="18" t="s">
        <v>46</v>
      </c>
      <c r="C11" s="17" t="s">
        <v>43</v>
      </c>
      <c r="D11" s="18">
        <f t="shared" si="27"/>
      </c>
      <c r="E11" s="18">
        <v>1070.32</v>
      </c>
      <c r="F11" s="18">
        <v>243.92</v>
      </c>
      <c r="G11" s="18"/>
      <c r="H11" s="19">
        <v>2</v>
      </c>
      <c r="I11" s="17">
        <v>2008.3199999999997</v>
      </c>
      <c r="J11" s="20">
        <f t="shared" si="213"/>
      </c>
      <c r="K11" s="21">
        <f t="shared" si="137"/>
      </c>
      <c r="L11" s="22">
        <f t="shared" si="80"/>
      </c>
      <c r="M11" s="23">
        <f t="shared" si="156"/>
      </c>
      <c r="N11" s="23">
        <f t="shared" si="42"/>
      </c>
      <c r="O11" s="22">
        <f t="shared" si="232"/>
      </c>
      <c r="P11" s="23">
        <f t="shared" si="175"/>
      </c>
      <c r="Q11" s="23">
        <f t="shared" si="99"/>
      </c>
      <c r="R11" s="22">
        <f t="shared" si="61"/>
      </c>
      <c r="S11" s="24">
        <f t="shared" si="251"/>
      </c>
      <c r="T11" s="22">
        <f t="shared" si="194"/>
      </c>
      <c r="U11" s="25">
        <f t="shared" si="118"/>
      </c>
      <c r="V11" s="26" t="s">
        <v>36</v>
      </c>
      <c r="W11" s="26" t="s">
        <v>37</v>
      </c>
      <c r="X11" s="27">
        <v>1</v>
      </c>
      <c r="Y11" s="27">
        <v>4437</v>
      </c>
      <c r="Z11" s="27">
        <v>170</v>
      </c>
      <c r="AA11" s="27">
        <v>233</v>
      </c>
      <c r="AB11" s="27">
        <v>55</v>
      </c>
      <c r="AC11" s="27">
        <v>28</v>
      </c>
      <c r="AD11" s="28">
        <v>2</v>
      </c>
      <c r="AE11" s="28">
        <v>19</v>
      </c>
      <c r="AF11" s="7"/>
      <c r="AG11" s="7"/>
    </row>
    <row r="12">
      <c r="A12" s="15"/>
      <c r="B12" s="30" t="s">
        <v>41</v>
      </c>
      <c r="C12" s="30"/>
      <c r="D12" s="30">
        <f>SUM(D8:D11)</f>
      </c>
      <c r="E12" s="30">
        <f>SUM(E8:E11)</f>
      </c>
      <c r="F12" s="30">
        <f>SUM(F8:F11)</f>
      </c>
      <c r="G12" s="30"/>
      <c r="H12" s="30">
        <f>SUM(H8:H11)</f>
      </c>
      <c r="I12" s="30">
        <f>SUM(I8:I11)</f>
      </c>
      <c r="J12" s="31">
        <f t="shared" si="213"/>
      </c>
      <c r="K12" s="32">
        <f t="shared" si="137"/>
      </c>
      <c r="L12" s="33">
        <f t="shared" si="80"/>
      </c>
      <c r="M12" s="34">
        <f t="shared" si="156"/>
      </c>
      <c r="N12" s="34">
        <f t="shared" si="42"/>
      </c>
      <c r="O12" s="33">
        <f t="shared" si="232"/>
      </c>
      <c r="P12" s="34">
        <f t="shared" si="175"/>
      </c>
      <c r="Q12" s="34">
        <f t="shared" si="99"/>
      </c>
      <c r="R12" s="33">
        <f t="shared" si="61"/>
      </c>
      <c r="S12" s="35">
        <f t="shared" si="251"/>
      </c>
      <c r="T12" s="33">
        <f t="shared" si="194"/>
      </c>
      <c r="U12" s="36">
        <f t="shared" si="118"/>
      </c>
      <c r="V12" s="36"/>
      <c r="W12" s="36"/>
      <c r="X12" s="30">
        <f>SUM(X8:X11)</f>
      </c>
      <c r="Y12" s="30">
        <f>SUM(Y8:Y11)</f>
      </c>
      <c r="Z12" s="30">
        <f>SUM(Z8:Z11)</f>
      </c>
      <c r="AA12" s="30">
        <f>SUM(AA8:AA11)</f>
      </c>
      <c r="AB12" s="30">
        <f>SUM(AB8:AB11)</f>
      </c>
      <c r="AC12" s="30">
        <f>SUM(AC8:AC11)</f>
      </c>
      <c r="AD12" s="30">
        <f>SUM(AD8:AD11)</f>
      </c>
      <c r="AE12" s="30">
        <f>SUM(AE8:AE11)</f>
      </c>
      <c r="AF12" s="7"/>
      <c r="AG12" s="7"/>
    </row>
    <row r="13">
      <c r="A13" s="15"/>
      <c r="B13" s="37" t="s">
        <v>47</v>
      </c>
      <c r="C13" s="37"/>
      <c r="D13" s="38">
        <f>D7+D12</f>
      </c>
      <c r="E13" s="38">
        <f>E7+E12</f>
      </c>
      <c r="F13" s="38">
        <f>F7+F12</f>
      </c>
      <c r="G13" s="38"/>
      <c r="H13" s="38">
        <f>H7+H12</f>
      </c>
      <c r="I13" s="38">
        <f>I7+I12</f>
      </c>
      <c r="J13" s="38">
        <f t="shared" si="213"/>
      </c>
      <c r="K13" s="39">
        <f t="shared" si="137"/>
      </c>
      <c r="L13" s="38">
        <f t="shared" si="80"/>
      </c>
      <c r="M13" s="40">
        <f t="shared" si="156"/>
      </c>
      <c r="N13" s="40">
        <f t="shared" si="42"/>
      </c>
      <c r="O13" s="38">
        <f t="shared" si="232"/>
      </c>
      <c r="P13" s="40">
        <f t="shared" si="175"/>
      </c>
      <c r="Q13" s="40">
        <f t="shared" si="99"/>
      </c>
      <c r="R13" s="38">
        <f t="shared" si="61"/>
      </c>
      <c r="S13" s="41">
        <f t="shared" si="251"/>
      </c>
      <c r="T13" s="38">
        <f t="shared" si="194"/>
      </c>
      <c r="U13" s="42">
        <f t="shared" si="118"/>
      </c>
      <c r="V13" s="42"/>
      <c r="W13" s="42"/>
      <c r="X13" s="43">
        <f>X7+X12</f>
      </c>
      <c r="Y13" s="43">
        <f>Y7+Y12</f>
      </c>
      <c r="Z13" s="43">
        <f>Z7+Z12</f>
      </c>
      <c r="AA13" s="43">
        <f>AA7+AA12</f>
      </c>
      <c r="AB13" s="43">
        <f>AB7+AB12</f>
      </c>
      <c r="AC13" s="43">
        <f>AC7+AC12</f>
      </c>
      <c r="AD13" s="43">
        <f>AD7+AD12</f>
      </c>
      <c r="AE13" s="43">
        <f>AE7+AE12</f>
      </c>
      <c r="AF13" s="7"/>
      <c r="AG13" s="7"/>
    </row>
    <row r="14">
      <c r="A14" s="1" t="s">
        <v>1</v>
      </c>
      <c r="B14" s="1"/>
      <c r="C14" s="1"/>
      <c r="D14" s="2" t="s">
        <v>2</v>
      </c>
      <c r="E14" s="2"/>
      <c r="F14" s="2"/>
      <c r="G14" s="2"/>
      <c r="H14" s="2"/>
      <c r="I14" s="2"/>
      <c r="J14" s="2"/>
      <c r="K14" s="3" t="s">
        <v>3</v>
      </c>
      <c r="L14" s="3"/>
      <c r="M14" s="3"/>
      <c r="N14" s="3"/>
      <c r="O14" s="3"/>
      <c r="P14" s="3"/>
      <c r="Q14" s="3"/>
      <c r="R14" s="3"/>
      <c r="S14" s="3"/>
      <c r="T14" s="3"/>
      <c r="U14" s="4"/>
      <c r="V14" s="4"/>
      <c r="W14" s="4"/>
      <c r="X14" s="5"/>
      <c r="Y14" s="5"/>
      <c r="Z14" s="5"/>
      <c r="AA14" s="5"/>
      <c r="AB14" s="5"/>
      <c r="AC14" s="5"/>
      <c r="AD14" s="5"/>
      <c r="AE14" s="6" t="s">
        <v>4</v>
      </c>
      <c r="AF14" s="7"/>
      <c r="AG14" s="7"/>
    </row>
    <row r="15">
      <c r="A15" s="1" t="s">
        <v>5</v>
      </c>
      <c r="B15" s="1" t="s">
        <v>6</v>
      </c>
      <c r="C15" s="1" t="s">
        <v>7</v>
      </c>
      <c r="D15" s="2" t="s">
        <v>8</v>
      </c>
      <c r="E15" s="8" t="s">
        <v>9</v>
      </c>
      <c r="F15" s="8" t="s">
        <v>10</v>
      </c>
      <c r="G15" s="8"/>
      <c r="H15" s="9" t="s">
        <v>11</v>
      </c>
      <c r="I15" s="2" t="s">
        <v>12</v>
      </c>
      <c r="J15" s="8" t="s">
        <v>13</v>
      </c>
      <c r="K15" s="3" t="s">
        <v>14</v>
      </c>
      <c r="L15" s="10" t="s">
        <v>15</v>
      </c>
      <c r="M15" s="11" t="s">
        <v>16</v>
      </c>
      <c r="N15" s="11" t="s">
        <v>17</v>
      </c>
      <c r="O15" s="10" t="s">
        <v>18</v>
      </c>
      <c r="P15" s="11" t="s">
        <v>19</v>
      </c>
      <c r="Q15" s="11" t="s">
        <v>20</v>
      </c>
      <c r="R15" s="10" t="s">
        <v>21</v>
      </c>
      <c r="S15" s="11" t="s">
        <v>22</v>
      </c>
      <c r="T15" s="10" t="s">
        <v>23</v>
      </c>
      <c r="U15" s="12" t="s">
        <v>24</v>
      </c>
      <c r="V15" s="12" t="s">
        <v>25</v>
      </c>
      <c r="W15" s="12" t="s">
        <v>26</v>
      </c>
      <c r="X15" s="13" t="s">
        <v>27</v>
      </c>
      <c r="Y15" s="14" t="s">
        <v>28</v>
      </c>
      <c r="Z15" s="14" t="s">
        <v>29</v>
      </c>
      <c r="AA15" s="14" t="s">
        <v>30</v>
      </c>
      <c r="AB15" s="14" t="s">
        <v>31</v>
      </c>
      <c r="AC15" s="14" t="s">
        <v>32</v>
      </c>
      <c r="AD15" s="14" t="s">
        <v>33</v>
      </c>
      <c r="AE15" s="6"/>
      <c r="AF15" s="7"/>
      <c r="AG15" s="7"/>
    </row>
    <row r="16">
      <c r="A16" s="15">
        <v>46297</v>
      </c>
      <c r="B16" s="16" t="s">
        <v>34</v>
      </c>
      <c r="C16" s="17" t="s">
        <v>43</v>
      </c>
      <c r="D16" s="18">
        <f t="shared" ref="D16:D19" si="28">E16+F16</f>
      </c>
      <c r="E16" s="18">
        <v>1696.54</v>
      </c>
      <c r="F16" s="18">
        <v>416.29</v>
      </c>
      <c r="G16" s="18"/>
      <c r="H16" s="19">
        <v>1</v>
      </c>
      <c r="I16" s="17">
        <v>1771.1999999999998</v>
      </c>
      <c r="J16" s="20">
        <f t="shared" ref="J16:J26" si="214">I16/D16</f>
      </c>
      <c r="K16" s="21">
        <f t="shared" ref="K16:K26" si="138">Z16/Y16</f>
      </c>
      <c r="L16" s="22">
        <f t="shared" ref="L16:L26" si="81">D16/AA16</f>
      </c>
      <c r="M16" s="23">
        <f t="shared" ref="M16:M26" si="157">AB16/AA16</f>
      </c>
      <c r="N16" s="23">
        <f t="shared" ref="N16:N26" si="43">AC16/AA16</f>
      </c>
      <c r="O16" s="22">
        <f t="shared" ref="O16:O26" si="233">D16/AC16</f>
      </c>
      <c r="P16" s="23">
        <f t="shared" ref="P16:P26" si="176">AD16/AC16</f>
      </c>
      <c r="Q16" s="23">
        <f t="shared" ref="Q16:Q26" si="100">H16/AD16</f>
      </c>
      <c r="R16" s="22">
        <f t="shared" ref="R16:R26" si="62">D16/H16</f>
      </c>
      <c r="S16" s="24">
        <f t="shared" ref="S16:S26" si="252">I16/H16</f>
      </c>
      <c r="T16" s="22">
        <f t="shared" ref="T16:T26" si="195">D16/X16</f>
      </c>
      <c r="U16" s="25">
        <f t="shared" ref="U16:U26" si="119">AE16*1000/D16</f>
      </c>
      <c r="V16" s="26" t="s">
        <v>36</v>
      </c>
      <c r="W16" s="26" t="s">
        <v>37</v>
      </c>
      <c r="X16" s="27">
        <v>1</v>
      </c>
      <c r="Y16" s="27">
        <v>4807</v>
      </c>
      <c r="Z16" s="27">
        <v>265</v>
      </c>
      <c r="AA16" s="27">
        <v>371</v>
      </c>
      <c r="AB16" s="27">
        <v>109</v>
      </c>
      <c r="AC16" s="27">
        <v>25</v>
      </c>
      <c r="AD16" s="28">
        <v>2</v>
      </c>
      <c r="AE16" s="28">
        <v>19</v>
      </c>
      <c r="AF16" s="7"/>
      <c r="AG16" s="7"/>
    </row>
    <row r="17">
      <c r="A17" s="15"/>
      <c r="B17" s="29" t="s">
        <v>38</v>
      </c>
      <c r="C17" s="17" t="s">
        <v>43</v>
      </c>
      <c r="D17" s="18">
        <f t="shared" si="28"/>
      </c>
      <c r="E17" s="18">
        <v>1913.43</v>
      </c>
      <c r="F17" s="18">
        <v>391.89</v>
      </c>
      <c r="G17" s="18"/>
      <c r="H17" s="19">
        <v>2</v>
      </c>
      <c r="I17" s="17">
        <v>6083.759999999999</v>
      </c>
      <c r="J17" s="20">
        <f t="shared" si="214"/>
      </c>
      <c r="K17" s="21">
        <f t="shared" si="138"/>
      </c>
      <c r="L17" s="22">
        <f t="shared" si="81"/>
      </c>
      <c r="M17" s="23">
        <f t="shared" si="157"/>
      </c>
      <c r="N17" s="23">
        <f t="shared" si="43"/>
      </c>
      <c r="O17" s="22">
        <f t="shared" si="233"/>
      </c>
      <c r="P17" s="23">
        <f t="shared" si="176"/>
      </c>
      <c r="Q17" s="23">
        <f t="shared" si="100"/>
      </c>
      <c r="R17" s="22">
        <f t="shared" si="62"/>
      </c>
      <c r="S17" s="24">
        <f t="shared" si="252"/>
      </c>
      <c r="T17" s="22">
        <f t="shared" si="195"/>
      </c>
      <c r="U17" s="25">
        <f t="shared" si="119"/>
      </c>
      <c r="V17" s="26" t="s">
        <v>36</v>
      </c>
      <c r="W17" s="26" t="s">
        <v>37</v>
      </c>
      <c r="X17" s="27">
        <v>0</v>
      </c>
      <c r="Y17" s="27">
        <v>5409</v>
      </c>
      <c r="Z17" s="27">
        <v>291</v>
      </c>
      <c r="AA17" s="27">
        <v>401</v>
      </c>
      <c r="AB17" s="27">
        <v>120</v>
      </c>
      <c r="AC17" s="27">
        <v>23</v>
      </c>
      <c r="AD17" s="28">
        <v>3</v>
      </c>
      <c r="AE17" s="28">
        <v>25</v>
      </c>
      <c r="AF17" s="7"/>
      <c r="AG17" s="7"/>
    </row>
    <row r="18">
      <c r="A18" s="15"/>
      <c r="B18" s="29" t="s">
        <v>39</v>
      </c>
      <c r="C18" s="17" t="s">
        <v>43</v>
      </c>
      <c r="D18" s="18">
        <f t="shared" si="28"/>
      </c>
      <c r="E18" s="18">
        <v>1144.71</v>
      </c>
      <c r="F18" s="18">
        <v>339.65</v>
      </c>
      <c r="G18" s="18"/>
      <c r="H18" s="19">
        <v>1</v>
      </c>
      <c r="I18" s="17">
        <v>7536.719999999999</v>
      </c>
      <c r="J18" s="20">
        <f t="shared" si="214"/>
      </c>
      <c r="K18" s="21">
        <f t="shared" si="138"/>
      </c>
      <c r="L18" s="22">
        <f t="shared" si="81"/>
      </c>
      <c r="M18" s="23">
        <f t="shared" si="157"/>
      </c>
      <c r="N18" s="23">
        <f t="shared" si="43"/>
      </c>
      <c r="O18" s="22">
        <f t="shared" si="233"/>
      </c>
      <c r="P18" s="23">
        <f t="shared" si="176"/>
      </c>
      <c r="Q18" s="23">
        <f t="shared" si="100"/>
      </c>
      <c r="R18" s="22">
        <f t="shared" si="62"/>
      </c>
      <c r="S18" s="24">
        <f t="shared" si="252"/>
      </c>
      <c r="T18" s="22">
        <f t="shared" si="195"/>
      </c>
      <c r="U18" s="25">
        <f t="shared" si="119"/>
      </c>
      <c r="V18" s="26" t="s">
        <v>36</v>
      </c>
      <c r="W18" s="26" t="s">
        <v>37</v>
      </c>
      <c r="X18" s="27">
        <v>0</v>
      </c>
      <c r="Y18" s="27">
        <v>4729</v>
      </c>
      <c r="Z18" s="27">
        <v>280</v>
      </c>
      <c r="AA18" s="27">
        <v>463</v>
      </c>
      <c r="AB18" s="27">
        <v>120</v>
      </c>
      <c r="AC18" s="27">
        <v>15</v>
      </c>
      <c r="AD18" s="28">
        <v>1</v>
      </c>
      <c r="AE18" s="28">
        <v>11</v>
      </c>
      <c r="AF18" s="7"/>
      <c r="AG18" s="7"/>
    </row>
    <row r="19">
      <c r="A19" s="15"/>
      <c r="B19" s="29" t="s">
        <v>40</v>
      </c>
      <c r="C19" s="17" t="s">
        <v>43</v>
      </c>
      <c r="D19" s="18">
        <f t="shared" si="28"/>
      </c>
      <c r="E19" s="18">
        <v>914.52</v>
      </c>
      <c r="F19" s="18">
        <v>315.7</v>
      </c>
      <c r="G19" s="18"/>
      <c r="H19" s="19">
        <v>0</v>
      </c>
      <c r="I19" s="17">
        <v>0</v>
      </c>
      <c r="J19" s="20">
        <f t="shared" si="214"/>
      </c>
      <c r="K19" s="21">
        <f t="shared" si="138"/>
      </c>
      <c r="L19" s="22">
        <f t="shared" si="81"/>
      </c>
      <c r="M19" s="23">
        <f t="shared" si="157"/>
      </c>
      <c r="N19" s="23">
        <f t="shared" si="43"/>
      </c>
      <c r="O19" s="22">
        <f t="shared" si="233"/>
      </c>
      <c r="P19" s="23">
        <f t="shared" si="176"/>
      </c>
      <c r="Q19" s="23">
        <f t="shared" si="100"/>
      </c>
      <c r="R19" s="22">
        <f t="shared" si="62"/>
      </c>
      <c r="S19" s="24">
        <f t="shared" si="252"/>
      </c>
      <c r="T19" s="22">
        <f t="shared" si="195"/>
      </c>
      <c r="U19" s="25">
        <f t="shared" si="119"/>
      </c>
      <c r="V19" s="26" t="s">
        <v>36</v>
      </c>
      <c r="W19" s="26" t="s">
        <v>37</v>
      </c>
      <c r="X19" s="27">
        <v>0</v>
      </c>
      <c r="Y19" s="27">
        <v>3178</v>
      </c>
      <c r="Z19" s="27">
        <v>208</v>
      </c>
      <c r="AA19" s="27">
        <v>319</v>
      </c>
      <c r="AB19" s="27">
        <v>89</v>
      </c>
      <c r="AC19" s="27">
        <v>19</v>
      </c>
      <c r="AD19" s="28">
        <v>0</v>
      </c>
      <c r="AE19" s="28">
        <v>10</v>
      </c>
      <c r="AF19" s="7"/>
      <c r="AG19" s="7"/>
    </row>
    <row r="20">
      <c r="A20" s="15"/>
      <c r="B20" s="30" t="s">
        <v>41</v>
      </c>
      <c r="C20" s="30"/>
      <c r="D20" s="30">
        <f>SUM(D16:D19)</f>
      </c>
      <c r="E20" s="30">
        <f>SUM(E16:E19)</f>
      </c>
      <c r="F20" s="30">
        <f>SUM(F16:F19)</f>
      </c>
      <c r="G20" s="30"/>
      <c r="H20" s="30">
        <f>SUM(H16:H19)</f>
      </c>
      <c r="I20" s="30">
        <f>SUM(I16:I19)</f>
      </c>
      <c r="J20" s="31">
        <f t="shared" si="214"/>
      </c>
      <c r="K20" s="32">
        <f t="shared" si="138"/>
      </c>
      <c r="L20" s="33">
        <f t="shared" si="81"/>
      </c>
      <c r="M20" s="34">
        <f t="shared" si="157"/>
      </c>
      <c r="N20" s="34">
        <f t="shared" si="43"/>
      </c>
      <c r="O20" s="33">
        <f t="shared" si="233"/>
      </c>
      <c r="P20" s="34">
        <f t="shared" si="176"/>
      </c>
      <c r="Q20" s="34">
        <f t="shared" si="100"/>
      </c>
      <c r="R20" s="33">
        <f t="shared" si="62"/>
      </c>
      <c r="S20" s="35">
        <f t="shared" si="252"/>
      </c>
      <c r="T20" s="33">
        <f t="shared" si="195"/>
      </c>
      <c r="U20" s="36">
        <f t="shared" si="119"/>
      </c>
      <c r="V20" s="36"/>
      <c r="W20" s="36"/>
      <c r="X20" s="30">
        <f>SUM(X16:X19)</f>
      </c>
      <c r="Y20" s="30">
        <f>SUM(Y16:Y19)</f>
      </c>
      <c r="Z20" s="30">
        <f>SUM(Z16:Z19)</f>
      </c>
      <c r="AA20" s="30">
        <f>SUM(AA16:AA19)</f>
      </c>
      <c r="AB20" s="30">
        <f>SUM(AB16:AB19)</f>
      </c>
      <c r="AC20" s="30">
        <f>SUM(AC16:AC19)</f>
      </c>
      <c r="AD20" s="30">
        <f>SUM(AD16:AD19)</f>
      </c>
      <c r="AE20" s="30">
        <f>SUM(AE16:AE19)</f>
      </c>
      <c r="AF20" s="7"/>
      <c r="AG20" s="7"/>
    </row>
    <row r="21">
      <c r="A21" s="15"/>
      <c r="B21" s="17" t="s">
        <v>42</v>
      </c>
      <c r="C21" s="17" t="s">
        <v>48</v>
      </c>
      <c r="D21" s="18">
        <f t="shared" ref="D21:D24" si="29">E21+F21</f>
      </c>
      <c r="E21" s="18">
        <v>787.68</v>
      </c>
      <c r="F21" s="18">
        <v>604.77</v>
      </c>
      <c r="G21" s="18"/>
      <c r="H21" s="19">
        <v>1</v>
      </c>
      <c r="I21" s="17">
        <v>1356.0000000000018</v>
      </c>
      <c r="J21" s="20">
        <f t="shared" si="214"/>
      </c>
      <c r="K21" s="21">
        <f t="shared" si="138"/>
      </c>
      <c r="L21" s="22">
        <f t="shared" si="81"/>
      </c>
      <c r="M21" s="23">
        <f t="shared" si="157"/>
      </c>
      <c r="N21" s="23">
        <f t="shared" si="43"/>
      </c>
      <c r="O21" s="22">
        <f t="shared" si="233"/>
      </c>
      <c r="P21" s="23">
        <f t="shared" si="176"/>
      </c>
      <c r="Q21" s="23">
        <f t="shared" si="100"/>
      </c>
      <c r="R21" s="22">
        <f t="shared" si="62"/>
      </c>
      <c r="S21" s="24">
        <f t="shared" si="252"/>
      </c>
      <c r="T21" s="22">
        <f t="shared" si="195"/>
      </c>
      <c r="U21" s="25">
        <f t="shared" si="119"/>
      </c>
      <c r="V21" s="26" t="s">
        <v>36</v>
      </c>
      <c r="W21" s="26" t="s">
        <v>37</v>
      </c>
      <c r="X21" s="27">
        <v>1</v>
      </c>
      <c r="Y21" s="27">
        <v>3549</v>
      </c>
      <c r="Z21" s="27">
        <v>263</v>
      </c>
      <c r="AA21" s="27">
        <v>450</v>
      </c>
      <c r="AB21" s="27">
        <v>131</v>
      </c>
      <c r="AC21" s="27">
        <v>28</v>
      </c>
      <c r="AD21" s="28">
        <v>4</v>
      </c>
      <c r="AE21" s="28">
        <v>14</v>
      </c>
      <c r="AF21" s="7"/>
      <c r="AG21" s="7"/>
    </row>
    <row r="22">
      <c r="A22" s="15"/>
      <c r="B22" s="18" t="s">
        <v>44</v>
      </c>
      <c r="C22" s="17" t="s">
        <v>48</v>
      </c>
      <c r="D22" s="18">
        <f t="shared" si="29"/>
      </c>
      <c r="E22" s="18">
        <v>2056.81</v>
      </c>
      <c r="F22" s="18">
        <v>1030.27</v>
      </c>
      <c r="G22" s="18"/>
      <c r="H22" s="19">
        <v>2</v>
      </c>
      <c r="I22" s="17">
        <v>3454.4399999999987</v>
      </c>
      <c r="J22" s="20">
        <f t="shared" si="214"/>
      </c>
      <c r="K22" s="21">
        <f t="shared" si="138"/>
      </c>
      <c r="L22" s="22">
        <f t="shared" si="81"/>
      </c>
      <c r="M22" s="23">
        <f t="shared" si="157"/>
      </c>
      <c r="N22" s="23">
        <f t="shared" si="43"/>
      </c>
      <c r="O22" s="22">
        <f t="shared" si="233"/>
      </c>
      <c r="P22" s="23">
        <f t="shared" si="176"/>
      </c>
      <c r="Q22" s="23">
        <f t="shared" si="100"/>
      </c>
      <c r="R22" s="22">
        <f t="shared" si="62"/>
      </c>
      <c r="S22" s="24">
        <f t="shared" si="252"/>
      </c>
      <c r="T22" s="22">
        <f t="shared" si="195"/>
      </c>
      <c r="U22" s="25">
        <f t="shared" si="119"/>
      </c>
      <c r="V22" s="26" t="s">
        <v>36</v>
      </c>
      <c r="W22" s="26" t="s">
        <v>37</v>
      </c>
      <c r="X22" s="27">
        <v>2</v>
      </c>
      <c r="Y22" s="27">
        <v>7615</v>
      </c>
      <c r="Z22" s="27">
        <v>350</v>
      </c>
      <c r="AA22" s="27">
        <v>550</v>
      </c>
      <c r="AB22" s="27">
        <v>148</v>
      </c>
      <c r="AC22" s="27">
        <v>62</v>
      </c>
      <c r="AD22" s="28">
        <v>3</v>
      </c>
      <c r="AE22" s="28">
        <v>34</v>
      </c>
      <c r="AF22" s="7"/>
      <c r="AG22" s="7"/>
    </row>
    <row r="23">
      <c r="A23" s="15"/>
      <c r="B23" s="18" t="s">
        <v>45</v>
      </c>
      <c r="C23" s="17" t="s">
        <v>48</v>
      </c>
      <c r="D23" s="18">
        <f t="shared" si="29"/>
      </c>
      <c r="E23" s="18">
        <v>2207.48</v>
      </c>
      <c r="F23" s="18">
        <v>718.7</v>
      </c>
      <c r="G23" s="18"/>
      <c r="H23" s="19">
        <v>2</v>
      </c>
      <c r="I23" s="17">
        <v>13299.240000000002</v>
      </c>
      <c r="J23" s="20">
        <f t="shared" si="214"/>
      </c>
      <c r="K23" s="21">
        <f t="shared" si="138"/>
      </c>
      <c r="L23" s="22">
        <f t="shared" si="81"/>
      </c>
      <c r="M23" s="23">
        <f t="shared" si="157"/>
      </c>
      <c r="N23" s="23">
        <f t="shared" si="43"/>
      </c>
      <c r="O23" s="22">
        <f t="shared" si="233"/>
      </c>
      <c r="P23" s="23">
        <f t="shared" si="176"/>
      </c>
      <c r="Q23" s="23">
        <f t="shared" si="100"/>
      </c>
      <c r="R23" s="22">
        <f t="shared" si="62"/>
      </c>
      <c r="S23" s="24">
        <f t="shared" si="252"/>
      </c>
      <c r="T23" s="22">
        <f t="shared" si="195"/>
      </c>
      <c r="U23" s="25">
        <f t="shared" si="119"/>
      </c>
      <c r="V23" s="26" t="s">
        <v>36</v>
      </c>
      <c r="W23" s="26" t="s">
        <v>37</v>
      </c>
      <c r="X23" s="27">
        <v>1</v>
      </c>
      <c r="Y23" s="27">
        <v>11042</v>
      </c>
      <c r="Z23" s="27">
        <v>464</v>
      </c>
      <c r="AA23" s="27">
        <v>748</v>
      </c>
      <c r="AB23" s="27">
        <v>202</v>
      </c>
      <c r="AC23" s="27">
        <v>86</v>
      </c>
      <c r="AD23" s="28">
        <v>2</v>
      </c>
      <c r="AE23" s="28">
        <v>16</v>
      </c>
      <c r="AF23" s="7"/>
      <c r="AG23" s="7"/>
    </row>
    <row r="24">
      <c r="A24" s="15"/>
      <c r="B24" s="18" t="s">
        <v>46</v>
      </c>
      <c r="C24" s="17" t="s">
        <v>48</v>
      </c>
      <c r="D24" s="18">
        <f t="shared" si="29"/>
      </c>
      <c r="E24" s="18">
        <v>2013.04</v>
      </c>
      <c r="F24" s="18">
        <v>432.51</v>
      </c>
      <c r="G24" s="18"/>
      <c r="H24" s="19">
        <v>1</v>
      </c>
      <c r="I24" s="17">
        <v>683</v>
      </c>
      <c r="J24" s="20">
        <f t="shared" si="214"/>
      </c>
      <c r="K24" s="21">
        <f t="shared" si="138"/>
      </c>
      <c r="L24" s="22">
        <f t="shared" si="81"/>
      </c>
      <c r="M24" s="23">
        <f t="shared" si="157"/>
      </c>
      <c r="N24" s="23">
        <f t="shared" si="43"/>
      </c>
      <c r="O24" s="22">
        <f t="shared" si="233"/>
      </c>
      <c r="P24" s="23">
        <f t="shared" si="176"/>
      </c>
      <c r="Q24" s="23">
        <f t="shared" si="100"/>
      </c>
      <c r="R24" s="22">
        <f t="shared" si="62"/>
      </c>
      <c r="S24" s="24">
        <f t="shared" si="252"/>
      </c>
      <c r="T24" s="22">
        <f t="shared" si="195"/>
      </c>
      <c r="U24" s="25">
        <f t="shared" si="119"/>
      </c>
      <c r="V24" s="26" t="s">
        <v>36</v>
      </c>
      <c r="W24" s="26" t="s">
        <v>37</v>
      </c>
      <c r="X24" s="27">
        <v>2</v>
      </c>
      <c r="Y24" s="27">
        <v>10809</v>
      </c>
      <c r="Z24" s="27">
        <v>319</v>
      </c>
      <c r="AA24" s="27">
        <v>457</v>
      </c>
      <c r="AB24" s="27">
        <v>103</v>
      </c>
      <c r="AC24" s="27">
        <v>69</v>
      </c>
      <c r="AD24" s="28">
        <v>2</v>
      </c>
      <c r="AE24" s="28">
        <v>15</v>
      </c>
      <c r="AF24" s="7"/>
      <c r="AG24" s="7"/>
    </row>
    <row r="25">
      <c r="A25" s="15"/>
      <c r="B25" s="30" t="s">
        <v>41</v>
      </c>
      <c r="C25" s="30"/>
      <c r="D25" s="30">
        <f>SUM(D21:D24)</f>
      </c>
      <c r="E25" s="30">
        <f>SUM(E21:E24)</f>
      </c>
      <c r="F25" s="30">
        <f>SUM(F21:F24)</f>
      </c>
      <c r="G25" s="30"/>
      <c r="H25" s="30">
        <f>SUM(H21:H24)</f>
      </c>
      <c r="I25" s="30">
        <f>SUM(I21:I24)</f>
      </c>
      <c r="J25" s="31">
        <f t="shared" si="214"/>
      </c>
      <c r="K25" s="32">
        <f t="shared" si="138"/>
      </c>
      <c r="L25" s="33">
        <f t="shared" si="81"/>
      </c>
      <c r="M25" s="34">
        <f t="shared" si="157"/>
      </c>
      <c r="N25" s="34">
        <f t="shared" si="43"/>
      </c>
      <c r="O25" s="33">
        <f t="shared" si="233"/>
      </c>
      <c r="P25" s="34">
        <f t="shared" si="176"/>
      </c>
      <c r="Q25" s="34">
        <f t="shared" si="100"/>
      </c>
      <c r="R25" s="33">
        <f t="shared" si="62"/>
      </c>
      <c r="S25" s="35">
        <f t="shared" si="252"/>
      </c>
      <c r="T25" s="33">
        <f t="shared" si="195"/>
      </c>
      <c r="U25" s="36">
        <f t="shared" si="119"/>
      </c>
      <c r="V25" s="36"/>
      <c r="W25" s="36"/>
      <c r="X25" s="30">
        <f>SUM(X21:X24)</f>
      </c>
      <c r="Y25" s="30">
        <f>SUM(Y21:Y24)</f>
      </c>
      <c r="Z25" s="30">
        <f>SUM(Z21:Z24)</f>
      </c>
      <c r="AA25" s="30">
        <f>SUM(AA21:AA24)</f>
      </c>
      <c r="AB25" s="30">
        <f>SUM(AB21:AB24)</f>
      </c>
      <c r="AC25" s="30">
        <f>SUM(AC21:AC24)</f>
      </c>
      <c r="AD25" s="30">
        <f>SUM(AD21:AD24)</f>
      </c>
      <c r="AE25" s="30">
        <f>SUM(AE21:AE24)</f>
      </c>
      <c r="AF25" s="7"/>
      <c r="AG25" s="7"/>
    </row>
    <row r="26">
      <c r="A26" s="15"/>
      <c r="B26" s="37" t="s">
        <v>47</v>
      </c>
      <c r="C26" s="37"/>
      <c r="D26" s="38">
        <f>D20+D25</f>
      </c>
      <c r="E26" s="38">
        <f>E20+E25</f>
      </c>
      <c r="F26" s="38">
        <f>F20+F25</f>
      </c>
      <c r="G26" s="38"/>
      <c r="H26" s="38">
        <f>H20+H25</f>
      </c>
      <c r="I26" s="38">
        <f>I20+I25</f>
      </c>
      <c r="J26" s="38">
        <f t="shared" si="214"/>
      </c>
      <c r="K26" s="39">
        <f t="shared" si="138"/>
      </c>
      <c r="L26" s="38">
        <f t="shared" si="81"/>
      </c>
      <c r="M26" s="40">
        <f t="shared" si="157"/>
      </c>
      <c r="N26" s="40">
        <f t="shared" si="43"/>
      </c>
      <c r="O26" s="38">
        <f t="shared" si="233"/>
      </c>
      <c r="P26" s="40">
        <f t="shared" si="176"/>
      </c>
      <c r="Q26" s="40">
        <f t="shared" si="100"/>
      </c>
      <c r="R26" s="38">
        <f t="shared" si="62"/>
      </c>
      <c r="S26" s="41">
        <f t="shared" si="252"/>
      </c>
      <c r="T26" s="38">
        <f t="shared" si="195"/>
      </c>
      <c r="U26" s="42">
        <f t="shared" si="119"/>
      </c>
      <c r="V26" s="42"/>
      <c r="W26" s="42"/>
      <c r="X26" s="43">
        <f>X20+X25</f>
      </c>
      <c r="Y26" s="43">
        <f>Y20+Y25</f>
      </c>
      <c r="Z26" s="43">
        <f>Z20+Z25</f>
      </c>
      <c r="AA26" s="43">
        <f>AA20+AA25</f>
      </c>
      <c r="AB26" s="43">
        <f>AB20+AB25</f>
      </c>
      <c r="AC26" s="43">
        <f>AC20+AC25</f>
      </c>
      <c r="AD26" s="43">
        <f>AD20+AD25</f>
      </c>
      <c r="AE26" s="43">
        <f>AE20+AE25</f>
      </c>
      <c r="AF26" s="7"/>
      <c r="AG26" s="7"/>
    </row>
    <row r="27">
      <c r="A27" s="1" t="s">
        <v>1</v>
      </c>
      <c r="B27" s="1"/>
      <c r="C27" s="1"/>
      <c r="D27" s="2" t="s">
        <v>2</v>
      </c>
      <c r="E27" s="2"/>
      <c r="F27" s="2"/>
      <c r="G27" s="2"/>
      <c r="H27" s="2"/>
      <c r="I27" s="2"/>
      <c r="J27" s="2"/>
      <c r="K27" s="3" t="s">
        <v>3</v>
      </c>
      <c r="L27" s="3"/>
      <c r="M27" s="3"/>
      <c r="N27" s="3"/>
      <c r="O27" s="3"/>
      <c r="P27" s="3"/>
      <c r="Q27" s="3"/>
      <c r="R27" s="3"/>
      <c r="S27" s="3"/>
      <c r="T27" s="3"/>
      <c r="U27" s="4"/>
      <c r="V27" s="4"/>
      <c r="W27" s="4"/>
      <c r="X27" s="5"/>
      <c r="Y27" s="5"/>
      <c r="Z27" s="5"/>
      <c r="AA27" s="5"/>
      <c r="AB27" s="5"/>
      <c r="AC27" s="5"/>
      <c r="AD27" s="5"/>
      <c r="AE27" s="6" t="s">
        <v>4</v>
      </c>
      <c r="AF27" s="7"/>
      <c r="AG27" s="7"/>
    </row>
    <row r="28">
      <c r="A28" s="1" t="s">
        <v>5</v>
      </c>
      <c r="B28" s="1" t="s">
        <v>6</v>
      </c>
      <c r="C28" s="1" t="s">
        <v>7</v>
      </c>
      <c r="D28" s="2" t="s">
        <v>8</v>
      </c>
      <c r="E28" s="8" t="s">
        <v>9</v>
      </c>
      <c r="F28" s="8" t="s">
        <v>10</v>
      </c>
      <c r="G28" s="8"/>
      <c r="H28" s="9" t="s">
        <v>11</v>
      </c>
      <c r="I28" s="2" t="s">
        <v>12</v>
      </c>
      <c r="J28" s="8" t="s">
        <v>13</v>
      </c>
      <c r="K28" s="3" t="s">
        <v>14</v>
      </c>
      <c r="L28" s="10" t="s">
        <v>15</v>
      </c>
      <c r="M28" s="11" t="s">
        <v>16</v>
      </c>
      <c r="N28" s="11" t="s">
        <v>17</v>
      </c>
      <c r="O28" s="10" t="s">
        <v>18</v>
      </c>
      <c r="P28" s="11" t="s">
        <v>19</v>
      </c>
      <c r="Q28" s="11" t="s">
        <v>20</v>
      </c>
      <c r="R28" s="10" t="s">
        <v>21</v>
      </c>
      <c r="S28" s="11" t="s">
        <v>22</v>
      </c>
      <c r="T28" s="10" t="s">
        <v>23</v>
      </c>
      <c r="U28" s="12" t="s">
        <v>24</v>
      </c>
      <c r="V28" s="12" t="s">
        <v>25</v>
      </c>
      <c r="W28" s="12" t="s">
        <v>26</v>
      </c>
      <c r="X28" s="13" t="s">
        <v>27</v>
      </c>
      <c r="Y28" s="14" t="s">
        <v>28</v>
      </c>
      <c r="Z28" s="14" t="s">
        <v>29</v>
      </c>
      <c r="AA28" s="14" t="s">
        <v>30</v>
      </c>
      <c r="AB28" s="14" t="s">
        <v>31</v>
      </c>
      <c r="AC28" s="14" t="s">
        <v>32</v>
      </c>
      <c r="AD28" s="14" t="s">
        <v>33</v>
      </c>
      <c r="AE28" s="6"/>
      <c r="AF28" s="7"/>
      <c r="AG28" s="7"/>
    </row>
    <row r="29">
      <c r="A29" s="15">
        <v>46298</v>
      </c>
      <c r="B29" s="16" t="s">
        <v>34</v>
      </c>
      <c r="C29" s="17" t="s">
        <v>43</v>
      </c>
      <c r="D29" s="18">
        <f t="shared" ref="D29:D32" si="30">E29+F29</f>
      </c>
      <c r="E29" s="18">
        <v>2121.57</v>
      </c>
      <c r="F29" s="18">
        <v>393.6</v>
      </c>
      <c r="G29" s="18"/>
      <c r="H29" s="19">
        <v>0</v>
      </c>
      <c r="I29" s="17">
        <v>0</v>
      </c>
      <c r="J29" s="20">
        <f t="shared" ref="J29:J39" si="215">I29/D29</f>
      </c>
      <c r="K29" s="21">
        <f t="shared" ref="K29:K39" si="139">Z29/Y29</f>
      </c>
      <c r="L29" s="22">
        <f t="shared" ref="L29:L39" si="82">D29/AA29</f>
      </c>
      <c r="M29" s="23">
        <f t="shared" ref="M29:M39" si="158">AB29/AA29</f>
      </c>
      <c r="N29" s="23">
        <f t="shared" ref="N29:N39" si="44">AC29/AA29</f>
      </c>
      <c r="O29" s="22">
        <f t="shared" ref="O29:O39" si="234">D29/AC29</f>
      </c>
      <c r="P29" s="23">
        <f t="shared" ref="P29:P39" si="177">AD29/AC29</f>
      </c>
      <c r="Q29" s="23">
        <f t="shared" ref="Q29:Q39" si="101">H29/AD29</f>
      </c>
      <c r="R29" s="22">
        <f t="shared" ref="R29:R39" si="63">D29/H29</f>
      </c>
      <c r="S29" s="24">
        <f t="shared" ref="S29:S39" si="253">I29/H29</f>
      </c>
      <c r="T29" s="22">
        <f t="shared" ref="T29:T39" si="196">D29/X29</f>
      </c>
      <c r="U29" s="25">
        <f t="shared" ref="U29:U39" si="120">AE29*1000/D29</f>
      </c>
      <c r="V29" s="26" t="s">
        <v>36</v>
      </c>
      <c r="W29" s="26" t="s">
        <v>37</v>
      </c>
      <c r="X29" s="27">
        <v>0</v>
      </c>
      <c r="Y29" s="27">
        <v>8031</v>
      </c>
      <c r="Z29" s="27">
        <v>384</v>
      </c>
      <c r="AA29" s="27">
        <v>538</v>
      </c>
      <c r="AB29" s="27">
        <v>139</v>
      </c>
      <c r="AC29" s="27">
        <v>47</v>
      </c>
      <c r="AD29" s="28">
        <v>2</v>
      </c>
      <c r="AE29" s="28">
        <v>19</v>
      </c>
      <c r="AF29" s="7"/>
      <c r="AG29" s="7"/>
    </row>
    <row r="30">
      <c r="A30" s="15"/>
      <c r="B30" s="29" t="s">
        <v>38</v>
      </c>
      <c r="C30" s="17" t="s">
        <v>43</v>
      </c>
      <c r="D30" s="18">
        <f t="shared" si="30"/>
      </c>
      <c r="E30" s="18">
        <v>1849.49</v>
      </c>
      <c r="F30" s="18">
        <v>436.46</v>
      </c>
      <c r="G30" s="18"/>
      <c r="H30" s="19">
        <v>1</v>
      </c>
      <c r="I30" s="17">
        <v>4817.28</v>
      </c>
      <c r="J30" s="20">
        <f t="shared" si="215"/>
      </c>
      <c r="K30" s="21">
        <f t="shared" si="139"/>
      </c>
      <c r="L30" s="22">
        <f t="shared" si="82"/>
      </c>
      <c r="M30" s="23">
        <f t="shared" si="158"/>
      </c>
      <c r="N30" s="23">
        <f t="shared" si="44"/>
      </c>
      <c r="O30" s="22">
        <f t="shared" si="234"/>
      </c>
      <c r="P30" s="23">
        <f t="shared" si="177"/>
      </c>
      <c r="Q30" s="23">
        <f t="shared" si="101"/>
      </c>
      <c r="R30" s="22">
        <f t="shared" si="63"/>
      </c>
      <c r="S30" s="24">
        <f t="shared" si="253"/>
      </c>
      <c r="T30" s="22">
        <f t="shared" si="196"/>
      </c>
      <c r="U30" s="25">
        <f t="shared" si="120"/>
      </c>
      <c r="V30" s="26" t="s">
        <v>36</v>
      </c>
      <c r="W30" s="26" t="s">
        <v>37</v>
      </c>
      <c r="X30" s="27">
        <v>1</v>
      </c>
      <c r="Y30" s="27">
        <v>8362</v>
      </c>
      <c r="Z30" s="27">
        <v>374</v>
      </c>
      <c r="AA30" s="27">
        <v>507</v>
      </c>
      <c r="AB30" s="27">
        <v>153</v>
      </c>
      <c r="AC30" s="27">
        <v>35</v>
      </c>
      <c r="AD30" s="28">
        <v>1</v>
      </c>
      <c r="AE30" s="28">
        <v>20</v>
      </c>
      <c r="AF30" s="7"/>
      <c r="AG30" s="7"/>
    </row>
    <row r="31">
      <c r="A31" s="15"/>
      <c r="B31" s="29" t="s">
        <v>39</v>
      </c>
      <c r="C31" s="17" t="s">
        <v>43</v>
      </c>
      <c r="D31" s="18">
        <f t="shared" si="30"/>
      </c>
      <c r="E31" s="18">
        <v>2032.19</v>
      </c>
      <c r="F31" s="18">
        <v>364.03</v>
      </c>
      <c r="G31" s="18"/>
      <c r="H31" s="19">
        <v>0</v>
      </c>
      <c r="I31" s="17">
        <v>0</v>
      </c>
      <c r="J31" s="20">
        <f t="shared" si="215"/>
      </c>
      <c r="K31" s="21">
        <f t="shared" si="139"/>
      </c>
      <c r="L31" s="22">
        <f t="shared" si="82"/>
      </c>
      <c r="M31" s="23">
        <f t="shared" si="158"/>
      </c>
      <c r="N31" s="23">
        <f t="shared" si="44"/>
      </c>
      <c r="O31" s="22">
        <f t="shared" si="234"/>
      </c>
      <c r="P31" s="23">
        <f t="shared" si="177"/>
      </c>
      <c r="Q31" s="23">
        <f t="shared" si="101"/>
      </c>
      <c r="R31" s="22">
        <f t="shared" si="63"/>
      </c>
      <c r="S31" s="24">
        <f t="shared" si="253"/>
      </c>
      <c r="T31" s="22">
        <f t="shared" si="196"/>
      </c>
      <c r="U31" s="25">
        <f t="shared" si="120"/>
      </c>
      <c r="V31" s="26" t="s">
        <v>36</v>
      </c>
      <c r="W31" s="26" t="s">
        <v>37</v>
      </c>
      <c r="X31" s="27">
        <v>0</v>
      </c>
      <c r="Y31" s="27">
        <v>10558</v>
      </c>
      <c r="Z31" s="27">
        <v>443</v>
      </c>
      <c r="AA31" s="27">
        <v>562</v>
      </c>
      <c r="AB31" s="27">
        <v>166</v>
      </c>
      <c r="AC31" s="27">
        <v>27</v>
      </c>
      <c r="AD31" s="28">
        <v>3</v>
      </c>
      <c r="AE31" s="28">
        <v>25</v>
      </c>
      <c r="AF31" s="7"/>
      <c r="AG31" s="7"/>
    </row>
    <row r="32">
      <c r="A32" s="15"/>
      <c r="B32" s="29" t="s">
        <v>40</v>
      </c>
      <c r="C32" s="17" t="s">
        <v>43</v>
      </c>
      <c r="D32" s="18">
        <f t="shared" si="30"/>
      </c>
      <c r="E32" s="18">
        <v>1065.5</v>
      </c>
      <c r="F32" s="18">
        <v>381.78</v>
      </c>
      <c r="G32" s="18"/>
      <c r="H32" s="19">
        <v>0</v>
      </c>
      <c r="I32" s="17">
        <v>0</v>
      </c>
      <c r="J32" s="20">
        <f t="shared" si="215"/>
      </c>
      <c r="K32" s="21">
        <f t="shared" si="139"/>
      </c>
      <c r="L32" s="22">
        <f t="shared" si="82"/>
      </c>
      <c r="M32" s="23">
        <f t="shared" si="158"/>
      </c>
      <c r="N32" s="23">
        <f t="shared" si="44"/>
      </c>
      <c r="O32" s="22">
        <f t="shared" si="234"/>
      </c>
      <c r="P32" s="23">
        <f t="shared" si="177"/>
      </c>
      <c r="Q32" s="23">
        <f t="shared" si="101"/>
      </c>
      <c r="R32" s="22">
        <f t="shared" si="63"/>
      </c>
      <c r="S32" s="24">
        <f t="shared" si="253"/>
      </c>
      <c r="T32" s="22">
        <f t="shared" si="196"/>
      </c>
      <c r="U32" s="25">
        <f t="shared" si="120"/>
      </c>
      <c r="V32" s="26" t="s">
        <v>36</v>
      </c>
      <c r="W32" s="26" t="s">
        <v>37</v>
      </c>
      <c r="X32" s="27">
        <v>0</v>
      </c>
      <c r="Y32" s="27">
        <v>5359</v>
      </c>
      <c r="Z32" s="27">
        <v>227</v>
      </c>
      <c r="AA32" s="27">
        <v>320</v>
      </c>
      <c r="AB32" s="27">
        <v>103</v>
      </c>
      <c r="AC32" s="27">
        <v>34</v>
      </c>
      <c r="AD32" s="28">
        <v>0</v>
      </c>
      <c r="AE32" s="28">
        <v>10</v>
      </c>
      <c r="AF32" s="7"/>
      <c r="AG32" s="7"/>
    </row>
    <row r="33">
      <c r="A33" s="15"/>
      <c r="B33" s="30" t="s">
        <v>41</v>
      </c>
      <c r="C33" s="30"/>
      <c r="D33" s="30">
        <f>SUM(D29:D32)</f>
      </c>
      <c r="E33" s="30">
        <f>SUM(E29:E32)</f>
      </c>
      <c r="F33" s="30">
        <f>SUM(F29:F32)</f>
      </c>
      <c r="G33" s="30"/>
      <c r="H33" s="30">
        <f>SUM(H29:H32)</f>
      </c>
      <c r="I33" s="30">
        <f>SUM(I29:I32)</f>
      </c>
      <c r="J33" s="31">
        <f t="shared" si="215"/>
      </c>
      <c r="K33" s="32">
        <f t="shared" si="139"/>
      </c>
      <c r="L33" s="33">
        <f t="shared" si="82"/>
      </c>
      <c r="M33" s="34">
        <f t="shared" si="158"/>
      </c>
      <c r="N33" s="34">
        <f t="shared" si="44"/>
      </c>
      <c r="O33" s="33">
        <f t="shared" si="234"/>
      </c>
      <c r="P33" s="34">
        <f t="shared" si="177"/>
      </c>
      <c r="Q33" s="34">
        <f t="shared" si="101"/>
      </c>
      <c r="R33" s="33">
        <f t="shared" si="63"/>
      </c>
      <c r="S33" s="35">
        <f t="shared" si="253"/>
      </c>
      <c r="T33" s="33">
        <f t="shared" si="196"/>
      </c>
      <c r="U33" s="36">
        <f t="shared" si="120"/>
      </c>
      <c r="V33" s="36"/>
      <c r="W33" s="36"/>
      <c r="X33" s="30">
        <f>SUM(X29:X32)</f>
      </c>
      <c r="Y33" s="30">
        <f>SUM(Y29:Y32)</f>
      </c>
      <c r="Z33" s="30">
        <f>SUM(Z29:Z32)</f>
      </c>
      <c r="AA33" s="30">
        <f>SUM(AA29:AA32)</f>
      </c>
      <c r="AB33" s="30">
        <f>SUM(AB29:AB32)</f>
      </c>
      <c r="AC33" s="30">
        <f>SUM(AC29:AC32)</f>
      </c>
      <c r="AD33" s="30">
        <f>SUM(AD29:AD32)</f>
      </c>
      <c r="AE33" s="30">
        <f>SUM(AE29:AE32)</f>
      </c>
      <c r="AF33" s="7"/>
      <c r="AG33" s="7"/>
    </row>
    <row r="34">
      <c r="A34" s="15"/>
      <c r="B34" s="17" t="s">
        <v>42</v>
      </c>
      <c r="C34" s="17" t="s">
        <v>48</v>
      </c>
      <c r="D34" s="18">
        <f t="shared" ref="D34:D37" si="31">E34+F34</f>
      </c>
      <c r="E34" s="18">
        <v>797.95</v>
      </c>
      <c r="F34" s="18">
        <v>514.62</v>
      </c>
      <c r="G34" s="18"/>
      <c r="H34" s="19">
        <v>1</v>
      </c>
      <c r="I34" s="17">
        <v>700.5600000000004</v>
      </c>
      <c r="J34" s="20">
        <f t="shared" si="215"/>
      </c>
      <c r="K34" s="21">
        <f t="shared" si="139"/>
      </c>
      <c r="L34" s="22">
        <f t="shared" si="82"/>
      </c>
      <c r="M34" s="23">
        <f t="shared" si="158"/>
      </c>
      <c r="N34" s="23">
        <f t="shared" si="44"/>
      </c>
      <c r="O34" s="22">
        <f t="shared" si="234"/>
      </c>
      <c r="P34" s="23">
        <f t="shared" si="177"/>
      </c>
      <c r="Q34" s="23">
        <f t="shared" si="101"/>
      </c>
      <c r="R34" s="22">
        <f t="shared" si="63"/>
      </c>
      <c r="S34" s="24">
        <f t="shared" si="253"/>
      </c>
      <c r="T34" s="22">
        <f t="shared" si="196"/>
      </c>
      <c r="U34" s="25">
        <f t="shared" si="120"/>
      </c>
      <c r="V34" s="26" t="s">
        <v>36</v>
      </c>
      <c r="W34" s="26" t="s">
        <v>37</v>
      </c>
      <c r="X34" s="27">
        <v>1</v>
      </c>
      <c r="Y34" s="27">
        <v>4104</v>
      </c>
      <c r="Z34" s="27">
        <v>178</v>
      </c>
      <c r="AA34" s="27">
        <v>268</v>
      </c>
      <c r="AB34" s="27">
        <v>73</v>
      </c>
      <c r="AC34" s="27">
        <v>20</v>
      </c>
      <c r="AD34" s="28">
        <v>2</v>
      </c>
      <c r="AE34" s="28">
        <v>9</v>
      </c>
      <c r="AF34" s="7"/>
      <c r="AG34" s="7"/>
    </row>
    <row r="35">
      <c r="A35" s="15"/>
      <c r="B35" s="18" t="s">
        <v>44</v>
      </c>
      <c r="C35" s="17" t="s">
        <v>48</v>
      </c>
      <c r="D35" s="18">
        <f t="shared" si="31"/>
      </c>
      <c r="E35" s="18">
        <v>754.04</v>
      </c>
      <c r="F35" s="18">
        <v>443.08</v>
      </c>
      <c r="G35" s="18"/>
      <c r="H35" s="19">
        <v>1</v>
      </c>
      <c r="I35" s="17">
        <v>8228.52</v>
      </c>
      <c r="J35" s="20">
        <f t="shared" si="215"/>
      </c>
      <c r="K35" s="21">
        <f t="shared" si="139"/>
      </c>
      <c r="L35" s="22">
        <f t="shared" si="82"/>
      </c>
      <c r="M35" s="23">
        <f t="shared" si="158"/>
      </c>
      <c r="N35" s="23">
        <f t="shared" si="44"/>
      </c>
      <c r="O35" s="22">
        <f t="shared" si="234"/>
      </c>
      <c r="P35" s="23">
        <f t="shared" si="177"/>
      </c>
      <c r="Q35" s="23">
        <f t="shared" si="101"/>
      </c>
      <c r="R35" s="22">
        <f t="shared" si="63"/>
      </c>
      <c r="S35" s="24">
        <f t="shared" si="253"/>
      </c>
      <c r="T35" s="22">
        <f t="shared" si="196"/>
      </c>
      <c r="U35" s="25">
        <f t="shared" si="120"/>
      </c>
      <c r="V35" s="26" t="s">
        <v>36</v>
      </c>
      <c r="W35" s="26" t="s">
        <v>37</v>
      </c>
      <c r="X35" s="27">
        <v>0</v>
      </c>
      <c r="Y35" s="27">
        <v>3696</v>
      </c>
      <c r="Z35" s="27">
        <v>207</v>
      </c>
      <c r="AA35" s="27">
        <v>305</v>
      </c>
      <c r="AB35" s="27">
        <v>83</v>
      </c>
      <c r="AC35" s="27">
        <v>23</v>
      </c>
      <c r="AD35" s="28">
        <v>1</v>
      </c>
      <c r="AE35" s="28">
        <v>14</v>
      </c>
      <c r="AF35" s="7"/>
      <c r="AG35" s="7"/>
    </row>
    <row r="36">
      <c r="A36" s="15"/>
      <c r="B36" s="18" t="s">
        <v>45</v>
      </c>
      <c r="C36" s="17" t="s">
        <v>48</v>
      </c>
      <c r="D36" s="18">
        <f t="shared" si="31"/>
      </c>
      <c r="E36" s="18">
        <v>1231.25</v>
      </c>
      <c r="F36" s="18">
        <v>356.32</v>
      </c>
      <c r="G36" s="18"/>
      <c r="H36" s="19">
        <v>0</v>
      </c>
      <c r="I36" s="17">
        <v>0</v>
      </c>
      <c r="J36" s="20">
        <f t="shared" si="215"/>
      </c>
      <c r="K36" s="21">
        <f t="shared" si="139"/>
      </c>
      <c r="L36" s="22">
        <f t="shared" si="82"/>
      </c>
      <c r="M36" s="23">
        <f t="shared" si="158"/>
      </c>
      <c r="N36" s="23">
        <f t="shared" si="44"/>
      </c>
      <c r="O36" s="22">
        <f t="shared" si="234"/>
      </c>
      <c r="P36" s="23">
        <f t="shared" si="177"/>
      </c>
      <c r="Q36" s="23">
        <f t="shared" si="101"/>
      </c>
      <c r="R36" s="22">
        <f t="shared" si="63"/>
      </c>
      <c r="S36" s="24">
        <f t="shared" si="253"/>
      </c>
      <c r="T36" s="22">
        <f t="shared" si="196"/>
      </c>
      <c r="U36" s="25">
        <f t="shared" si="120"/>
      </c>
      <c r="V36" s="26" t="s">
        <v>36</v>
      </c>
      <c r="W36" s="26" t="s">
        <v>37</v>
      </c>
      <c r="X36" s="27">
        <v>1</v>
      </c>
      <c r="Y36" s="27">
        <v>4845</v>
      </c>
      <c r="Z36" s="27">
        <v>243</v>
      </c>
      <c r="AA36" s="27">
        <v>338</v>
      </c>
      <c r="AB36" s="27">
        <v>91</v>
      </c>
      <c r="AC36" s="27">
        <v>25</v>
      </c>
      <c r="AD36" s="28">
        <v>0</v>
      </c>
      <c r="AE36" s="28">
        <v>11</v>
      </c>
      <c r="AF36" s="7"/>
      <c r="AG36" s="7"/>
    </row>
    <row r="37">
      <c r="A37" s="15"/>
      <c r="B37" s="18" t="s">
        <v>46</v>
      </c>
      <c r="C37" s="17" t="s">
        <v>48</v>
      </c>
      <c r="D37" s="18">
        <f t="shared" si="31"/>
      </c>
      <c r="E37" s="18">
        <v>504.87</v>
      </c>
      <c r="F37" s="18">
        <v>183.07</v>
      </c>
      <c r="G37" s="18"/>
      <c r="H37" s="19">
        <v>0</v>
      </c>
      <c r="I37" s="17">
        <v>0</v>
      </c>
      <c r="J37" s="20">
        <f t="shared" si="215"/>
      </c>
      <c r="K37" s="21">
        <f t="shared" si="139"/>
      </c>
      <c r="L37" s="22">
        <f t="shared" si="82"/>
      </c>
      <c r="M37" s="23">
        <f t="shared" si="158"/>
      </c>
      <c r="N37" s="23">
        <f t="shared" si="44"/>
      </c>
      <c r="O37" s="22">
        <f t="shared" si="234"/>
      </c>
      <c r="P37" s="23">
        <f t="shared" si="177"/>
      </c>
      <c r="Q37" s="23">
        <f t="shared" si="101"/>
      </c>
      <c r="R37" s="22">
        <f t="shared" si="63"/>
      </c>
      <c r="S37" s="24">
        <f t="shared" si="253"/>
      </c>
      <c r="T37" s="22">
        <f t="shared" si="196"/>
      </c>
      <c r="U37" s="25">
        <f t="shared" si="120"/>
      </c>
      <c r="V37" s="26" t="s">
        <v>36</v>
      </c>
      <c r="W37" s="26" t="s">
        <v>37</v>
      </c>
      <c r="X37" s="27">
        <v>0</v>
      </c>
      <c r="Y37" s="27">
        <v>2648</v>
      </c>
      <c r="Z37" s="27">
        <v>115</v>
      </c>
      <c r="AA37" s="27">
        <v>183</v>
      </c>
      <c r="AB37" s="27">
        <v>43</v>
      </c>
      <c r="AC37" s="27">
        <v>17</v>
      </c>
      <c r="AD37" s="28">
        <v>1</v>
      </c>
      <c r="AE37" s="28">
        <v>11</v>
      </c>
      <c r="AF37" s="7"/>
      <c r="AG37" s="7"/>
    </row>
    <row r="38">
      <c r="A38" s="15"/>
      <c r="B38" s="30" t="s">
        <v>41</v>
      </c>
      <c r="C38" s="30"/>
      <c r="D38" s="30">
        <f>SUM(D34:D37)</f>
      </c>
      <c r="E38" s="30">
        <f>SUM(E34:E37)</f>
      </c>
      <c r="F38" s="30">
        <f>SUM(F34:F37)</f>
      </c>
      <c r="G38" s="30"/>
      <c r="H38" s="30">
        <f>SUM(H34:H37)</f>
      </c>
      <c r="I38" s="30">
        <f>SUM(I34:I37)</f>
      </c>
      <c r="J38" s="31">
        <f t="shared" si="215"/>
      </c>
      <c r="K38" s="32">
        <f t="shared" si="139"/>
      </c>
      <c r="L38" s="33">
        <f t="shared" si="82"/>
      </c>
      <c r="M38" s="34">
        <f t="shared" si="158"/>
      </c>
      <c r="N38" s="34">
        <f t="shared" si="44"/>
      </c>
      <c r="O38" s="33">
        <f t="shared" si="234"/>
      </c>
      <c r="P38" s="34">
        <f t="shared" si="177"/>
      </c>
      <c r="Q38" s="34">
        <f t="shared" si="101"/>
      </c>
      <c r="R38" s="33">
        <f t="shared" si="63"/>
      </c>
      <c r="S38" s="35">
        <f t="shared" si="253"/>
      </c>
      <c r="T38" s="33">
        <f t="shared" si="196"/>
      </c>
      <c r="U38" s="36">
        <f t="shared" si="120"/>
      </c>
      <c r="V38" s="36"/>
      <c r="W38" s="36"/>
      <c r="X38" s="30">
        <f>SUM(X34:X37)</f>
      </c>
      <c r="Y38" s="30">
        <f>SUM(Y34:Y37)</f>
      </c>
      <c r="Z38" s="30">
        <f>SUM(Z34:Z37)</f>
      </c>
      <c r="AA38" s="30">
        <f>SUM(AA34:AA37)</f>
      </c>
      <c r="AB38" s="30">
        <f>SUM(AB34:AB37)</f>
      </c>
      <c r="AC38" s="30">
        <f>SUM(AC34:AC37)</f>
      </c>
      <c r="AD38" s="30">
        <f>SUM(AD34:AD37)</f>
      </c>
      <c r="AE38" s="30">
        <f>SUM(AE34:AE37)</f>
      </c>
      <c r="AF38" s="7"/>
      <c r="AG38" s="7"/>
    </row>
    <row r="39">
      <c r="A39" s="15"/>
      <c r="B39" s="37" t="s">
        <v>47</v>
      </c>
      <c r="C39" s="37"/>
      <c r="D39" s="38">
        <f>D33+D38</f>
      </c>
      <c r="E39" s="38">
        <f>E33+E38</f>
      </c>
      <c r="F39" s="38">
        <f>F33+F38</f>
      </c>
      <c r="G39" s="38"/>
      <c r="H39" s="38">
        <f>H33+H38</f>
      </c>
      <c r="I39" s="38">
        <f>I33+I38</f>
      </c>
      <c r="J39" s="38">
        <f t="shared" si="215"/>
      </c>
      <c r="K39" s="39">
        <f t="shared" si="139"/>
      </c>
      <c r="L39" s="38">
        <f t="shared" si="82"/>
      </c>
      <c r="M39" s="40">
        <f t="shared" si="158"/>
      </c>
      <c r="N39" s="40">
        <f t="shared" si="44"/>
      </c>
      <c r="O39" s="38">
        <f t="shared" si="234"/>
      </c>
      <c r="P39" s="40">
        <f t="shared" si="177"/>
      </c>
      <c r="Q39" s="40">
        <f t="shared" si="101"/>
      </c>
      <c r="R39" s="38">
        <f t="shared" si="63"/>
      </c>
      <c r="S39" s="41">
        <f t="shared" si="253"/>
      </c>
      <c r="T39" s="38">
        <f t="shared" si="196"/>
      </c>
      <c r="U39" s="42">
        <f t="shared" si="120"/>
      </c>
      <c r="V39" s="42"/>
      <c r="W39" s="42"/>
      <c r="X39" s="43">
        <f>X33+X38</f>
      </c>
      <c r="Y39" s="43">
        <f>Y33+Y38</f>
      </c>
      <c r="Z39" s="43">
        <f>Z33+Z38</f>
      </c>
      <c r="AA39" s="43">
        <f>AA33+AA38</f>
      </c>
      <c r="AB39" s="43">
        <f>AB33+AB38</f>
      </c>
      <c r="AC39" s="43">
        <f>AC33+AC38</f>
      </c>
      <c r="AD39" s="43">
        <f>AD33+AD38</f>
      </c>
      <c r="AE39" s="43">
        <f>AE33+AE38</f>
      </c>
      <c r="AF39" s="7"/>
      <c r="AG39" s="7"/>
    </row>
    <row r="40">
      <c r="A40" s="1" t="s">
        <v>1</v>
      </c>
      <c r="B40" s="1"/>
      <c r="C40" s="1"/>
      <c r="D40" s="2" t="s">
        <v>2</v>
      </c>
      <c r="E40" s="2"/>
      <c r="F40" s="2"/>
      <c r="G40" s="2"/>
      <c r="H40" s="2"/>
      <c r="I40" s="2"/>
      <c r="J40" s="2"/>
      <c r="K40" s="3" t="s">
        <v>3</v>
      </c>
      <c r="L40" s="3"/>
      <c r="M40" s="3"/>
      <c r="N40" s="3"/>
      <c r="O40" s="3"/>
      <c r="P40" s="3"/>
      <c r="Q40" s="3"/>
      <c r="R40" s="3"/>
      <c r="S40" s="3"/>
      <c r="T40" s="3"/>
      <c r="U40" s="4"/>
      <c r="V40" s="4"/>
      <c r="W40" s="4"/>
      <c r="X40" s="5"/>
      <c r="Y40" s="5"/>
      <c r="Z40" s="5"/>
      <c r="AA40" s="5"/>
      <c r="AB40" s="5"/>
      <c r="AC40" s="5"/>
      <c r="AD40" s="5"/>
      <c r="AE40" s="6" t="s">
        <v>4</v>
      </c>
      <c r="AF40" s="7"/>
      <c r="AG40" s="7"/>
    </row>
    <row r="41">
      <c r="A41" s="1" t="s">
        <v>5</v>
      </c>
      <c r="B41" s="1" t="s">
        <v>6</v>
      </c>
      <c r="C41" s="1" t="s">
        <v>7</v>
      </c>
      <c r="D41" s="2" t="s">
        <v>8</v>
      </c>
      <c r="E41" s="8" t="s">
        <v>9</v>
      </c>
      <c r="F41" s="8" t="s">
        <v>10</v>
      </c>
      <c r="G41" s="8"/>
      <c r="H41" s="9" t="s">
        <v>11</v>
      </c>
      <c r="I41" s="2" t="s">
        <v>12</v>
      </c>
      <c r="J41" s="8" t="s">
        <v>13</v>
      </c>
      <c r="K41" s="3" t="s">
        <v>14</v>
      </c>
      <c r="L41" s="10" t="s">
        <v>15</v>
      </c>
      <c r="M41" s="11" t="s">
        <v>16</v>
      </c>
      <c r="N41" s="11" t="s">
        <v>17</v>
      </c>
      <c r="O41" s="10" t="s">
        <v>18</v>
      </c>
      <c r="P41" s="11" t="s">
        <v>19</v>
      </c>
      <c r="Q41" s="11" t="s">
        <v>20</v>
      </c>
      <c r="R41" s="10" t="s">
        <v>21</v>
      </c>
      <c r="S41" s="11" t="s">
        <v>22</v>
      </c>
      <c r="T41" s="10" t="s">
        <v>23</v>
      </c>
      <c r="U41" s="12" t="s">
        <v>24</v>
      </c>
      <c r="V41" s="12" t="s">
        <v>25</v>
      </c>
      <c r="W41" s="12" t="s">
        <v>26</v>
      </c>
      <c r="X41" s="13" t="s">
        <v>27</v>
      </c>
      <c r="Y41" s="14" t="s">
        <v>28</v>
      </c>
      <c r="Z41" s="14" t="s">
        <v>29</v>
      </c>
      <c r="AA41" s="14" t="s">
        <v>30</v>
      </c>
      <c r="AB41" s="14" t="s">
        <v>31</v>
      </c>
      <c r="AC41" s="14" t="s">
        <v>32</v>
      </c>
      <c r="AD41" s="14" t="s">
        <v>33</v>
      </c>
      <c r="AE41" s="6"/>
      <c r="AF41" s="7"/>
      <c r="AG41" s="7"/>
    </row>
    <row r="42">
      <c r="A42" s="15">
        <v>46299</v>
      </c>
      <c r="B42" s="16" t="s">
        <v>34</v>
      </c>
      <c r="C42" s="17" t="s">
        <v>49</v>
      </c>
      <c r="D42" s="18">
        <f t="shared" ref="D42:D45" si="32">E42+F42</f>
      </c>
      <c r="E42" s="18">
        <v>730.07</v>
      </c>
      <c r="F42" s="18">
        <v>332.3</v>
      </c>
      <c r="G42" s="18"/>
      <c r="H42" s="19">
        <v>0</v>
      </c>
      <c r="I42" s="17">
        <v>0</v>
      </c>
      <c r="J42" s="20">
        <f t="shared" ref="J42:J52" si="216">I42/D42</f>
      </c>
      <c r="K42" s="21">
        <f t="shared" ref="K42:K52" si="140">Z42/Y42</f>
      </c>
      <c r="L42" s="22">
        <f t="shared" ref="L42:L52" si="83">D42/AA42</f>
      </c>
      <c r="M42" s="23">
        <f t="shared" ref="M42:M52" si="159">AB42/AA42</f>
      </c>
      <c r="N42" s="23">
        <f t="shared" ref="N42:N52" si="45">AC42/AA42</f>
      </c>
      <c r="O42" s="22">
        <f t="shared" ref="O42:O52" si="235">D42/AC42</f>
      </c>
      <c r="P42" s="23">
        <f t="shared" ref="P42:P52" si="178">AD42/AC42</f>
      </c>
      <c r="Q42" s="23">
        <f t="shared" ref="Q42:Q52" si="102">H42/AD42</f>
      </c>
      <c r="R42" s="22">
        <f t="shared" ref="R42:R52" si="64">D42/H42</f>
      </c>
      <c r="S42" s="24">
        <f t="shared" ref="S42:S52" si="254">I42/H42</f>
      </c>
      <c r="T42" s="22">
        <f t="shared" ref="T42:T52" si="197">D42/X42</f>
      </c>
      <c r="U42" s="25">
        <f t="shared" ref="U42:U52" si="121">AE42*1000/D42</f>
      </c>
      <c r="V42" s="26" t="s">
        <v>36</v>
      </c>
      <c r="W42" s="26" t="s">
        <v>37</v>
      </c>
      <c r="X42" s="27">
        <v>0</v>
      </c>
      <c r="Y42" s="27">
        <v>2350</v>
      </c>
      <c r="Z42" s="27">
        <v>211</v>
      </c>
      <c r="AA42" s="27">
        <v>358</v>
      </c>
      <c r="AB42" s="27">
        <v>100</v>
      </c>
      <c r="AC42" s="27">
        <v>10</v>
      </c>
      <c r="AD42" s="28">
        <v>0</v>
      </c>
      <c r="AE42" s="28">
        <v>6</v>
      </c>
      <c r="AF42" s="7"/>
      <c r="AG42" s="7"/>
    </row>
    <row r="43">
      <c r="A43" s="15"/>
      <c r="B43" s="29" t="s">
        <v>38</v>
      </c>
      <c r="C43" s="17" t="s">
        <v>49</v>
      </c>
      <c r="D43" s="18">
        <f t="shared" si="32"/>
      </c>
      <c r="E43" s="18">
        <v>814.2</v>
      </c>
      <c r="F43" s="18">
        <v>452.54</v>
      </c>
      <c r="G43" s="18"/>
      <c r="H43" s="19">
        <v>1</v>
      </c>
      <c r="I43" s="17">
        <v>3978.44</v>
      </c>
      <c r="J43" s="20">
        <f t="shared" si="216"/>
      </c>
      <c r="K43" s="21">
        <f t="shared" si="140"/>
      </c>
      <c r="L43" s="22">
        <f t="shared" si="83"/>
      </c>
      <c r="M43" s="23">
        <f t="shared" si="159"/>
      </c>
      <c r="N43" s="23">
        <f t="shared" si="45"/>
      </c>
      <c r="O43" s="22">
        <f t="shared" si="235"/>
      </c>
      <c r="P43" s="23">
        <f t="shared" si="178"/>
      </c>
      <c r="Q43" s="23">
        <f t="shared" si="102"/>
      </c>
      <c r="R43" s="22">
        <f t="shared" si="64"/>
      </c>
      <c r="S43" s="24">
        <f t="shared" si="254"/>
      </c>
      <c r="T43" s="22">
        <f t="shared" si="197"/>
      </c>
      <c r="U43" s="25">
        <f t="shared" si="121"/>
      </c>
      <c r="V43" s="26" t="s">
        <v>36</v>
      </c>
      <c r="W43" s="26" t="s">
        <v>37</v>
      </c>
      <c r="X43" s="27">
        <v>1</v>
      </c>
      <c r="Y43" s="27">
        <v>3021</v>
      </c>
      <c r="Z43" s="27">
        <v>248</v>
      </c>
      <c r="AA43" s="27">
        <v>423</v>
      </c>
      <c r="AB43" s="27">
        <v>118</v>
      </c>
      <c r="AC43" s="27">
        <v>26</v>
      </c>
      <c r="AD43" s="28">
        <v>3</v>
      </c>
      <c r="AE43" s="28">
        <v>15</v>
      </c>
      <c r="AF43" s="7"/>
      <c r="AG43" s="7"/>
    </row>
    <row r="44">
      <c r="A44" s="15"/>
      <c r="B44" s="29" t="s">
        <v>39</v>
      </c>
      <c r="C44" s="17" t="s">
        <v>49</v>
      </c>
      <c r="D44" s="18">
        <f t="shared" si="32"/>
      </c>
      <c r="E44" s="18">
        <v>1028.75</v>
      </c>
      <c r="F44" s="18">
        <v>283.87</v>
      </c>
      <c r="G44" s="18"/>
      <c r="H44" s="19">
        <v>1</v>
      </c>
      <c r="I44" s="17">
        <v>2624.8799999999997</v>
      </c>
      <c r="J44" s="20">
        <f t="shared" si="216"/>
      </c>
      <c r="K44" s="21">
        <f t="shared" si="140"/>
      </c>
      <c r="L44" s="22">
        <f t="shared" si="83"/>
      </c>
      <c r="M44" s="23">
        <f t="shared" si="159"/>
      </c>
      <c r="N44" s="23">
        <f t="shared" si="45"/>
      </c>
      <c r="O44" s="22">
        <f t="shared" si="235"/>
      </c>
      <c r="P44" s="23">
        <f t="shared" si="178"/>
      </c>
      <c r="Q44" s="23">
        <f t="shared" si="102"/>
      </c>
      <c r="R44" s="22">
        <f t="shared" si="64"/>
      </c>
      <c r="S44" s="24">
        <f t="shared" si="254"/>
      </c>
      <c r="T44" s="22">
        <f t="shared" si="197"/>
      </c>
      <c r="U44" s="25">
        <f t="shared" si="121"/>
      </c>
      <c r="V44" s="26" t="s">
        <v>36</v>
      </c>
      <c r="W44" s="26" t="s">
        <v>37</v>
      </c>
      <c r="X44" s="27">
        <v>0</v>
      </c>
      <c r="Y44" s="27">
        <v>4134</v>
      </c>
      <c r="Z44" s="27">
        <v>174</v>
      </c>
      <c r="AA44" s="27">
        <v>260</v>
      </c>
      <c r="AB44" s="27">
        <v>75</v>
      </c>
      <c r="AC44" s="27">
        <v>2</v>
      </c>
      <c r="AD44" s="28">
        <v>2</v>
      </c>
      <c r="AE44" s="28">
        <v>6</v>
      </c>
      <c r="AF44" s="7"/>
      <c r="AG44" s="7"/>
    </row>
    <row r="45">
      <c r="A45" s="15"/>
      <c r="B45" s="29" t="s">
        <v>40</v>
      </c>
      <c r="C45" s="17" t="s">
        <v>49</v>
      </c>
      <c r="D45" s="18">
        <f t="shared" si="32"/>
      </c>
      <c r="E45" s="18">
        <v>885.23</v>
      </c>
      <c r="F45" s="18">
        <v>318.74</v>
      </c>
      <c r="G45" s="18"/>
      <c r="H45" s="19">
        <v>3</v>
      </c>
      <c r="I45" s="17">
        <v>3486.2400000000016</v>
      </c>
      <c r="J45" s="20">
        <f t="shared" si="216"/>
      </c>
      <c r="K45" s="21">
        <f t="shared" si="140"/>
      </c>
      <c r="L45" s="22">
        <f t="shared" si="83"/>
      </c>
      <c r="M45" s="23">
        <f t="shared" si="159"/>
      </c>
      <c r="N45" s="23">
        <f t="shared" si="45"/>
      </c>
      <c r="O45" s="22">
        <f t="shared" si="235"/>
      </c>
      <c r="P45" s="23">
        <f t="shared" si="178"/>
      </c>
      <c r="Q45" s="23">
        <f t="shared" si="102"/>
      </c>
      <c r="R45" s="22">
        <f t="shared" si="64"/>
      </c>
      <c r="S45" s="24">
        <f t="shared" si="254"/>
      </c>
      <c r="T45" s="22">
        <f t="shared" si="197"/>
      </c>
      <c r="U45" s="25">
        <f t="shared" si="121"/>
      </c>
      <c r="V45" s="26" t="s">
        <v>36</v>
      </c>
      <c r="W45" s="26" t="s">
        <v>37</v>
      </c>
      <c r="X45" s="27">
        <v>2</v>
      </c>
      <c r="Y45" s="27">
        <v>3520</v>
      </c>
      <c r="Z45" s="27">
        <v>198</v>
      </c>
      <c r="AA45" s="27">
        <v>315</v>
      </c>
      <c r="AB45" s="27">
        <v>87</v>
      </c>
      <c r="AC45" s="27">
        <v>24</v>
      </c>
      <c r="AD45" s="28">
        <v>3</v>
      </c>
      <c r="AE45" s="28">
        <v>12</v>
      </c>
      <c r="AF45" s="7"/>
      <c r="AG45" s="7"/>
    </row>
    <row r="46">
      <c r="A46" s="15"/>
      <c r="B46" s="30" t="s">
        <v>41</v>
      </c>
      <c r="C46" s="30"/>
      <c r="D46" s="30">
        <f>SUM(D42:D45)</f>
      </c>
      <c r="E46" s="30">
        <f>SUM(E42:E45)</f>
      </c>
      <c r="F46" s="30">
        <f>SUM(F42:F45)</f>
      </c>
      <c r="G46" s="30"/>
      <c r="H46" s="30">
        <f>SUM(H42:H45)</f>
      </c>
      <c r="I46" s="30">
        <f>SUM(I42:I45)</f>
      </c>
      <c r="J46" s="31">
        <f t="shared" si="216"/>
      </c>
      <c r="K46" s="32">
        <f t="shared" si="140"/>
      </c>
      <c r="L46" s="33">
        <f t="shared" si="83"/>
      </c>
      <c r="M46" s="34">
        <f t="shared" si="159"/>
      </c>
      <c r="N46" s="34">
        <f t="shared" si="45"/>
      </c>
      <c r="O46" s="33">
        <f t="shared" si="235"/>
      </c>
      <c r="P46" s="34">
        <f t="shared" si="178"/>
      </c>
      <c r="Q46" s="34">
        <f t="shared" si="102"/>
      </c>
      <c r="R46" s="33">
        <f t="shared" si="64"/>
      </c>
      <c r="S46" s="35">
        <f t="shared" si="254"/>
      </c>
      <c r="T46" s="33">
        <f t="shared" si="197"/>
      </c>
      <c r="U46" s="36">
        <f t="shared" si="121"/>
      </c>
      <c r="V46" s="36"/>
      <c r="W46" s="36"/>
      <c r="X46" s="30">
        <f>SUM(X42:X45)</f>
      </c>
      <c r="Y46" s="30">
        <f>SUM(Y42:Y45)</f>
      </c>
      <c r="Z46" s="30">
        <f>SUM(Z42:Z45)</f>
      </c>
      <c r="AA46" s="30">
        <f>SUM(AA42:AA45)</f>
      </c>
      <c r="AB46" s="30">
        <f>SUM(AB42:AB45)</f>
      </c>
      <c r="AC46" s="30">
        <f>SUM(AC42:AC45)</f>
      </c>
      <c r="AD46" s="30">
        <f>SUM(AD42:AD45)</f>
      </c>
      <c r="AE46" s="30">
        <f>SUM(AE42:AE45)</f>
      </c>
      <c r="AF46" s="7"/>
      <c r="AG46" s="7"/>
    </row>
    <row r="47">
      <c r="A47" s="15"/>
      <c r="B47" s="17" t="s">
        <v>42</v>
      </c>
      <c r="C47" s="17" t="s">
        <v>48</v>
      </c>
      <c r="D47" s="18">
        <f t="shared" ref="D47:D50" si="33">E47+F47</f>
      </c>
      <c r="E47" s="18">
        <v>1845.19</v>
      </c>
      <c r="F47" s="18">
        <v>858.57</v>
      </c>
      <c r="G47" s="18"/>
      <c r="H47" s="19">
        <v>0</v>
      </c>
      <c r="I47" s="17">
        <v>0</v>
      </c>
      <c r="J47" s="20">
        <f t="shared" si="216"/>
      </c>
      <c r="K47" s="21">
        <f t="shared" si="140"/>
      </c>
      <c r="L47" s="22">
        <f t="shared" si="83"/>
      </c>
      <c r="M47" s="23">
        <f t="shared" si="159"/>
      </c>
      <c r="N47" s="23">
        <f t="shared" si="45"/>
      </c>
      <c r="O47" s="22">
        <f t="shared" si="235"/>
      </c>
      <c r="P47" s="23">
        <f t="shared" si="178"/>
      </c>
      <c r="Q47" s="23">
        <f t="shared" si="102"/>
      </c>
      <c r="R47" s="22">
        <f t="shared" si="64"/>
      </c>
      <c r="S47" s="24">
        <f t="shared" si="254"/>
      </c>
      <c r="T47" s="22">
        <f t="shared" si="197"/>
      </c>
      <c r="U47" s="25">
        <f t="shared" si="121"/>
      </c>
      <c r="V47" s="26" t="s">
        <v>36</v>
      </c>
      <c r="W47" s="26" t="s">
        <v>37</v>
      </c>
      <c r="X47" s="27">
        <v>1</v>
      </c>
      <c r="Y47" s="27">
        <v>6569</v>
      </c>
      <c r="Z47" s="27">
        <v>444</v>
      </c>
      <c r="AA47" s="27">
        <v>645</v>
      </c>
      <c r="AB47" s="27">
        <v>191</v>
      </c>
      <c r="AC47" s="27">
        <v>31</v>
      </c>
      <c r="AD47" s="28">
        <v>4</v>
      </c>
      <c r="AE47" s="28">
        <v>15</v>
      </c>
      <c r="AF47" s="7"/>
      <c r="AG47" s="7"/>
    </row>
    <row r="48">
      <c r="A48" s="15"/>
      <c r="B48" s="18" t="s">
        <v>44</v>
      </c>
      <c r="C48" s="17" t="s">
        <v>48</v>
      </c>
      <c r="D48" s="18">
        <f t="shared" si="33"/>
      </c>
      <c r="E48" s="18">
        <v>1012.53</v>
      </c>
      <c r="F48" s="18">
        <v>1102.98</v>
      </c>
      <c r="G48" s="18"/>
      <c r="H48" s="19">
        <v>0</v>
      </c>
      <c r="I48" s="17">
        <v>0</v>
      </c>
      <c r="J48" s="20">
        <f t="shared" si="216"/>
      </c>
      <c r="K48" s="21">
        <f t="shared" si="140"/>
      </c>
      <c r="L48" s="22">
        <f t="shared" si="83"/>
      </c>
      <c r="M48" s="23">
        <f t="shared" si="159"/>
      </c>
      <c r="N48" s="23">
        <f t="shared" si="45"/>
      </c>
      <c r="O48" s="22">
        <f t="shared" si="235"/>
      </c>
      <c r="P48" s="23">
        <f t="shared" si="178"/>
      </c>
      <c r="Q48" s="23">
        <f t="shared" si="102"/>
      </c>
      <c r="R48" s="22">
        <f t="shared" si="64"/>
      </c>
      <c r="S48" s="24">
        <f t="shared" si="254"/>
      </c>
      <c r="T48" s="22">
        <f t="shared" si="197"/>
      </c>
      <c r="U48" s="25">
        <f t="shared" si="121"/>
      </c>
      <c r="V48" s="26" t="s">
        <v>36</v>
      </c>
      <c r="W48" s="26" t="s">
        <v>37</v>
      </c>
      <c r="X48" s="27">
        <v>0</v>
      </c>
      <c r="Y48" s="27">
        <v>5564</v>
      </c>
      <c r="Z48" s="27">
        <v>366</v>
      </c>
      <c r="AA48" s="27">
        <v>611</v>
      </c>
      <c r="AB48" s="27">
        <v>151</v>
      </c>
      <c r="AC48" s="27">
        <v>16</v>
      </c>
      <c r="AD48" s="28">
        <v>0</v>
      </c>
      <c r="AE48" s="28">
        <v>8</v>
      </c>
      <c r="AF48" s="7"/>
      <c r="AG48" s="7"/>
    </row>
    <row r="49">
      <c r="A49" s="15"/>
      <c r="B49" s="18" t="s">
        <v>45</v>
      </c>
      <c r="C49" s="17" t="s">
        <v>48</v>
      </c>
      <c r="D49" s="18">
        <f t="shared" si="33"/>
      </c>
      <c r="E49" s="18">
        <v>426.07</v>
      </c>
      <c r="F49" s="18">
        <v>451.44</v>
      </c>
      <c r="G49" s="18"/>
      <c r="H49" s="19">
        <v>1</v>
      </c>
      <c r="I49" s="17">
        <v>1746.7199999999993</v>
      </c>
      <c r="J49" s="20">
        <f t="shared" si="216"/>
      </c>
      <c r="K49" s="21">
        <f t="shared" si="140"/>
      </c>
      <c r="L49" s="22">
        <f t="shared" si="83"/>
      </c>
      <c r="M49" s="23">
        <f t="shared" si="159"/>
      </c>
      <c r="N49" s="23">
        <f t="shared" si="45"/>
      </c>
      <c r="O49" s="22">
        <f t="shared" si="235"/>
      </c>
      <c r="P49" s="23">
        <f t="shared" si="178"/>
      </c>
      <c r="Q49" s="23">
        <f t="shared" si="102"/>
      </c>
      <c r="R49" s="22">
        <f t="shared" si="64"/>
      </c>
      <c r="S49" s="24">
        <f t="shared" si="254"/>
      </c>
      <c r="T49" s="22">
        <f t="shared" si="197"/>
      </c>
      <c r="U49" s="25">
        <f t="shared" si="121"/>
      </c>
      <c r="V49" s="26" t="s">
        <v>36</v>
      </c>
      <c r="W49" s="26" t="s">
        <v>37</v>
      </c>
      <c r="X49" s="27">
        <v>1</v>
      </c>
      <c r="Y49" s="27">
        <v>2960</v>
      </c>
      <c r="Z49" s="27">
        <v>231</v>
      </c>
      <c r="AA49" s="27">
        <v>406</v>
      </c>
      <c r="AB49" s="27">
        <v>106</v>
      </c>
      <c r="AC49" s="27">
        <v>16</v>
      </c>
      <c r="AD49" s="28">
        <v>1</v>
      </c>
      <c r="AE49" s="28">
        <v>7</v>
      </c>
      <c r="AF49" s="7"/>
      <c r="AG49" s="7"/>
    </row>
    <row r="50">
      <c r="A50" s="15"/>
      <c r="B50" s="18" t="s">
        <v>46</v>
      </c>
      <c r="C50" s="17" t="s">
        <v>48</v>
      </c>
      <c r="D50" s="18">
        <f t="shared" si="33"/>
      </c>
      <c r="E50" s="18">
        <v>591.11</v>
      </c>
      <c r="F50" s="18">
        <v>187.49</v>
      </c>
      <c r="G50" s="18"/>
      <c r="H50" s="19">
        <v>0</v>
      </c>
      <c r="I50" s="17">
        <v>0</v>
      </c>
      <c r="J50" s="20">
        <f t="shared" si="216"/>
      </c>
      <c r="K50" s="21">
        <f t="shared" si="140"/>
      </c>
      <c r="L50" s="22">
        <f t="shared" si="83"/>
      </c>
      <c r="M50" s="23">
        <f t="shared" si="159"/>
      </c>
      <c r="N50" s="23">
        <f t="shared" si="45"/>
      </c>
      <c r="O50" s="22">
        <f t="shared" si="235"/>
      </c>
      <c r="P50" s="23">
        <f t="shared" si="178"/>
      </c>
      <c r="Q50" s="23">
        <f t="shared" si="102"/>
      </c>
      <c r="R50" s="22">
        <f t="shared" si="64"/>
      </c>
      <c r="S50" s="24">
        <f t="shared" si="254"/>
      </c>
      <c r="T50" s="22">
        <f t="shared" si="197"/>
      </c>
      <c r="U50" s="25">
        <f t="shared" si="121"/>
      </c>
      <c r="V50" s="26" t="s">
        <v>36</v>
      </c>
      <c r="W50" s="26" t="s">
        <v>37</v>
      </c>
      <c r="X50" s="27">
        <v>0</v>
      </c>
      <c r="Y50" s="27">
        <v>4505</v>
      </c>
      <c r="Z50" s="27">
        <v>125</v>
      </c>
      <c r="AA50" s="27">
        <v>215</v>
      </c>
      <c r="AB50" s="27">
        <v>37</v>
      </c>
      <c r="AC50" s="27">
        <v>31</v>
      </c>
      <c r="AD50" s="28">
        <v>2</v>
      </c>
      <c r="AE50" s="28">
        <v>7</v>
      </c>
      <c r="AF50" s="7"/>
      <c r="AG50" s="7"/>
    </row>
    <row r="51">
      <c r="A51" s="15"/>
      <c r="B51" s="30" t="s">
        <v>41</v>
      </c>
      <c r="C51" s="30"/>
      <c r="D51" s="30">
        <f>SUM(D47:D50)</f>
      </c>
      <c r="E51" s="30">
        <f>SUM(E47:E50)</f>
      </c>
      <c r="F51" s="30">
        <f>SUM(F47:F50)</f>
      </c>
      <c r="G51" s="30"/>
      <c r="H51" s="30">
        <f>SUM(H47:H50)</f>
      </c>
      <c r="I51" s="30">
        <f>SUM(I47:I50)</f>
      </c>
      <c r="J51" s="31">
        <f t="shared" si="216"/>
      </c>
      <c r="K51" s="32">
        <f t="shared" si="140"/>
      </c>
      <c r="L51" s="33">
        <f t="shared" si="83"/>
      </c>
      <c r="M51" s="34">
        <f t="shared" si="159"/>
      </c>
      <c r="N51" s="34">
        <f t="shared" si="45"/>
      </c>
      <c r="O51" s="33">
        <f t="shared" si="235"/>
      </c>
      <c r="P51" s="34">
        <f t="shared" si="178"/>
      </c>
      <c r="Q51" s="34">
        <f t="shared" si="102"/>
      </c>
      <c r="R51" s="33">
        <f t="shared" si="64"/>
      </c>
      <c r="S51" s="35">
        <f t="shared" si="254"/>
      </c>
      <c r="T51" s="33">
        <f t="shared" si="197"/>
      </c>
      <c r="U51" s="36">
        <f t="shared" si="121"/>
      </c>
      <c r="V51" s="36"/>
      <c r="W51" s="36"/>
      <c r="X51" s="30">
        <f>SUM(X47:X50)</f>
      </c>
      <c r="Y51" s="30">
        <f>SUM(Y47:Y50)</f>
      </c>
      <c r="Z51" s="30">
        <f>SUM(Z47:Z50)</f>
      </c>
      <c r="AA51" s="30">
        <f>SUM(AA47:AA50)</f>
      </c>
      <c r="AB51" s="30">
        <f>SUM(AB47:AB50)</f>
      </c>
      <c r="AC51" s="30">
        <f>SUM(AC47:AC50)</f>
      </c>
      <c r="AD51" s="30">
        <f>SUM(AD47:AD50)</f>
      </c>
      <c r="AE51" s="30">
        <f>SUM(AE47:AE50)</f>
      </c>
      <c r="AF51" s="7"/>
      <c r="AG51" s="7"/>
    </row>
    <row r="52">
      <c r="A52" s="15"/>
      <c r="B52" s="37" t="s">
        <v>47</v>
      </c>
      <c r="C52" s="37"/>
      <c r="D52" s="38">
        <f>D46+D51</f>
      </c>
      <c r="E52" s="38">
        <f>E46+E51</f>
      </c>
      <c r="F52" s="38">
        <f>F46+F51</f>
      </c>
      <c r="G52" s="38"/>
      <c r="H52" s="38">
        <f>H46+H51</f>
      </c>
      <c r="I52" s="38">
        <f>I46+I51</f>
      </c>
      <c r="J52" s="38">
        <f t="shared" si="216"/>
      </c>
      <c r="K52" s="39">
        <f t="shared" si="140"/>
      </c>
      <c r="L52" s="38">
        <f t="shared" si="83"/>
      </c>
      <c r="M52" s="40">
        <f t="shared" si="159"/>
      </c>
      <c r="N52" s="40">
        <f t="shared" si="45"/>
      </c>
      <c r="O52" s="38">
        <f t="shared" si="235"/>
      </c>
      <c r="P52" s="40">
        <f t="shared" si="178"/>
      </c>
      <c r="Q52" s="40">
        <f t="shared" si="102"/>
      </c>
      <c r="R52" s="38">
        <f t="shared" si="64"/>
      </c>
      <c r="S52" s="41">
        <f t="shared" si="254"/>
      </c>
      <c r="T52" s="38">
        <f t="shared" si="197"/>
      </c>
      <c r="U52" s="42">
        <f t="shared" si="121"/>
      </c>
      <c r="V52" s="42"/>
      <c r="W52" s="42"/>
      <c r="X52" s="43">
        <f>X46+X51</f>
      </c>
      <c r="Y52" s="43">
        <f>Y46+Y51</f>
      </c>
      <c r="Z52" s="43">
        <f>Z46+Z51</f>
      </c>
      <c r="AA52" s="43">
        <f>AA46+AA51</f>
      </c>
      <c r="AB52" s="43">
        <f>AB46+AB51</f>
      </c>
      <c r="AC52" s="43">
        <f>AC46+AC51</f>
      </c>
      <c r="AD52" s="43">
        <f>AD46+AD51</f>
      </c>
      <c r="AE52" s="43">
        <f>AE46+AE51</f>
      </c>
      <c r="AF52" s="7"/>
      <c r="AG52" s="7"/>
    </row>
    <row r="53">
      <c r="A53" s="1" t="s">
        <v>1</v>
      </c>
      <c r="B53" s="1"/>
      <c r="C53" s="1"/>
      <c r="D53" s="2" t="s">
        <v>2</v>
      </c>
      <c r="E53" s="2"/>
      <c r="F53" s="2"/>
      <c r="G53" s="2"/>
      <c r="H53" s="2"/>
      <c r="I53" s="2"/>
      <c r="J53" s="2"/>
      <c r="K53" s="3" t="s">
        <v>3</v>
      </c>
      <c r="L53" s="3"/>
      <c r="M53" s="3"/>
      <c r="N53" s="3"/>
      <c r="O53" s="3"/>
      <c r="P53" s="3"/>
      <c r="Q53" s="3"/>
      <c r="R53" s="3"/>
      <c r="S53" s="3"/>
      <c r="T53" s="3"/>
      <c r="U53" s="4"/>
      <c r="V53" s="4"/>
      <c r="W53" s="4"/>
      <c r="X53" s="5"/>
      <c r="Y53" s="5"/>
      <c r="Z53" s="5"/>
      <c r="AA53" s="5"/>
      <c r="AB53" s="5"/>
      <c r="AC53" s="5"/>
      <c r="AD53" s="5"/>
      <c r="AE53" s="6" t="s">
        <v>4</v>
      </c>
      <c r="AF53" s="7"/>
      <c r="AG53" s="7"/>
    </row>
    <row r="54">
      <c r="A54" s="1" t="s">
        <v>5</v>
      </c>
      <c r="B54" s="1" t="s">
        <v>6</v>
      </c>
      <c r="C54" s="1" t="s">
        <v>7</v>
      </c>
      <c r="D54" s="2" t="s">
        <v>8</v>
      </c>
      <c r="E54" s="8" t="s">
        <v>9</v>
      </c>
      <c r="F54" s="8" t="s">
        <v>10</v>
      </c>
      <c r="G54" s="8"/>
      <c r="H54" s="9" t="s">
        <v>11</v>
      </c>
      <c r="I54" s="2" t="s">
        <v>12</v>
      </c>
      <c r="J54" s="8" t="s">
        <v>13</v>
      </c>
      <c r="K54" s="3" t="s">
        <v>14</v>
      </c>
      <c r="L54" s="10" t="s">
        <v>15</v>
      </c>
      <c r="M54" s="11" t="s">
        <v>16</v>
      </c>
      <c r="N54" s="11" t="s">
        <v>17</v>
      </c>
      <c r="O54" s="10" t="s">
        <v>18</v>
      </c>
      <c r="P54" s="11" t="s">
        <v>19</v>
      </c>
      <c r="Q54" s="11" t="s">
        <v>20</v>
      </c>
      <c r="R54" s="10" t="s">
        <v>21</v>
      </c>
      <c r="S54" s="11" t="s">
        <v>22</v>
      </c>
      <c r="T54" s="10" t="s">
        <v>23</v>
      </c>
      <c r="U54" s="12" t="s">
        <v>24</v>
      </c>
      <c r="V54" s="12" t="s">
        <v>25</v>
      </c>
      <c r="W54" s="12" t="s">
        <v>26</v>
      </c>
      <c r="X54" s="13" t="s">
        <v>27</v>
      </c>
      <c r="Y54" s="14" t="s">
        <v>28</v>
      </c>
      <c r="Z54" s="14" t="s">
        <v>29</v>
      </c>
      <c r="AA54" s="14" t="s">
        <v>30</v>
      </c>
      <c r="AB54" s="14" t="s">
        <v>31</v>
      </c>
      <c r="AC54" s="14" t="s">
        <v>32</v>
      </c>
      <c r="AD54" s="14" t="s">
        <v>33</v>
      </c>
      <c r="AE54" s="6"/>
      <c r="AF54" s="7"/>
      <c r="AG54" s="7"/>
    </row>
    <row r="55">
      <c r="A55" s="15">
        <v>46300</v>
      </c>
      <c r="B55" s="16" t="s">
        <v>34</v>
      </c>
      <c r="C55" s="17" t="s">
        <v>49</v>
      </c>
      <c r="D55" s="18">
        <f t="shared" ref="D55:D58" si="34">E55+F55</f>
      </c>
      <c r="E55" s="18">
        <v>1037.01</v>
      </c>
      <c r="F55" s="18">
        <v>419.9</v>
      </c>
      <c r="G55" s="18"/>
      <c r="H55" s="19">
        <v>0</v>
      </c>
      <c r="I55" s="17">
        <v>0</v>
      </c>
      <c r="J55" s="20">
        <f t="shared" ref="J55:J64" si="217">I55/D55</f>
      </c>
      <c r="K55" s="21">
        <f t="shared" ref="K55:K64" si="141">Z55/Y55</f>
      </c>
      <c r="L55" s="22">
        <f t="shared" ref="L55:L64" si="84">D55/AA55</f>
      </c>
      <c r="M55" s="23">
        <f t="shared" ref="M55:M64" si="160">AB55/AA55</f>
      </c>
      <c r="N55" s="23">
        <f t="shared" ref="N55:N64" si="46">AC55/AA55</f>
      </c>
      <c r="O55" s="22">
        <f t="shared" ref="O55:O64" si="236">D55/AC55</f>
      </c>
      <c r="P55" s="23">
        <f t="shared" ref="P55:P64" si="179">AD55/AC55</f>
      </c>
      <c r="Q55" s="23">
        <f t="shared" ref="Q55:Q64" si="103">H55/AD55</f>
      </c>
      <c r="R55" s="22">
        <f t="shared" ref="R55:R64" si="65">D55/H55</f>
      </c>
      <c r="S55" s="24">
        <f t="shared" ref="S55:S64" si="255">I55/H55</f>
      </c>
      <c r="T55" s="22">
        <f t="shared" ref="T55:T64" si="198">D55/X55</f>
      </c>
      <c r="U55" s="25">
        <f t="shared" ref="U55:U64" si="122">AE55*1000/D55</f>
      </c>
      <c r="V55" s="26" t="s">
        <v>36</v>
      </c>
      <c r="W55" s="26" t="s">
        <v>37</v>
      </c>
      <c r="X55" s="27">
        <v>0</v>
      </c>
      <c r="Y55" s="27">
        <v>4002</v>
      </c>
      <c r="Z55" s="27">
        <v>315</v>
      </c>
      <c r="AA55" s="27">
        <v>443</v>
      </c>
      <c r="AB55" s="27">
        <v>138</v>
      </c>
      <c r="AC55" s="27">
        <v>11</v>
      </c>
      <c r="AD55" s="28">
        <v>0</v>
      </c>
      <c r="AE55" s="28">
        <v>20</v>
      </c>
      <c r="AF55" s="7"/>
      <c r="AG55" s="7"/>
    </row>
    <row r="56">
      <c r="A56" s="15"/>
      <c r="B56" s="29" t="s">
        <v>38</v>
      </c>
      <c r="C56" s="17" t="s">
        <v>49</v>
      </c>
      <c r="D56" s="18">
        <f t="shared" si="34"/>
      </c>
      <c r="E56" s="18">
        <v>444.73</v>
      </c>
      <c r="F56" s="18">
        <v>502.94</v>
      </c>
      <c r="G56" s="18"/>
      <c r="H56" s="19">
        <v>0</v>
      </c>
      <c r="I56" s="17">
        <v>0</v>
      </c>
      <c r="J56" s="20">
        <f t="shared" si="217"/>
      </c>
      <c r="K56" s="21">
        <f t="shared" si="141"/>
      </c>
      <c r="L56" s="22">
        <f t="shared" si="84"/>
      </c>
      <c r="M56" s="23">
        <f t="shared" si="160"/>
      </c>
      <c r="N56" s="23">
        <f t="shared" si="46"/>
      </c>
      <c r="O56" s="22">
        <f t="shared" si="236"/>
      </c>
      <c r="P56" s="23">
        <f t="shared" si="179"/>
      </c>
      <c r="Q56" s="23">
        <f t="shared" si="103"/>
      </c>
      <c r="R56" s="22">
        <f t="shared" si="65"/>
      </c>
      <c r="S56" s="24">
        <f t="shared" si="255"/>
      </c>
      <c r="T56" s="22">
        <f t="shared" si="198"/>
      </c>
      <c r="U56" s="25">
        <f t="shared" si="122"/>
      </c>
      <c r="V56" s="26" t="s">
        <v>36</v>
      </c>
      <c r="W56" s="26" t="s">
        <v>37</v>
      </c>
      <c r="X56" s="27">
        <v>0</v>
      </c>
      <c r="Y56" s="27">
        <v>2288</v>
      </c>
      <c r="Z56" s="27">
        <v>185</v>
      </c>
      <c r="AA56" s="27">
        <v>294</v>
      </c>
      <c r="AB56" s="27">
        <v>89</v>
      </c>
      <c r="AC56" s="27">
        <v>12</v>
      </c>
      <c r="AD56" s="28">
        <v>0</v>
      </c>
      <c r="AE56" s="28">
        <v>6</v>
      </c>
      <c r="AF56" s="7"/>
      <c r="AG56" s="7"/>
    </row>
    <row r="57">
      <c r="A57" s="15"/>
      <c r="B57" s="29" t="s">
        <v>39</v>
      </c>
      <c r="C57" s="17" t="s">
        <v>49</v>
      </c>
      <c r="D57" s="18">
        <f t="shared" si="34"/>
      </c>
      <c r="E57" s="18">
        <v>520.68</v>
      </c>
      <c r="F57" s="18">
        <v>343.48</v>
      </c>
      <c r="G57" s="18"/>
      <c r="H57" s="19">
        <v>0</v>
      </c>
      <c r="I57" s="17">
        <v>0</v>
      </c>
      <c r="J57" s="20">
        <f t="shared" si="217"/>
      </c>
      <c r="K57" s="21">
        <f t="shared" si="141"/>
      </c>
      <c r="L57" s="22">
        <f t="shared" si="84"/>
      </c>
      <c r="M57" s="23">
        <f t="shared" si="160"/>
      </c>
      <c r="N57" s="23">
        <f t="shared" si="46"/>
      </c>
      <c r="O57" s="22">
        <f t="shared" si="236"/>
      </c>
      <c r="P57" s="23">
        <f t="shared" si="179"/>
      </c>
      <c r="Q57" s="23">
        <f t="shared" si="103"/>
      </c>
      <c r="R57" s="22">
        <f t="shared" si="65"/>
      </c>
      <c r="S57" s="24">
        <f t="shared" si="255"/>
      </c>
      <c r="T57" s="22">
        <f t="shared" si="198"/>
      </c>
      <c r="U57" s="25">
        <f t="shared" si="122"/>
      </c>
      <c r="V57" s="26" t="s">
        <v>36</v>
      </c>
      <c r="W57" s="26" t="s">
        <v>37</v>
      </c>
      <c r="X57" s="27">
        <v>0</v>
      </c>
      <c r="Y57" s="27">
        <v>2317</v>
      </c>
      <c r="Z57" s="27">
        <v>126</v>
      </c>
      <c r="AA57" s="27">
        <v>216</v>
      </c>
      <c r="AB57" s="27">
        <v>50</v>
      </c>
      <c r="AC57" s="27">
        <v>10</v>
      </c>
      <c r="AD57" s="28">
        <v>0</v>
      </c>
      <c r="AE57" s="28">
        <v>9</v>
      </c>
      <c r="AF57" s="7"/>
      <c r="AG57" s="7"/>
    </row>
    <row r="58">
      <c r="A58" s="15"/>
      <c r="B58" s="29" t="s">
        <v>40</v>
      </c>
      <c r="C58" s="17" t="s">
        <v>49</v>
      </c>
      <c r="D58" s="18">
        <f t="shared" si="34"/>
      </c>
      <c r="E58" s="18">
        <v>393.31</v>
      </c>
      <c r="F58" s="18">
        <v>161.99</v>
      </c>
      <c r="G58" s="18"/>
      <c r="H58" s="19">
        <v>0</v>
      </c>
      <c r="I58" s="17">
        <v>0</v>
      </c>
      <c r="J58" s="20">
        <f t="shared" si="217"/>
      </c>
      <c r="K58" s="21">
        <f t="shared" si="141"/>
      </c>
      <c r="L58" s="22">
        <f t="shared" si="84"/>
      </c>
      <c r="M58" s="23">
        <f t="shared" si="160"/>
      </c>
      <c r="N58" s="23">
        <f t="shared" si="46"/>
      </c>
      <c r="O58" s="22">
        <f t="shared" si="236"/>
      </c>
      <c r="P58" s="23">
        <f t="shared" si="179"/>
      </c>
      <c r="Q58" s="23">
        <f t="shared" si="103"/>
      </c>
      <c r="R58" s="22">
        <f t="shared" si="65"/>
      </c>
      <c r="S58" s="24">
        <f t="shared" si="255"/>
      </c>
      <c r="T58" s="22">
        <f t="shared" si="198"/>
      </c>
      <c r="U58" s="25">
        <f t="shared" si="122"/>
      </c>
      <c r="V58" s="26" t="s">
        <v>36</v>
      </c>
      <c r="W58" s="26" t="s">
        <v>37</v>
      </c>
      <c r="X58" s="27">
        <v>0</v>
      </c>
      <c r="Y58" s="27">
        <v>2115</v>
      </c>
      <c r="Z58" s="27">
        <v>130</v>
      </c>
      <c r="AA58" s="27">
        <v>184</v>
      </c>
      <c r="AB58" s="27">
        <v>50</v>
      </c>
      <c r="AC58" s="27">
        <v>14</v>
      </c>
      <c r="AD58" s="28">
        <v>0</v>
      </c>
      <c r="AE58" s="28">
        <v>6</v>
      </c>
      <c r="AF58" s="7"/>
      <c r="AG58" s="7"/>
    </row>
    <row r="59">
      <c r="A59" s="15"/>
      <c r="B59" s="30" t="s">
        <v>41</v>
      </c>
      <c r="C59" s="30"/>
      <c r="D59" s="30">
        <f>SUM(D55:D58)</f>
      </c>
      <c r="E59" s="30">
        <f>SUM(E55:E58)</f>
      </c>
      <c r="F59" s="30">
        <f>SUM(F55:F58)</f>
      </c>
      <c r="G59" s="30"/>
      <c r="H59" s="30">
        <f>SUM(H55:H58)</f>
      </c>
      <c r="I59" s="30">
        <f>SUM(I55:I58)</f>
      </c>
      <c r="J59" s="31">
        <f t="shared" si="217"/>
      </c>
      <c r="K59" s="32">
        <f t="shared" si="141"/>
      </c>
      <c r="L59" s="33">
        <f t="shared" si="84"/>
      </c>
      <c r="M59" s="34">
        <f t="shared" si="160"/>
      </c>
      <c r="N59" s="34">
        <f t="shared" si="46"/>
      </c>
      <c r="O59" s="33">
        <f t="shared" si="236"/>
      </c>
      <c r="P59" s="34">
        <f t="shared" si="179"/>
      </c>
      <c r="Q59" s="34">
        <f t="shared" si="103"/>
      </c>
      <c r="R59" s="33">
        <f t="shared" si="65"/>
      </c>
      <c r="S59" s="35">
        <f t="shared" si="255"/>
      </c>
      <c r="T59" s="33">
        <f t="shared" si="198"/>
      </c>
      <c r="U59" s="36">
        <f t="shared" si="122"/>
      </c>
      <c r="V59" s="36"/>
      <c r="W59" s="36"/>
      <c r="X59" s="30">
        <f>SUM(X55:X58)</f>
      </c>
      <c r="Y59" s="30">
        <f>SUM(Y55:Y58)</f>
      </c>
      <c r="Z59" s="30">
        <f>SUM(Z55:Z58)</f>
      </c>
      <c r="AA59" s="30">
        <f>SUM(AA55:AA58)</f>
      </c>
      <c r="AB59" s="30">
        <f>SUM(AB55:AB58)</f>
      </c>
      <c r="AC59" s="30">
        <f>SUM(AC55:AC58)</f>
      </c>
      <c r="AD59" s="30">
        <f>SUM(AD55:AD58)</f>
      </c>
      <c r="AE59" s="30">
        <f>SUM(AE55:AE58)</f>
      </c>
      <c r="AF59" s="7"/>
      <c r="AG59" s="7"/>
    </row>
    <row r="60">
      <c r="A60" s="15"/>
      <c r="B60" s="17" t="s">
        <v>42</v>
      </c>
      <c r="C60" s="17" t="s">
        <v>48</v>
      </c>
      <c r="D60" s="18">
        <f t="shared" ref="D60:D62" si="35">E60+F60</f>
      </c>
      <c r="E60" s="18">
        <v>460.71</v>
      </c>
      <c r="F60" s="18">
        <v>286.14</v>
      </c>
      <c r="G60" s="18"/>
      <c r="H60" s="19">
        <v>0</v>
      </c>
      <c r="I60" s="17">
        <v>0</v>
      </c>
      <c r="J60" s="20">
        <f t="shared" si="217"/>
      </c>
      <c r="K60" s="21">
        <f t="shared" si="141"/>
      </c>
      <c r="L60" s="22">
        <f t="shared" si="84"/>
      </c>
      <c r="M60" s="23">
        <f t="shared" si="160"/>
      </c>
      <c r="N60" s="23">
        <f t="shared" si="46"/>
      </c>
      <c r="O60" s="22">
        <f t="shared" si="236"/>
      </c>
      <c r="P60" s="23">
        <f t="shared" si="179"/>
      </c>
      <c r="Q60" s="23">
        <f t="shared" si="103"/>
      </c>
      <c r="R60" s="22">
        <f t="shared" si="65"/>
      </c>
      <c r="S60" s="24">
        <f t="shared" si="255"/>
      </c>
      <c r="T60" s="22">
        <f t="shared" si="198"/>
      </c>
      <c r="U60" s="25">
        <f t="shared" si="122"/>
      </c>
      <c r="V60" s="26" t="s">
        <v>36</v>
      </c>
      <c r="W60" s="26" t="s">
        <v>37</v>
      </c>
      <c r="X60" s="27">
        <v>0</v>
      </c>
      <c r="Y60" s="27">
        <v>1997</v>
      </c>
      <c r="Z60" s="27">
        <v>164</v>
      </c>
      <c r="AA60" s="27">
        <v>238</v>
      </c>
      <c r="AB60" s="27">
        <v>60</v>
      </c>
      <c r="AC60" s="27">
        <v>11</v>
      </c>
      <c r="AD60" s="28">
        <v>0</v>
      </c>
      <c r="AE60" s="28">
        <v>5</v>
      </c>
      <c r="AF60" s="7"/>
      <c r="AG60" s="7"/>
    </row>
    <row r="61">
      <c r="A61" s="15"/>
      <c r="B61" s="18" t="s">
        <v>44</v>
      </c>
      <c r="C61" s="17" t="s">
        <v>48</v>
      </c>
      <c r="D61" s="18">
        <f t="shared" si="35"/>
      </c>
      <c r="E61" s="18">
        <v>640.13</v>
      </c>
      <c r="F61" s="18">
        <v>321.92</v>
      </c>
      <c r="G61" s="18"/>
      <c r="H61" s="19">
        <v>0</v>
      </c>
      <c r="I61" s="17">
        <v>0</v>
      </c>
      <c r="J61" s="20">
        <f t="shared" si="217"/>
      </c>
      <c r="K61" s="21">
        <f t="shared" si="141"/>
      </c>
      <c r="L61" s="22">
        <f t="shared" si="84"/>
      </c>
      <c r="M61" s="23">
        <f t="shared" si="160"/>
      </c>
      <c r="N61" s="23">
        <f t="shared" si="46"/>
      </c>
      <c r="O61" s="22">
        <f t="shared" si="236"/>
      </c>
      <c r="P61" s="23">
        <f t="shared" si="179"/>
      </c>
      <c r="Q61" s="23">
        <f t="shared" si="103"/>
      </c>
      <c r="R61" s="22">
        <f t="shared" si="65"/>
      </c>
      <c r="S61" s="24">
        <f t="shared" si="255"/>
      </c>
      <c r="T61" s="22">
        <f t="shared" si="198"/>
      </c>
      <c r="U61" s="25">
        <f t="shared" si="122"/>
      </c>
      <c r="V61" s="26" t="s">
        <v>36</v>
      </c>
      <c r="W61" s="26" t="s">
        <v>37</v>
      </c>
      <c r="X61" s="27">
        <v>0</v>
      </c>
      <c r="Y61" s="27">
        <v>2844</v>
      </c>
      <c r="Z61" s="27">
        <v>192</v>
      </c>
      <c r="AA61" s="27">
        <v>304</v>
      </c>
      <c r="AB61" s="27">
        <v>82</v>
      </c>
      <c r="AC61" s="27">
        <v>17</v>
      </c>
      <c r="AD61" s="28">
        <v>0</v>
      </c>
      <c r="AE61" s="28">
        <v>14</v>
      </c>
      <c r="AF61" s="7"/>
      <c r="AG61" s="7"/>
    </row>
    <row r="62">
      <c r="A62" s="15"/>
      <c r="B62" s="18" t="s">
        <v>45</v>
      </c>
      <c r="C62" s="17" t="s">
        <v>48</v>
      </c>
      <c r="D62" s="18">
        <f t="shared" si="35"/>
      </c>
      <c r="E62" s="18">
        <v>611.3900000000001</v>
      </c>
      <c r="F62" s="18">
        <v>456.18</v>
      </c>
      <c r="G62" s="18"/>
      <c r="H62" s="19">
        <v>1</v>
      </c>
      <c r="I62" s="17">
        <v>1602.12</v>
      </c>
      <c r="J62" s="20">
        <f t="shared" si="217"/>
      </c>
      <c r="K62" s="21">
        <f t="shared" si="141"/>
      </c>
      <c r="L62" s="22">
        <f t="shared" si="84"/>
      </c>
      <c r="M62" s="23">
        <f t="shared" si="160"/>
      </c>
      <c r="N62" s="23">
        <f t="shared" si="46"/>
      </c>
      <c r="O62" s="22">
        <f t="shared" si="236"/>
      </c>
      <c r="P62" s="23">
        <f t="shared" si="179"/>
      </c>
      <c r="Q62" s="23">
        <f t="shared" si="103"/>
      </c>
      <c r="R62" s="22">
        <f t="shared" si="65"/>
      </c>
      <c r="S62" s="24">
        <f t="shared" si="255"/>
      </c>
      <c r="T62" s="22">
        <f t="shared" si="198"/>
      </c>
      <c r="U62" s="25">
        <f t="shared" si="122"/>
      </c>
      <c r="V62" s="26" t="s">
        <v>36</v>
      </c>
      <c r="W62" s="26" t="s">
        <v>37</v>
      </c>
      <c r="X62" s="27">
        <v>1</v>
      </c>
      <c r="Y62" s="27">
        <v>3293</v>
      </c>
      <c r="Z62" s="27">
        <v>230</v>
      </c>
      <c r="AA62" s="27">
        <v>374</v>
      </c>
      <c r="AB62" s="27">
        <v>87</v>
      </c>
      <c r="AC62" s="27">
        <v>11</v>
      </c>
      <c r="AD62" s="28">
        <v>2</v>
      </c>
      <c r="AE62" s="28">
        <v>15</v>
      </c>
      <c r="AF62" s="7"/>
      <c r="AG62" s="7"/>
    </row>
    <row r="63">
      <c r="A63" s="15"/>
      <c r="B63" s="30" t="s">
        <v>41</v>
      </c>
      <c r="C63" s="30"/>
      <c r="D63" s="30">
        <f>SUM(D60:D62)</f>
      </c>
      <c r="E63" s="30">
        <f>SUM(E60:E62)</f>
      </c>
      <c r="F63" s="30">
        <f>SUM(F60:F62)</f>
      </c>
      <c r="G63" s="30"/>
      <c r="H63" s="30">
        <f>SUM(H60:H62)</f>
      </c>
      <c r="I63" s="30">
        <f>SUM(I60:I62)</f>
      </c>
      <c r="J63" s="31">
        <f t="shared" si="217"/>
      </c>
      <c r="K63" s="32">
        <f t="shared" si="141"/>
      </c>
      <c r="L63" s="33">
        <f t="shared" si="84"/>
      </c>
      <c r="M63" s="34">
        <f t="shared" si="160"/>
      </c>
      <c r="N63" s="34">
        <f t="shared" si="46"/>
      </c>
      <c r="O63" s="33">
        <f t="shared" si="236"/>
      </c>
      <c r="P63" s="34">
        <f t="shared" si="179"/>
      </c>
      <c r="Q63" s="34">
        <f t="shared" si="103"/>
      </c>
      <c r="R63" s="33">
        <f t="shared" si="65"/>
      </c>
      <c r="S63" s="35">
        <f t="shared" si="255"/>
      </c>
      <c r="T63" s="33">
        <f t="shared" si="198"/>
      </c>
      <c r="U63" s="36">
        <f t="shared" si="122"/>
      </c>
      <c r="V63" s="36"/>
      <c r="W63" s="36"/>
      <c r="X63" s="30">
        <f>SUM(X60:X62)</f>
      </c>
      <c r="Y63" s="30">
        <f>SUM(Y60:Y62)</f>
      </c>
      <c r="Z63" s="30">
        <f>SUM(Z60:Z62)</f>
      </c>
      <c r="AA63" s="30">
        <f>SUM(AA60:AA62)</f>
      </c>
      <c r="AB63" s="30">
        <f>SUM(AB60:AB62)</f>
      </c>
      <c r="AC63" s="30">
        <f>SUM(AC60:AC62)</f>
      </c>
      <c r="AD63" s="30">
        <f>SUM(AD60:AD62)</f>
      </c>
      <c r="AE63" s="30">
        <f>SUM(AE60:AE62)</f>
      </c>
      <c r="AF63" s="7"/>
      <c r="AG63" s="7"/>
    </row>
    <row r="64">
      <c r="A64" s="15"/>
      <c r="B64" s="37" t="s">
        <v>47</v>
      </c>
      <c r="C64" s="37"/>
      <c r="D64" s="38">
        <f>D59+D63</f>
      </c>
      <c r="E64" s="38">
        <f>E59+E63</f>
      </c>
      <c r="F64" s="38">
        <f>F59+F63</f>
      </c>
      <c r="G64" s="38"/>
      <c r="H64" s="38">
        <f>H59+H63</f>
      </c>
      <c r="I64" s="38">
        <f>I59+I63</f>
      </c>
      <c r="J64" s="38">
        <f t="shared" si="217"/>
      </c>
      <c r="K64" s="39">
        <f t="shared" si="141"/>
      </c>
      <c r="L64" s="38">
        <f t="shared" si="84"/>
      </c>
      <c r="M64" s="40">
        <f t="shared" si="160"/>
      </c>
      <c r="N64" s="40">
        <f t="shared" si="46"/>
      </c>
      <c r="O64" s="38">
        <f t="shared" si="236"/>
      </c>
      <c r="P64" s="40">
        <f t="shared" si="179"/>
      </c>
      <c r="Q64" s="40">
        <f t="shared" si="103"/>
      </c>
      <c r="R64" s="38">
        <f t="shared" si="65"/>
      </c>
      <c r="S64" s="41">
        <f t="shared" si="255"/>
      </c>
      <c r="T64" s="38">
        <f t="shared" si="198"/>
      </c>
      <c r="U64" s="42">
        <f t="shared" si="122"/>
      </c>
      <c r="V64" s="42"/>
      <c r="W64" s="42"/>
      <c r="X64" s="43">
        <f>X59+X63</f>
      </c>
      <c r="Y64" s="43">
        <f>Y59+Y63</f>
      </c>
      <c r="Z64" s="43">
        <f>Z59+Z63</f>
      </c>
      <c r="AA64" s="43">
        <f>AA59+AA63</f>
      </c>
      <c r="AB64" s="43">
        <f>AB59+AB63</f>
      </c>
      <c r="AC64" s="43">
        <f>AC59+AC63</f>
      </c>
      <c r="AD64" s="43">
        <f>AD59+AD63</f>
      </c>
      <c r="AE64" s="43">
        <f>AE59+AE63</f>
      </c>
      <c r="AF64" s="7"/>
      <c r="AG64" s="7"/>
    </row>
    <row r="65">
      <c r="A65" s="1" t="s">
        <v>1</v>
      </c>
      <c r="B65" s="1"/>
      <c r="C65" s="1"/>
      <c r="D65" s="2" t="s">
        <v>2</v>
      </c>
      <c r="E65" s="2"/>
      <c r="F65" s="2"/>
      <c r="G65" s="2"/>
      <c r="H65" s="2"/>
      <c r="I65" s="2"/>
      <c r="J65" s="2"/>
      <c r="K65" s="3" t="s">
        <v>3</v>
      </c>
      <c r="L65" s="3"/>
      <c r="M65" s="3"/>
      <c r="N65" s="3"/>
      <c r="O65" s="3"/>
      <c r="P65" s="3"/>
      <c r="Q65" s="3"/>
      <c r="R65" s="3"/>
      <c r="S65" s="3"/>
      <c r="T65" s="3"/>
      <c r="U65" s="4"/>
      <c r="V65" s="4"/>
      <c r="W65" s="4"/>
      <c r="X65" s="5"/>
      <c r="Y65" s="5"/>
      <c r="Z65" s="5"/>
      <c r="AA65" s="5"/>
      <c r="AB65" s="5"/>
      <c r="AC65" s="5"/>
      <c r="AD65" s="5"/>
      <c r="AE65" s="6" t="s">
        <v>4</v>
      </c>
      <c r="AF65" s="7"/>
      <c r="AG65" s="7"/>
    </row>
    <row r="66">
      <c r="A66" s="1" t="s">
        <v>5</v>
      </c>
      <c r="B66" s="1" t="s">
        <v>6</v>
      </c>
      <c r="C66" s="1" t="s">
        <v>7</v>
      </c>
      <c r="D66" s="2" t="s">
        <v>8</v>
      </c>
      <c r="E66" s="8" t="s">
        <v>9</v>
      </c>
      <c r="F66" s="8" t="s">
        <v>10</v>
      </c>
      <c r="G66" s="8"/>
      <c r="H66" s="9" t="s">
        <v>11</v>
      </c>
      <c r="I66" s="2" t="s">
        <v>12</v>
      </c>
      <c r="J66" s="8" t="s">
        <v>13</v>
      </c>
      <c r="K66" s="3" t="s">
        <v>14</v>
      </c>
      <c r="L66" s="10" t="s">
        <v>15</v>
      </c>
      <c r="M66" s="11" t="s">
        <v>16</v>
      </c>
      <c r="N66" s="11" t="s">
        <v>17</v>
      </c>
      <c r="O66" s="10" t="s">
        <v>18</v>
      </c>
      <c r="P66" s="11" t="s">
        <v>19</v>
      </c>
      <c r="Q66" s="11" t="s">
        <v>20</v>
      </c>
      <c r="R66" s="10" t="s">
        <v>21</v>
      </c>
      <c r="S66" s="11" t="s">
        <v>22</v>
      </c>
      <c r="T66" s="10" t="s">
        <v>23</v>
      </c>
      <c r="U66" s="12" t="s">
        <v>24</v>
      </c>
      <c r="V66" s="12" t="s">
        <v>25</v>
      </c>
      <c r="W66" s="12" t="s">
        <v>26</v>
      </c>
      <c r="X66" s="13" t="s">
        <v>27</v>
      </c>
      <c r="Y66" s="14" t="s">
        <v>28</v>
      </c>
      <c r="Z66" s="14" t="s">
        <v>29</v>
      </c>
      <c r="AA66" s="14" t="s">
        <v>30</v>
      </c>
      <c r="AB66" s="14" t="s">
        <v>31</v>
      </c>
      <c r="AC66" s="14" t="s">
        <v>32</v>
      </c>
      <c r="AD66" s="14" t="s">
        <v>33</v>
      </c>
      <c r="AE66" s="6"/>
      <c r="AF66" s="7"/>
      <c r="AG66" s="7"/>
    </row>
    <row r="67">
      <c r="A67" s="15">
        <v>46301</v>
      </c>
      <c r="B67" s="16" t="s">
        <v>34</v>
      </c>
      <c r="C67" s="17" t="s">
        <v>49</v>
      </c>
      <c r="D67" s="18">
        <f t="shared" ref="D67:D70" si="36">E67+F67</f>
      </c>
      <c r="E67" s="18">
        <v>704</v>
      </c>
      <c r="F67" s="18">
        <v>383.95</v>
      </c>
      <c r="G67" s="18"/>
      <c r="H67" s="19">
        <v>1</v>
      </c>
      <c r="I67" s="17">
        <v>1640</v>
      </c>
      <c r="J67" s="20">
        <f t="shared" ref="J67:J77" si="218">I67/D67</f>
      </c>
      <c r="K67" s="21">
        <f t="shared" ref="K67:K77" si="142">Z67/Y67</f>
      </c>
      <c r="L67" s="22">
        <f t="shared" ref="L67:L77" si="85">D67/AA67</f>
      </c>
      <c r="M67" s="23">
        <f t="shared" ref="M67:M77" si="161">AB67/AA67</f>
      </c>
      <c r="N67" s="23">
        <f t="shared" ref="N67:N77" si="47">AC67/AA67</f>
      </c>
      <c r="O67" s="22">
        <f t="shared" ref="O67:O77" si="237">D67/AC67</f>
      </c>
      <c r="P67" s="23">
        <f t="shared" ref="P67:P77" si="180">AD67/AC67</f>
      </c>
      <c r="Q67" s="23">
        <f t="shared" ref="Q67:Q77" si="104">H67/AD67</f>
      </c>
      <c r="R67" s="22">
        <f t="shared" ref="R67:R77" si="66">D67/H67</f>
      </c>
      <c r="S67" s="24">
        <f t="shared" ref="S67:S77" si="256">I67/H67</f>
      </c>
      <c r="T67" s="22">
        <f t="shared" ref="T67:T77" si="199">D67/X67</f>
      </c>
      <c r="U67" s="25">
        <f t="shared" ref="U67:U77" si="123">AE67*1000/D67</f>
      </c>
      <c r="V67" s="26" t="s">
        <v>36</v>
      </c>
      <c r="W67" s="26" t="s">
        <v>37</v>
      </c>
      <c r="X67" s="27">
        <v>1</v>
      </c>
      <c r="Y67" s="27">
        <v>3029</v>
      </c>
      <c r="Z67" s="27">
        <v>289</v>
      </c>
      <c r="AA67" s="27">
        <v>479</v>
      </c>
      <c r="AB67" s="27">
        <v>129</v>
      </c>
      <c r="AC67" s="27">
        <v>12</v>
      </c>
      <c r="AD67" s="28">
        <v>2</v>
      </c>
      <c r="AE67" s="28">
        <v>12</v>
      </c>
      <c r="AF67" s="7"/>
      <c r="AG67" s="7"/>
    </row>
    <row r="68">
      <c r="A68" s="15"/>
      <c r="B68" s="29" t="s">
        <v>38</v>
      </c>
      <c r="C68" s="17" t="s">
        <v>49</v>
      </c>
      <c r="D68" s="18">
        <f t="shared" si="36"/>
      </c>
      <c r="E68" s="18">
        <v>685.41</v>
      </c>
      <c r="F68" s="18">
        <v>576.43</v>
      </c>
      <c r="G68" s="18"/>
      <c r="H68" s="19">
        <v>0</v>
      </c>
      <c r="I68" s="17">
        <v>0</v>
      </c>
      <c r="J68" s="20">
        <f t="shared" si="218"/>
      </c>
      <c r="K68" s="21">
        <f t="shared" si="142"/>
      </c>
      <c r="L68" s="22">
        <f t="shared" si="85"/>
      </c>
      <c r="M68" s="23">
        <f t="shared" si="161"/>
      </c>
      <c r="N68" s="23">
        <f t="shared" si="47"/>
      </c>
      <c r="O68" s="22">
        <f t="shared" si="237"/>
      </c>
      <c r="P68" s="23">
        <f t="shared" si="180"/>
      </c>
      <c r="Q68" s="23">
        <f t="shared" si="104"/>
      </c>
      <c r="R68" s="22">
        <f t="shared" si="66"/>
      </c>
      <c r="S68" s="24">
        <f t="shared" si="256"/>
      </c>
      <c r="T68" s="22">
        <f t="shared" si="199"/>
      </c>
      <c r="U68" s="25">
        <f t="shared" si="123"/>
      </c>
      <c r="V68" s="26" t="s">
        <v>36</v>
      </c>
      <c r="W68" s="26" t="s">
        <v>37</v>
      </c>
      <c r="X68" s="27">
        <v>0</v>
      </c>
      <c r="Y68" s="27">
        <v>3626</v>
      </c>
      <c r="Z68" s="27">
        <v>336</v>
      </c>
      <c r="AA68" s="27">
        <v>567</v>
      </c>
      <c r="AB68" s="27">
        <v>166</v>
      </c>
      <c r="AC68" s="27">
        <v>23</v>
      </c>
      <c r="AD68" s="28">
        <v>1</v>
      </c>
      <c r="AE68" s="28">
        <v>10</v>
      </c>
      <c r="AF68" s="7"/>
      <c r="AG68" s="7"/>
    </row>
    <row r="69">
      <c r="A69" s="15"/>
      <c r="B69" s="29" t="s">
        <v>39</v>
      </c>
      <c r="C69" s="17" t="s">
        <v>49</v>
      </c>
      <c r="D69" s="18">
        <f t="shared" si="36"/>
      </c>
      <c r="E69" s="18">
        <v>425.82</v>
      </c>
      <c r="F69" s="18">
        <v>1006.1</v>
      </c>
      <c r="G69" s="18"/>
      <c r="H69" s="19">
        <v>1</v>
      </c>
      <c r="I69" s="17">
        <v>1180.08</v>
      </c>
      <c r="J69" s="20">
        <f t="shared" si="218"/>
      </c>
      <c r="K69" s="21">
        <f t="shared" si="142"/>
      </c>
      <c r="L69" s="22">
        <f t="shared" si="85"/>
      </c>
      <c r="M69" s="23">
        <f t="shared" si="161"/>
      </c>
      <c r="N69" s="23">
        <f t="shared" si="47"/>
      </c>
      <c r="O69" s="22">
        <f t="shared" si="237"/>
      </c>
      <c r="P69" s="23">
        <f t="shared" si="180"/>
      </c>
      <c r="Q69" s="23">
        <f t="shared" si="104"/>
      </c>
      <c r="R69" s="22">
        <f t="shared" si="66"/>
      </c>
      <c r="S69" s="24">
        <f t="shared" si="256"/>
      </c>
      <c r="T69" s="22">
        <f t="shared" si="199"/>
      </c>
      <c r="U69" s="25">
        <f t="shared" si="123"/>
      </c>
      <c r="V69" s="26" t="s">
        <v>36</v>
      </c>
      <c r="W69" s="26" t="s">
        <v>37</v>
      </c>
      <c r="X69" s="27">
        <v>1</v>
      </c>
      <c r="Y69" s="27">
        <v>3291</v>
      </c>
      <c r="Z69" s="27">
        <v>490</v>
      </c>
      <c r="AA69" s="27">
        <v>1033</v>
      </c>
      <c r="AB69" s="27">
        <v>247</v>
      </c>
      <c r="AC69" s="27">
        <v>16</v>
      </c>
      <c r="AD69" s="28">
        <v>1</v>
      </c>
      <c r="AE69" s="28">
        <v>12</v>
      </c>
      <c r="AF69" s="7"/>
      <c r="AG69" s="7"/>
    </row>
    <row r="70">
      <c r="A70" s="15"/>
      <c r="B70" s="29" t="s">
        <v>40</v>
      </c>
      <c r="C70" s="17" t="s">
        <v>49</v>
      </c>
      <c r="D70" s="18">
        <f t="shared" si="36"/>
      </c>
      <c r="E70" s="18">
        <v>1927.34</v>
      </c>
      <c r="F70" s="18">
        <v>588.14</v>
      </c>
      <c r="G70" s="18"/>
      <c r="H70" s="19">
        <v>4</v>
      </c>
      <c r="I70" s="17">
        <v>5937.120000000001</v>
      </c>
      <c r="J70" s="20">
        <f t="shared" si="218"/>
      </c>
      <c r="K70" s="21">
        <f t="shared" si="142"/>
      </c>
      <c r="L70" s="22">
        <f t="shared" si="85"/>
      </c>
      <c r="M70" s="23">
        <f t="shared" si="161"/>
      </c>
      <c r="N70" s="23">
        <f t="shared" si="47"/>
      </c>
      <c r="O70" s="22">
        <f t="shared" si="237"/>
      </c>
      <c r="P70" s="23">
        <f t="shared" si="180"/>
      </c>
      <c r="Q70" s="23">
        <f t="shared" si="104"/>
      </c>
      <c r="R70" s="22">
        <f t="shared" si="66"/>
      </c>
      <c r="S70" s="24">
        <f t="shared" si="256"/>
      </c>
      <c r="T70" s="22">
        <f t="shared" si="199"/>
      </c>
      <c r="U70" s="25">
        <f t="shared" si="123"/>
      </c>
      <c r="V70" s="26" t="s">
        <v>36</v>
      </c>
      <c r="W70" s="26" t="s">
        <v>37</v>
      </c>
      <c r="X70" s="27">
        <v>4</v>
      </c>
      <c r="Y70" s="27">
        <v>8312</v>
      </c>
      <c r="Z70" s="27">
        <v>408</v>
      </c>
      <c r="AA70" s="27">
        <v>748</v>
      </c>
      <c r="AB70" s="27">
        <v>199</v>
      </c>
      <c r="AC70" s="27">
        <v>34</v>
      </c>
      <c r="AD70" s="28">
        <v>4</v>
      </c>
      <c r="AE70" s="28">
        <v>18</v>
      </c>
      <c r="AF70" s="7"/>
      <c r="AG70" s="7"/>
    </row>
    <row r="71">
      <c r="A71" s="15"/>
      <c r="B71" s="30" t="s">
        <v>41</v>
      </c>
      <c r="C71" s="30"/>
      <c r="D71" s="30">
        <f>SUM(D67:D70)</f>
      </c>
      <c r="E71" s="30">
        <f>SUM(E67:E70)</f>
      </c>
      <c r="F71" s="30">
        <f>SUM(F67:F70)</f>
      </c>
      <c r="G71" s="30"/>
      <c r="H71" s="30">
        <f>SUM(H67:H70)</f>
      </c>
      <c r="I71" s="30">
        <f>SUM(I67:I70)</f>
      </c>
      <c r="J71" s="31">
        <f t="shared" si="218"/>
      </c>
      <c r="K71" s="32">
        <f t="shared" si="142"/>
      </c>
      <c r="L71" s="33">
        <f t="shared" si="85"/>
      </c>
      <c r="M71" s="34">
        <f t="shared" si="161"/>
      </c>
      <c r="N71" s="34">
        <f t="shared" si="47"/>
      </c>
      <c r="O71" s="33">
        <f t="shared" si="237"/>
      </c>
      <c r="P71" s="34">
        <f t="shared" si="180"/>
      </c>
      <c r="Q71" s="34">
        <f t="shared" si="104"/>
      </c>
      <c r="R71" s="33">
        <f t="shared" si="66"/>
      </c>
      <c r="S71" s="35">
        <f t="shared" si="256"/>
      </c>
      <c r="T71" s="33">
        <f t="shared" si="199"/>
      </c>
      <c r="U71" s="36">
        <f t="shared" si="123"/>
      </c>
      <c r="V71" s="36"/>
      <c r="W71" s="36"/>
      <c r="X71" s="30">
        <f>SUM(X67:X70)</f>
      </c>
      <c r="Y71" s="30">
        <f>SUM(Y67:Y70)</f>
      </c>
      <c r="Z71" s="30">
        <f>SUM(Z67:Z70)</f>
      </c>
      <c r="AA71" s="30">
        <f>SUM(AA67:AA70)</f>
      </c>
      <c r="AB71" s="30">
        <f>SUM(AB67:AB70)</f>
      </c>
      <c r="AC71" s="30">
        <f>SUM(AC67:AC70)</f>
      </c>
      <c r="AD71" s="30">
        <f>SUM(AD67:AD70)</f>
      </c>
      <c r="AE71" s="30">
        <f>SUM(AE67:AE70)</f>
      </c>
      <c r="AF71" s="7"/>
      <c r="AG71" s="7"/>
    </row>
    <row r="72">
      <c r="A72" s="15"/>
      <c r="B72" s="17" t="s">
        <v>42</v>
      </c>
      <c r="C72" s="17" t="s">
        <v>43</v>
      </c>
      <c r="D72" s="18">
        <f t="shared" ref="D72:D75" si="37">E72+F72</f>
      </c>
      <c r="E72" s="18">
        <v>4430.65</v>
      </c>
      <c r="F72" s="18">
        <v>353.04</v>
      </c>
      <c r="G72" s="18"/>
      <c r="H72" s="19">
        <v>1</v>
      </c>
      <c r="I72" s="17">
        <v>7980.240000000002</v>
      </c>
      <c r="J72" s="20">
        <f t="shared" si="218"/>
      </c>
      <c r="K72" s="21">
        <f t="shared" si="142"/>
      </c>
      <c r="L72" s="22">
        <f t="shared" si="85"/>
      </c>
      <c r="M72" s="23">
        <f t="shared" si="161"/>
      </c>
      <c r="N72" s="23">
        <f t="shared" si="47"/>
      </c>
      <c r="O72" s="22">
        <f t="shared" si="237"/>
      </c>
      <c r="P72" s="23">
        <f t="shared" si="180"/>
      </c>
      <c r="Q72" s="23">
        <f t="shared" si="104"/>
      </c>
      <c r="R72" s="22">
        <f t="shared" si="66"/>
      </c>
      <c r="S72" s="24">
        <f t="shared" si="256"/>
      </c>
      <c r="T72" s="22">
        <f t="shared" si="199"/>
      </c>
      <c r="U72" s="25">
        <f t="shared" si="123"/>
      </c>
      <c r="V72" s="44" t="s">
        <v>36</v>
      </c>
      <c r="W72" s="26" t="s">
        <v>37</v>
      </c>
      <c r="X72" s="27">
        <v>0</v>
      </c>
      <c r="Y72" s="27">
        <v>17993</v>
      </c>
      <c r="Z72" s="27">
        <v>515</v>
      </c>
      <c r="AA72" s="27">
        <v>727</v>
      </c>
      <c r="AB72" s="27">
        <v>209</v>
      </c>
      <c r="AC72" s="27">
        <v>54</v>
      </c>
      <c r="AD72" s="28">
        <v>2</v>
      </c>
      <c r="AE72" s="28">
        <v>26</v>
      </c>
      <c r="AF72" s="7"/>
      <c r="AG72" s="7"/>
    </row>
    <row r="73">
      <c r="A73" s="15"/>
      <c r="B73" s="18" t="s">
        <v>44</v>
      </c>
      <c r="C73" s="17" t="s">
        <v>43</v>
      </c>
      <c r="D73" s="18">
        <f t="shared" si="37"/>
      </c>
      <c r="E73" s="18">
        <v>3385.21</v>
      </c>
      <c r="F73" s="18">
        <v>442.91</v>
      </c>
      <c r="G73" s="18"/>
      <c r="H73" s="19">
        <v>4</v>
      </c>
      <c r="I73" s="17">
        <v>8100.959999999999</v>
      </c>
      <c r="J73" s="20">
        <f t="shared" si="218"/>
      </c>
      <c r="K73" s="21">
        <f t="shared" si="142"/>
      </c>
      <c r="L73" s="22">
        <f t="shared" si="85"/>
      </c>
      <c r="M73" s="23">
        <f t="shared" si="161"/>
      </c>
      <c r="N73" s="23">
        <f t="shared" si="47"/>
      </c>
      <c r="O73" s="22">
        <f t="shared" si="237"/>
      </c>
      <c r="P73" s="23">
        <f t="shared" si="180"/>
      </c>
      <c r="Q73" s="23">
        <f t="shared" si="104"/>
      </c>
      <c r="R73" s="22">
        <f t="shared" si="66"/>
      </c>
      <c r="S73" s="24">
        <f t="shared" si="256"/>
      </c>
      <c r="T73" s="22">
        <f t="shared" si="199"/>
      </c>
      <c r="U73" s="25">
        <f t="shared" si="123"/>
      </c>
      <c r="V73" s="44" t="s">
        <v>36</v>
      </c>
      <c r="W73" s="26" t="s">
        <v>37</v>
      </c>
      <c r="X73" s="27">
        <v>4</v>
      </c>
      <c r="Y73" s="27">
        <v>13365</v>
      </c>
      <c r="Z73" s="27">
        <v>507</v>
      </c>
      <c r="AA73" s="27">
        <v>719</v>
      </c>
      <c r="AB73" s="27">
        <v>201</v>
      </c>
      <c r="AC73" s="27">
        <v>42</v>
      </c>
      <c r="AD73" s="28">
        <v>5</v>
      </c>
      <c r="AE73" s="28">
        <v>14</v>
      </c>
      <c r="AF73" s="7"/>
      <c r="AG73" s="7"/>
    </row>
    <row r="74">
      <c r="A74" s="15"/>
      <c r="B74" s="18" t="s">
        <v>45</v>
      </c>
      <c r="C74" s="17" t="s">
        <v>43</v>
      </c>
      <c r="D74" s="18">
        <f t="shared" si="37"/>
      </c>
      <c r="E74" s="18">
        <v>3191.23</v>
      </c>
      <c r="F74" s="18">
        <v>1067.84</v>
      </c>
      <c r="G74" s="18"/>
      <c r="H74" s="19">
        <v>0</v>
      </c>
      <c r="I74" s="17">
        <v>0</v>
      </c>
      <c r="J74" s="20">
        <f t="shared" si="218"/>
      </c>
      <c r="K74" s="21">
        <f t="shared" si="142"/>
      </c>
      <c r="L74" s="22">
        <f t="shared" si="85"/>
      </c>
      <c r="M74" s="23">
        <f t="shared" si="161"/>
      </c>
      <c r="N74" s="23">
        <f t="shared" si="47"/>
      </c>
      <c r="O74" s="22">
        <f t="shared" si="237"/>
      </c>
      <c r="P74" s="23">
        <f t="shared" si="180"/>
      </c>
      <c r="Q74" s="23">
        <f t="shared" si="104"/>
      </c>
      <c r="R74" s="22">
        <f t="shared" si="66"/>
      </c>
      <c r="S74" s="24">
        <f t="shared" si="256"/>
      </c>
      <c r="T74" s="22">
        <f t="shared" si="199"/>
      </c>
      <c r="U74" s="25">
        <f t="shared" si="123"/>
      </c>
      <c r="V74" s="44" t="s">
        <v>36</v>
      </c>
      <c r="W74" s="26" t="s">
        <v>37</v>
      </c>
      <c r="X74" s="27">
        <v>0</v>
      </c>
      <c r="Y74" s="27">
        <v>18774</v>
      </c>
      <c r="Z74" s="27">
        <v>955</v>
      </c>
      <c r="AA74" s="27">
        <v>1588</v>
      </c>
      <c r="AB74" s="27">
        <v>378</v>
      </c>
      <c r="AC74" s="27">
        <v>42</v>
      </c>
      <c r="AD74" s="28">
        <v>1</v>
      </c>
      <c r="AE74" s="28">
        <v>35</v>
      </c>
      <c r="AF74" s="7"/>
      <c r="AG74" s="7"/>
    </row>
    <row r="75">
      <c r="A75" s="15"/>
      <c r="B75" s="18" t="s">
        <v>46</v>
      </c>
      <c r="C75" s="17" t="s">
        <v>43</v>
      </c>
      <c r="D75" s="18">
        <f t="shared" si="37"/>
      </c>
      <c r="E75" s="18">
        <v>1268.06</v>
      </c>
      <c r="F75" s="18">
        <v>817.98</v>
      </c>
      <c r="G75" s="18"/>
      <c r="H75" s="19">
        <v>2</v>
      </c>
      <c r="I75" s="17">
        <v>3135.600000000002</v>
      </c>
      <c r="J75" s="20">
        <f t="shared" si="218"/>
      </c>
      <c r="K75" s="21">
        <f t="shared" si="142"/>
      </c>
      <c r="L75" s="22">
        <f t="shared" si="85"/>
      </c>
      <c r="M75" s="23">
        <f t="shared" si="161"/>
      </c>
      <c r="N75" s="23">
        <f t="shared" si="47"/>
      </c>
      <c r="O75" s="22">
        <f t="shared" si="237"/>
      </c>
      <c r="P75" s="23">
        <f t="shared" si="180"/>
      </c>
      <c r="Q75" s="23">
        <f t="shared" si="104"/>
      </c>
      <c r="R75" s="22">
        <f t="shared" si="66"/>
      </c>
      <c r="S75" s="24">
        <f t="shared" si="256"/>
      </c>
      <c r="T75" s="22">
        <f t="shared" si="199"/>
      </c>
      <c r="U75" s="25">
        <f t="shared" si="123"/>
      </c>
      <c r="V75" s="44" t="s">
        <v>36</v>
      </c>
      <c r="W75" s="26" t="s">
        <v>37</v>
      </c>
      <c r="X75" s="27">
        <v>1</v>
      </c>
      <c r="Y75" s="27">
        <v>8593</v>
      </c>
      <c r="Z75" s="27">
        <v>430</v>
      </c>
      <c r="AA75" s="27">
        <v>797</v>
      </c>
      <c r="AB75" s="27">
        <v>217</v>
      </c>
      <c r="AC75" s="27">
        <v>17</v>
      </c>
      <c r="AD75" s="28">
        <v>2</v>
      </c>
      <c r="AE75" s="28">
        <v>31</v>
      </c>
      <c r="AF75" s="7"/>
      <c r="AG75" s="7"/>
    </row>
    <row r="76">
      <c r="A76" s="15"/>
      <c r="B76" s="30" t="s">
        <v>41</v>
      </c>
      <c r="C76" s="30"/>
      <c r="D76" s="30">
        <f>SUM(D72:D75)</f>
      </c>
      <c r="E76" s="30">
        <f>SUM(E72:E75)</f>
      </c>
      <c r="F76" s="30">
        <f>SUM(F72:F75)</f>
      </c>
      <c r="G76" s="30"/>
      <c r="H76" s="30">
        <f>SUM(H72:H75)</f>
      </c>
      <c r="I76" s="30">
        <f>SUM(I72:I75)</f>
      </c>
      <c r="J76" s="31">
        <f t="shared" si="218"/>
      </c>
      <c r="K76" s="32">
        <f t="shared" si="142"/>
      </c>
      <c r="L76" s="33">
        <f t="shared" si="85"/>
      </c>
      <c r="M76" s="34">
        <f t="shared" si="161"/>
      </c>
      <c r="N76" s="34">
        <f t="shared" si="47"/>
      </c>
      <c r="O76" s="33">
        <f t="shared" si="237"/>
      </c>
      <c r="P76" s="34">
        <f t="shared" si="180"/>
      </c>
      <c r="Q76" s="34">
        <f t="shared" si="104"/>
      </c>
      <c r="R76" s="33">
        <f t="shared" si="66"/>
      </c>
      <c r="S76" s="35">
        <f t="shared" si="256"/>
      </c>
      <c r="T76" s="33">
        <f t="shared" si="199"/>
      </c>
      <c r="U76" s="36">
        <f t="shared" si="123"/>
      </c>
      <c r="V76" s="36"/>
      <c r="W76" s="36"/>
      <c r="X76" s="30">
        <f>SUM(X72:X75)</f>
      </c>
      <c r="Y76" s="30">
        <f>SUM(Y72:Y75)</f>
      </c>
      <c r="Z76" s="30">
        <f>SUM(Z72:Z75)</f>
      </c>
      <c r="AA76" s="30">
        <f>SUM(AA72:AA75)</f>
      </c>
      <c r="AB76" s="30">
        <f>SUM(AB72:AB75)</f>
      </c>
      <c r="AC76" s="30">
        <f>SUM(AC72:AC75)</f>
      </c>
      <c r="AD76" s="30">
        <f>SUM(AD72:AD75)</f>
      </c>
      <c r="AE76" s="30">
        <f>SUM(AE72:AE75)</f>
      </c>
      <c r="AF76" s="7"/>
      <c r="AG76" s="7"/>
    </row>
    <row r="77">
      <c r="A77" s="15"/>
      <c r="B77" s="37" t="s">
        <v>47</v>
      </c>
      <c r="C77" s="37"/>
      <c r="D77" s="38">
        <f>D71+D76</f>
      </c>
      <c r="E77" s="38">
        <f>E71+E76</f>
      </c>
      <c r="F77" s="38">
        <f>F71+F76</f>
      </c>
      <c r="G77" s="38"/>
      <c r="H77" s="38">
        <f>H71+H76</f>
      </c>
      <c r="I77" s="38">
        <f>I71+I76</f>
      </c>
      <c r="J77" s="38">
        <f t="shared" si="218"/>
      </c>
      <c r="K77" s="39">
        <f t="shared" si="142"/>
      </c>
      <c r="L77" s="38">
        <f t="shared" si="85"/>
      </c>
      <c r="M77" s="40">
        <f t="shared" si="161"/>
      </c>
      <c r="N77" s="40">
        <f t="shared" si="47"/>
      </c>
      <c r="O77" s="38">
        <f t="shared" si="237"/>
      </c>
      <c r="P77" s="40">
        <f t="shared" si="180"/>
      </c>
      <c r="Q77" s="40">
        <f t="shared" si="104"/>
      </c>
      <c r="R77" s="38">
        <f t="shared" si="66"/>
      </c>
      <c r="S77" s="41">
        <f t="shared" si="256"/>
      </c>
      <c r="T77" s="38">
        <f t="shared" si="199"/>
      </c>
      <c r="U77" s="42">
        <f t="shared" si="123"/>
      </c>
      <c r="V77" s="42"/>
      <c r="W77" s="42"/>
      <c r="X77" s="43">
        <f>X71+X76</f>
      </c>
      <c r="Y77" s="43">
        <f>Y71+Y76</f>
      </c>
      <c r="Z77" s="43">
        <f>Z71+Z76</f>
      </c>
      <c r="AA77" s="43">
        <f>AA71+AA76</f>
      </c>
      <c r="AB77" s="43">
        <f>AB71+AB76</f>
      </c>
      <c r="AC77" s="43">
        <f>AC71+AC76</f>
      </c>
      <c r="AD77" s="43">
        <f>AD71+AD76</f>
      </c>
      <c r="AE77" s="43">
        <f>AE71+AE76</f>
      </c>
      <c r="AF77" s="7"/>
      <c r="AG77" s="7"/>
    </row>
    <row r="78">
      <c r="A78" s="1" t="s">
        <v>1</v>
      </c>
      <c r="B78" s="1"/>
      <c r="C78" s="1"/>
      <c r="D78" s="2" t="s">
        <v>2</v>
      </c>
      <c r="E78" s="2"/>
      <c r="F78" s="2"/>
      <c r="G78" s="2"/>
      <c r="H78" s="2"/>
      <c r="I78" s="2"/>
      <c r="J78" s="2"/>
      <c r="K78" s="3" t="s">
        <v>3</v>
      </c>
      <c r="L78" s="3"/>
      <c r="M78" s="3"/>
      <c r="N78" s="3"/>
      <c r="O78" s="3"/>
      <c r="P78" s="3"/>
      <c r="Q78" s="3"/>
      <c r="R78" s="3"/>
      <c r="S78" s="3"/>
      <c r="T78" s="3"/>
      <c r="U78" s="4"/>
      <c r="V78" s="4"/>
      <c r="W78" s="4"/>
      <c r="X78" s="5"/>
      <c r="Y78" s="5"/>
      <c r="Z78" s="5"/>
      <c r="AA78" s="5"/>
      <c r="AB78" s="5"/>
      <c r="AC78" s="5"/>
      <c r="AD78" s="5"/>
      <c r="AE78" s="6" t="s">
        <v>4</v>
      </c>
      <c r="AF78" s="7"/>
      <c r="AG78" s="7"/>
    </row>
    <row r="79">
      <c r="A79" s="1" t="s">
        <v>5</v>
      </c>
      <c r="B79" s="1" t="s">
        <v>6</v>
      </c>
      <c r="C79" s="1" t="s">
        <v>7</v>
      </c>
      <c r="D79" s="2" t="s">
        <v>8</v>
      </c>
      <c r="E79" s="8" t="s">
        <v>9</v>
      </c>
      <c r="F79" s="8" t="s">
        <v>10</v>
      </c>
      <c r="G79" s="8"/>
      <c r="H79" s="9" t="s">
        <v>11</v>
      </c>
      <c r="I79" s="2" t="s">
        <v>12</v>
      </c>
      <c r="J79" s="8" t="s">
        <v>13</v>
      </c>
      <c r="K79" s="3" t="s">
        <v>14</v>
      </c>
      <c r="L79" s="10" t="s">
        <v>15</v>
      </c>
      <c r="M79" s="11" t="s">
        <v>16</v>
      </c>
      <c r="N79" s="11" t="s">
        <v>17</v>
      </c>
      <c r="O79" s="10" t="s">
        <v>18</v>
      </c>
      <c r="P79" s="11" t="s">
        <v>19</v>
      </c>
      <c r="Q79" s="11" t="s">
        <v>20</v>
      </c>
      <c r="R79" s="10" t="s">
        <v>21</v>
      </c>
      <c r="S79" s="11" t="s">
        <v>22</v>
      </c>
      <c r="T79" s="10" t="s">
        <v>23</v>
      </c>
      <c r="U79" s="12" t="s">
        <v>24</v>
      </c>
      <c r="V79" s="12" t="s">
        <v>25</v>
      </c>
      <c r="W79" s="12" t="s">
        <v>26</v>
      </c>
      <c r="X79" s="13" t="s">
        <v>27</v>
      </c>
      <c r="Y79" s="14" t="s">
        <v>28</v>
      </c>
      <c r="Z79" s="14" t="s">
        <v>29</v>
      </c>
      <c r="AA79" s="14" t="s">
        <v>30</v>
      </c>
      <c r="AB79" s="14" t="s">
        <v>31</v>
      </c>
      <c r="AC79" s="14" t="s">
        <v>32</v>
      </c>
      <c r="AD79" s="14" t="s">
        <v>33</v>
      </c>
      <c r="AE79" s="6"/>
      <c r="AF79" s="7"/>
      <c r="AG79" s="7"/>
    </row>
    <row r="80">
      <c r="A80" s="15">
        <v>46302</v>
      </c>
      <c r="B80" s="16" t="s">
        <v>34</v>
      </c>
      <c r="C80" s="17" t="s">
        <v>49</v>
      </c>
      <c r="D80" s="18">
        <f t="shared" ref="D80:D83" si="38">E80+F80</f>
      </c>
      <c r="E80" s="18">
        <v>1335.58</v>
      </c>
      <c r="F80" s="18">
        <v>632.29</v>
      </c>
      <c r="G80" s="18"/>
      <c r="H80" s="19">
        <v>1</v>
      </c>
      <c r="I80" s="17">
        <v>2236.56</v>
      </c>
      <c r="J80" s="20">
        <f t="shared" ref="J80:J90" si="219">I80/D80</f>
      </c>
      <c r="K80" s="21">
        <f t="shared" ref="K80:K90" si="143">Z80/Y80</f>
      </c>
      <c r="L80" s="22">
        <f t="shared" ref="L80:L90" si="86">D80/AA80</f>
      </c>
      <c r="M80" s="23">
        <f t="shared" ref="M80:M90" si="162">AB80/AA80</f>
      </c>
      <c r="N80" s="23">
        <f t="shared" ref="N80:N90" si="48">AC80/AA80</f>
      </c>
      <c r="O80" s="22">
        <f t="shared" ref="O80:O90" si="238">D80/AC80</f>
      </c>
      <c r="P80" s="23">
        <f t="shared" ref="P80:P90" si="181">AD80/AC80</f>
      </c>
      <c r="Q80" s="23">
        <f t="shared" ref="Q80:Q90" si="105">H80/AD80</f>
      </c>
      <c r="R80" s="22">
        <f t="shared" ref="R80:R90" si="67">D80/H80</f>
      </c>
      <c r="S80" s="24">
        <f t="shared" ref="S80:S90" si="257">I80/H80</f>
      </c>
      <c r="T80" s="22">
        <f t="shared" ref="T80:T90" si="200">D80/X80</f>
      </c>
      <c r="U80" s="25">
        <f t="shared" ref="U80:U90" si="124">AE80*1000/D80</f>
      </c>
      <c r="V80" s="26" t="s">
        <v>36</v>
      </c>
      <c r="W80" s="26" t="s">
        <v>37</v>
      </c>
      <c r="X80" s="27">
        <v>1</v>
      </c>
      <c r="Y80" s="27">
        <v>4500</v>
      </c>
      <c r="Z80" s="27">
        <v>468</v>
      </c>
      <c r="AA80" s="27">
        <v>783</v>
      </c>
      <c r="AB80" s="27">
        <v>209</v>
      </c>
      <c r="AC80" s="27">
        <v>9</v>
      </c>
      <c r="AD80" s="28">
        <v>1</v>
      </c>
      <c r="AE80" s="28">
        <v>14</v>
      </c>
      <c r="AF80" s="7"/>
      <c r="AG80" s="7"/>
    </row>
    <row r="81">
      <c r="A81" s="15"/>
      <c r="B81" s="29" t="s">
        <v>38</v>
      </c>
      <c r="C81" s="17" t="s">
        <v>49</v>
      </c>
      <c r="D81" s="18">
        <f t="shared" si="38"/>
      </c>
      <c r="E81" s="18">
        <v>1154.09</v>
      </c>
      <c r="F81" s="18">
        <v>2303.3</v>
      </c>
      <c r="G81" s="18"/>
      <c r="H81" s="19">
        <v>5</v>
      </c>
      <c r="I81" s="17">
        <v>9588.26</v>
      </c>
      <c r="J81" s="20">
        <f t="shared" si="219"/>
      </c>
      <c r="K81" s="21">
        <f t="shared" si="143"/>
      </c>
      <c r="L81" s="22">
        <f t="shared" si="86"/>
      </c>
      <c r="M81" s="23">
        <f t="shared" si="162"/>
      </c>
      <c r="N81" s="23">
        <f t="shared" si="48"/>
      </c>
      <c r="O81" s="22">
        <f t="shared" si="238"/>
      </c>
      <c r="P81" s="23">
        <f t="shared" si="181"/>
      </c>
      <c r="Q81" s="23">
        <f t="shared" si="105"/>
      </c>
      <c r="R81" s="22">
        <f t="shared" si="67"/>
      </c>
      <c r="S81" s="24">
        <f t="shared" si="257"/>
      </c>
      <c r="T81" s="22">
        <f t="shared" si="200"/>
      </c>
      <c r="U81" s="25">
        <f t="shared" si="124"/>
      </c>
      <c r="V81" s="26" t="s">
        <v>36</v>
      </c>
      <c r="W81" s="26" t="s">
        <v>37</v>
      </c>
      <c r="X81" s="27">
        <v>5</v>
      </c>
      <c r="Y81" s="27">
        <v>9884</v>
      </c>
      <c r="Z81" s="27">
        <v>1570</v>
      </c>
      <c r="AA81" s="27">
        <v>3241</v>
      </c>
      <c r="AB81" s="27">
        <v>862</v>
      </c>
      <c r="AC81" s="27">
        <v>11</v>
      </c>
      <c r="AD81" s="28">
        <v>6</v>
      </c>
      <c r="AE81" s="28">
        <v>50</v>
      </c>
      <c r="AF81" s="7"/>
      <c r="AG81" s="7"/>
    </row>
    <row r="82">
      <c r="A82" s="15"/>
      <c r="B82" s="29" t="s">
        <v>39</v>
      </c>
      <c r="C82" s="17" t="s">
        <v>49</v>
      </c>
      <c r="D82" s="18">
        <f t="shared" si="38"/>
      </c>
      <c r="E82" s="18">
        <v>2608.5</v>
      </c>
      <c r="F82" s="18">
        <v>1543</v>
      </c>
      <c r="G82" s="18"/>
      <c r="H82" s="19">
        <v>1</v>
      </c>
      <c r="I82" s="17">
        <v>3922.92</v>
      </c>
      <c r="J82" s="20">
        <f t="shared" si="219"/>
      </c>
      <c r="K82" s="21">
        <f t="shared" si="143"/>
      </c>
      <c r="L82" s="22">
        <f t="shared" si="86"/>
      </c>
      <c r="M82" s="23">
        <f t="shared" si="162"/>
      </c>
      <c r="N82" s="23">
        <f t="shared" si="48"/>
      </c>
      <c r="O82" s="22">
        <f t="shared" si="238"/>
      </c>
      <c r="P82" s="23">
        <f t="shared" si="181"/>
      </c>
      <c r="Q82" s="23">
        <f t="shared" si="105"/>
      </c>
      <c r="R82" s="22">
        <f t="shared" si="67"/>
      </c>
      <c r="S82" s="24">
        <f t="shared" si="257"/>
      </c>
      <c r="T82" s="22">
        <f t="shared" si="200"/>
      </c>
      <c r="U82" s="25">
        <f t="shared" si="124"/>
      </c>
      <c r="V82" s="26" t="s">
        <v>36</v>
      </c>
      <c r="W82" s="26" t="s">
        <v>37</v>
      </c>
      <c r="X82" s="27">
        <v>1</v>
      </c>
      <c r="Y82" s="27">
        <v>16998</v>
      </c>
      <c r="Z82" s="27">
        <v>1431</v>
      </c>
      <c r="AA82" s="27">
        <v>3042</v>
      </c>
      <c r="AB82" s="27">
        <v>792</v>
      </c>
      <c r="AC82" s="27">
        <v>32</v>
      </c>
      <c r="AD82" s="28">
        <v>1</v>
      </c>
      <c r="AE82" s="28">
        <v>44</v>
      </c>
      <c r="AF82" s="7"/>
      <c r="AG82" s="7"/>
    </row>
    <row r="83">
      <c r="A83" s="15"/>
      <c r="B83" s="29" t="s">
        <v>40</v>
      </c>
      <c r="C83" s="17" t="s">
        <v>49</v>
      </c>
      <c r="D83" s="18">
        <f t="shared" si="38"/>
      </c>
      <c r="E83" s="18">
        <v>1651.93</v>
      </c>
      <c r="F83" s="18">
        <v>1175.61</v>
      </c>
      <c r="G83" s="18"/>
      <c r="H83" s="19">
        <v>1</v>
      </c>
      <c r="I83" s="17">
        <v>5084.640000000001</v>
      </c>
      <c r="J83" s="20">
        <f t="shared" si="219"/>
      </c>
      <c r="K83" s="21">
        <f t="shared" si="143"/>
      </c>
      <c r="L83" s="22">
        <f t="shared" si="86"/>
      </c>
      <c r="M83" s="23">
        <f t="shared" si="162"/>
      </c>
      <c r="N83" s="23">
        <f t="shared" si="48"/>
      </c>
      <c r="O83" s="22">
        <f t="shared" si="238"/>
      </c>
      <c r="P83" s="23">
        <f t="shared" si="181"/>
      </c>
      <c r="Q83" s="23">
        <f t="shared" si="105"/>
      </c>
      <c r="R83" s="22">
        <f t="shared" si="67"/>
      </c>
      <c r="S83" s="24">
        <f t="shared" si="257"/>
      </c>
      <c r="T83" s="22">
        <f t="shared" si="200"/>
      </c>
      <c r="U83" s="25">
        <f t="shared" si="124"/>
      </c>
      <c r="V83" s="26" t="s">
        <v>36</v>
      </c>
      <c r="W83" s="26" t="s">
        <v>37</v>
      </c>
      <c r="X83" s="27">
        <v>1</v>
      </c>
      <c r="Y83" s="27">
        <v>8870</v>
      </c>
      <c r="Z83" s="27">
        <v>483</v>
      </c>
      <c r="AA83" s="27">
        <v>960</v>
      </c>
      <c r="AB83" s="27">
        <v>237</v>
      </c>
      <c r="AC83" s="27">
        <v>21</v>
      </c>
      <c r="AD83" s="28">
        <v>1</v>
      </c>
      <c r="AE83" s="28">
        <v>17</v>
      </c>
      <c r="AF83" s="7"/>
      <c r="AG83" s="7"/>
    </row>
    <row r="84">
      <c r="A84" s="15"/>
      <c r="B84" s="30" t="s">
        <v>41</v>
      </c>
      <c r="C84" s="30"/>
      <c r="D84" s="30">
        <f>SUM(D80:D83)</f>
      </c>
      <c r="E84" s="30">
        <f>SUM(E80:E83)</f>
      </c>
      <c r="F84" s="30">
        <f>SUM(F80:F83)</f>
      </c>
      <c r="G84" s="30"/>
      <c r="H84" s="30">
        <f>SUM(H80:H83)</f>
      </c>
      <c r="I84" s="30">
        <f>SUM(I80:I83)</f>
      </c>
      <c r="J84" s="31">
        <f t="shared" si="219"/>
      </c>
      <c r="K84" s="32">
        <f t="shared" si="143"/>
      </c>
      <c r="L84" s="33">
        <f t="shared" si="86"/>
      </c>
      <c r="M84" s="34">
        <f t="shared" si="162"/>
      </c>
      <c r="N84" s="34">
        <f t="shared" si="48"/>
      </c>
      <c r="O84" s="33">
        <f t="shared" si="238"/>
      </c>
      <c r="P84" s="34">
        <f t="shared" si="181"/>
      </c>
      <c r="Q84" s="34">
        <f t="shared" si="105"/>
      </c>
      <c r="R84" s="33">
        <f t="shared" si="67"/>
      </c>
      <c r="S84" s="35">
        <f t="shared" si="257"/>
      </c>
      <c r="T84" s="33">
        <f t="shared" si="200"/>
      </c>
      <c r="U84" s="36">
        <f t="shared" si="124"/>
      </c>
      <c r="V84" s="36"/>
      <c r="W84" s="36"/>
      <c r="X84" s="30">
        <f>SUM(X80:X83)</f>
      </c>
      <c r="Y84" s="30">
        <f>SUM(Y80:Y83)</f>
      </c>
      <c r="Z84" s="30">
        <f>SUM(Z80:Z83)</f>
      </c>
      <c r="AA84" s="30">
        <f>SUM(AA80:AA83)</f>
      </c>
      <c r="AB84" s="30">
        <f>SUM(AB80:AB83)</f>
      </c>
      <c r="AC84" s="30">
        <f>SUM(AC80:AC83)</f>
      </c>
      <c r="AD84" s="30">
        <f>SUM(AD80:AD83)</f>
      </c>
      <c r="AE84" s="30">
        <f>SUM(AE80:AE83)</f>
      </c>
      <c r="AF84" s="7"/>
      <c r="AG84" s="7"/>
    </row>
    <row r="85">
      <c r="A85" s="15"/>
      <c r="B85" s="17" t="s">
        <v>42</v>
      </c>
      <c r="C85" s="17" t="s">
        <v>48</v>
      </c>
      <c r="D85" s="18">
        <f t="shared" ref="D85:D88" si="39">E85+F85</f>
      </c>
      <c r="E85" s="18">
        <v>1650.86</v>
      </c>
      <c r="F85" s="18">
        <v>1392.34</v>
      </c>
      <c r="G85" s="18"/>
      <c r="H85" s="19">
        <v>2</v>
      </c>
      <c r="I85" s="17">
        <v>4683.959999999999</v>
      </c>
      <c r="J85" s="20">
        <f t="shared" si="219"/>
      </c>
      <c r="K85" s="21">
        <f t="shared" si="143"/>
      </c>
      <c r="L85" s="22">
        <f t="shared" si="86"/>
      </c>
      <c r="M85" s="23">
        <f t="shared" si="162"/>
      </c>
      <c r="N85" s="23">
        <f t="shared" si="48"/>
      </c>
      <c r="O85" s="22">
        <f t="shared" si="238"/>
      </c>
      <c r="P85" s="23">
        <f t="shared" si="181"/>
      </c>
      <c r="Q85" s="23">
        <f t="shared" si="105"/>
      </c>
      <c r="R85" s="22">
        <f t="shared" si="67"/>
      </c>
      <c r="S85" s="24">
        <f t="shared" si="257"/>
      </c>
      <c r="T85" s="22">
        <f t="shared" si="200"/>
      </c>
      <c r="U85" s="25">
        <f t="shared" si="124"/>
      </c>
      <c r="V85" s="44" t="s">
        <v>36</v>
      </c>
      <c r="W85" s="26" t="s">
        <v>37</v>
      </c>
      <c r="X85" s="27">
        <v>2</v>
      </c>
      <c r="Y85" s="27">
        <v>9243</v>
      </c>
      <c r="Z85" s="27">
        <v>869</v>
      </c>
      <c r="AA85" s="27">
        <v>1604</v>
      </c>
      <c r="AB85" s="27">
        <v>426</v>
      </c>
      <c r="AC85" s="27">
        <v>29</v>
      </c>
      <c r="AD85" s="28">
        <v>3</v>
      </c>
      <c r="AE85" s="28">
        <v>32</v>
      </c>
      <c r="AF85" s="7"/>
      <c r="AG85" s="7"/>
    </row>
    <row r="86">
      <c r="A86" s="15"/>
      <c r="B86" s="18" t="s">
        <v>44</v>
      </c>
      <c r="C86" s="17" t="s">
        <v>48</v>
      </c>
      <c r="D86" s="18">
        <f t="shared" si="39"/>
      </c>
      <c r="E86" s="18">
        <v>2760.69</v>
      </c>
      <c r="F86" s="18">
        <v>391.49</v>
      </c>
      <c r="G86" s="18"/>
      <c r="H86" s="19">
        <v>1</v>
      </c>
      <c r="I86" s="17">
        <v>1746.7200000000012</v>
      </c>
      <c r="J86" s="20">
        <f t="shared" si="219"/>
      </c>
      <c r="K86" s="21">
        <f t="shared" si="143"/>
      </c>
      <c r="L86" s="22">
        <f t="shared" si="86"/>
      </c>
      <c r="M86" s="23">
        <f t="shared" si="162"/>
      </c>
      <c r="N86" s="23">
        <f t="shared" si="48"/>
      </c>
      <c r="O86" s="22">
        <f t="shared" si="238"/>
      </c>
      <c r="P86" s="23">
        <f t="shared" si="181"/>
      </c>
      <c r="Q86" s="23">
        <f t="shared" si="105"/>
      </c>
      <c r="R86" s="22">
        <f t="shared" si="67"/>
      </c>
      <c r="S86" s="24">
        <f t="shared" si="257"/>
      </c>
      <c r="T86" s="22">
        <f t="shared" si="200"/>
      </c>
      <c r="U86" s="25">
        <f t="shared" si="124"/>
      </c>
      <c r="V86" s="44" t="s">
        <v>36</v>
      </c>
      <c r="W86" s="26" t="s">
        <v>37</v>
      </c>
      <c r="X86" s="27">
        <v>1</v>
      </c>
      <c r="Y86" s="27">
        <v>9890</v>
      </c>
      <c r="Z86" s="27">
        <v>511</v>
      </c>
      <c r="AA86" s="27">
        <v>691</v>
      </c>
      <c r="AB86" s="27">
        <v>202</v>
      </c>
      <c r="AC86" s="27">
        <v>41</v>
      </c>
      <c r="AD86" s="28">
        <v>3</v>
      </c>
      <c r="AE86" s="28">
        <v>28</v>
      </c>
      <c r="AF86" s="7"/>
      <c r="AG86" s="7"/>
    </row>
    <row r="87">
      <c r="A87" s="15"/>
      <c r="B87" s="18" t="s">
        <v>45</v>
      </c>
      <c r="C87" s="17" t="s">
        <v>48</v>
      </c>
      <c r="D87" s="18">
        <f t="shared" si="39"/>
      </c>
      <c r="E87" s="18">
        <v>1401.25</v>
      </c>
      <c r="F87" s="18">
        <v>712.01</v>
      </c>
      <c r="G87" s="18"/>
      <c r="H87" s="19">
        <v>1</v>
      </c>
      <c r="I87" s="17">
        <v>2600.5200000000004</v>
      </c>
      <c r="J87" s="20">
        <f t="shared" si="219"/>
      </c>
      <c r="K87" s="21">
        <f t="shared" si="143"/>
      </c>
      <c r="L87" s="22">
        <f t="shared" si="86"/>
      </c>
      <c r="M87" s="23">
        <f t="shared" si="162"/>
      </c>
      <c r="N87" s="23">
        <f t="shared" si="48"/>
      </c>
      <c r="O87" s="22">
        <f t="shared" si="238"/>
      </c>
      <c r="P87" s="23">
        <f t="shared" si="181"/>
      </c>
      <c r="Q87" s="23">
        <f t="shared" si="105"/>
      </c>
      <c r="R87" s="22">
        <f t="shared" si="67"/>
      </c>
      <c r="S87" s="24">
        <f t="shared" si="257"/>
      </c>
      <c r="T87" s="22">
        <f t="shared" si="200"/>
      </c>
      <c r="U87" s="25">
        <f t="shared" si="124"/>
      </c>
      <c r="V87" s="44" t="s">
        <v>36</v>
      </c>
      <c r="W87" s="26" t="s">
        <v>37</v>
      </c>
      <c r="X87" s="27">
        <v>1</v>
      </c>
      <c r="Y87" s="27">
        <v>6208</v>
      </c>
      <c r="Z87" s="27">
        <v>499</v>
      </c>
      <c r="AA87" s="27">
        <v>908</v>
      </c>
      <c r="AB87" s="27">
        <v>225</v>
      </c>
      <c r="AC87" s="27">
        <v>19</v>
      </c>
      <c r="AD87" s="28">
        <v>2</v>
      </c>
      <c r="AE87" s="28">
        <v>14</v>
      </c>
      <c r="AF87" s="7"/>
      <c r="AG87" s="7"/>
    </row>
    <row r="88">
      <c r="A88" s="15"/>
      <c r="B88" s="18" t="s">
        <v>46</v>
      </c>
      <c r="C88" s="17" t="s">
        <v>48</v>
      </c>
      <c r="D88" s="18">
        <f t="shared" si="39"/>
      </c>
      <c r="E88" s="18">
        <v>4224.9</v>
      </c>
      <c r="F88" s="18">
        <v>733.93</v>
      </c>
      <c r="G88" s="18"/>
      <c r="H88" s="19">
        <v>0</v>
      </c>
      <c r="I88" s="17">
        <v>0</v>
      </c>
      <c r="J88" s="20">
        <f t="shared" si="219"/>
      </c>
      <c r="K88" s="21">
        <f t="shared" si="143"/>
      </c>
      <c r="L88" s="22">
        <f t="shared" si="86"/>
      </c>
      <c r="M88" s="23">
        <f t="shared" si="162"/>
      </c>
      <c r="N88" s="23">
        <f t="shared" si="48"/>
      </c>
      <c r="O88" s="22">
        <f t="shared" si="238"/>
      </c>
      <c r="P88" s="23">
        <f t="shared" si="181"/>
      </c>
      <c r="Q88" s="23">
        <f t="shared" si="105"/>
      </c>
      <c r="R88" s="22">
        <f t="shared" si="67"/>
      </c>
      <c r="S88" s="24">
        <f t="shared" si="257"/>
      </c>
      <c r="T88" s="22">
        <f t="shared" si="200"/>
      </c>
      <c r="U88" s="25">
        <f t="shared" si="124"/>
      </c>
      <c r="V88" s="44" t="s">
        <v>36</v>
      </c>
      <c r="W88" s="26" t="s">
        <v>37</v>
      </c>
      <c r="X88" s="27">
        <v>0</v>
      </c>
      <c r="Y88" s="27">
        <v>22621</v>
      </c>
      <c r="Z88" s="27">
        <v>1033</v>
      </c>
      <c r="AA88" s="27">
        <v>1574</v>
      </c>
      <c r="AB88" s="27">
        <v>394</v>
      </c>
      <c r="AC88" s="27">
        <v>15</v>
      </c>
      <c r="AD88" s="28">
        <v>3</v>
      </c>
      <c r="AE88" s="28">
        <v>34</v>
      </c>
      <c r="AF88" s="7"/>
      <c r="AG88" s="7"/>
    </row>
    <row r="89">
      <c r="A89" s="15"/>
      <c r="B89" s="30" t="s">
        <v>41</v>
      </c>
      <c r="C89" s="30"/>
      <c r="D89" s="30">
        <f>SUM(D85:D88)</f>
      </c>
      <c r="E89" s="30">
        <f>SUM(E85:E88)</f>
      </c>
      <c r="F89" s="30">
        <f>SUM(F85:F88)</f>
      </c>
      <c r="G89" s="30"/>
      <c r="H89" s="30">
        <f>SUM(H85:H88)</f>
      </c>
      <c r="I89" s="30">
        <f>SUM(I85:I88)</f>
      </c>
      <c r="J89" s="31">
        <f t="shared" si="219"/>
      </c>
      <c r="K89" s="32">
        <f t="shared" si="143"/>
      </c>
      <c r="L89" s="33">
        <f t="shared" si="86"/>
      </c>
      <c r="M89" s="34">
        <f t="shared" si="162"/>
      </c>
      <c r="N89" s="34">
        <f t="shared" si="48"/>
      </c>
      <c r="O89" s="33">
        <f t="shared" si="238"/>
      </c>
      <c r="P89" s="34">
        <f t="shared" si="181"/>
      </c>
      <c r="Q89" s="34">
        <f t="shared" si="105"/>
      </c>
      <c r="R89" s="33">
        <f t="shared" si="67"/>
      </c>
      <c r="S89" s="35">
        <f t="shared" si="257"/>
      </c>
      <c r="T89" s="33">
        <f t="shared" si="200"/>
      </c>
      <c r="U89" s="36">
        <f t="shared" si="124"/>
      </c>
      <c r="V89" s="36"/>
      <c r="W89" s="36"/>
      <c r="X89" s="30">
        <f>SUM(X85:X88)</f>
      </c>
      <c r="Y89" s="30">
        <f>SUM(Y85:Y88)</f>
      </c>
      <c r="Z89" s="30">
        <f>SUM(Z85:Z88)</f>
      </c>
      <c r="AA89" s="30">
        <f>SUM(AA85:AA88)</f>
      </c>
      <c r="AB89" s="30">
        <f>SUM(AB85:AB88)</f>
      </c>
      <c r="AC89" s="30">
        <f>SUM(AC85:AC88)</f>
      </c>
      <c r="AD89" s="30">
        <f>SUM(AD85:AD88)</f>
      </c>
      <c r="AE89" s="30">
        <f>SUM(AE85:AE88)</f>
      </c>
      <c r="AF89" s="7"/>
      <c r="AG89" s="7"/>
    </row>
    <row r="90">
      <c r="A90" s="15"/>
      <c r="B90" s="37" t="s">
        <v>47</v>
      </c>
      <c r="C90" s="37"/>
      <c r="D90" s="38">
        <f>D84+D89</f>
      </c>
      <c r="E90" s="38">
        <f>E84+E89</f>
      </c>
      <c r="F90" s="38">
        <f>F84+F89</f>
      </c>
      <c r="G90" s="38"/>
      <c r="H90" s="38">
        <f>H84+H89</f>
      </c>
      <c r="I90" s="38">
        <f>I84+I89</f>
      </c>
      <c r="J90" s="38">
        <f t="shared" si="219"/>
      </c>
      <c r="K90" s="39">
        <f t="shared" si="143"/>
      </c>
      <c r="L90" s="38">
        <f t="shared" si="86"/>
      </c>
      <c r="M90" s="40">
        <f t="shared" si="162"/>
      </c>
      <c r="N90" s="40">
        <f t="shared" si="48"/>
      </c>
      <c r="O90" s="38">
        <f t="shared" si="238"/>
      </c>
      <c r="P90" s="40">
        <f t="shared" si="181"/>
      </c>
      <c r="Q90" s="40">
        <f t="shared" si="105"/>
      </c>
      <c r="R90" s="38">
        <f t="shared" si="67"/>
      </c>
      <c r="S90" s="41">
        <f t="shared" si="257"/>
      </c>
      <c r="T90" s="38">
        <f t="shared" si="200"/>
      </c>
      <c r="U90" s="42">
        <f t="shared" si="124"/>
      </c>
      <c r="V90" s="42"/>
      <c r="W90" s="42"/>
      <c r="X90" s="43">
        <f>X84+X89</f>
      </c>
      <c r="Y90" s="43">
        <f>Y84+Y89</f>
      </c>
      <c r="Z90" s="43">
        <f>Z84+Z89</f>
      </c>
      <c r="AA90" s="43">
        <f>AA84+AA89</f>
      </c>
      <c r="AB90" s="43">
        <f>AB84+AB89</f>
      </c>
      <c r="AC90" s="43">
        <f>AC84+AC89</f>
      </c>
      <c r="AD90" s="43">
        <f>AD84+AD89</f>
      </c>
      <c r="AE90" s="43">
        <f>AE84+AE89</f>
      </c>
      <c r="AF90" s="7"/>
      <c r="AG90" s="7"/>
    </row>
    <row r="91">
      <c r="A91" s="1" t="s">
        <v>1</v>
      </c>
      <c r="B91" s="1"/>
      <c r="C91" s="1"/>
      <c r="D91" s="2" t="s">
        <v>2</v>
      </c>
      <c r="E91" s="2"/>
      <c r="F91" s="2"/>
      <c r="G91" s="2"/>
      <c r="H91" s="2"/>
      <c r="I91" s="2"/>
      <c r="J91" s="2"/>
      <c r="K91" s="3" t="s">
        <v>3</v>
      </c>
      <c r="L91" s="3"/>
      <c r="M91" s="3"/>
      <c r="N91" s="3"/>
      <c r="O91" s="3"/>
      <c r="P91" s="3"/>
      <c r="Q91" s="3"/>
      <c r="R91" s="3"/>
      <c r="S91" s="3"/>
      <c r="T91" s="3"/>
      <c r="U91" s="4"/>
      <c r="V91" s="4"/>
      <c r="W91" s="4"/>
      <c r="X91" s="5"/>
      <c r="Y91" s="5"/>
      <c r="Z91" s="5"/>
      <c r="AA91" s="5"/>
      <c r="AB91" s="5"/>
      <c r="AC91" s="5"/>
      <c r="AD91" s="5"/>
      <c r="AE91" s="6" t="s">
        <v>4</v>
      </c>
      <c r="AF91" s="7"/>
      <c r="AG91" s="7"/>
    </row>
    <row r="92">
      <c r="A92" s="1" t="s">
        <v>5</v>
      </c>
      <c r="B92" s="1" t="s">
        <v>6</v>
      </c>
      <c r="C92" s="1" t="s">
        <v>7</v>
      </c>
      <c r="D92" s="2" t="s">
        <v>8</v>
      </c>
      <c r="E92" s="8" t="s">
        <v>9</v>
      </c>
      <c r="F92" s="8" t="s">
        <v>10</v>
      </c>
      <c r="G92" s="8"/>
      <c r="H92" s="9" t="s">
        <v>11</v>
      </c>
      <c r="I92" s="2" t="s">
        <v>12</v>
      </c>
      <c r="J92" s="8" t="s">
        <v>13</v>
      </c>
      <c r="K92" s="3" t="s">
        <v>14</v>
      </c>
      <c r="L92" s="10" t="s">
        <v>15</v>
      </c>
      <c r="M92" s="11" t="s">
        <v>16</v>
      </c>
      <c r="N92" s="11" t="s">
        <v>17</v>
      </c>
      <c r="O92" s="10" t="s">
        <v>18</v>
      </c>
      <c r="P92" s="11" t="s">
        <v>19</v>
      </c>
      <c r="Q92" s="11" t="s">
        <v>20</v>
      </c>
      <c r="R92" s="10" t="s">
        <v>21</v>
      </c>
      <c r="S92" s="11" t="s">
        <v>22</v>
      </c>
      <c r="T92" s="10" t="s">
        <v>23</v>
      </c>
      <c r="U92" s="12" t="s">
        <v>24</v>
      </c>
      <c r="V92" s="12" t="s">
        <v>25</v>
      </c>
      <c r="W92" s="12" t="s">
        <v>26</v>
      </c>
      <c r="X92" s="13" t="s">
        <v>27</v>
      </c>
      <c r="Y92" s="14" t="s">
        <v>28</v>
      </c>
      <c r="Z92" s="14" t="s">
        <v>29</v>
      </c>
      <c r="AA92" s="14" t="s">
        <v>30</v>
      </c>
      <c r="AB92" s="14" t="s">
        <v>31</v>
      </c>
      <c r="AC92" s="14" t="s">
        <v>32</v>
      </c>
      <c r="AD92" s="14" t="s">
        <v>33</v>
      </c>
      <c r="AE92" s="6"/>
      <c r="AF92" s="7"/>
      <c r="AG92" s="7"/>
    </row>
    <row r="93">
      <c r="A93" s="15">
        <v>46303</v>
      </c>
      <c r="B93" s="16" t="s">
        <v>34</v>
      </c>
      <c r="C93" s="17" t="s">
        <v>49</v>
      </c>
      <c r="D93" s="18">
        <f t="shared" ref="D93:D96" si="40">E93+F93</f>
      </c>
      <c r="E93" s="18">
        <v>1014.73</v>
      </c>
      <c r="F93" s="18">
        <v>377.28</v>
      </c>
      <c r="G93" s="18"/>
      <c r="H93" s="19">
        <v>1</v>
      </c>
      <c r="I93" s="17">
        <v>362.04</v>
      </c>
      <c r="J93" s="20">
        <f t="shared" ref="J93:J103" si="220">I93/D93</f>
      </c>
      <c r="K93" s="21">
        <f t="shared" ref="K93:K103" si="144">Z93/Y93</f>
      </c>
      <c r="L93" s="22">
        <f t="shared" ref="L93:L103" si="87">D93/AA93</f>
      </c>
      <c r="M93" s="23">
        <f t="shared" ref="M93:M103" si="163">AB93/AA93</f>
      </c>
      <c r="N93" s="23">
        <f t="shared" ref="N93:N103" si="49">AC93/AA93</f>
      </c>
      <c r="O93" s="22">
        <f t="shared" ref="O93:O103" si="239">D93/AC93</f>
      </c>
      <c r="P93" s="23">
        <f t="shared" ref="P93:P103" si="182">AD93/AC93</f>
      </c>
      <c r="Q93" s="23">
        <f t="shared" ref="Q93:Q103" si="106">H93/AD93</f>
      </c>
      <c r="R93" s="22">
        <f t="shared" ref="R93:R103" si="68">D93/H93</f>
      </c>
      <c r="S93" s="24">
        <f t="shared" ref="S93:S103" si="258">I93/H93</f>
      </c>
      <c r="T93" s="22">
        <f t="shared" ref="T93:T103" si="201">D93/X93</f>
      </c>
      <c r="U93" s="25">
        <f t="shared" ref="U93:U103" si="125">AE93*1000/D93</f>
      </c>
      <c r="V93" s="26" t="s">
        <v>36</v>
      </c>
      <c r="W93" s="26" t="s">
        <v>37</v>
      </c>
      <c r="X93" s="27">
        <v>1</v>
      </c>
      <c r="Y93" s="27">
        <v>3602</v>
      </c>
      <c r="Z93" s="27">
        <v>306</v>
      </c>
      <c r="AA93" s="27">
        <v>492</v>
      </c>
      <c r="AB93" s="27">
        <v>142</v>
      </c>
      <c r="AC93" s="27">
        <v>3</v>
      </c>
      <c r="AD93" s="28">
        <v>1</v>
      </c>
      <c r="AE93" s="28">
        <v>13</v>
      </c>
      <c r="AF93" s="7"/>
      <c r="AG93" s="7"/>
    </row>
    <row r="94">
      <c r="A94" s="15"/>
      <c r="B94" s="29" t="s">
        <v>38</v>
      </c>
      <c r="C94" s="17" t="s">
        <v>49</v>
      </c>
      <c r="D94" s="18">
        <f t="shared" si="40"/>
      </c>
      <c r="E94" s="18">
        <v>776.65</v>
      </c>
      <c r="F94" s="18">
        <v>190.98</v>
      </c>
      <c r="G94" s="18"/>
      <c r="H94" s="19">
        <v>1</v>
      </c>
      <c r="I94" s="17">
        <v>1765.92</v>
      </c>
      <c r="J94" s="20">
        <f t="shared" si="220"/>
      </c>
      <c r="K94" s="21">
        <f t="shared" si="144"/>
      </c>
      <c r="L94" s="22">
        <f t="shared" si="87"/>
      </c>
      <c r="M94" s="23">
        <f t="shared" si="163"/>
      </c>
      <c r="N94" s="23">
        <f t="shared" si="49"/>
      </c>
      <c r="O94" s="22">
        <f t="shared" si="239"/>
      </c>
      <c r="P94" s="23">
        <f t="shared" si="182"/>
      </c>
      <c r="Q94" s="23">
        <f t="shared" si="106"/>
      </c>
      <c r="R94" s="22">
        <f t="shared" si="68"/>
      </c>
      <c r="S94" s="24">
        <f t="shared" si="258"/>
      </c>
      <c r="T94" s="22">
        <f t="shared" si="201"/>
      </c>
      <c r="U94" s="25">
        <f t="shared" si="125"/>
      </c>
      <c r="V94" s="26" t="s">
        <v>36</v>
      </c>
      <c r="W94" s="26" t="s">
        <v>37</v>
      </c>
      <c r="X94" s="27">
        <v>1</v>
      </c>
      <c r="Y94" s="27">
        <v>2861</v>
      </c>
      <c r="Z94" s="27">
        <v>199</v>
      </c>
      <c r="AA94" s="27">
        <v>345</v>
      </c>
      <c r="AB94" s="27">
        <v>88</v>
      </c>
      <c r="AC94" s="27">
        <v>8</v>
      </c>
      <c r="AD94" s="28">
        <v>1</v>
      </c>
      <c r="AE94" s="28">
        <v>9</v>
      </c>
      <c r="AF94" s="7"/>
      <c r="AG94" s="7"/>
    </row>
    <row r="95">
      <c r="A95" s="15"/>
      <c r="B95" s="29" t="s">
        <v>39</v>
      </c>
      <c r="C95" s="17" t="s">
        <v>49</v>
      </c>
      <c r="D95" s="18">
        <f t="shared" si="40"/>
      </c>
      <c r="E95" s="18">
        <v>2014.58</v>
      </c>
      <c r="F95" s="18">
        <v>197.76</v>
      </c>
      <c r="G95" s="18"/>
      <c r="H95" s="19">
        <v>1</v>
      </c>
      <c r="I95" s="17">
        <v>1396.3199999999997</v>
      </c>
      <c r="J95" s="20">
        <f t="shared" si="220"/>
      </c>
      <c r="K95" s="21">
        <f t="shared" si="144"/>
      </c>
      <c r="L95" s="22">
        <f t="shared" si="87"/>
      </c>
      <c r="M95" s="23">
        <f t="shared" si="163"/>
      </c>
      <c r="N95" s="23">
        <f t="shared" si="49"/>
      </c>
      <c r="O95" s="22">
        <f t="shared" si="239"/>
      </c>
      <c r="P95" s="23">
        <f t="shared" si="182"/>
      </c>
      <c r="Q95" s="23">
        <f t="shared" si="106"/>
      </c>
      <c r="R95" s="22">
        <f t="shared" si="68"/>
      </c>
      <c r="S95" s="24">
        <f t="shared" si="258"/>
      </c>
      <c r="T95" s="22">
        <f t="shared" si="201"/>
      </c>
      <c r="U95" s="25">
        <f t="shared" si="125"/>
      </c>
      <c r="V95" s="26" t="s">
        <v>36</v>
      </c>
      <c r="W95" s="26" t="s">
        <v>37</v>
      </c>
      <c r="X95" s="27">
        <v>1</v>
      </c>
      <c r="Y95" s="27">
        <v>7293</v>
      </c>
      <c r="Z95" s="27">
        <v>370</v>
      </c>
      <c r="AA95" s="27">
        <v>508</v>
      </c>
      <c r="AB95" s="27">
        <v>127</v>
      </c>
      <c r="AC95" s="27">
        <v>20</v>
      </c>
      <c r="AD95" s="28">
        <v>1</v>
      </c>
      <c r="AE95" s="28">
        <v>15</v>
      </c>
      <c r="AF95" s="7"/>
      <c r="AG95" s="7"/>
    </row>
    <row r="96">
      <c r="A96" s="15"/>
      <c r="B96" s="29" t="s">
        <v>40</v>
      </c>
      <c r="C96" s="17" t="s">
        <v>49</v>
      </c>
      <c r="D96" s="18">
        <f t="shared" si="40"/>
      </c>
      <c r="E96" s="18">
        <v>2181.59</v>
      </c>
      <c r="F96" s="18">
        <v>303.77</v>
      </c>
      <c r="G96" s="18"/>
      <c r="H96" s="19">
        <v>4</v>
      </c>
      <c r="I96" s="17">
        <v>9821.400000000001</v>
      </c>
      <c r="J96" s="20">
        <f t="shared" si="220"/>
      </c>
      <c r="K96" s="21">
        <f t="shared" si="144"/>
      </c>
      <c r="L96" s="22">
        <f t="shared" si="87"/>
      </c>
      <c r="M96" s="23">
        <f t="shared" si="163"/>
      </c>
      <c r="N96" s="23">
        <f t="shared" si="49"/>
      </c>
      <c r="O96" s="22">
        <f t="shared" si="239"/>
      </c>
      <c r="P96" s="23">
        <f t="shared" si="182"/>
      </c>
      <c r="Q96" s="23">
        <f t="shared" si="106"/>
      </c>
      <c r="R96" s="22">
        <f t="shared" si="68"/>
      </c>
      <c r="S96" s="24">
        <f t="shared" si="258"/>
      </c>
      <c r="T96" s="22">
        <f t="shared" si="201"/>
      </c>
      <c r="U96" s="25">
        <f t="shared" si="125"/>
      </c>
      <c r="V96" s="26" t="s">
        <v>36</v>
      </c>
      <c r="W96" s="26" t="s">
        <v>37</v>
      </c>
      <c r="X96" s="27">
        <v>3</v>
      </c>
      <c r="Y96" s="27">
        <v>9311</v>
      </c>
      <c r="Z96" s="27">
        <v>534</v>
      </c>
      <c r="AA96" s="27">
        <v>739</v>
      </c>
      <c r="AB96" s="27">
        <v>217</v>
      </c>
      <c r="AC96" s="27">
        <v>19</v>
      </c>
      <c r="AD96" s="28">
        <v>5</v>
      </c>
      <c r="AE96" s="28">
        <v>19</v>
      </c>
      <c r="AF96" s="7"/>
      <c r="AG96" s="7"/>
    </row>
    <row r="97">
      <c r="A97" s="15"/>
      <c r="B97" s="30" t="s">
        <v>41</v>
      </c>
      <c r="C97" s="30"/>
      <c r="D97" s="30">
        <f>SUM(D93:D96)</f>
      </c>
      <c r="E97" s="30">
        <f>SUM(E93:E96)</f>
      </c>
      <c r="F97" s="30">
        <f>SUM(F93:F96)</f>
      </c>
      <c r="G97" s="30"/>
      <c r="H97" s="30">
        <f>SUM(H93:H96)</f>
      </c>
      <c r="I97" s="30">
        <f>SUM(I93:I96)</f>
      </c>
      <c r="J97" s="31">
        <f t="shared" si="220"/>
      </c>
      <c r="K97" s="32">
        <f t="shared" si="144"/>
      </c>
      <c r="L97" s="33">
        <f t="shared" si="87"/>
      </c>
      <c r="M97" s="34">
        <f t="shared" si="163"/>
      </c>
      <c r="N97" s="34">
        <f t="shared" si="49"/>
      </c>
      <c r="O97" s="33">
        <f t="shared" si="239"/>
      </c>
      <c r="P97" s="34">
        <f t="shared" si="182"/>
      </c>
      <c r="Q97" s="34">
        <f t="shared" si="106"/>
      </c>
      <c r="R97" s="33">
        <f t="shared" si="68"/>
      </c>
      <c r="S97" s="35">
        <f t="shared" si="258"/>
      </c>
      <c r="T97" s="33">
        <f t="shared" si="201"/>
      </c>
      <c r="U97" s="36">
        <f t="shared" si="125"/>
      </c>
      <c r="V97" s="36"/>
      <c r="W97" s="36"/>
      <c r="X97" s="30">
        <f>SUM(X93:X96)</f>
      </c>
      <c r="Y97" s="30">
        <f>SUM(Y93:Y96)</f>
      </c>
      <c r="Z97" s="30">
        <f>SUM(Z93:Z96)</f>
      </c>
      <c r="AA97" s="30">
        <f>SUM(AA93:AA96)</f>
      </c>
      <c r="AB97" s="30">
        <f>SUM(AB93:AB96)</f>
      </c>
      <c r="AC97" s="30">
        <f>SUM(AC93:AC96)</f>
      </c>
      <c r="AD97" s="30">
        <f>SUM(AD93:AD96)</f>
      </c>
      <c r="AE97" s="30">
        <f>SUM(AE93:AE96)</f>
      </c>
      <c r="AF97" s="7"/>
      <c r="AG97" s="7"/>
    </row>
    <row r="98">
      <c r="A98" s="15"/>
      <c r="B98" s="17" t="s">
        <v>42</v>
      </c>
      <c r="C98" s="17" t="s">
        <v>43</v>
      </c>
      <c r="D98" s="18">
        <f t="shared" ref="D98:D101" si="41">E98+F98</f>
      </c>
      <c r="E98" s="18">
        <v>60.699999999999996</v>
      </c>
      <c r="F98" s="18">
        <v>392.15000000000003</v>
      </c>
      <c r="G98" s="18"/>
      <c r="H98" s="19">
        <v>1</v>
      </c>
      <c r="I98" s="17">
        <v>4185.5999999999985</v>
      </c>
      <c r="J98" s="20">
        <f t="shared" si="220"/>
      </c>
      <c r="K98" s="21">
        <f t="shared" si="144"/>
      </c>
      <c r="L98" s="22">
        <f t="shared" si="87"/>
      </c>
      <c r="M98" s="23">
        <f t="shared" si="163"/>
      </c>
      <c r="N98" s="23">
        <f t="shared" si="49"/>
      </c>
      <c r="O98" s="22">
        <f t="shared" si="239"/>
      </c>
      <c r="P98" s="23">
        <f t="shared" si="182"/>
      </c>
      <c r="Q98" s="23">
        <f t="shared" si="106"/>
      </c>
      <c r="R98" s="22">
        <f t="shared" si="68"/>
      </c>
      <c r="S98" s="24">
        <f t="shared" si="258"/>
      </c>
      <c r="T98" s="22">
        <f t="shared" si="201"/>
      </c>
      <c r="U98" s="25">
        <f t="shared" si="125"/>
      </c>
      <c r="V98" s="44" t="s">
        <v>36</v>
      </c>
      <c r="W98" s="26" t="s">
        <v>37</v>
      </c>
      <c r="X98" s="27">
        <v>1</v>
      </c>
      <c r="Y98" s="27">
        <v>1375</v>
      </c>
      <c r="Z98" s="27">
        <v>269</v>
      </c>
      <c r="AA98" s="27">
        <v>443</v>
      </c>
      <c r="AB98" s="27">
        <v>131</v>
      </c>
      <c r="AC98" s="27">
        <v>4</v>
      </c>
      <c r="AD98" s="28">
        <v>2</v>
      </c>
      <c r="AE98" s="28">
        <v>10</v>
      </c>
      <c r="AF98" s="7"/>
      <c r="AG98" s="7"/>
    </row>
    <row r="99">
      <c r="A99" s="15"/>
      <c r="B99" s="18" t="s">
        <v>44</v>
      </c>
      <c r="C99" s="17" t="s">
        <v>43</v>
      </c>
      <c r="D99" s="18">
        <f t="shared" si="41"/>
      </c>
      <c r="E99" s="18">
        <v>1788.09</v>
      </c>
      <c r="F99" s="18">
        <v>312.91</v>
      </c>
      <c r="G99" s="18"/>
      <c r="H99" s="19">
        <v>0</v>
      </c>
      <c r="I99" s="17">
        <v>0</v>
      </c>
      <c r="J99" s="20">
        <f t="shared" si="220"/>
      </c>
      <c r="K99" s="21">
        <f t="shared" si="144"/>
      </c>
      <c r="L99" s="22">
        <f t="shared" si="87"/>
      </c>
      <c r="M99" s="23">
        <f t="shared" si="163"/>
      </c>
      <c r="N99" s="23">
        <f t="shared" si="49"/>
      </c>
      <c r="O99" s="22">
        <f t="shared" si="239"/>
      </c>
      <c r="P99" s="23">
        <f t="shared" si="182"/>
      </c>
      <c r="Q99" s="23">
        <f t="shared" si="106"/>
      </c>
      <c r="R99" s="22">
        <f t="shared" si="68"/>
      </c>
      <c r="S99" s="24">
        <f t="shared" si="258"/>
      </c>
      <c r="T99" s="22">
        <f t="shared" si="201"/>
      </c>
      <c r="U99" s="25">
        <f t="shared" si="125"/>
      </c>
      <c r="V99" s="44" t="s">
        <v>36</v>
      </c>
      <c r="W99" s="26" t="s">
        <v>37</v>
      </c>
      <c r="X99" s="27">
        <v>0</v>
      </c>
      <c r="Y99" s="27">
        <v>6235</v>
      </c>
      <c r="Z99" s="27">
        <v>377</v>
      </c>
      <c r="AA99" s="27">
        <v>601</v>
      </c>
      <c r="AB99" s="27">
        <v>165</v>
      </c>
      <c r="AC99" s="27">
        <v>23</v>
      </c>
      <c r="AD99" s="28">
        <v>0</v>
      </c>
      <c r="AE99" s="28">
        <v>15</v>
      </c>
      <c r="AF99" s="7"/>
      <c r="AG99" s="7"/>
    </row>
    <row r="100">
      <c r="A100" s="15"/>
      <c r="B100" s="18" t="s">
        <v>45</v>
      </c>
      <c r="C100" s="17" t="s">
        <v>43</v>
      </c>
      <c r="D100" s="18">
        <f t="shared" si="41"/>
      </c>
      <c r="E100" s="18">
        <v>2887.3</v>
      </c>
      <c r="F100" s="18">
        <v>268.09</v>
      </c>
      <c r="G100" s="18"/>
      <c r="H100" s="19">
        <v>2</v>
      </c>
      <c r="I100" s="17">
        <v>4495.800000000003</v>
      </c>
      <c r="J100" s="20">
        <f t="shared" si="220"/>
      </c>
      <c r="K100" s="21">
        <f t="shared" si="144"/>
      </c>
      <c r="L100" s="22">
        <f t="shared" si="87"/>
      </c>
      <c r="M100" s="23">
        <f t="shared" si="163"/>
      </c>
      <c r="N100" s="23">
        <f t="shared" si="49"/>
      </c>
      <c r="O100" s="22">
        <f t="shared" si="239"/>
      </c>
      <c r="P100" s="23">
        <f t="shared" si="182"/>
      </c>
      <c r="Q100" s="23">
        <f t="shared" si="106"/>
      </c>
      <c r="R100" s="22">
        <f t="shared" si="68"/>
      </c>
      <c r="S100" s="24">
        <f t="shared" si="258"/>
      </c>
      <c r="T100" s="22">
        <f t="shared" si="201"/>
      </c>
      <c r="U100" s="25">
        <f t="shared" si="125"/>
      </c>
      <c r="V100" s="44" t="s">
        <v>36</v>
      </c>
      <c r="W100" s="26" t="s">
        <v>37</v>
      </c>
      <c r="X100" s="27">
        <v>2</v>
      </c>
      <c r="Y100" s="27">
        <v>10721</v>
      </c>
      <c r="Z100" s="27">
        <v>465</v>
      </c>
      <c r="AA100" s="27">
        <v>751</v>
      </c>
      <c r="AB100" s="27">
        <v>156</v>
      </c>
      <c r="AC100" s="27">
        <v>44</v>
      </c>
      <c r="AD100" s="28">
        <v>2</v>
      </c>
      <c r="AE100" s="28">
        <v>24</v>
      </c>
      <c r="AF100" s="7"/>
      <c r="AG100" s="7"/>
    </row>
    <row r="101">
      <c r="A101" s="15"/>
      <c r="B101" s="18" t="s">
        <v>46</v>
      </c>
      <c r="C101" s="17" t="s">
        <v>43</v>
      </c>
      <c r="D101" s="18">
        <f t="shared" si="41"/>
      </c>
      <c r="E101" s="18">
        <v>1853.22</v>
      </c>
      <c r="F101" s="18">
        <v>248.58</v>
      </c>
      <c r="G101" s="18"/>
      <c r="H101" s="19">
        <v>1</v>
      </c>
      <c r="I101" s="17">
        <v>927.7200000000012</v>
      </c>
      <c r="J101" s="20">
        <f t="shared" si="220"/>
      </c>
      <c r="K101" s="21">
        <f t="shared" si="144"/>
      </c>
      <c r="L101" s="22">
        <f t="shared" si="87"/>
      </c>
      <c r="M101" s="23">
        <f t="shared" si="163"/>
      </c>
      <c r="N101" s="23">
        <f t="shared" si="49"/>
      </c>
      <c r="O101" s="22">
        <f t="shared" si="239"/>
      </c>
      <c r="P101" s="23">
        <f t="shared" si="182"/>
      </c>
      <c r="Q101" s="23">
        <f t="shared" si="106"/>
      </c>
      <c r="R101" s="22">
        <f t="shared" si="68"/>
      </c>
      <c r="S101" s="24">
        <f t="shared" si="258"/>
      </c>
      <c r="T101" s="22">
        <f t="shared" si="201"/>
      </c>
      <c r="U101" s="25">
        <f t="shared" si="125"/>
      </c>
      <c r="V101" s="44" t="s">
        <v>36</v>
      </c>
      <c r="W101" s="26" t="s">
        <v>37</v>
      </c>
      <c r="X101" s="27">
        <v>0</v>
      </c>
      <c r="Y101" s="27">
        <v>8193</v>
      </c>
      <c r="Z101" s="27">
        <v>249</v>
      </c>
      <c r="AA101" s="27">
        <v>373</v>
      </c>
      <c r="AB101" s="27">
        <v>95</v>
      </c>
      <c r="AC101" s="27">
        <v>34</v>
      </c>
      <c r="AD101" s="28">
        <v>2</v>
      </c>
      <c r="AE101" s="28">
        <v>18</v>
      </c>
      <c r="AF101" s="7"/>
      <c r="AG101" s="7"/>
    </row>
    <row r="102">
      <c r="A102" s="15"/>
      <c r="B102" s="30" t="s">
        <v>41</v>
      </c>
      <c r="C102" s="30"/>
      <c r="D102" s="30">
        <f>SUM(D98:D101)</f>
      </c>
      <c r="E102" s="30">
        <f>SUM(E98:E101)</f>
      </c>
      <c r="F102" s="30">
        <f>SUM(F98:F101)</f>
      </c>
      <c r="G102" s="30"/>
      <c r="H102" s="30">
        <f>SUM(H98:H101)</f>
      </c>
      <c r="I102" s="30">
        <f>SUM(I98:I101)</f>
      </c>
      <c r="J102" s="31">
        <f t="shared" si="220"/>
      </c>
      <c r="K102" s="32">
        <f t="shared" si="144"/>
      </c>
      <c r="L102" s="33">
        <f t="shared" si="87"/>
      </c>
      <c r="M102" s="34">
        <f t="shared" si="163"/>
      </c>
      <c r="N102" s="34">
        <f t="shared" si="49"/>
      </c>
      <c r="O102" s="33">
        <f t="shared" si="239"/>
      </c>
      <c r="P102" s="34">
        <f t="shared" si="182"/>
      </c>
      <c r="Q102" s="34">
        <f t="shared" si="106"/>
      </c>
      <c r="R102" s="33">
        <f t="shared" si="68"/>
      </c>
      <c r="S102" s="35">
        <f t="shared" si="258"/>
      </c>
      <c r="T102" s="33">
        <f t="shared" si="201"/>
      </c>
      <c r="U102" s="36">
        <f t="shared" si="125"/>
      </c>
      <c r="V102" s="36"/>
      <c r="W102" s="36"/>
      <c r="X102" s="30">
        <f>SUM(X98:X101)</f>
      </c>
      <c r="Y102" s="30">
        <f>SUM(Y98:Y101)</f>
      </c>
      <c r="Z102" s="30">
        <f>SUM(Z98:Z101)</f>
      </c>
      <c r="AA102" s="30">
        <f>SUM(AA98:AA101)</f>
      </c>
      <c r="AB102" s="30">
        <f>SUM(AB98:AB101)</f>
      </c>
      <c r="AC102" s="30">
        <f>SUM(AC98:AC101)</f>
      </c>
      <c r="AD102" s="30">
        <f>SUM(AD98:AD101)</f>
      </c>
      <c r="AE102" s="30">
        <f>SUM(AE98:AE101)</f>
      </c>
      <c r="AF102" s="7"/>
      <c r="AG102" s="7"/>
    </row>
    <row r="103">
      <c r="A103" s="15"/>
      <c r="B103" s="37" t="s">
        <v>47</v>
      </c>
      <c r="C103" s="37"/>
      <c r="D103" s="38">
        <f>D97+D102</f>
      </c>
      <c r="E103" s="38">
        <f>E97+E102</f>
      </c>
      <c r="F103" s="38">
        <f>F97+F102</f>
      </c>
      <c r="G103" s="38"/>
      <c r="H103" s="38">
        <f>H97+H102</f>
      </c>
      <c r="I103" s="38">
        <f>I97+I102</f>
      </c>
      <c r="J103" s="38">
        <f t="shared" si="220"/>
      </c>
      <c r="K103" s="39">
        <f t="shared" si="144"/>
      </c>
      <c r="L103" s="38">
        <f t="shared" si="87"/>
      </c>
      <c r="M103" s="40">
        <f t="shared" si="163"/>
      </c>
      <c r="N103" s="40">
        <f t="shared" si="49"/>
      </c>
      <c r="O103" s="38">
        <f t="shared" si="239"/>
      </c>
      <c r="P103" s="40">
        <f t="shared" si="182"/>
      </c>
      <c r="Q103" s="40">
        <f t="shared" si="106"/>
      </c>
      <c r="R103" s="38">
        <f t="shared" si="68"/>
      </c>
      <c r="S103" s="41">
        <f t="shared" si="258"/>
      </c>
      <c r="T103" s="38">
        <f t="shared" si="201"/>
      </c>
      <c r="U103" s="42">
        <f t="shared" si="125"/>
      </c>
      <c r="V103" s="42"/>
      <c r="W103" s="42"/>
      <c r="X103" s="43">
        <f>X97+X102</f>
      </c>
      <c r="Y103" s="43">
        <f>Y97+Y102</f>
      </c>
      <c r="Z103" s="43">
        <f>Z97+Z102</f>
      </c>
      <c r="AA103" s="43">
        <f>AA97+AA102</f>
      </c>
      <c r="AB103" s="43">
        <f>AB97+AB102</f>
      </c>
      <c r="AC103" s="43">
        <f>AC97+AC102</f>
      </c>
      <c r="AD103" s="43">
        <f>AD97+AD102</f>
      </c>
      <c r="AE103" s="43">
        <f>AE97+AE102</f>
      </c>
      <c r="AF103" s="7"/>
      <c r="AG103" s="7"/>
    </row>
    <row r="104">
      <c r="A104" s="1" t="s">
        <v>1</v>
      </c>
      <c r="B104" s="1"/>
      <c r="C104" s="1"/>
      <c r="D104" s="2" t="s">
        <v>2</v>
      </c>
      <c r="E104" s="2"/>
      <c r="F104" s="2"/>
      <c r="G104" s="2"/>
      <c r="H104" s="2"/>
      <c r="I104" s="2"/>
      <c r="J104" s="2"/>
      <c r="K104" s="3" t="s">
        <v>3</v>
      </c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4"/>
      <c r="W104" s="4"/>
      <c r="X104" s="5"/>
      <c r="Y104" s="5"/>
      <c r="Z104" s="5"/>
      <c r="AA104" s="5"/>
      <c r="AB104" s="5"/>
      <c r="AC104" s="5"/>
      <c r="AD104" s="5"/>
      <c r="AE104" s="6" t="s">
        <v>4</v>
      </c>
      <c r="AF104" s="7"/>
      <c r="AG104" s="7"/>
    </row>
    <row r="105">
      <c r="A105" s="1" t="s">
        <v>5</v>
      </c>
      <c r="B105" s="1" t="s">
        <v>6</v>
      </c>
      <c r="C105" s="1" t="s">
        <v>7</v>
      </c>
      <c r="D105" s="2" t="s">
        <v>8</v>
      </c>
      <c r="E105" s="8" t="s">
        <v>9</v>
      </c>
      <c r="F105" s="8" t="s">
        <v>10</v>
      </c>
      <c r="G105" s="8" t="s">
        <v>50</v>
      </c>
      <c r="H105" s="9" t="s">
        <v>11</v>
      </c>
      <c r="I105" s="2" t="s">
        <v>12</v>
      </c>
      <c r="J105" s="8" t="s">
        <v>13</v>
      </c>
      <c r="K105" s="3" t="s">
        <v>14</v>
      </c>
      <c r="L105" s="10" t="s">
        <v>15</v>
      </c>
      <c r="M105" s="11" t="s">
        <v>16</v>
      </c>
      <c r="N105" s="11" t="s">
        <v>17</v>
      </c>
      <c r="O105" s="10" t="s">
        <v>18</v>
      </c>
      <c r="P105" s="11" t="s">
        <v>19</v>
      </c>
      <c r="Q105" s="11" t="s">
        <v>20</v>
      </c>
      <c r="R105" s="10" t="s">
        <v>21</v>
      </c>
      <c r="S105" s="11" t="s">
        <v>22</v>
      </c>
      <c r="T105" s="10" t="s">
        <v>23</v>
      </c>
      <c r="U105" s="12" t="s">
        <v>24</v>
      </c>
      <c r="V105" s="12" t="s">
        <v>25</v>
      </c>
      <c r="W105" s="12" t="s">
        <v>26</v>
      </c>
      <c r="X105" s="13" t="s">
        <v>27</v>
      </c>
      <c r="Y105" s="14" t="s">
        <v>28</v>
      </c>
      <c r="Z105" s="14" t="s">
        <v>29</v>
      </c>
      <c r="AA105" s="14" t="s">
        <v>30</v>
      </c>
      <c r="AB105" s="14" t="s">
        <v>31</v>
      </c>
      <c r="AC105" s="14" t="s">
        <v>32</v>
      </c>
      <c r="AD105" s="14" t="s">
        <v>33</v>
      </c>
      <c r="AE105" s="6"/>
      <c r="AF105" s="7"/>
      <c r="AG105" s="7"/>
    </row>
    <row r="106">
      <c r="A106" s="15">
        <v>46304</v>
      </c>
      <c r="B106" s="16" t="s">
        <v>34</v>
      </c>
      <c r="C106" s="17" t="s">
        <v>49</v>
      </c>
      <c r="D106" s="18">
        <f t="shared" ref="D106:D109" si="0">E106+F106+G106</f>
      </c>
      <c r="E106" s="18">
        <v>2060.86</v>
      </c>
      <c r="F106" s="18">
        <v>569.4</v>
      </c>
      <c r="G106" s="17">
        <v>49.76</v>
      </c>
      <c r="H106" s="19">
        <v>0</v>
      </c>
      <c r="I106" s="17">
        <v>0</v>
      </c>
      <c r="J106" s="20">
        <f t="shared" ref="J106:J116" si="221">I106/D106</f>
      </c>
      <c r="K106" s="21">
        <f t="shared" ref="K106:K116" si="145">Z106/Y106</f>
      </c>
      <c r="L106" s="22">
        <f t="shared" ref="L106:L116" si="88">D106/AA106</f>
      </c>
      <c r="M106" s="23">
        <f t="shared" ref="M106:M116" si="164">AB106/AA106</f>
      </c>
      <c r="N106" s="23">
        <f t="shared" ref="N106:N116" si="50">AC106/AA106</f>
      </c>
      <c r="O106" s="22">
        <f t="shared" ref="O106:O116" si="240">D106/AC106</f>
      </c>
      <c r="P106" s="23">
        <f t="shared" ref="P106:P116" si="183">AD106/AC106</f>
      </c>
      <c r="Q106" s="23">
        <f t="shared" ref="Q106:Q116" si="107">H106/AD106</f>
      </c>
      <c r="R106" s="22">
        <f t="shared" ref="R106:R116" si="69">D106/H106</f>
      </c>
      <c r="S106" s="24">
        <f t="shared" ref="S106:S116" si="259">I106/H106</f>
      </c>
      <c r="T106" s="22">
        <f t="shared" ref="T106:T116" si="202">D106/X106</f>
      </c>
      <c r="U106" s="25">
        <f t="shared" ref="U106:U116" si="126">AE106*1000/D106</f>
      </c>
      <c r="V106" s="26" t="s">
        <v>36</v>
      </c>
      <c r="W106" s="26" t="s">
        <v>37</v>
      </c>
      <c r="X106" s="27">
        <v>0</v>
      </c>
      <c r="Y106" s="27">
        <v>7929</v>
      </c>
      <c r="Z106" s="27">
        <v>574</v>
      </c>
      <c r="AA106" s="27">
        <v>857</v>
      </c>
      <c r="AB106" s="27">
        <v>225</v>
      </c>
      <c r="AC106" s="27">
        <v>19</v>
      </c>
      <c r="AD106" s="28">
        <v>1</v>
      </c>
      <c r="AE106" s="28">
        <v>14</v>
      </c>
      <c r="AF106" s="7"/>
      <c r="AG106" s="7"/>
    </row>
    <row r="107">
      <c r="A107" s="15"/>
      <c r="B107" s="29" t="s">
        <v>38</v>
      </c>
      <c r="C107" s="17" t="s">
        <v>49</v>
      </c>
      <c r="D107" s="18">
        <f t="shared" si="0"/>
      </c>
      <c r="E107" s="18">
        <v>1252.5</v>
      </c>
      <c r="F107" s="18">
        <v>436.61</v>
      </c>
      <c r="G107" s="17">
        <v>115.7</v>
      </c>
      <c r="H107" s="19">
        <v>2</v>
      </c>
      <c r="I107" s="17">
        <v>4773.84</v>
      </c>
      <c r="J107" s="20">
        <f t="shared" si="221"/>
      </c>
      <c r="K107" s="21">
        <f t="shared" si="145"/>
      </c>
      <c r="L107" s="22">
        <f t="shared" si="88"/>
      </c>
      <c r="M107" s="23">
        <f t="shared" si="164"/>
      </c>
      <c r="N107" s="23">
        <f t="shared" si="50"/>
      </c>
      <c r="O107" s="22">
        <f t="shared" si="240"/>
      </c>
      <c r="P107" s="23">
        <f t="shared" si="183"/>
      </c>
      <c r="Q107" s="23">
        <f t="shared" si="107"/>
      </c>
      <c r="R107" s="22">
        <f t="shared" si="69"/>
      </c>
      <c r="S107" s="24">
        <f t="shared" si="259"/>
      </c>
      <c r="T107" s="22">
        <f t="shared" si="202"/>
      </c>
      <c r="U107" s="25">
        <f t="shared" si="126"/>
      </c>
      <c r="V107" s="26" t="s">
        <v>36</v>
      </c>
      <c r="W107" s="26" t="s">
        <v>37</v>
      </c>
      <c r="X107" s="27">
        <v>2</v>
      </c>
      <c r="Y107" s="27">
        <v>5981</v>
      </c>
      <c r="Z107" s="27">
        <v>278</v>
      </c>
      <c r="AA107" s="27">
        <v>451</v>
      </c>
      <c r="AB107" s="27">
        <v>121</v>
      </c>
      <c r="AC107" s="27">
        <v>26</v>
      </c>
      <c r="AD107" s="28">
        <v>3</v>
      </c>
      <c r="AE107" s="28">
        <v>24</v>
      </c>
      <c r="AF107" s="7"/>
      <c r="AG107" s="7"/>
    </row>
    <row r="108">
      <c r="A108" s="15"/>
      <c r="B108" s="29" t="s">
        <v>39</v>
      </c>
      <c r="C108" s="17" t="s">
        <v>49</v>
      </c>
      <c r="D108" s="18">
        <f t="shared" si="0"/>
      </c>
      <c r="E108" s="18">
        <v>2126.58</v>
      </c>
      <c r="F108" s="18">
        <v>796.64</v>
      </c>
      <c r="G108" s="17">
        <v>137.81</v>
      </c>
      <c r="H108" s="19">
        <v>1</v>
      </c>
      <c r="I108" s="17">
        <v>1121.88</v>
      </c>
      <c r="J108" s="20">
        <f t="shared" si="221"/>
      </c>
      <c r="K108" s="21">
        <f t="shared" si="145"/>
      </c>
      <c r="L108" s="22">
        <f t="shared" si="88"/>
      </c>
      <c r="M108" s="23">
        <f t="shared" si="164"/>
      </c>
      <c r="N108" s="23">
        <f t="shared" si="50"/>
      </c>
      <c r="O108" s="22">
        <f t="shared" si="240"/>
      </c>
      <c r="P108" s="23">
        <f t="shared" si="183"/>
      </c>
      <c r="Q108" s="23">
        <f t="shared" si="107"/>
      </c>
      <c r="R108" s="22">
        <f t="shared" si="69"/>
      </c>
      <c r="S108" s="24">
        <f t="shared" si="259"/>
      </c>
      <c r="T108" s="22">
        <f t="shared" si="202"/>
      </c>
      <c r="U108" s="25">
        <f t="shared" si="126"/>
      </c>
      <c r="V108" s="26" t="s">
        <v>36</v>
      </c>
      <c r="W108" s="26" t="s">
        <v>37</v>
      </c>
      <c r="X108" s="28">
        <v>1</v>
      </c>
      <c r="Y108" s="27">
        <v>12856</v>
      </c>
      <c r="Z108" s="27">
        <v>329</v>
      </c>
      <c r="AA108" s="27">
        <v>523</v>
      </c>
      <c r="AB108" s="27">
        <v>127</v>
      </c>
      <c r="AC108" s="28">
        <v>48</v>
      </c>
      <c r="AD108" s="28">
        <v>1</v>
      </c>
      <c r="AE108" s="28">
        <v>13</v>
      </c>
      <c r="AF108" s="7"/>
      <c r="AG108" s="7"/>
    </row>
    <row r="109">
      <c r="A109" s="15"/>
      <c r="B109" s="29" t="s">
        <v>40</v>
      </c>
      <c r="C109" s="17" t="s">
        <v>49</v>
      </c>
      <c r="D109" s="18">
        <f t="shared" si="0"/>
      </c>
      <c r="E109" s="18">
        <v>2958.15</v>
      </c>
      <c r="F109" s="18">
        <v>883.75</v>
      </c>
      <c r="G109" s="17">
        <v>427.77</v>
      </c>
      <c r="H109" s="19">
        <v>5</v>
      </c>
      <c r="I109" s="17">
        <v>24420.480000000003</v>
      </c>
      <c r="J109" s="20">
        <f t="shared" si="221"/>
      </c>
      <c r="K109" s="21">
        <f t="shared" si="145"/>
      </c>
      <c r="L109" s="22">
        <f t="shared" si="88"/>
      </c>
      <c r="M109" s="23">
        <f t="shared" si="164"/>
      </c>
      <c r="N109" s="23">
        <f t="shared" si="50"/>
      </c>
      <c r="O109" s="22">
        <f t="shared" si="240"/>
      </c>
      <c r="P109" s="23">
        <f t="shared" si="183"/>
      </c>
      <c r="Q109" s="23">
        <f t="shared" si="107"/>
      </c>
      <c r="R109" s="22">
        <f t="shared" si="69"/>
      </c>
      <c r="S109" s="24">
        <f t="shared" si="259"/>
      </c>
      <c r="T109" s="22">
        <f t="shared" si="202"/>
      </c>
      <c r="U109" s="25">
        <f t="shared" si="126"/>
      </c>
      <c r="V109" s="26" t="s">
        <v>36</v>
      </c>
      <c r="W109" s="26" t="s">
        <v>37</v>
      </c>
      <c r="X109" s="27">
        <v>3</v>
      </c>
      <c r="Y109" s="27">
        <v>19488</v>
      </c>
      <c r="Z109" s="27">
        <v>529</v>
      </c>
      <c r="AA109" s="27">
        <v>677</v>
      </c>
      <c r="AB109" s="27">
        <v>187</v>
      </c>
      <c r="AC109" s="27">
        <v>94</v>
      </c>
      <c r="AD109" s="28">
        <v>7</v>
      </c>
      <c r="AE109" s="28">
        <v>29</v>
      </c>
      <c r="AF109" s="7"/>
      <c r="AG109" s="7"/>
    </row>
    <row r="110">
      <c r="A110" s="15"/>
      <c r="B110" s="30" t="s">
        <v>41</v>
      </c>
      <c r="C110" s="30"/>
      <c r="D110" s="30">
        <f>SUM(D106:D109)</f>
      </c>
      <c r="E110" s="30">
        <f>SUM(E106:E109)</f>
      </c>
      <c r="F110" s="30">
        <f>SUM(F106:F109)</f>
      </c>
      <c r="G110" s="30">
        <f>SUM(G106:G109)</f>
      </c>
      <c r="H110" s="30">
        <f>SUM(H106:H109)</f>
      </c>
      <c r="I110" s="30">
        <f>SUM(I106:I109)</f>
      </c>
      <c r="J110" s="31">
        <f t="shared" si="221"/>
      </c>
      <c r="K110" s="32">
        <f t="shared" si="145"/>
      </c>
      <c r="L110" s="33">
        <f t="shared" si="88"/>
      </c>
      <c r="M110" s="34">
        <f t="shared" si="164"/>
      </c>
      <c r="N110" s="34">
        <f t="shared" si="50"/>
      </c>
      <c r="O110" s="33">
        <f t="shared" si="240"/>
      </c>
      <c r="P110" s="34">
        <f t="shared" si="183"/>
      </c>
      <c r="Q110" s="34">
        <f t="shared" si="107"/>
      </c>
      <c r="R110" s="33">
        <f t="shared" si="69"/>
      </c>
      <c r="S110" s="35">
        <f t="shared" si="259"/>
      </c>
      <c r="T110" s="33">
        <f t="shared" si="202"/>
      </c>
      <c r="U110" s="36">
        <f t="shared" si="126"/>
      </c>
      <c r="V110" s="36"/>
      <c r="W110" s="36"/>
      <c r="X110" s="30">
        <f>SUM(X106:X109)</f>
      </c>
      <c r="Y110" s="30">
        <f>SUM(Y106:Y109)</f>
      </c>
      <c r="Z110" s="30">
        <f>SUM(Z106:Z109)</f>
      </c>
      <c r="AA110" s="30">
        <f>SUM(AA106:AA109)</f>
      </c>
      <c r="AB110" s="30">
        <f>SUM(AB106:AB109)</f>
      </c>
      <c r="AC110" s="30">
        <f>SUM(AC106:AC109)</f>
      </c>
      <c r="AD110" s="30">
        <f>SUM(AD106:AD109)</f>
      </c>
      <c r="AE110" s="30">
        <f>SUM(AE106:AE109)</f>
      </c>
      <c r="AF110" s="7"/>
      <c r="AG110" s="7"/>
    </row>
    <row r="111">
      <c r="A111" s="15"/>
      <c r="B111" s="17" t="s">
        <v>42</v>
      </c>
      <c r="C111" s="17" t="s">
        <v>48</v>
      </c>
      <c r="D111" s="18">
        <f t="shared" ref="D111:D114" si="1">E111+F111+G111</f>
      </c>
      <c r="E111" s="18">
        <v>2933.28</v>
      </c>
      <c r="F111" s="18">
        <v>387.55</v>
      </c>
      <c r="G111" s="17">
        <v>899.49</v>
      </c>
      <c r="H111" s="19">
        <v>2</v>
      </c>
      <c r="I111" s="17">
        <v>1767.8400000000001</v>
      </c>
      <c r="J111" s="20">
        <f t="shared" si="221"/>
      </c>
      <c r="K111" s="21">
        <f t="shared" si="145"/>
      </c>
      <c r="L111" s="22">
        <f t="shared" si="88"/>
      </c>
      <c r="M111" s="23">
        <f t="shared" si="164"/>
      </c>
      <c r="N111" s="23">
        <f t="shared" si="50"/>
      </c>
      <c r="O111" s="22">
        <f t="shared" si="240"/>
      </c>
      <c r="P111" s="23">
        <f t="shared" si="183"/>
      </c>
      <c r="Q111" s="23">
        <f t="shared" si="107"/>
      </c>
      <c r="R111" s="22">
        <f t="shared" si="69"/>
      </c>
      <c r="S111" s="24">
        <f t="shared" si="259"/>
      </c>
      <c r="T111" s="22">
        <f t="shared" si="202"/>
      </c>
      <c r="U111" s="25">
        <f t="shared" si="126"/>
      </c>
      <c r="V111" s="44" t="s">
        <v>36</v>
      </c>
      <c r="W111" s="26" t="s">
        <v>37</v>
      </c>
      <c r="X111" s="27">
        <v>2</v>
      </c>
      <c r="Y111" s="27">
        <v>21584</v>
      </c>
      <c r="Z111" s="27">
        <v>493</v>
      </c>
      <c r="AA111" s="27">
        <v>598</v>
      </c>
      <c r="AB111" s="27">
        <v>173</v>
      </c>
      <c r="AC111" s="27">
        <v>77</v>
      </c>
      <c r="AD111" s="28">
        <v>4</v>
      </c>
      <c r="AE111" s="28">
        <v>23</v>
      </c>
      <c r="AF111" s="7"/>
      <c r="AG111" s="7"/>
    </row>
    <row r="112">
      <c r="A112" s="15"/>
      <c r="B112" s="18" t="s">
        <v>44</v>
      </c>
      <c r="C112" s="17" t="s">
        <v>48</v>
      </c>
      <c r="D112" s="18">
        <f t="shared" si="1"/>
      </c>
      <c r="E112" s="18">
        <v>1913.64</v>
      </c>
      <c r="F112" s="18">
        <v>247.9</v>
      </c>
      <c r="G112" s="17">
        <v>453.3</v>
      </c>
      <c r="H112" s="19">
        <v>3</v>
      </c>
      <c r="I112" s="17">
        <v>7923.84</v>
      </c>
      <c r="J112" s="20">
        <f t="shared" si="221"/>
      </c>
      <c r="K112" s="21">
        <f t="shared" si="145"/>
      </c>
      <c r="L112" s="22">
        <f t="shared" si="88"/>
      </c>
      <c r="M112" s="23">
        <f t="shared" si="164"/>
      </c>
      <c r="N112" s="23">
        <f t="shared" si="50"/>
      </c>
      <c r="O112" s="22">
        <f t="shared" si="240"/>
      </c>
      <c r="P112" s="23">
        <f t="shared" si="183"/>
      </c>
      <c r="Q112" s="23">
        <f t="shared" si="107"/>
      </c>
      <c r="R112" s="22">
        <f t="shared" si="69"/>
      </c>
      <c r="S112" s="24">
        <f t="shared" si="259"/>
      </c>
      <c r="T112" s="22">
        <f t="shared" si="202"/>
      </c>
      <c r="U112" s="25">
        <f t="shared" si="126"/>
      </c>
      <c r="V112" s="44" t="s">
        <v>36</v>
      </c>
      <c r="W112" s="26" t="s">
        <v>37</v>
      </c>
      <c r="X112" s="27">
        <v>3</v>
      </c>
      <c r="Y112" s="27">
        <v>12543</v>
      </c>
      <c r="Z112" s="27">
        <v>282</v>
      </c>
      <c r="AA112" s="27">
        <v>351</v>
      </c>
      <c r="AB112" s="27">
        <v>104</v>
      </c>
      <c r="AC112" s="27">
        <v>51</v>
      </c>
      <c r="AD112" s="28">
        <v>4</v>
      </c>
      <c r="AE112" s="28">
        <v>15</v>
      </c>
      <c r="AF112" s="7"/>
      <c r="AG112" s="7"/>
    </row>
    <row r="113">
      <c r="A113" s="15"/>
      <c r="B113" s="18" t="s">
        <v>45</v>
      </c>
      <c r="C113" s="17" t="s">
        <v>48</v>
      </c>
      <c r="D113" s="18">
        <f t="shared" si="1"/>
      </c>
      <c r="E113" s="18">
        <v>2305.45</v>
      </c>
      <c r="F113" s="18">
        <v>465.31</v>
      </c>
      <c r="G113" s="17">
        <v>344.13</v>
      </c>
      <c r="H113" s="19">
        <v>0</v>
      </c>
      <c r="I113" s="17">
        <v>0</v>
      </c>
      <c r="J113" s="20">
        <f t="shared" si="221"/>
      </c>
      <c r="K113" s="21">
        <f t="shared" si="145"/>
      </c>
      <c r="L113" s="22">
        <f t="shared" si="88"/>
      </c>
      <c r="M113" s="23">
        <f t="shared" si="164"/>
      </c>
      <c r="N113" s="23">
        <f t="shared" si="50"/>
      </c>
      <c r="O113" s="22">
        <f t="shared" si="240"/>
      </c>
      <c r="P113" s="23">
        <f t="shared" si="183"/>
      </c>
      <c r="Q113" s="23">
        <f t="shared" si="107"/>
      </c>
      <c r="R113" s="22">
        <f t="shared" si="69"/>
      </c>
      <c r="S113" s="24">
        <f t="shared" si="259"/>
      </c>
      <c r="T113" s="22">
        <f t="shared" si="202"/>
      </c>
      <c r="U113" s="25">
        <f t="shared" si="126"/>
      </c>
      <c r="V113" s="44" t="s">
        <v>36</v>
      </c>
      <c r="W113" s="26" t="s">
        <v>37</v>
      </c>
      <c r="X113" s="28">
        <v>0</v>
      </c>
      <c r="Y113" s="27">
        <v>12050</v>
      </c>
      <c r="Z113" s="27">
        <v>275</v>
      </c>
      <c r="AA113" s="27">
        <v>340</v>
      </c>
      <c r="AB113" s="27">
        <v>98</v>
      </c>
      <c r="AC113" s="27">
        <v>47</v>
      </c>
      <c r="AD113" s="28">
        <v>0</v>
      </c>
      <c r="AE113" s="28">
        <v>17</v>
      </c>
      <c r="AF113" s="7"/>
      <c r="AG113" s="7"/>
    </row>
    <row r="114">
      <c r="A114" s="15"/>
      <c r="B114" s="18" t="s">
        <v>46</v>
      </c>
      <c r="C114" s="17" t="s">
        <v>48</v>
      </c>
      <c r="D114" s="18">
        <f t="shared" si="1"/>
      </c>
      <c r="E114" s="18">
        <v>1132.25</v>
      </c>
      <c r="F114" s="18">
        <v>359.87</v>
      </c>
      <c r="G114" s="17">
        <v>43.51</v>
      </c>
      <c r="H114" s="19">
        <v>0</v>
      </c>
      <c r="I114" s="17">
        <v>0</v>
      </c>
      <c r="J114" s="20">
        <f t="shared" si="221"/>
      </c>
      <c r="K114" s="21">
        <f t="shared" si="145"/>
      </c>
      <c r="L114" s="22">
        <f t="shared" si="88"/>
      </c>
      <c r="M114" s="23">
        <f t="shared" si="164"/>
      </c>
      <c r="N114" s="23">
        <f t="shared" si="50"/>
      </c>
      <c r="O114" s="22">
        <f t="shared" si="240"/>
      </c>
      <c r="P114" s="23">
        <f t="shared" si="183"/>
      </c>
      <c r="Q114" s="23">
        <f t="shared" si="107"/>
      </c>
      <c r="R114" s="22">
        <f t="shared" si="69"/>
      </c>
      <c r="S114" s="24">
        <f t="shared" si="259"/>
      </c>
      <c r="T114" s="22">
        <f t="shared" si="202"/>
      </c>
      <c r="U114" s="25">
        <f t="shared" si="126"/>
      </c>
      <c r="V114" s="44" t="s">
        <v>36</v>
      </c>
      <c r="W114" s="26" t="s">
        <v>37</v>
      </c>
      <c r="X114" s="27">
        <v>0</v>
      </c>
      <c r="Y114" s="27">
        <v>6781</v>
      </c>
      <c r="Z114" s="27">
        <v>196</v>
      </c>
      <c r="AA114" s="27">
        <v>291</v>
      </c>
      <c r="AB114" s="27">
        <v>71</v>
      </c>
      <c r="AC114" s="27">
        <v>34</v>
      </c>
      <c r="AD114" s="28">
        <v>0</v>
      </c>
      <c r="AE114" s="28">
        <v>6</v>
      </c>
      <c r="AF114" s="7"/>
      <c r="AG114" s="7"/>
    </row>
    <row r="115">
      <c r="A115" s="15"/>
      <c r="B115" s="30" t="s">
        <v>41</v>
      </c>
      <c r="C115" s="30"/>
      <c r="D115" s="30">
        <f>SUM(D111:D114)</f>
      </c>
      <c r="E115" s="30">
        <f>SUM(E111:E114)</f>
      </c>
      <c r="F115" s="30">
        <f>SUM(F111:F114)</f>
      </c>
      <c r="G115" s="30">
        <f>SUM(G111:G114)</f>
      </c>
      <c r="H115" s="30">
        <f>SUM(H111:H114)</f>
      </c>
      <c r="I115" s="30">
        <f>SUM(I111:I114)</f>
      </c>
      <c r="J115" s="31">
        <f t="shared" si="221"/>
      </c>
      <c r="K115" s="32">
        <f t="shared" si="145"/>
      </c>
      <c r="L115" s="33">
        <f t="shared" si="88"/>
      </c>
      <c r="M115" s="34">
        <f t="shared" si="164"/>
      </c>
      <c r="N115" s="34">
        <f t="shared" si="50"/>
      </c>
      <c r="O115" s="33">
        <f t="shared" si="240"/>
      </c>
      <c r="P115" s="34">
        <f t="shared" si="183"/>
      </c>
      <c r="Q115" s="34">
        <f t="shared" si="107"/>
      </c>
      <c r="R115" s="33">
        <f t="shared" si="69"/>
      </c>
      <c r="S115" s="35">
        <f t="shared" si="259"/>
      </c>
      <c r="T115" s="33">
        <f t="shared" si="202"/>
      </c>
      <c r="U115" s="36">
        <f t="shared" si="126"/>
      </c>
      <c r="V115" s="36"/>
      <c r="W115" s="36"/>
      <c r="X115" s="30">
        <f>SUM(X111:X114)</f>
      </c>
      <c r="Y115" s="30">
        <f>SUM(Y111:Y114)</f>
      </c>
      <c r="Z115" s="30">
        <f>SUM(Z111:Z114)</f>
      </c>
      <c r="AA115" s="30">
        <f>SUM(AA111:AA114)</f>
      </c>
      <c r="AB115" s="30">
        <f>SUM(AB111:AB114)</f>
      </c>
      <c r="AC115" s="30">
        <f>SUM(AC111:AC114)</f>
      </c>
      <c r="AD115" s="30">
        <f>SUM(AD111:AD114)</f>
      </c>
      <c r="AE115" s="30">
        <f>SUM(AE111:AE114)</f>
      </c>
      <c r="AF115" s="7"/>
      <c r="AG115" s="7"/>
    </row>
    <row r="116">
      <c r="A116" s="15"/>
      <c r="B116" s="37" t="s">
        <v>47</v>
      </c>
      <c r="C116" s="37"/>
      <c r="D116" s="38">
        <f>D110+D115</f>
      </c>
      <c r="E116" s="38">
        <f>E110+E115</f>
      </c>
      <c r="F116" s="38">
        <f>F110+F115</f>
      </c>
      <c r="G116" s="38">
        <f>G110+G115</f>
      </c>
      <c r="H116" s="38">
        <f>H110+H115</f>
      </c>
      <c r="I116" s="38">
        <f>I110+I115</f>
      </c>
      <c r="J116" s="38">
        <f t="shared" si="221"/>
      </c>
      <c r="K116" s="39">
        <f t="shared" si="145"/>
      </c>
      <c r="L116" s="38">
        <f t="shared" si="88"/>
      </c>
      <c r="M116" s="40">
        <f t="shared" si="164"/>
      </c>
      <c r="N116" s="40">
        <f t="shared" si="50"/>
      </c>
      <c r="O116" s="38">
        <f t="shared" si="240"/>
      </c>
      <c r="P116" s="40">
        <f t="shared" si="183"/>
      </c>
      <c r="Q116" s="40">
        <f t="shared" si="107"/>
      </c>
      <c r="R116" s="38">
        <f t="shared" si="69"/>
      </c>
      <c r="S116" s="41">
        <f t="shared" si="259"/>
      </c>
      <c r="T116" s="38">
        <f t="shared" si="202"/>
      </c>
      <c r="U116" s="42">
        <f t="shared" si="126"/>
      </c>
      <c r="V116" s="42"/>
      <c r="W116" s="42"/>
      <c r="X116" s="43">
        <f>X110+X115</f>
      </c>
      <c r="Y116" s="43">
        <f>Y110+Y115</f>
      </c>
      <c r="Z116" s="43">
        <f>Z110+Z115</f>
      </c>
      <c r="AA116" s="43">
        <f>AA110+AA115</f>
      </c>
      <c r="AB116" s="43">
        <f>AB110+AB115</f>
      </c>
      <c r="AC116" s="43">
        <f>AC110+AC115</f>
      </c>
      <c r="AD116" s="43">
        <f>AD110+AD115</f>
      </c>
      <c r="AE116" s="43">
        <f>AE110+AE115</f>
      </c>
      <c r="AF116" s="7"/>
      <c r="AG116" s="7"/>
    </row>
    <row r="117">
      <c r="A117" s="1" t="s">
        <v>1</v>
      </c>
      <c r="B117" s="1"/>
      <c r="C117" s="1"/>
      <c r="D117" s="2" t="s">
        <v>2</v>
      </c>
      <c r="E117" s="2"/>
      <c r="F117" s="2"/>
      <c r="G117" s="2"/>
      <c r="H117" s="2"/>
      <c r="I117" s="2"/>
      <c r="J117" s="2"/>
      <c r="K117" s="3" t="s">
        <v>3</v>
      </c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4"/>
      <c r="W117" s="4"/>
      <c r="X117" s="5"/>
      <c r="Y117" s="5"/>
      <c r="Z117" s="5"/>
      <c r="AA117" s="5"/>
      <c r="AB117" s="5"/>
      <c r="AC117" s="5"/>
      <c r="AD117" s="5"/>
      <c r="AE117" s="6" t="s">
        <v>4</v>
      </c>
      <c r="AF117" s="7"/>
      <c r="AG117" s="7"/>
    </row>
    <row r="118">
      <c r="A118" s="1" t="s">
        <v>5</v>
      </c>
      <c r="B118" s="1" t="s">
        <v>6</v>
      </c>
      <c r="C118" s="1" t="s">
        <v>7</v>
      </c>
      <c r="D118" s="2" t="s">
        <v>8</v>
      </c>
      <c r="E118" s="8" t="s">
        <v>9</v>
      </c>
      <c r="F118" s="8" t="s">
        <v>10</v>
      </c>
      <c r="G118" s="8" t="s">
        <v>50</v>
      </c>
      <c r="H118" s="9" t="s">
        <v>11</v>
      </c>
      <c r="I118" s="2" t="s">
        <v>12</v>
      </c>
      <c r="J118" s="8" t="s">
        <v>13</v>
      </c>
      <c r="K118" s="3" t="s">
        <v>14</v>
      </c>
      <c r="L118" s="10" t="s">
        <v>15</v>
      </c>
      <c r="M118" s="11" t="s">
        <v>16</v>
      </c>
      <c r="N118" s="11" t="s">
        <v>17</v>
      </c>
      <c r="O118" s="10" t="s">
        <v>18</v>
      </c>
      <c r="P118" s="11" t="s">
        <v>19</v>
      </c>
      <c r="Q118" s="11" t="s">
        <v>20</v>
      </c>
      <c r="R118" s="10" t="s">
        <v>21</v>
      </c>
      <c r="S118" s="11" t="s">
        <v>22</v>
      </c>
      <c r="T118" s="10" t="s">
        <v>23</v>
      </c>
      <c r="U118" s="12" t="s">
        <v>24</v>
      </c>
      <c r="V118" s="12" t="s">
        <v>25</v>
      </c>
      <c r="W118" s="12" t="s">
        <v>26</v>
      </c>
      <c r="X118" s="13" t="s">
        <v>27</v>
      </c>
      <c r="Y118" s="14" t="s">
        <v>28</v>
      </c>
      <c r="Z118" s="14" t="s">
        <v>29</v>
      </c>
      <c r="AA118" s="14" t="s">
        <v>30</v>
      </c>
      <c r="AB118" s="14" t="s">
        <v>31</v>
      </c>
      <c r="AC118" s="14" t="s">
        <v>32</v>
      </c>
      <c r="AD118" s="14" t="s">
        <v>33</v>
      </c>
      <c r="AE118" s="6"/>
      <c r="AF118" s="7"/>
      <c r="AG118" s="7"/>
    </row>
    <row r="119">
      <c r="A119" s="15">
        <v>46305</v>
      </c>
      <c r="B119" s="16" t="s">
        <v>34</v>
      </c>
      <c r="C119" s="17" t="s">
        <v>49</v>
      </c>
      <c r="D119" s="18">
        <f t="shared" ref="D119:D122" si="2">E119+F119+G119</f>
      </c>
      <c r="E119" s="17">
        <v>1798.17</v>
      </c>
      <c r="F119" s="17">
        <v>305.59</v>
      </c>
      <c r="G119" s="17">
        <v>69.89</v>
      </c>
      <c r="H119" s="19">
        <v>1</v>
      </c>
      <c r="I119" s="17">
        <v>466.56000000000006</v>
      </c>
      <c r="J119" s="20">
        <f t="shared" ref="J119:J129" si="222">I119/D119</f>
      </c>
      <c r="K119" s="21">
        <f t="shared" ref="K119:K129" si="146">Z119/Y119</f>
      </c>
      <c r="L119" s="22">
        <f t="shared" ref="L119:L129" si="89">D119/AA119</f>
      </c>
      <c r="M119" s="23">
        <f t="shared" ref="M119:M129" si="165">AB119/AA119</f>
      </c>
      <c r="N119" s="23">
        <f t="shared" ref="N119:N129" si="51">AC119/AA119</f>
      </c>
      <c r="O119" s="22">
        <f t="shared" ref="O119:O129" si="241">D119/AC119</f>
      </c>
      <c r="P119" s="23">
        <f t="shared" ref="P119:P129" si="184">AD119/AC119</f>
      </c>
      <c r="Q119" s="23">
        <f t="shared" ref="Q119:Q129" si="108">H119/AD119</f>
      </c>
      <c r="R119" s="22">
        <f t="shared" ref="R119:R129" si="70">D119/H119</f>
      </c>
      <c r="S119" s="24">
        <f t="shared" ref="S119:S129" si="260">I119/H119</f>
      </c>
      <c r="T119" s="22">
        <f t="shared" ref="T119:T129" si="203">D119/X119</f>
      </c>
      <c r="U119" s="25">
        <f t="shared" ref="U119:U129" si="127">AE119*1000/D119</f>
      </c>
      <c r="V119" s="26" t="s">
        <v>36</v>
      </c>
      <c r="W119" s="26" t="s">
        <v>37</v>
      </c>
      <c r="X119" s="27">
        <v>1</v>
      </c>
      <c r="Y119" s="27">
        <v>7559</v>
      </c>
      <c r="Z119" s="27">
        <v>423</v>
      </c>
      <c r="AA119" s="27">
        <v>567</v>
      </c>
      <c r="AB119" s="27">
        <v>172</v>
      </c>
      <c r="AC119" s="27">
        <v>16</v>
      </c>
      <c r="AD119" s="28">
        <v>1</v>
      </c>
      <c r="AE119" s="28">
        <v>12</v>
      </c>
      <c r="AF119" s="7"/>
      <c r="AG119" s="7"/>
    </row>
    <row r="120">
      <c r="A120" s="15"/>
      <c r="B120" s="29" t="s">
        <v>38</v>
      </c>
      <c r="C120" s="17" t="s">
        <v>49</v>
      </c>
      <c r="D120" s="18">
        <f t="shared" si="2"/>
      </c>
      <c r="E120" s="17">
        <v>1030.26</v>
      </c>
      <c r="F120" s="17">
        <v>143.85</v>
      </c>
      <c r="G120" s="17">
        <v>54.98</v>
      </c>
      <c r="H120" s="19">
        <v>2</v>
      </c>
      <c r="I120" s="17">
        <v>6002.88</v>
      </c>
      <c r="J120" s="20">
        <f t="shared" si="222"/>
      </c>
      <c r="K120" s="21">
        <f t="shared" si="146"/>
      </c>
      <c r="L120" s="22">
        <f t="shared" si="89"/>
      </c>
      <c r="M120" s="23">
        <f t="shared" si="165"/>
      </c>
      <c r="N120" s="23">
        <f t="shared" si="51"/>
      </c>
      <c r="O120" s="22">
        <f t="shared" si="241"/>
      </c>
      <c r="P120" s="23">
        <f t="shared" si="184"/>
      </c>
      <c r="Q120" s="23">
        <f t="shared" si="108"/>
      </c>
      <c r="R120" s="22">
        <f t="shared" si="70"/>
      </c>
      <c r="S120" s="24">
        <f t="shared" si="260"/>
      </c>
      <c r="T120" s="22">
        <f t="shared" si="203"/>
      </c>
      <c r="U120" s="25">
        <f t="shared" si="127"/>
      </c>
      <c r="V120" s="26" t="s">
        <v>36</v>
      </c>
      <c r="W120" s="26" t="s">
        <v>37</v>
      </c>
      <c r="X120" s="27">
        <v>1</v>
      </c>
      <c r="Y120" s="27">
        <v>4648</v>
      </c>
      <c r="Z120" s="27">
        <v>206</v>
      </c>
      <c r="AA120" s="27">
        <v>291</v>
      </c>
      <c r="AB120" s="27">
        <v>76</v>
      </c>
      <c r="AC120" s="27">
        <v>9</v>
      </c>
      <c r="AD120" s="28">
        <v>2</v>
      </c>
      <c r="AE120" s="28">
        <v>9</v>
      </c>
      <c r="AF120" s="7"/>
      <c r="AG120" s="7"/>
    </row>
    <row r="121">
      <c r="A121" s="15"/>
      <c r="B121" s="29" t="s">
        <v>39</v>
      </c>
      <c r="C121" s="17" t="s">
        <v>49</v>
      </c>
      <c r="D121" s="18">
        <f t="shared" si="2"/>
      </c>
      <c r="E121" s="17">
        <v>2066.83</v>
      </c>
      <c r="F121" s="17">
        <v>329.15</v>
      </c>
      <c r="G121" s="17">
        <v>51.31</v>
      </c>
      <c r="H121" s="19">
        <v>2</v>
      </c>
      <c r="I121" s="17">
        <v>1257.6399999999994</v>
      </c>
      <c r="J121" s="20">
        <f t="shared" si="222"/>
      </c>
      <c r="K121" s="21">
        <f t="shared" si="146"/>
      </c>
      <c r="L121" s="22">
        <f t="shared" si="89"/>
      </c>
      <c r="M121" s="23">
        <f t="shared" si="165"/>
      </c>
      <c r="N121" s="23">
        <f t="shared" si="51"/>
      </c>
      <c r="O121" s="22">
        <f t="shared" si="241"/>
      </c>
      <c r="P121" s="23">
        <f t="shared" si="184"/>
      </c>
      <c r="Q121" s="23">
        <f t="shared" si="108"/>
      </c>
      <c r="R121" s="22">
        <f t="shared" si="70"/>
      </c>
      <c r="S121" s="24">
        <f t="shared" si="260"/>
      </c>
      <c r="T121" s="22">
        <f t="shared" si="203"/>
      </c>
      <c r="U121" s="25">
        <f t="shared" si="127"/>
      </c>
      <c r="V121" s="26" t="s">
        <v>36</v>
      </c>
      <c r="W121" s="26" t="s">
        <v>37</v>
      </c>
      <c r="X121" s="28">
        <v>2</v>
      </c>
      <c r="Y121" s="27">
        <v>12267</v>
      </c>
      <c r="Z121" s="27">
        <v>456</v>
      </c>
      <c r="AA121" s="27">
        <v>571</v>
      </c>
      <c r="AB121" s="27">
        <v>170</v>
      </c>
      <c r="AC121" s="28">
        <v>18</v>
      </c>
      <c r="AD121" s="28">
        <v>2</v>
      </c>
      <c r="AE121" s="28">
        <v>19</v>
      </c>
      <c r="AF121" s="7"/>
      <c r="AG121" s="7"/>
    </row>
    <row r="122">
      <c r="A122" s="15"/>
      <c r="B122" s="29" t="s">
        <v>40</v>
      </c>
      <c r="C122" s="17" t="s">
        <v>49</v>
      </c>
      <c r="D122" s="18">
        <f t="shared" si="2"/>
      </c>
      <c r="E122" s="17">
        <v>1551</v>
      </c>
      <c r="F122" s="17">
        <v>167.33</v>
      </c>
      <c r="G122" s="17">
        <v>47.61</v>
      </c>
      <c r="H122" s="19">
        <v>1</v>
      </c>
      <c r="I122" s="17">
        <v>1180.08</v>
      </c>
      <c r="J122" s="20">
        <f t="shared" si="222"/>
      </c>
      <c r="K122" s="21">
        <f t="shared" si="146"/>
      </c>
      <c r="L122" s="22">
        <f t="shared" si="89"/>
      </c>
      <c r="M122" s="23">
        <f t="shared" si="165"/>
      </c>
      <c r="N122" s="23">
        <f t="shared" si="51"/>
      </c>
      <c r="O122" s="22">
        <f t="shared" si="241"/>
      </c>
      <c r="P122" s="23">
        <f t="shared" si="184"/>
      </c>
      <c r="Q122" s="23">
        <f t="shared" si="108"/>
      </c>
      <c r="R122" s="22">
        <f t="shared" si="70"/>
      </c>
      <c r="S122" s="24">
        <f t="shared" si="260"/>
      </c>
      <c r="T122" s="22">
        <f t="shared" si="203"/>
      </c>
      <c r="U122" s="25">
        <f t="shared" si="127"/>
      </c>
      <c r="V122" s="26" t="s">
        <v>36</v>
      </c>
      <c r="W122" s="26" t="s">
        <v>37</v>
      </c>
      <c r="X122" s="27">
        <v>1</v>
      </c>
      <c r="Y122" s="27">
        <v>6400</v>
      </c>
      <c r="Z122" s="27">
        <v>222</v>
      </c>
      <c r="AA122" s="27">
        <v>302</v>
      </c>
      <c r="AB122" s="27">
        <v>96</v>
      </c>
      <c r="AC122" s="27">
        <v>32</v>
      </c>
      <c r="AD122" s="28">
        <v>2</v>
      </c>
      <c r="AE122" s="28">
        <v>18</v>
      </c>
      <c r="AF122" s="7"/>
      <c r="AG122" s="7"/>
    </row>
    <row r="123">
      <c r="A123" s="15"/>
      <c r="B123" s="30" t="s">
        <v>41</v>
      </c>
      <c r="C123" s="30"/>
      <c r="D123" s="30">
        <f>SUM(D119:D122)</f>
      </c>
      <c r="E123" s="30">
        <f>SUM(E119:E122)</f>
      </c>
      <c r="F123" s="30">
        <f>SUM(F119:F122)</f>
      </c>
      <c r="G123" s="30">
        <f>SUM(G119:G122)</f>
      </c>
      <c r="H123" s="30">
        <f>SUM(H119:H122)</f>
      </c>
      <c r="I123" s="30">
        <f>SUM(I119:I122)</f>
      </c>
      <c r="J123" s="31">
        <f t="shared" si="222"/>
      </c>
      <c r="K123" s="32">
        <f t="shared" si="146"/>
      </c>
      <c r="L123" s="33">
        <f t="shared" si="89"/>
      </c>
      <c r="M123" s="34">
        <f t="shared" si="165"/>
      </c>
      <c r="N123" s="34">
        <f t="shared" si="51"/>
      </c>
      <c r="O123" s="33">
        <f t="shared" si="241"/>
      </c>
      <c r="P123" s="34">
        <f t="shared" si="184"/>
      </c>
      <c r="Q123" s="34">
        <f t="shared" si="108"/>
      </c>
      <c r="R123" s="33">
        <f t="shared" si="70"/>
      </c>
      <c r="S123" s="35">
        <f t="shared" si="260"/>
      </c>
      <c r="T123" s="33">
        <f t="shared" si="203"/>
      </c>
      <c r="U123" s="36">
        <f t="shared" si="127"/>
      </c>
      <c r="V123" s="36"/>
      <c r="W123" s="36"/>
      <c r="X123" s="30">
        <f>SUM(X119:X122)</f>
      </c>
      <c r="Y123" s="30">
        <f>SUM(Y119:Y122)</f>
      </c>
      <c r="Z123" s="30">
        <f>SUM(Z119:Z122)</f>
      </c>
      <c r="AA123" s="30">
        <f>SUM(AA119:AA122)</f>
      </c>
      <c r="AB123" s="30">
        <f>SUM(AB119:AB122)</f>
      </c>
      <c r="AC123" s="30">
        <f>SUM(AC119:AC122)</f>
      </c>
      <c r="AD123" s="30">
        <f>SUM(AD119:AD122)</f>
      </c>
      <c r="AE123" s="30">
        <f>SUM(AE119:AE122)</f>
      </c>
      <c r="AF123" s="7"/>
      <c r="AG123" s="7"/>
    </row>
    <row r="124">
      <c r="A124" s="15"/>
      <c r="B124" s="17" t="s">
        <v>42</v>
      </c>
      <c r="C124" s="17" t="s">
        <v>43</v>
      </c>
      <c r="D124" s="18">
        <f t="shared" ref="D124:D127" si="3">E124+F124+G124</f>
      </c>
      <c r="E124" s="17">
        <v>2576.92</v>
      </c>
      <c r="F124" s="17">
        <v>261.1</v>
      </c>
      <c r="G124" s="17">
        <v>52.91</v>
      </c>
      <c r="H124" s="19">
        <v>1</v>
      </c>
      <c r="I124" s="17">
        <v>3326.76</v>
      </c>
      <c r="J124" s="20">
        <f t="shared" si="222"/>
      </c>
      <c r="K124" s="21">
        <f t="shared" si="146"/>
      </c>
      <c r="L124" s="22">
        <f t="shared" si="89"/>
      </c>
      <c r="M124" s="23">
        <f t="shared" si="165"/>
      </c>
      <c r="N124" s="23">
        <f t="shared" si="51"/>
      </c>
      <c r="O124" s="22">
        <f t="shared" si="241"/>
      </c>
      <c r="P124" s="23">
        <f t="shared" si="184"/>
      </c>
      <c r="Q124" s="23">
        <f t="shared" si="108"/>
      </c>
      <c r="R124" s="22">
        <f t="shared" si="70"/>
      </c>
      <c r="S124" s="24">
        <f t="shared" si="260"/>
      </c>
      <c r="T124" s="22">
        <f t="shared" si="203"/>
      </c>
      <c r="U124" s="25">
        <f t="shared" si="127"/>
      </c>
      <c r="V124" s="44" t="s">
        <v>36</v>
      </c>
      <c r="W124" s="26" t="s">
        <v>37</v>
      </c>
      <c r="X124" s="27">
        <v>1</v>
      </c>
      <c r="Y124" s="27">
        <v>14466</v>
      </c>
      <c r="Z124" s="27">
        <v>281</v>
      </c>
      <c r="AA124" s="27">
        <v>333</v>
      </c>
      <c r="AB124" s="27">
        <v>110</v>
      </c>
      <c r="AC124" s="27">
        <v>68</v>
      </c>
      <c r="AD124" s="28">
        <v>1</v>
      </c>
      <c r="AE124" s="28">
        <v>19</v>
      </c>
      <c r="AF124" s="7"/>
      <c r="AG124" s="7"/>
    </row>
    <row r="125">
      <c r="A125" s="15"/>
      <c r="B125" s="18" t="s">
        <v>44</v>
      </c>
      <c r="C125" s="17" t="s">
        <v>43</v>
      </c>
      <c r="D125" s="18">
        <f t="shared" si="3"/>
      </c>
      <c r="E125" s="18">
        <v>3717.53</v>
      </c>
      <c r="F125" s="18">
        <v>145.67</v>
      </c>
      <c r="G125" s="17">
        <v>115.74</v>
      </c>
      <c r="H125" s="19">
        <v>2</v>
      </c>
      <c r="I125" s="17">
        <v>2534.16</v>
      </c>
      <c r="J125" s="20">
        <f t="shared" si="222"/>
      </c>
      <c r="K125" s="21">
        <f t="shared" si="146"/>
      </c>
      <c r="L125" s="22">
        <f t="shared" si="89"/>
      </c>
      <c r="M125" s="23">
        <f t="shared" si="165"/>
      </c>
      <c r="N125" s="23">
        <f t="shared" si="51"/>
      </c>
      <c r="O125" s="22">
        <f t="shared" si="241"/>
      </c>
      <c r="P125" s="23">
        <f t="shared" si="184"/>
      </c>
      <c r="Q125" s="23">
        <f t="shared" si="108"/>
      </c>
      <c r="R125" s="22">
        <f t="shared" si="70"/>
      </c>
      <c r="S125" s="24">
        <f t="shared" si="260"/>
      </c>
      <c r="T125" s="22">
        <f t="shared" si="203"/>
      </c>
      <c r="U125" s="25">
        <f t="shared" si="127"/>
      </c>
      <c r="V125" s="44" t="s">
        <v>36</v>
      </c>
      <c r="W125" s="26" t="s">
        <v>37</v>
      </c>
      <c r="X125" s="27">
        <v>1</v>
      </c>
      <c r="Y125" s="27">
        <v>18965</v>
      </c>
      <c r="Z125" s="27">
        <v>577</v>
      </c>
      <c r="AA125" s="27">
        <v>636</v>
      </c>
      <c r="AB125" s="27">
        <v>217</v>
      </c>
      <c r="AC125" s="27">
        <v>56</v>
      </c>
      <c r="AD125" s="28">
        <v>4</v>
      </c>
      <c r="AE125" s="28">
        <v>39</v>
      </c>
      <c r="AF125" s="7"/>
      <c r="AG125" s="7"/>
    </row>
    <row r="126">
      <c r="A126" s="15"/>
      <c r="B126" s="18" t="s">
        <v>45</v>
      </c>
      <c r="C126" s="17" t="s">
        <v>43</v>
      </c>
      <c r="D126" s="18">
        <f t="shared" si="3"/>
      </c>
      <c r="E126" s="18">
        <v>2474.14</v>
      </c>
      <c r="F126" s="17">
        <v>116.7</v>
      </c>
      <c r="G126" s="17">
        <v>51.54</v>
      </c>
      <c r="H126" s="19">
        <v>0</v>
      </c>
      <c r="I126" s="17">
        <v>0</v>
      </c>
      <c r="J126" s="20">
        <f t="shared" si="222"/>
      </c>
      <c r="K126" s="21">
        <f t="shared" si="146"/>
      </c>
      <c r="L126" s="22">
        <f t="shared" si="89"/>
      </c>
      <c r="M126" s="23">
        <f t="shared" si="165"/>
      </c>
      <c r="N126" s="23">
        <f t="shared" si="51"/>
      </c>
      <c r="O126" s="22">
        <f t="shared" si="241"/>
      </c>
      <c r="P126" s="23">
        <f t="shared" si="184"/>
      </c>
      <c r="Q126" s="23">
        <f t="shared" si="108"/>
      </c>
      <c r="R126" s="22">
        <f t="shared" si="70"/>
      </c>
      <c r="S126" s="24">
        <f t="shared" si="260"/>
      </c>
      <c r="T126" s="22">
        <f t="shared" si="203"/>
      </c>
      <c r="U126" s="25">
        <f t="shared" si="127"/>
      </c>
      <c r="V126" s="44" t="s">
        <v>36</v>
      </c>
      <c r="W126" s="26" t="s">
        <v>37</v>
      </c>
      <c r="X126" s="28">
        <v>0</v>
      </c>
      <c r="Y126" s="27">
        <v>13101</v>
      </c>
      <c r="Z126" s="27">
        <v>456</v>
      </c>
      <c r="AA126" s="27">
        <v>603</v>
      </c>
      <c r="AB126" s="27">
        <v>162</v>
      </c>
      <c r="AC126" s="27">
        <v>30</v>
      </c>
      <c r="AD126" s="28">
        <v>1</v>
      </c>
      <c r="AE126" s="28">
        <v>27</v>
      </c>
      <c r="AF126" s="7"/>
      <c r="AG126" s="7"/>
    </row>
    <row r="127">
      <c r="A127" s="15"/>
      <c r="B127" s="18" t="s">
        <v>46</v>
      </c>
      <c r="C127" s="17" t="s">
        <v>43</v>
      </c>
      <c r="D127" s="18">
        <f t="shared" si="3"/>
      </c>
      <c r="E127" s="18">
        <v>678.86</v>
      </c>
      <c r="F127" s="18">
        <v>47.01</v>
      </c>
      <c r="G127" s="17">
        <v>100.07</v>
      </c>
      <c r="H127" s="19">
        <v>2</v>
      </c>
      <c r="I127" s="17">
        <v>2724.4800000000014</v>
      </c>
      <c r="J127" s="20">
        <f t="shared" si="222"/>
      </c>
      <c r="K127" s="21">
        <f t="shared" si="146"/>
      </c>
      <c r="L127" s="22">
        <f t="shared" si="89"/>
      </c>
      <c r="M127" s="23">
        <f t="shared" si="165"/>
      </c>
      <c r="N127" s="23">
        <f t="shared" si="51"/>
      </c>
      <c r="O127" s="22">
        <f t="shared" si="241"/>
      </c>
      <c r="P127" s="23">
        <f t="shared" si="184"/>
      </c>
      <c r="Q127" s="23">
        <f t="shared" si="108"/>
      </c>
      <c r="R127" s="22">
        <f t="shared" si="70"/>
      </c>
      <c r="S127" s="24">
        <f t="shared" si="260"/>
      </c>
      <c r="T127" s="22">
        <f t="shared" si="203"/>
      </c>
      <c r="U127" s="25">
        <f t="shared" si="127"/>
      </c>
      <c r="V127" s="44" t="s">
        <v>36</v>
      </c>
      <c r="W127" s="26" t="s">
        <v>37</v>
      </c>
      <c r="X127" s="27">
        <v>0</v>
      </c>
      <c r="Y127" s="27">
        <v>3972</v>
      </c>
      <c r="Z127" s="27">
        <v>57</v>
      </c>
      <c r="AA127" s="27">
        <v>63</v>
      </c>
      <c r="AB127" s="27">
        <v>10</v>
      </c>
      <c r="AC127" s="27">
        <v>11</v>
      </c>
      <c r="AD127" s="28">
        <v>3</v>
      </c>
      <c r="AE127" s="28">
        <v>7</v>
      </c>
      <c r="AF127" s="7"/>
      <c r="AG127" s="7"/>
    </row>
    <row r="128">
      <c r="A128" s="15"/>
      <c r="B128" s="30" t="s">
        <v>41</v>
      </c>
      <c r="C128" s="30"/>
      <c r="D128" s="30">
        <f>SUM(D124:D127)</f>
      </c>
      <c r="E128" s="30">
        <f>SUM(E124:E127)</f>
      </c>
      <c r="F128" s="30">
        <f>SUM(F124:F127)</f>
      </c>
      <c r="G128" s="30">
        <f>SUM(G124:G127)</f>
      </c>
      <c r="H128" s="30">
        <f>SUM(H124:H127)</f>
      </c>
      <c r="I128" s="30">
        <f>SUM(I124:I127)</f>
      </c>
      <c r="J128" s="31">
        <f t="shared" si="222"/>
      </c>
      <c r="K128" s="32">
        <f t="shared" si="146"/>
      </c>
      <c r="L128" s="33">
        <f t="shared" si="89"/>
      </c>
      <c r="M128" s="34">
        <f t="shared" si="165"/>
      </c>
      <c r="N128" s="34">
        <f t="shared" si="51"/>
      </c>
      <c r="O128" s="33">
        <f t="shared" si="241"/>
      </c>
      <c r="P128" s="34">
        <f t="shared" si="184"/>
      </c>
      <c r="Q128" s="34">
        <f t="shared" si="108"/>
      </c>
      <c r="R128" s="33">
        <f t="shared" si="70"/>
      </c>
      <c r="S128" s="35">
        <f t="shared" si="260"/>
      </c>
      <c r="T128" s="33">
        <f t="shared" si="203"/>
      </c>
      <c r="U128" s="36">
        <f t="shared" si="127"/>
      </c>
      <c r="V128" s="36"/>
      <c r="W128" s="36"/>
      <c r="X128" s="30">
        <f>SUM(X124:X127)</f>
      </c>
      <c r="Y128" s="30">
        <f>SUM(Y124:Y127)</f>
      </c>
      <c r="Z128" s="30">
        <f>SUM(Z124:Z127)</f>
      </c>
      <c r="AA128" s="30">
        <f>SUM(AA124:AA127)</f>
      </c>
      <c r="AB128" s="30">
        <f>SUM(AB124:AB127)</f>
      </c>
      <c r="AC128" s="30">
        <f>SUM(AC124:AC127)</f>
      </c>
      <c r="AD128" s="30">
        <f>SUM(AD124:AD127)</f>
      </c>
      <c r="AE128" s="30">
        <f>SUM(AE124:AE127)</f>
      </c>
      <c r="AF128" s="7"/>
      <c r="AG128" s="7"/>
    </row>
    <row r="129">
      <c r="A129" s="15"/>
      <c r="B129" s="37" t="s">
        <v>47</v>
      </c>
      <c r="C129" s="37"/>
      <c r="D129" s="38">
        <f>D123+D128</f>
      </c>
      <c r="E129" s="38">
        <f>E123+E128</f>
      </c>
      <c r="F129" s="38">
        <f>F123+F128</f>
      </c>
      <c r="G129" s="38">
        <f>G123+G128</f>
      </c>
      <c r="H129" s="38">
        <f>H123+H128</f>
      </c>
      <c r="I129" s="38">
        <f>I123+I128</f>
      </c>
      <c r="J129" s="38">
        <f t="shared" si="222"/>
      </c>
      <c r="K129" s="39">
        <f t="shared" si="146"/>
      </c>
      <c r="L129" s="38">
        <f t="shared" si="89"/>
      </c>
      <c r="M129" s="40">
        <f t="shared" si="165"/>
      </c>
      <c r="N129" s="40">
        <f t="shared" si="51"/>
      </c>
      <c r="O129" s="38">
        <f t="shared" si="241"/>
      </c>
      <c r="P129" s="40">
        <f t="shared" si="184"/>
      </c>
      <c r="Q129" s="40">
        <f t="shared" si="108"/>
      </c>
      <c r="R129" s="38">
        <f t="shared" si="70"/>
      </c>
      <c r="S129" s="41">
        <f t="shared" si="260"/>
      </c>
      <c r="T129" s="38">
        <f t="shared" si="203"/>
      </c>
      <c r="U129" s="42">
        <f t="shared" si="127"/>
      </c>
      <c r="V129" s="42"/>
      <c r="W129" s="42"/>
      <c r="X129" s="43">
        <f>X123+X128</f>
      </c>
      <c r="Y129" s="43">
        <f>Y123+Y128</f>
      </c>
      <c r="Z129" s="43">
        <f>Z123+Z128</f>
      </c>
      <c r="AA129" s="43">
        <f>AA123+AA128</f>
      </c>
      <c r="AB129" s="43">
        <f>AB123+AB128</f>
      </c>
      <c r="AC129" s="43">
        <f>AC123+AC128</f>
      </c>
      <c r="AD129" s="43">
        <f>AD123+AD128</f>
      </c>
      <c r="AE129" s="43">
        <f>AE123+AE128</f>
      </c>
      <c r="AF129" s="7"/>
      <c r="AG129" s="7"/>
    </row>
    <row r="130">
      <c r="A130" s="1" t="s">
        <v>1</v>
      </c>
      <c r="B130" s="1"/>
      <c r="C130" s="1"/>
      <c r="D130" s="2" t="s">
        <v>2</v>
      </c>
      <c r="E130" s="2"/>
      <c r="F130" s="2"/>
      <c r="G130" s="2"/>
      <c r="H130" s="2"/>
      <c r="I130" s="2"/>
      <c r="J130" s="2"/>
      <c r="K130" s="3" t="s">
        <v>3</v>
      </c>
      <c r="L130" s="3"/>
      <c r="M130" s="3"/>
      <c r="N130" s="3"/>
      <c r="O130" s="3"/>
      <c r="P130" s="3"/>
      <c r="Q130" s="3"/>
      <c r="R130" s="3"/>
      <c r="S130" s="3"/>
      <c r="T130" s="3"/>
      <c r="U130" s="4"/>
      <c r="V130" s="4"/>
      <c r="W130" s="4"/>
      <c r="X130" s="5"/>
      <c r="Y130" s="5"/>
      <c r="Z130" s="5"/>
      <c r="AA130" s="5"/>
      <c r="AB130" s="5"/>
      <c r="AC130" s="5"/>
      <c r="AD130" s="5"/>
      <c r="AE130" s="6" t="s">
        <v>4</v>
      </c>
      <c r="AF130" s="7"/>
      <c r="AG130" s="7"/>
    </row>
    <row r="131">
      <c r="A131" s="1" t="s">
        <v>5</v>
      </c>
      <c r="B131" s="1" t="s">
        <v>6</v>
      </c>
      <c r="C131" s="1" t="s">
        <v>7</v>
      </c>
      <c r="D131" s="2" t="s">
        <v>8</v>
      </c>
      <c r="E131" s="8" t="s">
        <v>9</v>
      </c>
      <c r="F131" s="8" t="s">
        <v>10</v>
      </c>
      <c r="G131" s="8" t="s">
        <v>50</v>
      </c>
      <c r="H131" s="9" t="s">
        <v>11</v>
      </c>
      <c r="I131" s="2" t="s">
        <v>12</v>
      </c>
      <c r="J131" s="8" t="s">
        <v>13</v>
      </c>
      <c r="K131" s="3" t="s">
        <v>14</v>
      </c>
      <c r="L131" s="10" t="s">
        <v>15</v>
      </c>
      <c r="M131" s="11" t="s">
        <v>16</v>
      </c>
      <c r="N131" s="11" t="s">
        <v>17</v>
      </c>
      <c r="O131" s="10" t="s">
        <v>18</v>
      </c>
      <c r="P131" s="11" t="s">
        <v>19</v>
      </c>
      <c r="Q131" s="11" t="s">
        <v>20</v>
      </c>
      <c r="R131" s="10" t="s">
        <v>21</v>
      </c>
      <c r="S131" s="11" t="s">
        <v>22</v>
      </c>
      <c r="T131" s="10" t="s">
        <v>23</v>
      </c>
      <c r="U131" s="12" t="s">
        <v>24</v>
      </c>
      <c r="V131" s="12" t="s">
        <v>25</v>
      </c>
      <c r="W131" s="12" t="s">
        <v>26</v>
      </c>
      <c r="X131" s="13" t="s">
        <v>27</v>
      </c>
      <c r="Y131" s="14" t="s">
        <v>28</v>
      </c>
      <c r="Z131" s="14" t="s">
        <v>29</v>
      </c>
      <c r="AA131" s="14" t="s">
        <v>30</v>
      </c>
      <c r="AB131" s="14" t="s">
        <v>31</v>
      </c>
      <c r="AC131" s="14" t="s">
        <v>32</v>
      </c>
      <c r="AD131" s="14" t="s">
        <v>33</v>
      </c>
      <c r="AE131" s="6"/>
      <c r="AF131" s="7"/>
      <c r="AG131" s="7"/>
    </row>
    <row r="132">
      <c r="A132" s="15">
        <v>46306</v>
      </c>
      <c r="B132" s="16" t="s">
        <v>34</v>
      </c>
      <c r="C132" s="17" t="s">
        <v>49</v>
      </c>
      <c r="D132" s="18">
        <f t="shared" ref="D132:D135" si="4">E132+F132+G132</f>
      </c>
      <c r="E132" s="17">
        <v>1851.54</v>
      </c>
      <c r="F132" s="17">
        <v>176.88</v>
      </c>
      <c r="G132" s="17">
        <v>35.23</v>
      </c>
      <c r="H132" s="19">
        <v>0</v>
      </c>
      <c r="I132" s="17">
        <v>0</v>
      </c>
      <c r="J132" s="20">
        <f t="shared" ref="J132:J142" si="223">I132/D132</f>
      </c>
      <c r="K132" s="21">
        <f t="shared" ref="K132:K142" si="147">Z132/Y132</f>
      </c>
      <c r="L132" s="22">
        <f t="shared" ref="L132:L142" si="90">D132/AA132</f>
      </c>
      <c r="M132" s="23">
        <f t="shared" ref="M132:M142" si="166">AB132/AA132</f>
      </c>
      <c r="N132" s="23">
        <f t="shared" ref="N132:N142" si="52">AC132/AA132</f>
      </c>
      <c r="O132" s="22">
        <f t="shared" ref="O132:O142" si="242">D132/AC132</f>
      </c>
      <c r="P132" s="23">
        <f t="shared" ref="P132:P142" si="185">AD132/AC132</f>
      </c>
      <c r="Q132" s="23">
        <f t="shared" ref="Q132:Q142" si="109">H132/AD132</f>
      </c>
      <c r="R132" s="22">
        <f t="shared" ref="R132:R142" si="71">D132/H132</f>
      </c>
      <c r="S132" s="24">
        <f t="shared" ref="S132:S142" si="261">I132/H132</f>
      </c>
      <c r="T132" s="22">
        <f t="shared" ref="T132:T142" si="204">D132/X132</f>
      </c>
      <c r="U132" s="25">
        <f t="shared" ref="U132:U142" si="128">AE132*1000/D132</f>
      </c>
      <c r="V132" s="26" t="s">
        <v>36</v>
      </c>
      <c r="W132" s="26" t="s">
        <v>37</v>
      </c>
      <c r="X132" s="27">
        <v>0</v>
      </c>
      <c r="Y132" s="27">
        <v>8769</v>
      </c>
      <c r="Z132" s="27">
        <v>365</v>
      </c>
      <c r="AA132" s="27">
        <v>451</v>
      </c>
      <c r="AB132" s="27">
        <v>153</v>
      </c>
      <c r="AC132" s="27">
        <v>13</v>
      </c>
      <c r="AD132" s="28">
        <v>1</v>
      </c>
      <c r="AE132" s="28">
        <v>16</v>
      </c>
      <c r="AF132" s="7"/>
      <c r="AG132" s="7"/>
    </row>
    <row r="133">
      <c r="A133" s="15"/>
      <c r="B133" s="29" t="s">
        <v>38</v>
      </c>
      <c r="C133" s="17" t="s">
        <v>49</v>
      </c>
      <c r="D133" s="18">
        <f t="shared" si="4"/>
      </c>
      <c r="E133" s="45">
        <v>1017.45</v>
      </c>
      <c r="F133" s="17">
        <v>202.05</v>
      </c>
      <c r="G133" s="17">
        <v>23.43</v>
      </c>
      <c r="H133" s="19">
        <v>1</v>
      </c>
      <c r="I133" s="17">
        <v>1514.4</v>
      </c>
      <c r="J133" s="20">
        <f t="shared" si="223"/>
      </c>
      <c r="K133" s="21">
        <f t="shared" si="147"/>
      </c>
      <c r="L133" s="22">
        <f t="shared" si="90"/>
      </c>
      <c r="M133" s="23">
        <f t="shared" si="166"/>
      </c>
      <c r="N133" s="23">
        <f t="shared" si="52"/>
      </c>
      <c r="O133" s="22">
        <f t="shared" si="242"/>
      </c>
      <c r="P133" s="23">
        <f t="shared" si="185"/>
      </c>
      <c r="Q133" s="23">
        <f t="shared" si="109"/>
      </c>
      <c r="R133" s="22">
        <f t="shared" si="71"/>
      </c>
      <c r="S133" s="24">
        <f t="shared" si="261"/>
      </c>
      <c r="T133" s="22">
        <f t="shared" si="204"/>
      </c>
      <c r="U133" s="25">
        <f t="shared" si="128"/>
      </c>
      <c r="V133" s="26" t="s">
        <v>36</v>
      </c>
      <c r="W133" s="26" t="s">
        <v>37</v>
      </c>
      <c r="X133" s="27">
        <v>0</v>
      </c>
      <c r="Y133" s="27">
        <v>4415</v>
      </c>
      <c r="Z133" s="27">
        <v>213</v>
      </c>
      <c r="AA133" s="27">
        <v>329</v>
      </c>
      <c r="AB133" s="27">
        <v>90</v>
      </c>
      <c r="AC133" s="27">
        <v>16</v>
      </c>
      <c r="AD133" s="28">
        <v>3</v>
      </c>
      <c r="AE133" s="28">
        <v>11</v>
      </c>
      <c r="AF133" s="7"/>
      <c r="AG133" s="7"/>
    </row>
    <row r="134">
      <c r="A134" s="15"/>
      <c r="B134" s="29" t="s">
        <v>39</v>
      </c>
      <c r="C134" s="17" t="s">
        <v>49</v>
      </c>
      <c r="D134" s="18">
        <f t="shared" si="4"/>
      </c>
      <c r="E134" s="17">
        <v>692.99</v>
      </c>
      <c r="F134" s="17">
        <v>366.54</v>
      </c>
      <c r="G134" s="17">
        <v>13.17</v>
      </c>
      <c r="H134" s="19">
        <v>4</v>
      </c>
      <c r="I134" s="17">
        <v>3580.5099999999998</v>
      </c>
      <c r="J134" s="20">
        <f t="shared" si="223"/>
      </c>
      <c r="K134" s="21">
        <f t="shared" si="147"/>
      </c>
      <c r="L134" s="22">
        <f t="shared" si="90"/>
      </c>
      <c r="M134" s="23">
        <f t="shared" si="166"/>
      </c>
      <c r="N134" s="23">
        <f t="shared" si="52"/>
      </c>
      <c r="O134" s="22">
        <f t="shared" si="242"/>
      </c>
      <c r="P134" s="23">
        <f t="shared" si="185"/>
      </c>
      <c r="Q134" s="23">
        <f t="shared" si="109"/>
      </c>
      <c r="R134" s="22">
        <f t="shared" si="71"/>
      </c>
      <c r="S134" s="24">
        <f t="shared" si="261"/>
      </c>
      <c r="T134" s="22">
        <f t="shared" si="204"/>
      </c>
      <c r="U134" s="25">
        <f t="shared" si="128"/>
      </c>
      <c r="V134" s="26" t="s">
        <v>36</v>
      </c>
      <c r="W134" s="26" t="s">
        <v>37</v>
      </c>
      <c r="X134" s="28">
        <v>2</v>
      </c>
      <c r="Y134" s="27">
        <v>3294</v>
      </c>
      <c r="Z134" s="27">
        <v>303</v>
      </c>
      <c r="AA134" s="27">
        <v>485</v>
      </c>
      <c r="AB134" s="27">
        <v>153</v>
      </c>
      <c r="AC134" s="28">
        <v>9</v>
      </c>
      <c r="AD134" s="28">
        <v>4</v>
      </c>
      <c r="AE134" s="28">
        <v>10</v>
      </c>
      <c r="AF134" s="7"/>
      <c r="AG134" s="7"/>
    </row>
    <row r="135">
      <c r="A135" s="15"/>
      <c r="B135" s="29" t="s">
        <v>40</v>
      </c>
      <c r="C135" s="17" t="s">
        <v>49</v>
      </c>
      <c r="D135" s="18">
        <f t="shared" si="4"/>
      </c>
      <c r="E135" s="17">
        <v>604.25</v>
      </c>
      <c r="F135" s="17">
        <v>939.02</v>
      </c>
      <c r="G135" s="17">
        <v>64.47</v>
      </c>
      <c r="H135" s="19">
        <v>0</v>
      </c>
      <c r="I135" s="17">
        <v>0</v>
      </c>
      <c r="J135" s="20">
        <f t="shared" si="223"/>
      </c>
      <c r="K135" s="21">
        <f t="shared" si="147"/>
      </c>
      <c r="L135" s="22">
        <f t="shared" si="90"/>
      </c>
      <c r="M135" s="23">
        <f t="shared" si="166"/>
      </c>
      <c r="N135" s="23">
        <f t="shared" si="52"/>
      </c>
      <c r="O135" s="22">
        <f t="shared" si="242"/>
      </c>
      <c r="P135" s="23">
        <f t="shared" si="185"/>
      </c>
      <c r="Q135" s="23">
        <f t="shared" si="109"/>
      </c>
      <c r="R135" s="22">
        <f t="shared" si="71"/>
      </c>
      <c r="S135" s="24">
        <f t="shared" si="261"/>
      </c>
      <c r="T135" s="22">
        <f t="shared" si="204"/>
      </c>
      <c r="U135" s="25">
        <f t="shared" si="128"/>
      </c>
      <c r="V135" s="26" t="s">
        <v>36</v>
      </c>
      <c r="W135" s="26" t="s">
        <v>37</v>
      </c>
      <c r="X135" s="27">
        <v>0</v>
      </c>
      <c r="Y135" s="27">
        <v>3780</v>
      </c>
      <c r="Z135" s="27">
        <v>542</v>
      </c>
      <c r="AA135" s="27">
        <v>883</v>
      </c>
      <c r="AB135" s="27">
        <v>256</v>
      </c>
      <c r="AC135" s="27">
        <v>11</v>
      </c>
      <c r="AD135" s="28">
        <v>0</v>
      </c>
      <c r="AE135" s="28">
        <v>16</v>
      </c>
      <c r="AF135" s="7"/>
      <c r="AG135" s="7"/>
    </row>
    <row r="136">
      <c r="A136" s="15"/>
      <c r="B136" s="30" t="s">
        <v>41</v>
      </c>
      <c r="C136" s="30"/>
      <c r="D136" s="30">
        <f>SUM(D132:D135)</f>
      </c>
      <c r="E136" s="30">
        <f>SUM(E132:E135)</f>
      </c>
      <c r="F136" s="30">
        <f>SUM(F132:F135)</f>
      </c>
      <c r="G136" s="30">
        <f>SUM(G132:G135)</f>
      </c>
      <c r="H136" s="30">
        <f>SUM(H132:H135)</f>
      </c>
      <c r="I136" s="30">
        <f>SUM(I132:I135)</f>
      </c>
      <c r="J136" s="31">
        <f t="shared" si="223"/>
      </c>
      <c r="K136" s="32">
        <f t="shared" si="147"/>
      </c>
      <c r="L136" s="33">
        <f t="shared" si="90"/>
      </c>
      <c r="M136" s="34">
        <f t="shared" si="166"/>
      </c>
      <c r="N136" s="34">
        <f t="shared" si="52"/>
      </c>
      <c r="O136" s="33">
        <f t="shared" si="242"/>
      </c>
      <c r="P136" s="34">
        <f t="shared" si="185"/>
      </c>
      <c r="Q136" s="34">
        <f t="shared" si="109"/>
      </c>
      <c r="R136" s="33">
        <f t="shared" si="71"/>
      </c>
      <c r="S136" s="35">
        <f t="shared" si="261"/>
      </c>
      <c r="T136" s="33">
        <f t="shared" si="204"/>
      </c>
      <c r="U136" s="36">
        <f t="shared" si="128"/>
      </c>
      <c r="V136" s="36"/>
      <c r="W136" s="36"/>
      <c r="X136" s="30">
        <f>SUM(X132:X135)</f>
      </c>
      <c r="Y136" s="30">
        <f>SUM(Y132:Y135)</f>
      </c>
      <c r="Z136" s="30">
        <f>SUM(Z132:Z135)</f>
      </c>
      <c r="AA136" s="30">
        <f>SUM(AA132:AA135)</f>
      </c>
      <c r="AB136" s="30">
        <f>SUM(AB132:AB135)</f>
      </c>
      <c r="AC136" s="30">
        <f>SUM(AC132:AC135)</f>
      </c>
      <c r="AD136" s="30">
        <f>SUM(AD132:AD135)</f>
      </c>
      <c r="AE136" s="30">
        <f>SUM(AE132:AE135)</f>
      </c>
      <c r="AF136" s="7"/>
      <c r="AG136" s="7"/>
    </row>
    <row r="137">
      <c r="A137" s="15"/>
      <c r="B137" s="17" t="s">
        <v>42</v>
      </c>
      <c r="C137" s="17" t="s">
        <v>43</v>
      </c>
      <c r="D137" s="18">
        <f t="shared" ref="D137:D140" si="5">E137+F137+G137</f>
      </c>
      <c r="E137" s="17">
        <v>1175.38</v>
      </c>
      <c r="F137" s="17">
        <v>526.43</v>
      </c>
      <c r="G137" s="17">
        <v>224.47</v>
      </c>
      <c r="H137" s="19">
        <v>2</v>
      </c>
      <c r="I137" s="17">
        <v>1134.6999999999998</v>
      </c>
      <c r="J137" s="20">
        <f t="shared" si="223"/>
      </c>
      <c r="K137" s="21">
        <f t="shared" si="147"/>
      </c>
      <c r="L137" s="22">
        <f t="shared" si="90"/>
      </c>
      <c r="M137" s="23">
        <f t="shared" si="166"/>
      </c>
      <c r="N137" s="23">
        <f t="shared" si="52"/>
      </c>
      <c r="O137" s="22">
        <f t="shared" si="242"/>
      </c>
      <c r="P137" s="23">
        <f t="shared" si="185"/>
      </c>
      <c r="Q137" s="23">
        <f t="shared" si="109"/>
      </c>
      <c r="R137" s="22">
        <f t="shared" si="71"/>
      </c>
      <c r="S137" s="24">
        <f t="shared" si="261"/>
      </c>
      <c r="T137" s="22">
        <f t="shared" si="204"/>
      </c>
      <c r="U137" s="25">
        <f t="shared" si="128"/>
      </c>
      <c r="V137" s="44" t="s">
        <v>36</v>
      </c>
      <c r="W137" s="26" t="s">
        <v>37</v>
      </c>
      <c r="X137" s="27">
        <v>1</v>
      </c>
      <c r="Y137" s="27">
        <v>5248</v>
      </c>
      <c r="Z137" s="27">
        <v>303</v>
      </c>
      <c r="AA137" s="27">
        <v>555</v>
      </c>
      <c r="AB137" s="27">
        <v>164</v>
      </c>
      <c r="AC137" s="27">
        <v>31</v>
      </c>
      <c r="AD137" s="28">
        <v>2</v>
      </c>
      <c r="AE137" s="28">
        <v>16</v>
      </c>
      <c r="AF137" s="7"/>
      <c r="AG137" s="7"/>
    </row>
    <row r="138">
      <c r="A138" s="15"/>
      <c r="B138" s="18" t="s">
        <v>44</v>
      </c>
      <c r="C138" s="17" t="s">
        <v>43</v>
      </c>
      <c r="D138" s="18">
        <f t="shared" si="5"/>
      </c>
      <c r="E138" s="18">
        <v>1381.83</v>
      </c>
      <c r="F138" s="18">
        <v>307</v>
      </c>
      <c r="G138" s="17">
        <v>440.47</v>
      </c>
      <c r="H138" s="19">
        <v>0</v>
      </c>
      <c r="I138" s="17">
        <v>0</v>
      </c>
      <c r="J138" s="20">
        <f t="shared" si="223"/>
      </c>
      <c r="K138" s="21">
        <f t="shared" si="147"/>
      </c>
      <c r="L138" s="22">
        <f t="shared" si="90"/>
      </c>
      <c r="M138" s="23">
        <f t="shared" si="166"/>
      </c>
      <c r="N138" s="23">
        <f t="shared" si="52"/>
      </c>
      <c r="O138" s="22">
        <f t="shared" si="242"/>
      </c>
      <c r="P138" s="23">
        <f t="shared" si="185"/>
      </c>
      <c r="Q138" s="23">
        <f t="shared" si="109"/>
      </c>
      <c r="R138" s="22">
        <f t="shared" si="71"/>
      </c>
      <c r="S138" s="24">
        <f t="shared" si="261"/>
      </c>
      <c r="T138" s="22">
        <f t="shared" si="204"/>
      </c>
      <c r="U138" s="25">
        <f t="shared" si="128"/>
      </c>
      <c r="V138" s="44" t="s">
        <v>36</v>
      </c>
      <c r="W138" s="26" t="s">
        <v>37</v>
      </c>
      <c r="X138" s="27">
        <v>0</v>
      </c>
      <c r="Y138" s="27">
        <v>8452</v>
      </c>
      <c r="Z138" s="27">
        <v>325</v>
      </c>
      <c r="AA138" s="27">
        <v>484</v>
      </c>
      <c r="AB138" s="27">
        <v>121</v>
      </c>
      <c r="AC138" s="27">
        <v>40</v>
      </c>
      <c r="AD138" s="28">
        <v>2</v>
      </c>
      <c r="AE138" s="28">
        <v>17</v>
      </c>
      <c r="AF138" s="7"/>
      <c r="AG138" s="7"/>
    </row>
    <row r="139">
      <c r="A139" s="15"/>
      <c r="B139" s="18" t="s">
        <v>45</v>
      </c>
      <c r="C139" s="17" t="s">
        <v>43</v>
      </c>
      <c r="D139" s="18">
        <f t="shared" si="5"/>
      </c>
      <c r="E139" s="18">
        <v>1283.07</v>
      </c>
      <c r="F139" s="17">
        <v>366.14</v>
      </c>
      <c r="G139" s="17">
        <v>820.04</v>
      </c>
      <c r="H139" s="19">
        <v>1</v>
      </c>
      <c r="I139" s="17">
        <v>1027.6800000000003</v>
      </c>
      <c r="J139" s="20">
        <f t="shared" si="223"/>
      </c>
      <c r="K139" s="21">
        <f t="shared" si="147"/>
      </c>
      <c r="L139" s="22">
        <f t="shared" si="90"/>
      </c>
      <c r="M139" s="23">
        <f t="shared" si="166"/>
      </c>
      <c r="N139" s="23">
        <f t="shared" si="52"/>
      </c>
      <c r="O139" s="22">
        <f t="shared" si="242"/>
      </c>
      <c r="P139" s="23">
        <f t="shared" si="185"/>
      </c>
      <c r="Q139" s="23">
        <f t="shared" si="109"/>
      </c>
      <c r="R139" s="22">
        <f t="shared" si="71"/>
      </c>
      <c r="S139" s="24">
        <f t="shared" si="261"/>
      </c>
      <c r="T139" s="22">
        <f t="shared" si="204"/>
      </c>
      <c r="U139" s="25">
        <f t="shared" si="128"/>
      </c>
      <c r="V139" s="44" t="s">
        <v>36</v>
      </c>
      <c r="W139" s="26" t="s">
        <v>37</v>
      </c>
      <c r="X139" s="28">
        <v>1</v>
      </c>
      <c r="Y139" s="27">
        <v>9412</v>
      </c>
      <c r="Z139" s="27">
        <v>382</v>
      </c>
      <c r="AA139" s="27">
        <v>627</v>
      </c>
      <c r="AB139" s="27">
        <v>141</v>
      </c>
      <c r="AC139" s="27">
        <v>38</v>
      </c>
      <c r="AD139" s="28">
        <v>1</v>
      </c>
      <c r="AE139" s="28">
        <v>12</v>
      </c>
      <c r="AF139" s="7"/>
      <c r="AG139" s="7"/>
    </row>
    <row r="140">
      <c r="A140" s="15"/>
      <c r="B140" s="18" t="s">
        <v>46</v>
      </c>
      <c r="C140" s="17" t="s">
        <v>43</v>
      </c>
      <c r="D140" s="18">
        <f t="shared" si="5"/>
      </c>
      <c r="E140" s="18">
        <v>607.9</v>
      </c>
      <c r="F140" s="18">
        <v>154.25</v>
      </c>
      <c r="G140" s="17">
        <v>153.33</v>
      </c>
      <c r="H140" s="19">
        <v>0</v>
      </c>
      <c r="I140" s="17">
        <v>0</v>
      </c>
      <c r="J140" s="20">
        <f t="shared" si="223"/>
      </c>
      <c r="K140" s="21">
        <f t="shared" si="147"/>
      </c>
      <c r="L140" s="22">
        <f t="shared" si="90"/>
      </c>
      <c r="M140" s="23">
        <f t="shared" si="166"/>
      </c>
      <c r="N140" s="23">
        <f t="shared" si="52"/>
      </c>
      <c r="O140" s="22">
        <f t="shared" si="242"/>
      </c>
      <c r="P140" s="23">
        <f t="shared" si="185"/>
      </c>
      <c r="Q140" s="23">
        <f t="shared" si="109"/>
      </c>
      <c r="R140" s="22">
        <f t="shared" si="71"/>
      </c>
      <c r="S140" s="24">
        <f t="shared" si="261"/>
      </c>
      <c r="T140" s="22">
        <f t="shared" si="204"/>
      </c>
      <c r="U140" s="25">
        <f t="shared" si="128"/>
      </c>
      <c r="V140" s="44" t="s">
        <v>36</v>
      </c>
      <c r="W140" s="26" t="s">
        <v>37</v>
      </c>
      <c r="X140" s="28">
        <v>0</v>
      </c>
      <c r="Y140" s="27">
        <v>3814</v>
      </c>
      <c r="Z140" s="27">
        <v>154</v>
      </c>
      <c r="AA140" s="27">
        <v>266</v>
      </c>
      <c r="AB140" s="27">
        <v>62</v>
      </c>
      <c r="AC140" s="27">
        <v>12</v>
      </c>
      <c r="AD140" s="28">
        <v>1</v>
      </c>
      <c r="AE140" s="28">
        <v>4</v>
      </c>
      <c r="AF140" s="7"/>
      <c r="AG140" s="7"/>
    </row>
    <row r="141">
      <c r="A141" s="15"/>
      <c r="B141" s="30" t="s">
        <v>41</v>
      </c>
      <c r="C141" s="30"/>
      <c r="D141" s="30">
        <f>SUM(D137:D140)</f>
      </c>
      <c r="E141" s="30">
        <f>SUM(E137:E140)</f>
      </c>
      <c r="F141" s="30">
        <f>SUM(F137:F140)</f>
      </c>
      <c r="G141" s="30">
        <f>SUM(G137:G140)</f>
      </c>
      <c r="H141" s="30">
        <f>SUM(H137:H140)</f>
      </c>
      <c r="I141" s="30">
        <f>SUM(I137:I140)</f>
      </c>
      <c r="J141" s="31">
        <f t="shared" si="223"/>
      </c>
      <c r="K141" s="32">
        <f t="shared" si="147"/>
      </c>
      <c r="L141" s="33">
        <f t="shared" si="90"/>
      </c>
      <c r="M141" s="34">
        <f t="shared" si="166"/>
      </c>
      <c r="N141" s="34">
        <f t="shared" si="52"/>
      </c>
      <c r="O141" s="33">
        <f t="shared" si="242"/>
      </c>
      <c r="P141" s="34">
        <f t="shared" si="185"/>
      </c>
      <c r="Q141" s="34">
        <f t="shared" si="109"/>
      </c>
      <c r="R141" s="33">
        <f t="shared" si="71"/>
      </c>
      <c r="S141" s="35">
        <f t="shared" si="261"/>
      </c>
      <c r="T141" s="33">
        <f t="shared" si="204"/>
      </c>
      <c r="U141" s="36">
        <f t="shared" si="128"/>
      </c>
      <c r="V141" s="36"/>
      <c r="W141" s="36"/>
      <c r="X141" s="30">
        <f>SUM(X137:X140)</f>
      </c>
      <c r="Y141" s="30">
        <f>SUM(Y137:Y140)</f>
      </c>
      <c r="Z141" s="30">
        <f>SUM(Z137:Z140)</f>
      </c>
      <c r="AA141" s="30">
        <f>SUM(AA137:AA140)</f>
      </c>
      <c r="AB141" s="30">
        <f>SUM(AB137:AB140)</f>
      </c>
      <c r="AC141" s="30">
        <f>SUM(AC137:AC140)</f>
      </c>
      <c r="AD141" s="30">
        <f>SUM(AD137:AD140)</f>
      </c>
      <c r="AE141" s="30">
        <f>SUM(AE137:AE140)</f>
      </c>
      <c r="AF141" s="7"/>
      <c r="AG141" s="7"/>
    </row>
    <row r="142">
      <c r="A142" s="15"/>
      <c r="B142" s="37" t="s">
        <v>47</v>
      </c>
      <c r="C142" s="37"/>
      <c r="D142" s="38">
        <f>D136+D141</f>
      </c>
      <c r="E142" s="38">
        <f>E136+E141</f>
      </c>
      <c r="F142" s="38">
        <f>F136+F141</f>
      </c>
      <c r="G142" s="38">
        <f>G136+G141</f>
      </c>
      <c r="H142" s="38">
        <f>H136+H141</f>
      </c>
      <c r="I142" s="38">
        <f>I136+I141</f>
      </c>
      <c r="J142" s="38">
        <f t="shared" si="223"/>
      </c>
      <c r="K142" s="39">
        <f t="shared" si="147"/>
      </c>
      <c r="L142" s="38">
        <f t="shared" si="90"/>
      </c>
      <c r="M142" s="40">
        <f t="shared" si="166"/>
      </c>
      <c r="N142" s="40">
        <f t="shared" si="52"/>
      </c>
      <c r="O142" s="38">
        <f t="shared" si="242"/>
      </c>
      <c r="P142" s="40">
        <f t="shared" si="185"/>
      </c>
      <c r="Q142" s="40">
        <f t="shared" si="109"/>
      </c>
      <c r="R142" s="38">
        <f t="shared" si="71"/>
      </c>
      <c r="S142" s="41">
        <f t="shared" si="261"/>
      </c>
      <c r="T142" s="38">
        <f t="shared" si="204"/>
      </c>
      <c r="U142" s="42">
        <f t="shared" si="128"/>
      </c>
      <c r="V142" s="42"/>
      <c r="W142" s="42"/>
      <c r="X142" s="43">
        <f>X136+X141</f>
      </c>
      <c r="Y142" s="43">
        <f>Y136+Y141</f>
      </c>
      <c r="Z142" s="43">
        <f>Z136+Z141</f>
      </c>
      <c r="AA142" s="43">
        <f>AA136+AA141</f>
      </c>
      <c r="AB142" s="43">
        <f>AB136+AB141</f>
      </c>
      <c r="AC142" s="43">
        <f>AC136+AC141</f>
      </c>
      <c r="AD142" s="43">
        <f>AD136+AD141</f>
      </c>
      <c r="AE142" s="43">
        <f>AE136+AE141</f>
      </c>
      <c r="AF142" s="7"/>
      <c r="AG142" s="7"/>
    </row>
    <row r="143">
      <c r="A143" s="46" t="s">
        <v>1</v>
      </c>
      <c r="B143" s="46"/>
      <c r="C143" s="46"/>
      <c r="D143" s="47" t="s">
        <v>2</v>
      </c>
      <c r="E143" s="47"/>
      <c r="F143" s="47"/>
      <c r="G143" s="47"/>
      <c r="H143" s="47"/>
      <c r="I143" s="47"/>
      <c r="J143" s="47"/>
      <c r="K143" s="48" t="s">
        <v>3</v>
      </c>
      <c r="L143" s="48"/>
      <c r="M143" s="48"/>
      <c r="N143" s="48"/>
      <c r="O143" s="48"/>
      <c r="P143" s="48"/>
      <c r="Q143" s="48"/>
      <c r="R143" s="48"/>
      <c r="S143" s="48"/>
      <c r="T143" s="48"/>
      <c r="U143" s="49"/>
      <c r="V143" s="49"/>
      <c r="W143" s="49"/>
      <c r="X143" s="50"/>
      <c r="Y143" s="50"/>
      <c r="Z143" s="50"/>
      <c r="AA143" s="50"/>
      <c r="AB143" s="50"/>
      <c r="AC143" s="50"/>
      <c r="AD143" s="50"/>
      <c r="AE143" s="51" t="s">
        <v>4</v>
      </c>
      <c r="AF143" s="7"/>
      <c r="AG143" s="7"/>
    </row>
    <row r="144">
      <c r="A144" s="46" t="s">
        <v>5</v>
      </c>
      <c r="B144" s="46" t="s">
        <v>6</v>
      </c>
      <c r="C144" s="46" t="s">
        <v>7</v>
      </c>
      <c r="D144" s="47" t="s">
        <v>8</v>
      </c>
      <c r="E144" s="52" t="s">
        <v>9</v>
      </c>
      <c r="F144" s="52" t="s">
        <v>10</v>
      </c>
      <c r="G144" s="52" t="s">
        <v>50</v>
      </c>
      <c r="H144" s="53" t="s">
        <v>11</v>
      </c>
      <c r="I144" s="54" t="s">
        <v>12</v>
      </c>
      <c r="J144" s="52" t="s">
        <v>13</v>
      </c>
      <c r="K144" s="48" t="s">
        <v>14</v>
      </c>
      <c r="L144" s="55" t="s">
        <v>15</v>
      </c>
      <c r="M144" s="56" t="s">
        <v>16</v>
      </c>
      <c r="N144" s="56" t="s">
        <v>17</v>
      </c>
      <c r="O144" s="55" t="s">
        <v>18</v>
      </c>
      <c r="P144" s="56" t="s">
        <v>19</v>
      </c>
      <c r="Q144" s="56" t="s">
        <v>20</v>
      </c>
      <c r="R144" s="55" t="s">
        <v>21</v>
      </c>
      <c r="S144" s="56" t="s">
        <v>22</v>
      </c>
      <c r="T144" s="55" t="s">
        <v>23</v>
      </c>
      <c r="U144" s="57" t="s">
        <v>24</v>
      </c>
      <c r="V144" s="57" t="s">
        <v>25</v>
      </c>
      <c r="W144" s="57" t="s">
        <v>26</v>
      </c>
      <c r="X144" s="58" t="s">
        <v>27</v>
      </c>
      <c r="Y144" s="59" t="s">
        <v>28</v>
      </c>
      <c r="Z144" s="59" t="s">
        <v>29</v>
      </c>
      <c r="AA144" s="59" t="s">
        <v>30</v>
      </c>
      <c r="AB144" s="59" t="s">
        <v>31</v>
      </c>
      <c r="AC144" s="59" t="s">
        <v>32</v>
      </c>
      <c r="AD144" s="59" t="s">
        <v>33</v>
      </c>
      <c r="AE144" s="51"/>
      <c r="AF144" s="7"/>
      <c r="AG144" s="7"/>
    </row>
    <row r="145">
      <c r="A145" s="60">
        <v>46307</v>
      </c>
      <c r="B145" s="16" t="s">
        <v>34</v>
      </c>
      <c r="C145" s="29" t="s">
        <v>43</v>
      </c>
      <c r="D145" s="29">
        <f t="shared" ref="D145:D148" si="6">E145+F145+G145</f>
      </c>
      <c r="E145" s="29">
        <v>778.15</v>
      </c>
      <c r="F145" s="29">
        <v>362.68</v>
      </c>
      <c r="G145" s="61">
        <v>105.06</v>
      </c>
      <c r="H145" s="62">
        <v>0</v>
      </c>
      <c r="I145" s="61">
        <v>0</v>
      </c>
      <c r="J145" s="63">
        <f t="shared" ref="J145:J155" si="224">I145/D145</f>
      </c>
      <c r="K145" s="64">
        <f t="shared" ref="K145:K155" si="148">Z145/Y145</f>
      </c>
      <c r="L145" s="65">
        <f t="shared" ref="L145:L155" si="91">D145/AA145</f>
      </c>
      <c r="M145" s="66">
        <f t="shared" ref="M145:M155" si="167">AB145/AA145</f>
      </c>
      <c r="N145" s="66">
        <f t="shared" ref="N145:N155" si="53">AC145/AA145</f>
      </c>
      <c r="O145" s="65">
        <f t="shared" ref="O145:O155" si="243">D145/AC145</f>
      </c>
      <c r="P145" s="66">
        <f t="shared" ref="P145:P155" si="186">AD145/AC145</f>
      </c>
      <c r="Q145" s="66">
        <f t="shared" ref="Q145:Q155" si="110">H145/AD145</f>
      </c>
      <c r="R145" s="65">
        <f t="shared" ref="R145:R155" si="72">D145/H145</f>
      </c>
      <c r="S145" s="67">
        <f t="shared" ref="S145:S155" si="262">I145/H145</f>
      </c>
      <c r="T145" s="65">
        <f t="shared" ref="T145:T155" si="205">D145/X145</f>
      </c>
      <c r="U145" s="68">
        <f t="shared" ref="U145:U155" si="129">AE145*1000/D145</f>
      </c>
      <c r="V145" s="44" t="s">
        <v>36</v>
      </c>
      <c r="W145" s="44" t="s">
        <v>37</v>
      </c>
      <c r="X145" s="69">
        <v>0</v>
      </c>
      <c r="Y145" s="69">
        <v>3283</v>
      </c>
      <c r="Z145" s="69">
        <v>342</v>
      </c>
      <c r="AA145" s="69">
        <v>520</v>
      </c>
      <c r="AB145" s="69">
        <v>144</v>
      </c>
      <c r="AC145" s="69">
        <v>16</v>
      </c>
      <c r="AD145" s="70">
        <v>0</v>
      </c>
      <c r="AE145" s="70">
        <v>19</v>
      </c>
      <c r="AF145" s="7"/>
      <c r="AG145" s="7"/>
    </row>
    <row r="146">
      <c r="A146" s="71"/>
      <c r="B146" s="29" t="s">
        <v>38</v>
      </c>
      <c r="C146" s="29" t="s">
        <v>43</v>
      </c>
      <c r="D146" s="29">
        <f t="shared" si="6"/>
      </c>
      <c r="E146" s="72">
        <v>528.14</v>
      </c>
      <c r="F146" s="29">
        <v>675.57</v>
      </c>
      <c r="G146" s="61">
        <v>5.72</v>
      </c>
      <c r="H146" s="73">
        <v>1</v>
      </c>
      <c r="I146" s="29">
        <v>2602.8</v>
      </c>
      <c r="J146" s="63">
        <f t="shared" si="224"/>
      </c>
      <c r="K146" s="64">
        <f t="shared" si="148"/>
      </c>
      <c r="L146" s="65">
        <f t="shared" si="91"/>
      </c>
      <c r="M146" s="66">
        <f t="shared" si="167"/>
      </c>
      <c r="N146" s="66">
        <f t="shared" si="53"/>
      </c>
      <c r="O146" s="65">
        <f t="shared" si="243"/>
      </c>
      <c r="P146" s="66">
        <f t="shared" si="186"/>
      </c>
      <c r="Q146" s="66">
        <f t="shared" si="110"/>
      </c>
      <c r="R146" s="65">
        <f t="shared" si="72"/>
      </c>
      <c r="S146" s="67">
        <f t="shared" si="262"/>
      </c>
      <c r="T146" s="65">
        <f t="shared" si="205"/>
      </c>
      <c r="U146" s="68">
        <f t="shared" si="129"/>
      </c>
      <c r="V146" s="44" t="s">
        <v>36</v>
      </c>
      <c r="W146" s="44" t="s">
        <v>37</v>
      </c>
      <c r="X146" s="69">
        <v>1</v>
      </c>
      <c r="Y146" s="69">
        <v>2923</v>
      </c>
      <c r="Z146" s="69">
        <v>423</v>
      </c>
      <c r="AA146" s="69">
        <v>738</v>
      </c>
      <c r="AB146" s="69">
        <v>222</v>
      </c>
      <c r="AC146" s="69">
        <v>15</v>
      </c>
      <c r="AD146" s="70">
        <v>1</v>
      </c>
      <c r="AE146" s="69">
        <v>12</v>
      </c>
      <c r="AF146" s="7"/>
      <c r="AG146" s="7"/>
    </row>
    <row r="147">
      <c r="A147" s="71"/>
      <c r="B147" s="29" t="s">
        <v>39</v>
      </c>
      <c r="C147" s="29" t="s">
        <v>43</v>
      </c>
      <c r="D147" s="29">
        <f t="shared" si="6"/>
      </c>
      <c r="E147" s="29">
        <v>354.56</v>
      </c>
      <c r="F147" s="29">
        <v>920.77</v>
      </c>
      <c r="G147" s="61">
        <v>18.12</v>
      </c>
      <c r="H147" s="73">
        <v>1</v>
      </c>
      <c r="I147" s="29">
        <v>737.6399999999999</v>
      </c>
      <c r="J147" s="63">
        <f t="shared" si="224"/>
      </c>
      <c r="K147" s="64">
        <f t="shared" si="148"/>
      </c>
      <c r="L147" s="65">
        <f t="shared" si="91"/>
      </c>
      <c r="M147" s="66">
        <f t="shared" si="167"/>
      </c>
      <c r="N147" s="66">
        <f t="shared" si="53"/>
      </c>
      <c r="O147" s="65">
        <f t="shared" si="243"/>
      </c>
      <c r="P147" s="66">
        <f t="shared" si="186"/>
      </c>
      <c r="Q147" s="66">
        <f t="shared" si="110"/>
      </c>
      <c r="R147" s="65">
        <f t="shared" si="72"/>
      </c>
      <c r="S147" s="67">
        <f t="shared" si="262"/>
      </c>
      <c r="T147" s="65">
        <f t="shared" si="205"/>
      </c>
      <c r="U147" s="68">
        <f t="shared" si="129"/>
      </c>
      <c r="V147" s="44" t="s">
        <v>36</v>
      </c>
      <c r="W147" s="44" t="s">
        <v>37</v>
      </c>
      <c r="X147" s="69">
        <v>1</v>
      </c>
      <c r="Y147" s="69">
        <v>2580</v>
      </c>
      <c r="Z147" s="69">
        <v>332</v>
      </c>
      <c r="AA147" s="69">
        <v>631</v>
      </c>
      <c r="AB147" s="69">
        <v>196</v>
      </c>
      <c r="AC147" s="69">
        <v>17</v>
      </c>
      <c r="AD147" s="70">
        <v>1</v>
      </c>
      <c r="AE147" s="69">
        <v>12</v>
      </c>
      <c r="AF147" s="7"/>
      <c r="AG147" s="7"/>
    </row>
    <row r="148">
      <c r="A148" s="71"/>
      <c r="B148" s="29" t="s">
        <v>40</v>
      </c>
      <c r="C148" s="29" t="s">
        <v>43</v>
      </c>
      <c r="D148" s="29">
        <f t="shared" si="6"/>
      </c>
      <c r="E148" s="29">
        <v>834.41</v>
      </c>
      <c r="F148" s="29">
        <v>953.6</v>
      </c>
      <c r="G148" s="61">
        <v>605.88</v>
      </c>
      <c r="H148" s="73">
        <v>1</v>
      </c>
      <c r="I148" s="29">
        <v>942.8399999999997</v>
      </c>
      <c r="J148" s="63">
        <f t="shared" si="224"/>
      </c>
      <c r="K148" s="64">
        <f t="shared" si="148"/>
      </c>
      <c r="L148" s="65">
        <f t="shared" si="91"/>
      </c>
      <c r="M148" s="66">
        <f t="shared" si="167"/>
      </c>
      <c r="N148" s="66">
        <f t="shared" si="53"/>
      </c>
      <c r="O148" s="65">
        <f t="shared" si="243"/>
      </c>
      <c r="P148" s="66">
        <f t="shared" si="186"/>
      </c>
      <c r="Q148" s="66">
        <f t="shared" si="110"/>
      </c>
      <c r="R148" s="65">
        <f t="shared" si="72"/>
      </c>
      <c r="S148" s="67">
        <f t="shared" si="262"/>
      </c>
      <c r="T148" s="65">
        <f t="shared" si="205"/>
      </c>
      <c r="U148" s="68">
        <f t="shared" si="129"/>
      </c>
      <c r="V148" s="44" t="s">
        <v>36</v>
      </c>
      <c r="W148" s="44" t="s">
        <v>37</v>
      </c>
      <c r="X148" s="69">
        <v>1</v>
      </c>
      <c r="Y148" s="69">
        <v>6143</v>
      </c>
      <c r="Z148" s="69">
        <v>540</v>
      </c>
      <c r="AA148" s="69">
        <v>1100</v>
      </c>
      <c r="AB148" s="69">
        <v>244</v>
      </c>
      <c r="AC148" s="69">
        <v>38</v>
      </c>
      <c r="AD148" s="70">
        <v>2</v>
      </c>
      <c r="AE148" s="69">
        <v>23</v>
      </c>
      <c r="AF148" s="7"/>
      <c r="AG148" s="7"/>
    </row>
    <row r="149">
      <c r="A149" s="71"/>
      <c r="B149" s="74" t="s">
        <v>41</v>
      </c>
      <c r="C149" s="74"/>
      <c r="D149" s="74">
        <f>SUM(D145:D148)</f>
      </c>
      <c r="E149" s="74">
        <f>SUM(E145:E148)</f>
      </c>
      <c r="F149" s="74">
        <f>SUM(F145:F148)</f>
      </c>
      <c r="G149" s="74">
        <f>SUM(G145:G148)</f>
      </c>
      <c r="H149" s="74">
        <f>SUM(H145:H148)</f>
      </c>
      <c r="I149" s="74">
        <f>SUM(I145:I148)</f>
      </c>
      <c r="J149" s="75">
        <f t="shared" si="224"/>
      </c>
      <c r="K149" s="76">
        <f t="shared" si="148"/>
      </c>
      <c r="L149" s="77">
        <f t="shared" si="91"/>
      </c>
      <c r="M149" s="78">
        <f t="shared" si="167"/>
      </c>
      <c r="N149" s="78">
        <f t="shared" si="53"/>
      </c>
      <c r="O149" s="77">
        <f t="shared" si="243"/>
      </c>
      <c r="P149" s="78">
        <f t="shared" si="186"/>
      </c>
      <c r="Q149" s="78">
        <f t="shared" si="110"/>
      </c>
      <c r="R149" s="77">
        <f t="shared" si="72"/>
      </c>
      <c r="S149" s="79">
        <f t="shared" si="262"/>
      </c>
      <c r="T149" s="77">
        <f t="shared" si="205"/>
      </c>
      <c r="U149" s="80">
        <f t="shared" si="129"/>
      </c>
      <c r="V149" s="80"/>
      <c r="W149" s="80"/>
      <c r="X149" s="74">
        <f>SUM(X145:X148)</f>
      </c>
      <c r="Y149" s="74">
        <f>SUM(Y145:Y148)</f>
      </c>
      <c r="Z149" s="74">
        <f>SUM(Z145:Z148)</f>
      </c>
      <c r="AA149" s="74">
        <f>SUM(AA145:AA148)</f>
      </c>
      <c r="AB149" s="74">
        <f>SUM(AB145:AB148)</f>
      </c>
      <c r="AC149" s="74">
        <f>SUM(AC145:AC148)</f>
      </c>
      <c r="AD149" s="74">
        <f>SUM(AD145:AD148)</f>
      </c>
      <c r="AE149" s="74">
        <f>SUM(AE145:AE148)</f>
      </c>
      <c r="AF149" s="7"/>
      <c r="AG149" s="7"/>
    </row>
    <row r="150">
      <c r="A150" s="71"/>
      <c r="B150" s="29" t="s">
        <v>42</v>
      </c>
      <c r="C150" s="17" t="s">
        <v>48</v>
      </c>
      <c r="D150" s="29">
        <f t="shared" ref="D150:D153" si="7">E150+F150+G150</f>
      </c>
      <c r="E150" s="29">
        <v>774.96</v>
      </c>
      <c r="F150" s="29">
        <v>853.49</v>
      </c>
      <c r="G150" s="61">
        <v>963.41</v>
      </c>
      <c r="H150" s="62">
        <v>0</v>
      </c>
      <c r="I150" s="61">
        <v>0</v>
      </c>
      <c r="J150" s="63">
        <f t="shared" si="224"/>
      </c>
      <c r="K150" s="64">
        <f t="shared" si="148"/>
      </c>
      <c r="L150" s="65">
        <f t="shared" si="91"/>
      </c>
      <c r="M150" s="66">
        <f t="shared" si="167"/>
      </c>
      <c r="N150" s="66">
        <f t="shared" si="53"/>
      </c>
      <c r="O150" s="65">
        <f t="shared" si="243"/>
      </c>
      <c r="P150" s="66">
        <f t="shared" si="186"/>
      </c>
      <c r="Q150" s="66">
        <f t="shared" si="110"/>
      </c>
      <c r="R150" s="65">
        <f t="shared" si="72"/>
      </c>
      <c r="S150" s="67">
        <f t="shared" si="262"/>
      </c>
      <c r="T150" s="65">
        <f t="shared" si="205"/>
      </c>
      <c r="U150" s="68">
        <f t="shared" si="129"/>
      </c>
      <c r="V150" s="44" t="s">
        <v>36</v>
      </c>
      <c r="W150" s="44" t="s">
        <v>37</v>
      </c>
      <c r="X150" s="69">
        <v>0</v>
      </c>
      <c r="Y150" s="69">
        <v>7152</v>
      </c>
      <c r="Z150" s="69">
        <v>650</v>
      </c>
      <c r="AA150" s="69">
        <v>1301</v>
      </c>
      <c r="AB150" s="69">
        <v>292</v>
      </c>
      <c r="AC150" s="69">
        <v>41</v>
      </c>
      <c r="AD150" s="70">
        <v>1</v>
      </c>
      <c r="AE150" s="69">
        <v>25</v>
      </c>
      <c r="AF150" s="7"/>
      <c r="AG150" s="7"/>
    </row>
    <row r="151">
      <c r="A151" s="71"/>
      <c r="B151" s="29" t="s">
        <v>44</v>
      </c>
      <c r="C151" s="17" t="s">
        <v>48</v>
      </c>
      <c r="D151" s="29">
        <f t="shared" si="7"/>
      </c>
      <c r="E151" s="29">
        <v>614.48</v>
      </c>
      <c r="F151" s="29">
        <v>770.69</v>
      </c>
      <c r="G151" s="61">
        <v>377.11</v>
      </c>
      <c r="H151" s="62">
        <v>0</v>
      </c>
      <c r="I151" s="61">
        <v>0</v>
      </c>
      <c r="J151" s="63">
        <f t="shared" si="224"/>
      </c>
      <c r="K151" s="64">
        <f t="shared" si="148"/>
      </c>
      <c r="L151" s="65">
        <f t="shared" si="91"/>
      </c>
      <c r="M151" s="66">
        <f t="shared" si="167"/>
      </c>
      <c r="N151" s="66">
        <f t="shared" si="53"/>
      </c>
      <c r="O151" s="65">
        <f t="shared" si="243"/>
      </c>
      <c r="P151" s="66">
        <f t="shared" si="186"/>
      </c>
      <c r="Q151" s="66">
        <f t="shared" si="110"/>
      </c>
      <c r="R151" s="65">
        <f t="shared" si="72"/>
      </c>
      <c r="S151" s="67">
        <f t="shared" si="262"/>
      </c>
      <c r="T151" s="65">
        <f t="shared" si="205"/>
      </c>
      <c r="U151" s="68">
        <f t="shared" si="129"/>
      </c>
      <c r="V151" s="44" t="s">
        <v>36</v>
      </c>
      <c r="W151" s="44" t="s">
        <v>37</v>
      </c>
      <c r="X151" s="69">
        <v>0</v>
      </c>
      <c r="Y151" s="69">
        <v>3833</v>
      </c>
      <c r="Z151" s="69">
        <v>426</v>
      </c>
      <c r="AA151" s="69">
        <v>779</v>
      </c>
      <c r="AB151" s="69">
        <v>201</v>
      </c>
      <c r="AC151" s="69">
        <v>24</v>
      </c>
      <c r="AD151" s="70">
        <v>1</v>
      </c>
      <c r="AE151" s="70">
        <v>13</v>
      </c>
      <c r="AF151" s="7"/>
      <c r="AG151" s="7"/>
    </row>
    <row r="152">
      <c r="A152" s="71"/>
      <c r="B152" s="29" t="s">
        <v>45</v>
      </c>
      <c r="C152" s="17" t="s">
        <v>48</v>
      </c>
      <c r="D152" s="29">
        <f t="shared" si="7"/>
      </c>
      <c r="E152" s="29">
        <v>1056.49</v>
      </c>
      <c r="F152" s="29">
        <v>683.51</v>
      </c>
      <c r="G152" s="61">
        <v>8.99</v>
      </c>
      <c r="H152" s="62">
        <v>0</v>
      </c>
      <c r="I152" s="61">
        <v>0</v>
      </c>
      <c r="J152" s="63">
        <f t="shared" si="224"/>
      </c>
      <c r="K152" s="64">
        <f t="shared" si="148"/>
      </c>
      <c r="L152" s="65">
        <f t="shared" si="91"/>
      </c>
      <c r="M152" s="66">
        <f t="shared" si="167"/>
      </c>
      <c r="N152" s="66">
        <f t="shared" si="53"/>
      </c>
      <c r="O152" s="65">
        <f t="shared" si="243"/>
      </c>
      <c r="P152" s="66">
        <f t="shared" si="186"/>
      </c>
      <c r="Q152" s="66">
        <f t="shared" si="110"/>
      </c>
      <c r="R152" s="65">
        <f t="shared" si="72"/>
      </c>
      <c r="S152" s="67">
        <f t="shared" si="262"/>
      </c>
      <c r="T152" s="65">
        <f t="shared" si="205"/>
      </c>
      <c r="U152" s="68">
        <f t="shared" si="129"/>
      </c>
      <c r="V152" s="44" t="s">
        <v>36</v>
      </c>
      <c r="W152" s="44" t="s">
        <v>37</v>
      </c>
      <c r="X152" s="69">
        <v>0</v>
      </c>
      <c r="Y152" s="69">
        <v>4985</v>
      </c>
      <c r="Z152" s="69">
        <v>490</v>
      </c>
      <c r="AA152" s="69">
        <v>840</v>
      </c>
      <c r="AB152" s="69">
        <v>199</v>
      </c>
      <c r="AC152" s="69">
        <v>25</v>
      </c>
      <c r="AD152" s="70">
        <v>2</v>
      </c>
      <c r="AE152" s="69">
        <v>25</v>
      </c>
      <c r="AF152" s="7"/>
      <c r="AG152" s="7"/>
    </row>
    <row r="153">
      <c r="A153" s="71"/>
      <c r="B153" s="29" t="s">
        <v>46</v>
      </c>
      <c r="C153" s="17" t="s">
        <v>48</v>
      </c>
      <c r="D153" s="29">
        <f t="shared" si="7"/>
      </c>
      <c r="E153" s="29">
        <v>370.03</v>
      </c>
      <c r="F153" s="29">
        <v>262.12</v>
      </c>
      <c r="G153" s="61">
        <v>8.05</v>
      </c>
      <c r="H153" s="62">
        <v>0</v>
      </c>
      <c r="I153" s="61">
        <v>0</v>
      </c>
      <c r="J153" s="63">
        <f t="shared" si="224"/>
      </c>
      <c r="K153" s="64">
        <f t="shared" si="148"/>
      </c>
      <c r="L153" s="65">
        <f t="shared" si="91"/>
      </c>
      <c r="M153" s="66">
        <f t="shared" si="167"/>
      </c>
      <c r="N153" s="66">
        <f t="shared" si="53"/>
      </c>
      <c r="O153" s="65">
        <f t="shared" si="243"/>
      </c>
      <c r="P153" s="66">
        <f t="shared" si="186"/>
      </c>
      <c r="Q153" s="66">
        <f t="shared" si="110"/>
      </c>
      <c r="R153" s="65">
        <f t="shared" si="72"/>
      </c>
      <c r="S153" s="67">
        <f t="shared" si="262"/>
      </c>
      <c r="T153" s="65">
        <f t="shared" si="205"/>
      </c>
      <c r="U153" s="68">
        <f t="shared" si="129"/>
      </c>
      <c r="V153" s="44" t="s">
        <v>36</v>
      </c>
      <c r="W153" s="44" t="s">
        <v>37</v>
      </c>
      <c r="X153" s="69">
        <v>0</v>
      </c>
      <c r="Y153" s="69">
        <v>2222</v>
      </c>
      <c r="Z153" s="69">
        <v>171</v>
      </c>
      <c r="AA153" s="69">
        <v>296</v>
      </c>
      <c r="AB153" s="69">
        <v>67</v>
      </c>
      <c r="AC153" s="69">
        <v>18</v>
      </c>
      <c r="AD153" s="70">
        <v>1</v>
      </c>
      <c r="AE153" s="69">
        <v>5</v>
      </c>
      <c r="AF153" s="7"/>
      <c r="AG153" s="7"/>
    </row>
    <row r="154">
      <c r="A154" s="71"/>
      <c r="B154" s="74" t="s">
        <v>41</v>
      </c>
      <c r="C154" s="74"/>
      <c r="D154" s="74">
        <f>SUM(D150:D153)</f>
      </c>
      <c r="E154" s="74">
        <f>SUM(E150:E153)</f>
      </c>
      <c r="F154" s="74">
        <f>SUM(F150:F153)</f>
      </c>
      <c r="G154" s="74">
        <f>SUM(G150:G153)</f>
      </c>
      <c r="H154" s="74">
        <f>SUM(H150:H153)</f>
      </c>
      <c r="I154" s="74">
        <f>SUM(I150:I153)</f>
      </c>
      <c r="J154" s="75">
        <f t="shared" si="224"/>
      </c>
      <c r="K154" s="76">
        <f t="shared" si="148"/>
      </c>
      <c r="L154" s="77">
        <f t="shared" si="91"/>
      </c>
      <c r="M154" s="78">
        <f t="shared" si="167"/>
      </c>
      <c r="N154" s="78">
        <f t="shared" si="53"/>
      </c>
      <c r="O154" s="77">
        <f t="shared" si="243"/>
      </c>
      <c r="P154" s="78">
        <f t="shared" si="186"/>
      </c>
      <c r="Q154" s="78">
        <f t="shared" si="110"/>
      </c>
      <c r="R154" s="77">
        <f t="shared" si="72"/>
      </c>
      <c r="S154" s="79">
        <f t="shared" si="262"/>
      </c>
      <c r="T154" s="77">
        <f t="shared" si="205"/>
      </c>
      <c r="U154" s="80">
        <f t="shared" si="129"/>
      </c>
      <c r="V154" s="80"/>
      <c r="W154" s="80"/>
      <c r="X154" s="74">
        <f>SUM(X150:X153)</f>
      </c>
      <c r="Y154" s="74">
        <f>SUM(Y150:Y153)</f>
      </c>
      <c r="Z154" s="74">
        <f>SUM(Z150:Z153)</f>
      </c>
      <c r="AA154" s="74">
        <f>SUM(AA150:AA153)</f>
      </c>
      <c r="AB154" s="74">
        <f>SUM(AB150:AB153)</f>
      </c>
      <c r="AC154" s="74">
        <f>SUM(AC150:AC153)</f>
      </c>
      <c r="AD154" s="74">
        <f>SUM(AD150:AD153)</f>
      </c>
      <c r="AE154" s="74">
        <f>SUM(AE150:AE153)</f>
      </c>
      <c r="AF154" s="7"/>
      <c r="AG154" s="7"/>
    </row>
    <row r="155">
      <c r="A155" s="71"/>
      <c r="B155" s="81" t="s">
        <v>47</v>
      </c>
      <c r="C155" s="81"/>
      <c r="D155" s="82">
        <f>D149+D154</f>
      </c>
      <c r="E155" s="82">
        <f>E149+E154</f>
      </c>
      <c r="F155" s="82">
        <f>F149+F154</f>
      </c>
      <c r="G155" s="82">
        <f>G149+G154</f>
      </c>
      <c r="H155" s="82">
        <f>H149+H154</f>
      </c>
      <c r="I155" s="82">
        <f>I149+I154</f>
      </c>
      <c r="J155" s="82">
        <f t="shared" si="224"/>
      </c>
      <c r="K155" s="83">
        <f t="shared" si="148"/>
      </c>
      <c r="L155" s="82">
        <f t="shared" si="91"/>
      </c>
      <c r="M155" s="84">
        <f t="shared" si="167"/>
      </c>
      <c r="N155" s="84">
        <f t="shared" si="53"/>
      </c>
      <c r="O155" s="82">
        <f t="shared" si="243"/>
      </c>
      <c r="P155" s="84">
        <f t="shared" si="186"/>
      </c>
      <c r="Q155" s="84">
        <f t="shared" si="110"/>
      </c>
      <c r="R155" s="82">
        <f t="shared" si="72"/>
      </c>
      <c r="S155" s="85">
        <f t="shared" si="262"/>
      </c>
      <c r="T155" s="82">
        <f t="shared" si="205"/>
      </c>
      <c r="U155" s="86">
        <f t="shared" si="129"/>
      </c>
      <c r="V155" s="86"/>
      <c r="W155" s="86"/>
      <c r="X155" s="87">
        <f>X149+X154</f>
      </c>
      <c r="Y155" s="87">
        <f>Y149+Y154</f>
      </c>
      <c r="Z155" s="87">
        <f>Z149+Z154</f>
      </c>
      <c r="AA155" s="87">
        <f>AA149+AA154</f>
      </c>
      <c r="AB155" s="87">
        <f>AB149+AB154</f>
      </c>
      <c r="AC155" s="87">
        <f>AC149+AC154</f>
      </c>
      <c r="AD155" s="87">
        <f>AD149+AD154</f>
      </c>
      <c r="AE155" s="87">
        <f>AE149+AE154</f>
      </c>
      <c r="AF155" s="7"/>
      <c r="AG155" s="7"/>
    </row>
    <row r="156">
      <c r="A156" s="46" t="s">
        <v>1</v>
      </c>
      <c r="B156" s="46"/>
      <c r="C156" s="46"/>
      <c r="D156" s="47" t="s">
        <v>2</v>
      </c>
      <c r="E156" s="47"/>
      <c r="F156" s="47"/>
      <c r="G156" s="47"/>
      <c r="H156" s="47"/>
      <c r="I156" s="47"/>
      <c r="J156" s="47"/>
      <c r="K156" s="48" t="s">
        <v>3</v>
      </c>
      <c r="L156" s="48"/>
      <c r="M156" s="48"/>
      <c r="N156" s="48"/>
      <c r="O156" s="48"/>
      <c r="P156" s="48"/>
      <c r="Q156" s="48"/>
      <c r="R156" s="48"/>
      <c r="S156" s="48"/>
      <c r="T156" s="48"/>
      <c r="U156" s="49"/>
      <c r="V156" s="49"/>
      <c r="W156" s="49"/>
      <c r="X156" s="50"/>
      <c r="Y156" s="50"/>
      <c r="Z156" s="50"/>
      <c r="AA156" s="50"/>
      <c r="AB156" s="50"/>
      <c r="AC156" s="50"/>
      <c r="AD156" s="50"/>
      <c r="AE156" s="51" t="s">
        <v>4</v>
      </c>
      <c r="AF156" s="7"/>
      <c r="AG156" s="7"/>
    </row>
    <row r="157">
      <c r="A157" s="46" t="s">
        <v>5</v>
      </c>
      <c r="B157" s="46" t="s">
        <v>6</v>
      </c>
      <c r="C157" s="46" t="s">
        <v>7</v>
      </c>
      <c r="D157" s="47" t="s">
        <v>8</v>
      </c>
      <c r="E157" s="52" t="s">
        <v>9</v>
      </c>
      <c r="F157" s="52" t="s">
        <v>10</v>
      </c>
      <c r="G157" s="52" t="s">
        <v>50</v>
      </c>
      <c r="H157" s="53" t="s">
        <v>11</v>
      </c>
      <c r="I157" s="54" t="s">
        <v>12</v>
      </c>
      <c r="J157" s="52" t="s">
        <v>13</v>
      </c>
      <c r="K157" s="48" t="s">
        <v>14</v>
      </c>
      <c r="L157" s="55" t="s">
        <v>15</v>
      </c>
      <c r="M157" s="56" t="s">
        <v>16</v>
      </c>
      <c r="N157" s="56" t="s">
        <v>17</v>
      </c>
      <c r="O157" s="55" t="s">
        <v>18</v>
      </c>
      <c r="P157" s="56" t="s">
        <v>19</v>
      </c>
      <c r="Q157" s="56" t="s">
        <v>20</v>
      </c>
      <c r="R157" s="55" t="s">
        <v>21</v>
      </c>
      <c r="S157" s="56" t="s">
        <v>22</v>
      </c>
      <c r="T157" s="55" t="s">
        <v>23</v>
      </c>
      <c r="U157" s="57" t="s">
        <v>24</v>
      </c>
      <c r="V157" s="57" t="s">
        <v>25</v>
      </c>
      <c r="W157" s="57" t="s">
        <v>26</v>
      </c>
      <c r="X157" s="58" t="s">
        <v>27</v>
      </c>
      <c r="Y157" s="59" t="s">
        <v>28</v>
      </c>
      <c r="Z157" s="59" t="s">
        <v>29</v>
      </c>
      <c r="AA157" s="59" t="s">
        <v>30</v>
      </c>
      <c r="AB157" s="59" t="s">
        <v>31</v>
      </c>
      <c r="AC157" s="59" t="s">
        <v>32</v>
      </c>
      <c r="AD157" s="59" t="s">
        <v>33</v>
      </c>
      <c r="AE157" s="51"/>
      <c r="AF157" s="7"/>
      <c r="AG157" s="7"/>
    </row>
    <row r="158">
      <c r="A158" s="60">
        <v>46308</v>
      </c>
      <c r="B158" s="16" t="s">
        <v>34</v>
      </c>
      <c r="C158" s="61" t="s">
        <v>49</v>
      </c>
      <c r="D158" s="29">
        <f t="shared" ref="D158:D161" si="8">E158+F158+G158</f>
      </c>
      <c r="E158" s="29">
        <v>1569.74</v>
      </c>
      <c r="F158" s="29">
        <v>510.96</v>
      </c>
      <c r="G158" s="61">
        <v>2.56</v>
      </c>
      <c r="H158" s="62">
        <v>0</v>
      </c>
      <c r="I158" s="61">
        <v>0</v>
      </c>
      <c r="J158" s="63">
        <f t="shared" ref="J158:J168" si="225">I158/D158</f>
      </c>
      <c r="K158" s="64">
        <f t="shared" ref="K158:K168" si="149">Z158/Y158</f>
      </c>
      <c r="L158" s="65">
        <f t="shared" ref="L158:L168" si="92">D158/AA158</f>
      </c>
      <c r="M158" s="66">
        <f t="shared" ref="M158:M168" si="168">AB158/AA158</f>
      </c>
      <c r="N158" s="66">
        <f t="shared" ref="N158:N168" si="54">AC158/AA158</f>
      </c>
      <c r="O158" s="65">
        <f t="shared" ref="O158:O168" si="244">D158/AC158</f>
      </c>
      <c r="P158" s="66">
        <f t="shared" ref="P158:P168" si="187">AD158/AC158</f>
      </c>
      <c r="Q158" s="66">
        <f t="shared" ref="Q158:Q168" si="111">H158/AD158</f>
      </c>
      <c r="R158" s="65">
        <f t="shared" ref="R158:R168" si="73">D158/H158</f>
      </c>
      <c r="S158" s="67">
        <f t="shared" ref="S158:S168" si="263">I158/H158</f>
      </c>
      <c r="T158" s="65">
        <f t="shared" ref="T158:T168" si="206">D158/X158</f>
      </c>
      <c r="U158" s="68">
        <f t="shared" ref="U158:U168" si="130">AE158*1000/D158</f>
      </c>
      <c r="V158" s="44" t="s">
        <v>36</v>
      </c>
      <c r="W158" s="44" t="s">
        <v>37</v>
      </c>
      <c r="X158" s="69">
        <v>0</v>
      </c>
      <c r="Y158" s="69">
        <v>6107</v>
      </c>
      <c r="Z158" s="69">
        <v>491</v>
      </c>
      <c r="AA158" s="69">
        <v>734</v>
      </c>
      <c r="AB158" s="69">
        <v>207</v>
      </c>
      <c r="AC158" s="69">
        <v>16</v>
      </c>
      <c r="AD158" s="70">
        <v>0</v>
      </c>
      <c r="AE158" s="70">
        <v>18</v>
      </c>
      <c r="AF158" s="7"/>
      <c r="AG158" s="7"/>
    </row>
    <row r="159">
      <c r="A159" s="60"/>
      <c r="B159" s="29" t="s">
        <v>38</v>
      </c>
      <c r="C159" s="61" t="s">
        <v>49</v>
      </c>
      <c r="D159" s="29">
        <f t="shared" si="8"/>
      </c>
      <c r="E159" s="72">
        <v>693.06</v>
      </c>
      <c r="F159" s="29">
        <v>387.92</v>
      </c>
      <c r="G159" s="61">
        <v>26.05</v>
      </c>
      <c r="H159" s="62">
        <v>0</v>
      </c>
      <c r="I159" s="61">
        <v>0</v>
      </c>
      <c r="J159" s="63">
        <f t="shared" si="225"/>
      </c>
      <c r="K159" s="64">
        <f t="shared" si="149"/>
      </c>
      <c r="L159" s="65">
        <f t="shared" si="92"/>
      </c>
      <c r="M159" s="66">
        <f t="shared" si="168"/>
      </c>
      <c r="N159" s="66">
        <f t="shared" si="54"/>
      </c>
      <c r="O159" s="65">
        <f t="shared" si="244"/>
      </c>
      <c r="P159" s="66">
        <f t="shared" si="187"/>
      </c>
      <c r="Q159" s="66">
        <f t="shared" si="111"/>
      </c>
      <c r="R159" s="65">
        <f t="shared" si="73"/>
      </c>
      <c r="S159" s="67">
        <f t="shared" si="263"/>
      </c>
      <c r="T159" s="65">
        <f t="shared" si="206"/>
      </c>
      <c r="U159" s="68">
        <f t="shared" si="130"/>
      </c>
      <c r="V159" s="44" t="s">
        <v>36</v>
      </c>
      <c r="W159" s="44" t="s">
        <v>37</v>
      </c>
      <c r="X159" s="69">
        <v>0</v>
      </c>
      <c r="Y159" s="69">
        <v>960</v>
      </c>
      <c r="Z159" s="69">
        <v>250</v>
      </c>
      <c r="AA159" s="69">
        <v>507</v>
      </c>
      <c r="AB159" s="69">
        <v>132</v>
      </c>
      <c r="AC159" s="69">
        <v>2</v>
      </c>
      <c r="AD159" s="70">
        <v>1</v>
      </c>
      <c r="AE159" s="69">
        <v>9</v>
      </c>
      <c r="AF159" s="7"/>
      <c r="AG159" s="7"/>
    </row>
    <row r="160">
      <c r="A160" s="60"/>
      <c r="B160" s="29" t="s">
        <v>39</v>
      </c>
      <c r="C160" s="61" t="s">
        <v>49</v>
      </c>
      <c r="D160" s="29">
        <f t="shared" si="8"/>
      </c>
      <c r="E160" s="29">
        <v>805.99</v>
      </c>
      <c r="F160" s="29">
        <v>438.18</v>
      </c>
      <c r="G160" s="61">
        <v>89.45</v>
      </c>
      <c r="H160" s="73">
        <v>1</v>
      </c>
      <c r="I160" s="29">
        <v>2885.04</v>
      </c>
      <c r="J160" s="63">
        <f t="shared" si="225"/>
      </c>
      <c r="K160" s="64">
        <f t="shared" si="149"/>
      </c>
      <c r="L160" s="65">
        <f t="shared" si="92"/>
      </c>
      <c r="M160" s="66">
        <f t="shared" si="168"/>
      </c>
      <c r="N160" s="66">
        <f t="shared" si="54"/>
      </c>
      <c r="O160" s="65">
        <f t="shared" si="244"/>
      </c>
      <c r="P160" s="66">
        <f t="shared" si="187"/>
      </c>
      <c r="Q160" s="66">
        <f t="shared" si="111"/>
      </c>
      <c r="R160" s="65">
        <f t="shared" si="73"/>
      </c>
      <c r="S160" s="67">
        <f t="shared" si="263"/>
      </c>
      <c r="T160" s="65">
        <f t="shared" si="206"/>
      </c>
      <c r="U160" s="68">
        <f t="shared" si="130"/>
      </c>
      <c r="V160" s="44" t="s">
        <v>36</v>
      </c>
      <c r="W160" s="44" t="s">
        <v>37</v>
      </c>
      <c r="X160" s="69">
        <v>0</v>
      </c>
      <c r="Y160" s="69">
        <v>4390</v>
      </c>
      <c r="Z160" s="69">
        <v>309</v>
      </c>
      <c r="AA160" s="69">
        <v>565</v>
      </c>
      <c r="AB160" s="69">
        <v>131</v>
      </c>
      <c r="AC160" s="69">
        <v>14</v>
      </c>
      <c r="AD160" s="70">
        <v>1</v>
      </c>
      <c r="AE160" s="69">
        <v>13</v>
      </c>
      <c r="AF160" s="7"/>
      <c r="AG160" s="7"/>
    </row>
    <row r="161">
      <c r="A161" s="60"/>
      <c r="B161" s="29" t="s">
        <v>40</v>
      </c>
      <c r="C161" s="61" t="s">
        <v>49</v>
      </c>
      <c r="D161" s="29">
        <f t="shared" si="8"/>
      </c>
      <c r="E161" s="29">
        <v>993.55</v>
      </c>
      <c r="F161" s="29">
        <v>611.32</v>
      </c>
      <c r="G161" s="61">
        <v>18.28</v>
      </c>
      <c r="H161" s="62">
        <v>0</v>
      </c>
      <c r="I161" s="61">
        <v>0</v>
      </c>
      <c r="J161" s="63">
        <f t="shared" si="225"/>
      </c>
      <c r="K161" s="64">
        <f t="shared" si="149"/>
      </c>
      <c r="L161" s="65">
        <f t="shared" si="92"/>
      </c>
      <c r="M161" s="66">
        <f t="shared" si="168"/>
      </c>
      <c r="N161" s="66">
        <f t="shared" si="54"/>
      </c>
      <c r="O161" s="65">
        <f t="shared" si="244"/>
      </c>
      <c r="P161" s="66">
        <f t="shared" si="187"/>
      </c>
      <c r="Q161" s="66">
        <f t="shared" si="111"/>
      </c>
      <c r="R161" s="65">
        <f t="shared" si="73"/>
      </c>
      <c r="S161" s="67">
        <f t="shared" si="263"/>
      </c>
      <c r="T161" s="65">
        <f t="shared" si="206"/>
      </c>
      <c r="U161" s="68">
        <f t="shared" si="130"/>
      </c>
      <c r="V161" s="44" t="s">
        <v>36</v>
      </c>
      <c r="W161" s="44" t="s">
        <v>37</v>
      </c>
      <c r="X161" s="69">
        <v>0</v>
      </c>
      <c r="Y161" s="69">
        <v>5565</v>
      </c>
      <c r="Z161" s="69">
        <v>443</v>
      </c>
      <c r="AA161" s="69">
        <v>735</v>
      </c>
      <c r="AB161" s="69">
        <v>199</v>
      </c>
      <c r="AC161" s="69">
        <v>9</v>
      </c>
      <c r="AD161" s="70">
        <v>0</v>
      </c>
      <c r="AE161" s="69">
        <v>11</v>
      </c>
      <c r="AF161" s="7"/>
      <c r="AG161" s="7"/>
    </row>
    <row r="162">
      <c r="A162" s="60"/>
      <c r="B162" s="74" t="s">
        <v>41</v>
      </c>
      <c r="C162" s="74"/>
      <c r="D162" s="74">
        <f>SUM(D158:D161)</f>
      </c>
      <c r="E162" s="74">
        <f>SUM(E158:E161)</f>
      </c>
      <c r="F162" s="74">
        <f>SUM(F158:F161)</f>
      </c>
      <c r="G162" s="74">
        <f>SUM(G158:G161)</f>
      </c>
      <c r="H162" s="74">
        <f>SUM(H158:H161)</f>
      </c>
      <c r="I162" s="74">
        <f>SUM(I158:I161)</f>
      </c>
      <c r="J162" s="75">
        <f t="shared" si="225"/>
      </c>
      <c r="K162" s="76">
        <f t="shared" si="149"/>
      </c>
      <c r="L162" s="77">
        <f t="shared" si="92"/>
      </c>
      <c r="M162" s="78">
        <f t="shared" si="168"/>
      </c>
      <c r="N162" s="78">
        <f t="shared" si="54"/>
      </c>
      <c r="O162" s="77">
        <f t="shared" si="244"/>
      </c>
      <c r="P162" s="78">
        <f t="shared" si="187"/>
      </c>
      <c r="Q162" s="78">
        <f t="shared" si="111"/>
      </c>
      <c r="R162" s="77">
        <f t="shared" si="73"/>
      </c>
      <c r="S162" s="79">
        <f t="shared" si="263"/>
      </c>
      <c r="T162" s="77">
        <f t="shared" si="206"/>
      </c>
      <c r="U162" s="80">
        <f t="shared" si="130"/>
      </c>
      <c r="V162" s="80"/>
      <c r="W162" s="80"/>
      <c r="X162" s="74">
        <f>SUM(X158:X161)</f>
      </c>
      <c r="Y162" s="74">
        <f>SUM(Y158:Y161)</f>
      </c>
      <c r="Z162" s="74">
        <f>SUM(Z158:Z161)</f>
      </c>
      <c r="AA162" s="74">
        <f>SUM(AA158:AA161)</f>
      </c>
      <c r="AB162" s="74">
        <f>SUM(AB158:AB161)</f>
      </c>
      <c r="AC162" s="74">
        <f>SUM(AC158:AC161)</f>
      </c>
      <c r="AD162" s="74">
        <f>SUM(AD158:AD161)</f>
      </c>
      <c r="AE162" s="74">
        <f>SUM(AE158:AE161)</f>
      </c>
      <c r="AF162" s="7"/>
      <c r="AG162" s="7"/>
    </row>
    <row r="163">
      <c r="A163" s="60"/>
      <c r="B163" s="29" t="s">
        <v>42</v>
      </c>
      <c r="C163" s="17" t="s">
        <v>43</v>
      </c>
      <c r="D163" s="29">
        <f t="shared" ref="D163:D166" si="9">E163+F163+G163</f>
      </c>
      <c r="E163" s="29">
        <v>1145.92</v>
      </c>
      <c r="F163" s="29">
        <v>548.53</v>
      </c>
      <c r="G163" s="61">
        <v>34.6</v>
      </c>
      <c r="H163" s="62">
        <v>2</v>
      </c>
      <c r="I163" s="61">
        <v>3709.08</v>
      </c>
      <c r="J163" s="63">
        <f t="shared" si="225"/>
      </c>
      <c r="K163" s="64">
        <f t="shared" si="149"/>
      </c>
      <c r="L163" s="65">
        <f t="shared" si="92"/>
      </c>
      <c r="M163" s="66">
        <f t="shared" si="168"/>
      </c>
      <c r="N163" s="66">
        <f t="shared" si="54"/>
      </c>
      <c r="O163" s="65">
        <f t="shared" si="244"/>
      </c>
      <c r="P163" s="66">
        <f t="shared" si="187"/>
      </c>
      <c r="Q163" s="66">
        <f t="shared" si="111"/>
      </c>
      <c r="R163" s="65">
        <f t="shared" si="73"/>
      </c>
      <c r="S163" s="67">
        <f t="shared" si="263"/>
      </c>
      <c r="T163" s="65">
        <f t="shared" si="206"/>
      </c>
      <c r="U163" s="68">
        <f t="shared" si="130"/>
      </c>
      <c r="V163" s="44" t="s">
        <v>36</v>
      </c>
      <c r="W163" s="44" t="s">
        <v>37</v>
      </c>
      <c r="X163" s="69">
        <v>1</v>
      </c>
      <c r="Y163" s="69">
        <v>5018</v>
      </c>
      <c r="Z163" s="69">
        <v>393</v>
      </c>
      <c r="AA163" s="69">
        <v>652</v>
      </c>
      <c r="AB163" s="69">
        <v>196</v>
      </c>
      <c r="AC163" s="69">
        <v>14</v>
      </c>
      <c r="AD163" s="70">
        <v>2</v>
      </c>
      <c r="AE163" s="69">
        <v>18</v>
      </c>
      <c r="AF163" s="7"/>
      <c r="AG163" s="7"/>
    </row>
    <row r="164">
      <c r="A164" s="60"/>
      <c r="B164" s="29" t="s">
        <v>44</v>
      </c>
      <c r="C164" s="17" t="s">
        <v>43</v>
      </c>
      <c r="D164" s="29">
        <f t="shared" si="9"/>
      </c>
      <c r="E164" s="29">
        <v>2276.55</v>
      </c>
      <c r="F164" s="29">
        <v>420.55</v>
      </c>
      <c r="G164" s="61">
        <v>31.39</v>
      </c>
      <c r="H164" s="62">
        <v>1</v>
      </c>
      <c r="I164" s="61">
        <v>1299.96</v>
      </c>
      <c r="J164" s="63">
        <f t="shared" si="225"/>
      </c>
      <c r="K164" s="64">
        <f t="shared" si="149"/>
      </c>
      <c r="L164" s="65">
        <f t="shared" si="92"/>
      </c>
      <c r="M164" s="66">
        <f t="shared" si="168"/>
      </c>
      <c r="N164" s="66">
        <f t="shared" si="54"/>
      </c>
      <c r="O164" s="65">
        <f t="shared" si="244"/>
      </c>
      <c r="P164" s="66">
        <f t="shared" si="187"/>
      </c>
      <c r="Q164" s="66">
        <f t="shared" si="111"/>
      </c>
      <c r="R164" s="65">
        <f t="shared" si="73"/>
      </c>
      <c r="S164" s="67">
        <f t="shared" si="263"/>
      </c>
      <c r="T164" s="65">
        <f t="shared" si="206"/>
      </c>
      <c r="U164" s="68">
        <f t="shared" si="130"/>
      </c>
      <c r="V164" s="44" t="s">
        <v>36</v>
      </c>
      <c r="W164" s="44" t="s">
        <v>37</v>
      </c>
      <c r="X164" s="69">
        <v>1</v>
      </c>
      <c r="Y164" s="69">
        <v>8492</v>
      </c>
      <c r="Z164" s="69">
        <v>589</v>
      </c>
      <c r="AA164" s="69">
        <v>1083</v>
      </c>
      <c r="AB164" s="69">
        <v>259</v>
      </c>
      <c r="AC164" s="69">
        <v>25</v>
      </c>
      <c r="AD164" s="70">
        <v>2</v>
      </c>
      <c r="AE164" s="70">
        <v>33</v>
      </c>
      <c r="AF164" s="7"/>
      <c r="AG164" s="7"/>
    </row>
    <row r="165">
      <c r="A165" s="60"/>
      <c r="B165" s="29" t="s">
        <v>45</v>
      </c>
      <c r="C165" s="17" t="s">
        <v>43</v>
      </c>
      <c r="D165" s="29">
        <f t="shared" si="9"/>
      </c>
      <c r="E165" s="29">
        <v>1403.36</v>
      </c>
      <c r="F165" s="29">
        <v>625.31</v>
      </c>
      <c r="G165" s="61">
        <v>86.65</v>
      </c>
      <c r="H165" s="62">
        <v>0</v>
      </c>
      <c r="I165" s="61">
        <v>0</v>
      </c>
      <c r="J165" s="63">
        <f t="shared" si="225"/>
      </c>
      <c r="K165" s="64">
        <f t="shared" si="149"/>
      </c>
      <c r="L165" s="65">
        <f t="shared" si="92"/>
      </c>
      <c r="M165" s="66">
        <f t="shared" si="168"/>
      </c>
      <c r="N165" s="66">
        <f t="shared" si="54"/>
      </c>
      <c r="O165" s="65">
        <f t="shared" si="244"/>
      </c>
      <c r="P165" s="66">
        <f t="shared" si="187"/>
      </c>
      <c r="Q165" s="66">
        <f t="shared" si="111"/>
      </c>
      <c r="R165" s="65">
        <f t="shared" si="73"/>
      </c>
      <c r="S165" s="67">
        <f t="shared" si="263"/>
      </c>
      <c r="T165" s="65">
        <f t="shared" si="206"/>
      </c>
      <c r="U165" s="68">
        <f t="shared" si="130"/>
      </c>
      <c r="V165" s="44" t="s">
        <v>36</v>
      </c>
      <c r="W165" s="44" t="s">
        <v>37</v>
      </c>
      <c r="X165" s="69">
        <v>0</v>
      </c>
      <c r="Y165" s="69">
        <v>6548</v>
      </c>
      <c r="Z165" s="69">
        <v>512</v>
      </c>
      <c r="AA165" s="69">
        <v>903</v>
      </c>
      <c r="AB165" s="69">
        <v>216</v>
      </c>
      <c r="AC165" s="69">
        <v>18</v>
      </c>
      <c r="AD165" s="70">
        <v>1</v>
      </c>
      <c r="AE165" s="69">
        <v>17</v>
      </c>
      <c r="AF165" s="7"/>
      <c r="AG165" s="7"/>
    </row>
    <row r="166">
      <c r="A166" s="60"/>
      <c r="B166" s="29" t="s">
        <v>46</v>
      </c>
      <c r="C166" s="17" t="s">
        <v>43</v>
      </c>
      <c r="D166" s="29">
        <f t="shared" si="9"/>
      </c>
      <c r="E166" s="29">
        <v>140.58</v>
      </c>
      <c r="F166" s="29">
        <v>596.01</v>
      </c>
      <c r="G166" s="61">
        <v>24.2</v>
      </c>
      <c r="H166" s="62">
        <v>0</v>
      </c>
      <c r="I166" s="61">
        <v>0</v>
      </c>
      <c r="J166" s="63">
        <f t="shared" si="225"/>
      </c>
      <c r="K166" s="64">
        <f t="shared" si="149"/>
      </c>
      <c r="L166" s="65">
        <f t="shared" si="92"/>
      </c>
      <c r="M166" s="66">
        <f t="shared" si="168"/>
      </c>
      <c r="N166" s="66">
        <f t="shared" si="54"/>
      </c>
      <c r="O166" s="65">
        <f t="shared" si="244"/>
      </c>
      <c r="P166" s="66">
        <f t="shared" si="187"/>
      </c>
      <c r="Q166" s="66">
        <f t="shared" si="111"/>
      </c>
      <c r="R166" s="65">
        <f t="shared" si="73"/>
      </c>
      <c r="S166" s="67">
        <f t="shared" si="263"/>
      </c>
      <c r="T166" s="65">
        <f t="shared" si="206"/>
      </c>
      <c r="U166" s="68">
        <f t="shared" si="130"/>
      </c>
      <c r="V166" s="44" t="s">
        <v>36</v>
      </c>
      <c r="W166" s="44" t="s">
        <v>37</v>
      </c>
      <c r="X166" s="69">
        <v>0</v>
      </c>
      <c r="Y166" s="69">
        <v>2285</v>
      </c>
      <c r="Z166" s="69">
        <v>203</v>
      </c>
      <c r="AA166" s="69">
        <v>415</v>
      </c>
      <c r="AB166" s="69">
        <v>108</v>
      </c>
      <c r="AC166" s="69">
        <v>12</v>
      </c>
      <c r="AD166" s="70">
        <v>3</v>
      </c>
      <c r="AE166" s="70">
        <v>8</v>
      </c>
      <c r="AF166" s="7"/>
      <c r="AG166" s="7"/>
    </row>
    <row r="167">
      <c r="A167" s="60"/>
      <c r="B167" s="74" t="s">
        <v>41</v>
      </c>
      <c r="C167" s="74"/>
      <c r="D167" s="74">
        <f>SUM(D163:D166)</f>
      </c>
      <c r="E167" s="74">
        <f>SUM(E163:E166)</f>
      </c>
      <c r="F167" s="74">
        <f>SUM(F163:F166)</f>
      </c>
      <c r="G167" s="74">
        <f>SUM(G163:G166)</f>
      </c>
      <c r="H167" s="74">
        <f>SUM(H163:H166)</f>
      </c>
      <c r="I167" s="74">
        <f>SUM(I163:I166)</f>
      </c>
      <c r="J167" s="75">
        <f t="shared" si="225"/>
      </c>
      <c r="K167" s="76">
        <f t="shared" si="149"/>
      </c>
      <c r="L167" s="77">
        <f t="shared" si="92"/>
      </c>
      <c r="M167" s="78">
        <f t="shared" si="168"/>
      </c>
      <c r="N167" s="78">
        <f t="shared" si="54"/>
      </c>
      <c r="O167" s="77">
        <f t="shared" si="244"/>
      </c>
      <c r="P167" s="78">
        <f t="shared" si="187"/>
      </c>
      <c r="Q167" s="78">
        <f t="shared" si="111"/>
      </c>
      <c r="R167" s="77">
        <f t="shared" si="73"/>
      </c>
      <c r="S167" s="79">
        <f t="shared" si="263"/>
      </c>
      <c r="T167" s="77">
        <f t="shared" si="206"/>
      </c>
      <c r="U167" s="80">
        <f t="shared" si="130"/>
      </c>
      <c r="V167" s="80"/>
      <c r="W167" s="80"/>
      <c r="X167" s="74">
        <f>SUM(X163:X166)</f>
      </c>
      <c r="Y167" s="74">
        <f>SUM(Y163:Y166)</f>
      </c>
      <c r="Z167" s="74">
        <f>SUM(Z163:Z166)</f>
      </c>
      <c r="AA167" s="74">
        <f>SUM(AA163:AA166)</f>
      </c>
      <c r="AB167" s="74">
        <f>SUM(AB163:AB166)</f>
      </c>
      <c r="AC167" s="74">
        <f>SUM(AC163:AC166)</f>
      </c>
      <c r="AD167" s="74">
        <f>SUM(AD163:AD166)</f>
      </c>
      <c r="AE167" s="74">
        <f>SUM(AE163:AE166)</f>
      </c>
      <c r="AF167" s="7"/>
      <c r="AG167" s="7"/>
    </row>
    <row r="168">
      <c r="A168" s="60"/>
      <c r="B168" s="81" t="s">
        <v>47</v>
      </c>
      <c r="C168" s="81"/>
      <c r="D168" s="82">
        <f>D162+D167</f>
      </c>
      <c r="E168" s="82">
        <f>E162+E167</f>
      </c>
      <c r="F168" s="82">
        <f>F162+F167</f>
      </c>
      <c r="G168" s="82">
        <f>G162+G167</f>
      </c>
      <c r="H168" s="82">
        <f>H162+H167</f>
      </c>
      <c r="I168" s="82">
        <f>I162+I167</f>
      </c>
      <c r="J168" s="82">
        <f t="shared" si="225"/>
      </c>
      <c r="K168" s="83">
        <f t="shared" si="149"/>
      </c>
      <c r="L168" s="82">
        <f t="shared" si="92"/>
      </c>
      <c r="M168" s="84">
        <f t="shared" si="168"/>
      </c>
      <c r="N168" s="84">
        <f t="shared" si="54"/>
      </c>
      <c r="O168" s="82">
        <f t="shared" si="244"/>
      </c>
      <c r="P168" s="84">
        <f t="shared" si="187"/>
      </c>
      <c r="Q168" s="84">
        <f t="shared" si="111"/>
      </c>
      <c r="R168" s="82">
        <f t="shared" si="73"/>
      </c>
      <c r="S168" s="85">
        <f t="shared" si="263"/>
      </c>
      <c r="T168" s="82">
        <f t="shared" si="206"/>
      </c>
      <c r="U168" s="86">
        <f t="shared" si="130"/>
      </c>
      <c r="V168" s="86"/>
      <c r="W168" s="86"/>
      <c r="X168" s="87">
        <f>X162+X167</f>
      </c>
      <c r="Y168" s="87">
        <f>Y162+Y167</f>
      </c>
      <c r="Z168" s="87">
        <f>Z162+Z167</f>
      </c>
      <c r="AA168" s="87">
        <f>AA162+AA167</f>
      </c>
      <c r="AB168" s="87">
        <f>AB162+AB167</f>
      </c>
      <c r="AC168" s="87">
        <f>AC162+AC167</f>
      </c>
      <c r="AD168" s="87">
        <f>AD162+AD167</f>
      </c>
      <c r="AE168" s="87">
        <f>AE162+AE167</f>
      </c>
      <c r="AF168" s="7"/>
      <c r="AG168" s="7"/>
    </row>
    <row r="169">
      <c r="A169" s="46" t="s">
        <v>1</v>
      </c>
      <c r="B169" s="46"/>
      <c r="C169" s="46"/>
      <c r="D169" s="47" t="s">
        <v>2</v>
      </c>
      <c r="E169" s="47"/>
      <c r="F169" s="47"/>
      <c r="G169" s="47"/>
      <c r="H169" s="47"/>
      <c r="I169" s="47"/>
      <c r="J169" s="47"/>
      <c r="K169" s="48" t="s">
        <v>3</v>
      </c>
      <c r="L169" s="48"/>
      <c r="M169" s="48"/>
      <c r="N169" s="48"/>
      <c r="O169" s="48"/>
      <c r="P169" s="48"/>
      <c r="Q169" s="48"/>
      <c r="R169" s="48"/>
      <c r="S169" s="48"/>
      <c r="T169" s="48"/>
      <c r="U169" s="49"/>
      <c r="V169" s="49"/>
      <c r="W169" s="49"/>
      <c r="X169" s="50"/>
      <c r="Y169" s="50"/>
      <c r="Z169" s="50"/>
      <c r="AA169" s="50"/>
      <c r="AB169" s="50"/>
      <c r="AC169" s="50"/>
      <c r="AD169" s="50"/>
      <c r="AE169" s="51" t="s">
        <v>4</v>
      </c>
      <c r="AF169" s="7"/>
      <c r="AG169" s="7"/>
    </row>
    <row r="170">
      <c r="A170" s="46" t="s">
        <v>5</v>
      </c>
      <c r="B170" s="46" t="s">
        <v>6</v>
      </c>
      <c r="C170" s="46" t="s">
        <v>7</v>
      </c>
      <c r="D170" s="47" t="s">
        <v>8</v>
      </c>
      <c r="E170" s="52" t="s">
        <v>9</v>
      </c>
      <c r="F170" s="52" t="s">
        <v>10</v>
      </c>
      <c r="G170" s="52" t="s">
        <v>50</v>
      </c>
      <c r="H170" s="53" t="s">
        <v>11</v>
      </c>
      <c r="I170" s="54" t="s">
        <v>12</v>
      </c>
      <c r="J170" s="52" t="s">
        <v>13</v>
      </c>
      <c r="K170" s="48" t="s">
        <v>14</v>
      </c>
      <c r="L170" s="55" t="s">
        <v>15</v>
      </c>
      <c r="M170" s="56" t="s">
        <v>16</v>
      </c>
      <c r="N170" s="56" t="s">
        <v>17</v>
      </c>
      <c r="O170" s="55" t="s">
        <v>18</v>
      </c>
      <c r="P170" s="56" t="s">
        <v>19</v>
      </c>
      <c r="Q170" s="56" t="s">
        <v>20</v>
      </c>
      <c r="R170" s="55" t="s">
        <v>21</v>
      </c>
      <c r="S170" s="56" t="s">
        <v>22</v>
      </c>
      <c r="T170" s="55" t="s">
        <v>23</v>
      </c>
      <c r="U170" s="57" t="s">
        <v>24</v>
      </c>
      <c r="V170" s="57" t="s">
        <v>25</v>
      </c>
      <c r="W170" s="57" t="s">
        <v>26</v>
      </c>
      <c r="X170" s="58" t="s">
        <v>27</v>
      </c>
      <c r="Y170" s="59" t="s">
        <v>28</v>
      </c>
      <c r="Z170" s="59" t="s">
        <v>29</v>
      </c>
      <c r="AA170" s="59" t="s">
        <v>30</v>
      </c>
      <c r="AB170" s="59" t="s">
        <v>31</v>
      </c>
      <c r="AC170" s="59" t="s">
        <v>32</v>
      </c>
      <c r="AD170" s="59" t="s">
        <v>33</v>
      </c>
      <c r="AE170" s="51"/>
      <c r="AF170" s="7"/>
      <c r="AG170" s="7"/>
    </row>
    <row r="171">
      <c r="A171" s="60">
        <v>46309</v>
      </c>
      <c r="B171" s="16" t="s">
        <v>34</v>
      </c>
      <c r="C171" s="61" t="s">
        <v>49</v>
      </c>
      <c r="D171" s="29">
        <f t="shared" ref="D171:D174" si="10">E171+F171+G171</f>
      </c>
      <c r="E171" s="29">
        <v>1117.11</v>
      </c>
      <c r="F171" s="29">
        <v>231.39</v>
      </c>
      <c r="G171" s="61">
        <v>0</v>
      </c>
      <c r="H171" s="62">
        <v>1</v>
      </c>
      <c r="I171" s="61">
        <v>3669.84</v>
      </c>
      <c r="J171" s="63">
        <f t="shared" ref="J171:J181" si="226">I171/D171</f>
      </c>
      <c r="K171" s="64">
        <f t="shared" ref="K171:K181" si="150">Z171/Y171</f>
      </c>
      <c r="L171" s="65">
        <f t="shared" ref="L171:L181" si="93">D171/AA171</f>
      </c>
      <c r="M171" s="66">
        <f t="shared" ref="M171:M181" si="169">AB171/AA171</f>
      </c>
      <c r="N171" s="66">
        <f t="shared" ref="N171:N181" si="55">AC171/AA171</f>
      </c>
      <c r="O171" s="65">
        <f t="shared" ref="O171:O181" si="245">D171/AC171</f>
      </c>
      <c r="P171" s="66">
        <f t="shared" ref="P171:P181" si="188">AD171/AC171</f>
      </c>
      <c r="Q171" s="66">
        <f t="shared" ref="Q171:Q181" si="112">H171/AD171</f>
      </c>
      <c r="R171" s="65">
        <f t="shared" ref="R171:R181" si="74">D171/H171</f>
      </c>
      <c r="S171" s="67">
        <f t="shared" ref="S171:S181" si="264">I171/H171</f>
      </c>
      <c r="T171" s="65">
        <f t="shared" ref="T171:T181" si="207">D171/X171</f>
      </c>
      <c r="U171" s="68">
        <f t="shared" ref="U171:U181" si="131">AE171*1000/D171</f>
      </c>
      <c r="V171" s="44" t="s">
        <v>36</v>
      </c>
      <c r="W171" s="44" t="s">
        <v>37</v>
      </c>
      <c r="X171" s="69">
        <v>0</v>
      </c>
      <c r="Y171" s="69">
        <v>4393</v>
      </c>
      <c r="Z171" s="69">
        <v>274</v>
      </c>
      <c r="AA171" s="69">
        <v>474</v>
      </c>
      <c r="AB171" s="69">
        <v>113</v>
      </c>
      <c r="AC171" s="69">
        <v>22</v>
      </c>
      <c r="AD171" s="70">
        <v>1</v>
      </c>
      <c r="AE171" s="70">
        <v>13</v>
      </c>
      <c r="AF171" s="7"/>
      <c r="AG171" s="7"/>
    </row>
    <row r="172">
      <c r="A172" s="60"/>
      <c r="B172" s="29" t="s">
        <v>38</v>
      </c>
      <c r="C172" s="61" t="s">
        <v>49</v>
      </c>
      <c r="D172" s="29">
        <f t="shared" si="10"/>
      </c>
      <c r="E172" s="72">
        <v>1107.69</v>
      </c>
      <c r="F172" s="29">
        <v>326.98</v>
      </c>
      <c r="G172" s="61">
        <v>0</v>
      </c>
      <c r="H172" s="62">
        <v>1</v>
      </c>
      <c r="I172" s="61">
        <v>2602.8</v>
      </c>
      <c r="J172" s="63">
        <f t="shared" si="226"/>
      </c>
      <c r="K172" s="64">
        <f t="shared" si="150"/>
      </c>
      <c r="L172" s="65">
        <f t="shared" si="93"/>
      </c>
      <c r="M172" s="66">
        <f t="shared" si="169"/>
      </c>
      <c r="N172" s="66">
        <f t="shared" si="55"/>
      </c>
      <c r="O172" s="65">
        <f t="shared" si="245"/>
      </c>
      <c r="P172" s="66">
        <f t="shared" si="188"/>
      </c>
      <c r="Q172" s="66">
        <f t="shared" si="112"/>
      </c>
      <c r="R172" s="65">
        <f t="shared" si="74"/>
      </c>
      <c r="S172" s="67">
        <f t="shared" si="264"/>
      </c>
      <c r="T172" s="65">
        <f t="shared" si="207"/>
      </c>
      <c r="U172" s="68">
        <f t="shared" si="131"/>
      </c>
      <c r="V172" s="44" t="s">
        <v>36</v>
      </c>
      <c r="W172" s="44" t="s">
        <v>37</v>
      </c>
      <c r="X172" s="69">
        <v>1</v>
      </c>
      <c r="Y172" s="69">
        <v>4002</v>
      </c>
      <c r="Z172" s="69">
        <v>215</v>
      </c>
      <c r="AA172" s="69">
        <v>334</v>
      </c>
      <c r="AB172" s="69">
        <v>102</v>
      </c>
      <c r="AC172" s="69">
        <v>28</v>
      </c>
      <c r="AD172" s="70">
        <v>2</v>
      </c>
      <c r="AE172" s="69">
        <v>15</v>
      </c>
      <c r="AF172" s="7"/>
      <c r="AG172" s="7"/>
    </row>
    <row r="173">
      <c r="A173" s="60"/>
      <c r="B173" s="29" t="s">
        <v>39</v>
      </c>
      <c r="C173" s="61" t="s">
        <v>49</v>
      </c>
      <c r="D173" s="29">
        <f t="shared" si="10"/>
      </c>
      <c r="E173" s="29">
        <v>1891.69</v>
      </c>
      <c r="F173" s="29">
        <v>627.51</v>
      </c>
      <c r="G173" s="61">
        <v>0</v>
      </c>
      <c r="H173" s="73">
        <v>3</v>
      </c>
      <c r="I173" s="29">
        <v>9072.240000000002</v>
      </c>
      <c r="J173" s="63">
        <f t="shared" si="226"/>
      </c>
      <c r="K173" s="64">
        <f t="shared" si="150"/>
      </c>
      <c r="L173" s="65">
        <f t="shared" si="93"/>
      </c>
      <c r="M173" s="66">
        <f t="shared" si="169"/>
      </c>
      <c r="N173" s="66">
        <f t="shared" si="55"/>
      </c>
      <c r="O173" s="65">
        <f t="shared" si="245"/>
      </c>
      <c r="P173" s="66">
        <f t="shared" si="188"/>
      </c>
      <c r="Q173" s="66">
        <f t="shared" si="112"/>
      </c>
      <c r="R173" s="65">
        <f t="shared" si="74"/>
      </c>
      <c r="S173" s="67">
        <f t="shared" si="264"/>
      </c>
      <c r="T173" s="65">
        <f t="shared" si="207"/>
      </c>
      <c r="U173" s="68">
        <f t="shared" si="131"/>
      </c>
      <c r="V173" s="44" t="s">
        <v>36</v>
      </c>
      <c r="W173" s="44" t="s">
        <v>37</v>
      </c>
      <c r="X173" s="69">
        <v>2</v>
      </c>
      <c r="Y173" s="69">
        <v>6292</v>
      </c>
      <c r="Z173" s="69">
        <v>356</v>
      </c>
      <c r="AA173" s="69">
        <v>505</v>
      </c>
      <c r="AB173" s="69">
        <v>143</v>
      </c>
      <c r="AC173" s="69">
        <v>28</v>
      </c>
      <c r="AD173" s="70">
        <v>3</v>
      </c>
      <c r="AE173" s="69">
        <v>22</v>
      </c>
      <c r="AF173" s="7"/>
      <c r="AG173" s="7"/>
    </row>
    <row r="174">
      <c r="A174" s="60"/>
      <c r="B174" s="29" t="s">
        <v>40</v>
      </c>
      <c r="C174" s="61" t="s">
        <v>49</v>
      </c>
      <c r="D174" s="29">
        <f t="shared" si="10"/>
      </c>
      <c r="E174" s="29">
        <v>2807.74</v>
      </c>
      <c r="F174" s="29">
        <v>692.32</v>
      </c>
      <c r="G174" s="61">
        <v>0</v>
      </c>
      <c r="H174" s="62">
        <v>2</v>
      </c>
      <c r="I174" s="61">
        <v>12948</v>
      </c>
      <c r="J174" s="63">
        <f t="shared" si="226"/>
      </c>
      <c r="K174" s="64">
        <f t="shared" si="150"/>
      </c>
      <c r="L174" s="65">
        <f t="shared" si="93"/>
      </c>
      <c r="M174" s="66">
        <f t="shared" si="169"/>
      </c>
      <c r="N174" s="66">
        <f t="shared" si="55"/>
      </c>
      <c r="O174" s="65">
        <f t="shared" si="245"/>
      </c>
      <c r="P174" s="66">
        <f t="shared" si="188"/>
      </c>
      <c r="Q174" s="66">
        <f t="shared" si="112"/>
      </c>
      <c r="R174" s="65">
        <f t="shared" si="74"/>
      </c>
      <c r="S174" s="67">
        <f t="shared" si="264"/>
      </c>
      <c r="T174" s="65">
        <f t="shared" si="207"/>
      </c>
      <c r="U174" s="68">
        <f t="shared" si="131"/>
      </c>
      <c r="V174" s="44" t="s">
        <v>36</v>
      </c>
      <c r="W174" s="44" t="s">
        <v>37</v>
      </c>
      <c r="X174" s="69">
        <v>0</v>
      </c>
      <c r="Y174" s="69">
        <v>2245</v>
      </c>
      <c r="Z174" s="69">
        <v>48</v>
      </c>
      <c r="AA174" s="69">
        <v>47</v>
      </c>
      <c r="AB174" s="69">
        <v>19</v>
      </c>
      <c r="AC174" s="69">
        <v>3</v>
      </c>
      <c r="AD174" s="70">
        <v>2</v>
      </c>
      <c r="AE174" s="69">
        <v>38</v>
      </c>
      <c r="AF174" s="7"/>
      <c r="AG174" s="7"/>
    </row>
    <row r="175">
      <c r="A175" s="60"/>
      <c r="B175" s="74" t="s">
        <v>41</v>
      </c>
      <c r="C175" s="74"/>
      <c r="D175" s="74">
        <f>SUM(D171:D174)</f>
      </c>
      <c r="E175" s="74">
        <f>SUM(E171:E174)</f>
      </c>
      <c r="F175" s="74">
        <f>SUM(F171:F174)</f>
      </c>
      <c r="G175" s="74">
        <f>SUM(G171:G174)</f>
      </c>
      <c r="H175" s="74">
        <f>SUM(H171:H174)</f>
      </c>
      <c r="I175" s="74">
        <f>SUM(I171:I174)</f>
      </c>
      <c r="J175" s="75">
        <f t="shared" si="226"/>
      </c>
      <c r="K175" s="76">
        <f t="shared" si="150"/>
      </c>
      <c r="L175" s="77">
        <f t="shared" si="93"/>
      </c>
      <c r="M175" s="78">
        <f t="shared" si="169"/>
      </c>
      <c r="N175" s="78">
        <f t="shared" si="55"/>
      </c>
      <c r="O175" s="77">
        <f t="shared" si="245"/>
      </c>
      <c r="P175" s="78">
        <f t="shared" si="188"/>
      </c>
      <c r="Q175" s="78">
        <f t="shared" si="112"/>
      </c>
      <c r="R175" s="77">
        <f t="shared" si="74"/>
      </c>
      <c r="S175" s="79">
        <f t="shared" si="264"/>
      </c>
      <c r="T175" s="77">
        <f t="shared" si="207"/>
      </c>
      <c r="U175" s="80">
        <f t="shared" si="131"/>
      </c>
      <c r="V175" s="80"/>
      <c r="W175" s="80"/>
      <c r="X175" s="74">
        <f>SUM(X171:X174)</f>
      </c>
      <c r="Y175" s="74">
        <f>SUM(Y171:Y174)</f>
      </c>
      <c r="Z175" s="74">
        <f>SUM(Z171:Z174)</f>
      </c>
      <c r="AA175" s="74">
        <f>SUM(AA171:AA174)</f>
      </c>
      <c r="AB175" s="74">
        <f>SUM(AB171:AB174)</f>
      </c>
      <c r="AC175" s="74">
        <f>SUM(AC171:AC174)</f>
      </c>
      <c r="AD175" s="74">
        <f>SUM(AD171:AD174)</f>
      </c>
      <c r="AE175" s="74">
        <f>SUM(AE171:AE174)</f>
      </c>
      <c r="AF175" s="7"/>
      <c r="AG175" s="7"/>
    </row>
    <row r="176">
      <c r="A176" s="60"/>
      <c r="B176" s="29" t="s">
        <v>42</v>
      </c>
      <c r="C176" s="17" t="s">
        <v>48</v>
      </c>
      <c r="D176" s="29">
        <f t="shared" ref="D176:D179" si="11">E176+F176+G176</f>
      </c>
      <c r="E176" s="29">
        <v>2762.44</v>
      </c>
      <c r="F176" s="29">
        <v>1002.96</v>
      </c>
      <c r="G176" s="61">
        <v>0</v>
      </c>
      <c r="H176" s="62">
        <v>2</v>
      </c>
      <c r="I176" s="61">
        <v>8829.959999999995</v>
      </c>
      <c r="J176" s="63">
        <f t="shared" si="226"/>
      </c>
      <c r="K176" s="64">
        <f t="shared" si="150"/>
      </c>
      <c r="L176" s="65">
        <f t="shared" si="93"/>
      </c>
      <c r="M176" s="66">
        <f t="shared" si="169"/>
      </c>
      <c r="N176" s="66">
        <f t="shared" si="55"/>
      </c>
      <c r="O176" s="65">
        <f t="shared" si="245"/>
      </c>
      <c r="P176" s="66">
        <f t="shared" si="188"/>
      </c>
      <c r="Q176" s="66">
        <f t="shared" si="112"/>
      </c>
      <c r="R176" s="65">
        <f t="shared" si="74"/>
      </c>
      <c r="S176" s="67">
        <f t="shared" si="264"/>
      </c>
      <c r="T176" s="65">
        <f t="shared" si="207"/>
      </c>
      <c r="U176" s="68">
        <f t="shared" si="131"/>
      </c>
      <c r="V176" s="44" t="s">
        <v>36</v>
      </c>
      <c r="W176" s="44" t="s">
        <v>37</v>
      </c>
      <c r="X176" s="69">
        <v>3</v>
      </c>
      <c r="Y176" s="69">
        <v>13233</v>
      </c>
      <c r="Z176" s="69">
        <v>495</v>
      </c>
      <c r="AA176" s="69">
        <v>724</v>
      </c>
      <c r="AB176" s="69">
        <v>208</v>
      </c>
      <c r="AC176" s="69">
        <v>62</v>
      </c>
      <c r="AD176" s="70">
        <v>3</v>
      </c>
      <c r="AE176" s="69">
        <v>25</v>
      </c>
      <c r="AF176" s="7"/>
      <c r="AG176" s="7"/>
    </row>
    <row r="177">
      <c r="A177" s="60"/>
      <c r="B177" s="29" t="s">
        <v>44</v>
      </c>
      <c r="C177" s="17" t="s">
        <v>48</v>
      </c>
      <c r="D177" s="29">
        <f t="shared" si="11"/>
      </c>
      <c r="E177" s="61">
        <v>3671.95</v>
      </c>
      <c r="F177" s="29">
        <v>975.28</v>
      </c>
      <c r="G177" s="61">
        <v>0</v>
      </c>
      <c r="H177" s="62">
        <v>2</v>
      </c>
      <c r="I177" s="61">
        <v>3654.1200000000026</v>
      </c>
      <c r="J177" s="63">
        <f t="shared" si="226"/>
      </c>
      <c r="K177" s="64">
        <f t="shared" si="150"/>
      </c>
      <c r="L177" s="65">
        <f t="shared" si="93"/>
      </c>
      <c r="M177" s="66">
        <f t="shared" si="169"/>
      </c>
      <c r="N177" s="66">
        <f t="shared" si="55"/>
      </c>
      <c r="O177" s="65">
        <f t="shared" si="245"/>
      </c>
      <c r="P177" s="66">
        <f t="shared" si="188"/>
      </c>
      <c r="Q177" s="66">
        <f t="shared" si="112"/>
      </c>
      <c r="R177" s="65">
        <f t="shared" si="74"/>
      </c>
      <c r="S177" s="67">
        <f t="shared" si="264"/>
      </c>
      <c r="T177" s="65">
        <f t="shared" si="207"/>
      </c>
      <c r="U177" s="68">
        <f t="shared" si="131"/>
      </c>
      <c r="V177" s="44" t="s">
        <v>36</v>
      </c>
      <c r="W177" s="44" t="s">
        <v>37</v>
      </c>
      <c r="X177" s="69">
        <v>2</v>
      </c>
      <c r="Y177" s="69">
        <v>19709</v>
      </c>
      <c r="Z177" s="69">
        <v>625</v>
      </c>
      <c r="AA177" s="69">
        <v>924</v>
      </c>
      <c r="AB177" s="69">
        <v>236</v>
      </c>
      <c r="AC177" s="69">
        <v>85</v>
      </c>
      <c r="AD177" s="70">
        <v>2</v>
      </c>
      <c r="AE177" s="70">
        <v>39</v>
      </c>
      <c r="AF177" s="7"/>
      <c r="AG177" s="7"/>
    </row>
    <row r="178">
      <c r="A178" s="60"/>
      <c r="B178" s="29" t="s">
        <v>45</v>
      </c>
      <c r="C178" s="17" t="s">
        <v>48</v>
      </c>
      <c r="D178" s="29">
        <f t="shared" si="11"/>
      </c>
      <c r="E178" s="29">
        <v>2088.38</v>
      </c>
      <c r="F178" s="29">
        <v>857.2</v>
      </c>
      <c r="G178" s="61">
        <v>0</v>
      </c>
      <c r="H178" s="62">
        <v>3</v>
      </c>
      <c r="I178" s="61">
        <v>2473.720000000001</v>
      </c>
      <c r="J178" s="63">
        <f t="shared" si="226"/>
      </c>
      <c r="K178" s="64">
        <f t="shared" si="150"/>
      </c>
      <c r="L178" s="65">
        <f t="shared" si="93"/>
      </c>
      <c r="M178" s="66">
        <f t="shared" si="169"/>
      </c>
      <c r="N178" s="66">
        <f t="shared" si="55"/>
      </c>
      <c r="O178" s="65">
        <f t="shared" si="245"/>
      </c>
      <c r="P178" s="66">
        <f t="shared" si="188"/>
      </c>
      <c r="Q178" s="66">
        <f t="shared" si="112"/>
      </c>
      <c r="R178" s="65">
        <f t="shared" si="74"/>
      </c>
      <c r="S178" s="67">
        <f t="shared" si="264"/>
      </c>
      <c r="T178" s="65">
        <f t="shared" si="207"/>
      </c>
      <c r="U178" s="68">
        <f t="shared" si="131"/>
      </c>
      <c r="V178" s="44" t="s">
        <v>36</v>
      </c>
      <c r="W178" s="44" t="s">
        <v>37</v>
      </c>
      <c r="X178" s="69">
        <v>3</v>
      </c>
      <c r="Y178" s="69">
        <v>11651</v>
      </c>
      <c r="Z178" s="69">
        <v>517</v>
      </c>
      <c r="AA178" s="69">
        <v>908</v>
      </c>
      <c r="AB178" s="69">
        <v>252</v>
      </c>
      <c r="AC178" s="69">
        <v>73</v>
      </c>
      <c r="AD178" s="70">
        <v>4</v>
      </c>
      <c r="AE178" s="69">
        <v>25</v>
      </c>
      <c r="AF178" s="7"/>
      <c r="AG178" s="7"/>
    </row>
    <row r="179">
      <c r="A179" s="60"/>
      <c r="B179" s="29" t="s">
        <v>46</v>
      </c>
      <c r="C179" s="17" t="s">
        <v>48</v>
      </c>
      <c r="D179" s="29">
        <f t="shared" si="11"/>
      </c>
      <c r="E179" s="29">
        <v>1186.95</v>
      </c>
      <c r="F179" s="29">
        <v>496.59</v>
      </c>
      <c r="G179" s="61">
        <v>0</v>
      </c>
      <c r="H179" s="62">
        <v>0</v>
      </c>
      <c r="I179" s="61">
        <v>0</v>
      </c>
      <c r="J179" s="63">
        <f t="shared" si="226"/>
      </c>
      <c r="K179" s="64">
        <f t="shared" si="150"/>
      </c>
      <c r="L179" s="65">
        <f t="shared" si="93"/>
      </c>
      <c r="M179" s="66">
        <f t="shared" si="169"/>
      </c>
      <c r="N179" s="66">
        <f t="shared" si="55"/>
      </c>
      <c r="O179" s="65">
        <f t="shared" si="245"/>
      </c>
      <c r="P179" s="66">
        <f t="shared" si="188"/>
      </c>
      <c r="Q179" s="66">
        <f t="shared" si="112"/>
      </c>
      <c r="R179" s="65">
        <f t="shared" si="74"/>
      </c>
      <c r="S179" s="67">
        <f t="shared" si="264"/>
      </c>
      <c r="T179" s="65">
        <f t="shared" si="207"/>
      </c>
      <c r="U179" s="68">
        <f t="shared" si="131"/>
      </c>
      <c r="V179" s="44" t="s">
        <v>36</v>
      </c>
      <c r="W179" s="44" t="s">
        <v>37</v>
      </c>
      <c r="X179" s="69">
        <v>0</v>
      </c>
      <c r="Y179" s="69">
        <v>5751</v>
      </c>
      <c r="Z179" s="69">
        <v>369</v>
      </c>
      <c r="AA179" s="69">
        <v>600</v>
      </c>
      <c r="AB179" s="69">
        <v>151</v>
      </c>
      <c r="AC179" s="69">
        <v>38</v>
      </c>
      <c r="AD179" s="70">
        <v>0</v>
      </c>
      <c r="AE179" s="70">
        <v>18</v>
      </c>
      <c r="AF179" s="7"/>
      <c r="AG179" s="7"/>
    </row>
    <row r="180">
      <c r="A180" s="60"/>
      <c r="B180" s="74" t="s">
        <v>41</v>
      </c>
      <c r="C180" s="74"/>
      <c r="D180" s="74">
        <f>SUM(D176:D179)</f>
      </c>
      <c r="E180" s="74">
        <f>SUM(E176:E179)</f>
      </c>
      <c r="F180" s="74">
        <f>SUM(F176:F179)</f>
      </c>
      <c r="G180" s="74">
        <f>SUM(G176:G179)</f>
      </c>
      <c r="H180" s="74">
        <f>SUM(H176:H179)</f>
      </c>
      <c r="I180" s="74">
        <f>SUM(I176:I179)</f>
      </c>
      <c r="J180" s="75">
        <f t="shared" si="226"/>
      </c>
      <c r="K180" s="76">
        <f t="shared" si="150"/>
      </c>
      <c r="L180" s="77">
        <f t="shared" si="93"/>
      </c>
      <c r="M180" s="78">
        <f t="shared" si="169"/>
      </c>
      <c r="N180" s="78">
        <f t="shared" si="55"/>
      </c>
      <c r="O180" s="77">
        <f t="shared" si="245"/>
      </c>
      <c r="P180" s="78">
        <f t="shared" si="188"/>
      </c>
      <c r="Q180" s="78">
        <f t="shared" si="112"/>
      </c>
      <c r="R180" s="77">
        <f t="shared" si="74"/>
      </c>
      <c r="S180" s="79">
        <f t="shared" si="264"/>
      </c>
      <c r="T180" s="77">
        <f t="shared" si="207"/>
      </c>
      <c r="U180" s="80">
        <f t="shared" si="131"/>
      </c>
      <c r="V180" s="80"/>
      <c r="W180" s="80"/>
      <c r="X180" s="74">
        <f>SUM(X176:X179)</f>
      </c>
      <c r="Y180" s="74">
        <f>SUM(Y176:Y179)</f>
      </c>
      <c r="Z180" s="74">
        <f>SUM(Z176:Z179)</f>
      </c>
      <c r="AA180" s="74">
        <f>SUM(AA176:AA179)</f>
      </c>
      <c r="AB180" s="74">
        <f>SUM(AB176:AB179)</f>
      </c>
      <c r="AC180" s="74">
        <f>SUM(AC176:AC179)</f>
      </c>
      <c r="AD180" s="74">
        <f>SUM(AD176:AD179)</f>
      </c>
      <c r="AE180" s="74">
        <f>SUM(AE176:AE179)</f>
      </c>
      <c r="AF180" s="7"/>
      <c r="AG180" s="7"/>
    </row>
    <row r="181">
      <c r="A181" s="60"/>
      <c r="B181" s="81" t="s">
        <v>47</v>
      </c>
      <c r="C181" s="81"/>
      <c r="D181" s="82">
        <f>D175+D180</f>
      </c>
      <c r="E181" s="82">
        <f>E175+E180</f>
      </c>
      <c r="F181" s="82">
        <f>F175+F180</f>
      </c>
      <c r="G181" s="82">
        <f>G175+G180</f>
      </c>
      <c r="H181" s="82">
        <f>H175+H180</f>
      </c>
      <c r="I181" s="82">
        <f>I175+I180</f>
      </c>
      <c r="J181" s="82">
        <f t="shared" si="226"/>
      </c>
      <c r="K181" s="83">
        <f t="shared" si="150"/>
      </c>
      <c r="L181" s="82">
        <f t="shared" si="93"/>
      </c>
      <c r="M181" s="84">
        <f t="shared" si="169"/>
      </c>
      <c r="N181" s="84">
        <f t="shared" si="55"/>
      </c>
      <c r="O181" s="82">
        <f t="shared" si="245"/>
      </c>
      <c r="P181" s="84">
        <f t="shared" si="188"/>
      </c>
      <c r="Q181" s="84">
        <f t="shared" si="112"/>
      </c>
      <c r="R181" s="82">
        <f t="shared" si="74"/>
      </c>
      <c r="S181" s="85">
        <f t="shared" si="264"/>
      </c>
      <c r="T181" s="82">
        <f t="shared" si="207"/>
      </c>
      <c r="U181" s="86">
        <f t="shared" si="131"/>
      </c>
      <c r="V181" s="86"/>
      <c r="W181" s="86"/>
      <c r="X181" s="87">
        <f>X175+X180</f>
      </c>
      <c r="Y181" s="87">
        <f>Y175+Y180</f>
      </c>
      <c r="Z181" s="87">
        <f>Z175+Z180</f>
      </c>
      <c r="AA181" s="87">
        <f>AA175+AA180</f>
      </c>
      <c r="AB181" s="87">
        <f>AB175+AB180</f>
      </c>
      <c r="AC181" s="87">
        <f>AC175+AC180</f>
      </c>
      <c r="AD181" s="87">
        <f>AD175+AD180</f>
      </c>
      <c r="AE181" s="87">
        <f>AE175+AE180</f>
      </c>
      <c r="AF181" s="7"/>
      <c r="AG181" s="7"/>
    </row>
    <row r="182">
      <c r="A182" s="46" t="s">
        <v>1</v>
      </c>
      <c r="B182" s="46"/>
      <c r="C182" s="46"/>
      <c r="D182" s="47" t="s">
        <v>2</v>
      </c>
      <c r="E182" s="47"/>
      <c r="F182" s="47"/>
      <c r="G182" s="47"/>
      <c r="H182" s="47"/>
      <c r="I182" s="47"/>
      <c r="J182" s="47"/>
      <c r="K182" s="48" t="s">
        <v>3</v>
      </c>
      <c r="L182" s="48"/>
      <c r="M182" s="48"/>
      <c r="N182" s="48"/>
      <c r="O182" s="48"/>
      <c r="P182" s="48"/>
      <c r="Q182" s="48"/>
      <c r="R182" s="48"/>
      <c r="S182" s="48"/>
      <c r="T182" s="48"/>
      <c r="U182" s="49"/>
      <c r="V182" s="49"/>
      <c r="W182" s="49"/>
      <c r="X182" s="50"/>
      <c r="Y182" s="50"/>
      <c r="Z182" s="50"/>
      <c r="AA182" s="50"/>
      <c r="AB182" s="50"/>
      <c r="AC182" s="50"/>
      <c r="AD182" s="50"/>
      <c r="AE182" s="51" t="s">
        <v>4</v>
      </c>
      <c r="AF182" s="7"/>
      <c r="AG182" s="7"/>
    </row>
    <row r="183">
      <c r="A183" s="46" t="s">
        <v>5</v>
      </c>
      <c r="B183" s="46" t="s">
        <v>6</v>
      </c>
      <c r="C183" s="46" t="s">
        <v>7</v>
      </c>
      <c r="D183" s="47" t="s">
        <v>8</v>
      </c>
      <c r="E183" s="52" t="s">
        <v>9</v>
      </c>
      <c r="F183" s="52" t="s">
        <v>10</v>
      </c>
      <c r="G183" s="52" t="s">
        <v>50</v>
      </c>
      <c r="H183" s="53" t="s">
        <v>11</v>
      </c>
      <c r="I183" s="54" t="s">
        <v>12</v>
      </c>
      <c r="J183" s="52" t="s">
        <v>13</v>
      </c>
      <c r="K183" s="48" t="s">
        <v>14</v>
      </c>
      <c r="L183" s="55" t="s">
        <v>15</v>
      </c>
      <c r="M183" s="56" t="s">
        <v>16</v>
      </c>
      <c r="N183" s="56" t="s">
        <v>17</v>
      </c>
      <c r="O183" s="55" t="s">
        <v>18</v>
      </c>
      <c r="P183" s="56" t="s">
        <v>19</v>
      </c>
      <c r="Q183" s="56" t="s">
        <v>20</v>
      </c>
      <c r="R183" s="55" t="s">
        <v>21</v>
      </c>
      <c r="S183" s="56" t="s">
        <v>22</v>
      </c>
      <c r="T183" s="55" t="s">
        <v>23</v>
      </c>
      <c r="U183" s="57" t="s">
        <v>24</v>
      </c>
      <c r="V183" s="57" t="s">
        <v>25</v>
      </c>
      <c r="W183" s="57" t="s">
        <v>26</v>
      </c>
      <c r="X183" s="58" t="s">
        <v>27</v>
      </c>
      <c r="Y183" s="59" t="s">
        <v>28</v>
      </c>
      <c r="Z183" s="59" t="s">
        <v>29</v>
      </c>
      <c r="AA183" s="59" t="s">
        <v>30</v>
      </c>
      <c r="AB183" s="59" t="s">
        <v>31</v>
      </c>
      <c r="AC183" s="59" t="s">
        <v>32</v>
      </c>
      <c r="AD183" s="59" t="s">
        <v>33</v>
      </c>
      <c r="AE183" s="51"/>
      <c r="AF183" s="7"/>
      <c r="AG183" s="7"/>
    </row>
    <row r="184">
      <c r="A184" s="60">
        <v>46310</v>
      </c>
      <c r="B184" s="16" t="s">
        <v>34</v>
      </c>
      <c r="C184" s="17" t="s">
        <v>43</v>
      </c>
      <c r="D184" s="29">
        <f t="shared" ref="D184:D187" si="12">E184+F184+G184</f>
      </c>
      <c r="E184" s="29">
        <v>1617.18</v>
      </c>
      <c r="F184" s="29">
        <v>390.11</v>
      </c>
      <c r="G184" s="61">
        <v>0</v>
      </c>
      <c r="H184" s="62">
        <v>0</v>
      </c>
      <c r="I184" s="61">
        <v>0</v>
      </c>
      <c r="J184" s="63">
        <f t="shared" ref="J184:J192" si="227">I184/D184</f>
      </c>
      <c r="K184" s="64">
        <f t="shared" ref="K184:K192" si="151">Z184/Y184</f>
      </c>
      <c r="L184" s="65">
        <f t="shared" ref="L184:L192" si="94">D184/AA184</f>
      </c>
      <c r="M184" s="66">
        <f t="shared" ref="M184:M192" si="170">AB184/AA184</f>
      </c>
      <c r="N184" s="66">
        <f t="shared" ref="N184:N192" si="56">AC184/AA184</f>
      </c>
      <c r="O184" s="65">
        <f t="shared" ref="O184:O192" si="246">D184/AC184</f>
      </c>
      <c r="P184" s="66">
        <f t="shared" ref="P184:P192" si="189">AD184/AC184</f>
      </c>
      <c r="Q184" s="66">
        <f t="shared" ref="Q184:Q192" si="113">H184/AD184</f>
      </c>
      <c r="R184" s="65">
        <f t="shared" ref="R184:R192" si="75">D184/H184</f>
      </c>
      <c r="S184" s="67">
        <f t="shared" ref="S184:S192" si="265">I184/H184</f>
      </c>
      <c r="T184" s="65">
        <f t="shared" ref="T184:T192" si="208">D184/X184</f>
      </c>
      <c r="U184" s="68">
        <f t="shared" ref="U184:U192" si="132">AE184*1000/D184</f>
      </c>
      <c r="V184" s="44" t="s">
        <v>36</v>
      </c>
      <c r="W184" s="44" t="s">
        <v>37</v>
      </c>
      <c r="X184" s="69">
        <v>0</v>
      </c>
      <c r="Y184" s="69">
        <v>5261</v>
      </c>
      <c r="Z184" s="69">
        <v>394</v>
      </c>
      <c r="AA184" s="69">
        <v>568</v>
      </c>
      <c r="AB184" s="69">
        <v>180</v>
      </c>
      <c r="AC184" s="69">
        <v>17</v>
      </c>
      <c r="AD184" s="70">
        <v>0</v>
      </c>
      <c r="AE184" s="70">
        <v>24</v>
      </c>
      <c r="AF184" s="7"/>
      <c r="AG184" s="7"/>
    </row>
    <row r="185">
      <c r="A185" s="60"/>
      <c r="B185" s="29" t="s">
        <v>38</v>
      </c>
      <c r="C185" s="17" t="s">
        <v>43</v>
      </c>
      <c r="D185" s="29">
        <f t="shared" si="12"/>
      </c>
      <c r="E185" s="72">
        <v>715.51</v>
      </c>
      <c r="F185" s="29">
        <v>362.65</v>
      </c>
      <c r="G185" s="61">
        <v>0</v>
      </c>
      <c r="H185" s="62">
        <v>0</v>
      </c>
      <c r="I185" s="61">
        <v>0</v>
      </c>
      <c r="J185" s="63">
        <f t="shared" si="227"/>
      </c>
      <c r="K185" s="64">
        <f t="shared" si="151"/>
      </c>
      <c r="L185" s="65">
        <f t="shared" si="94"/>
      </c>
      <c r="M185" s="66">
        <f t="shared" si="170"/>
      </c>
      <c r="N185" s="66">
        <f t="shared" si="56"/>
      </c>
      <c r="O185" s="65">
        <f t="shared" si="246"/>
      </c>
      <c r="P185" s="66">
        <f t="shared" si="189"/>
      </c>
      <c r="Q185" s="66">
        <f t="shared" si="113"/>
      </c>
      <c r="R185" s="65">
        <f t="shared" si="75"/>
      </c>
      <c r="S185" s="67">
        <f t="shared" si="265"/>
      </c>
      <c r="T185" s="65">
        <f t="shared" si="208"/>
      </c>
      <c r="U185" s="68">
        <f t="shared" si="132"/>
      </c>
      <c r="V185" s="44" t="s">
        <v>36</v>
      </c>
      <c r="W185" s="44" t="s">
        <v>37</v>
      </c>
      <c r="X185" s="69">
        <v>0</v>
      </c>
      <c r="Y185" s="69">
        <v>2665</v>
      </c>
      <c r="Z185" s="69">
        <v>298</v>
      </c>
      <c r="AA185" s="69">
        <v>507</v>
      </c>
      <c r="AB185" s="69">
        <v>150</v>
      </c>
      <c r="AC185" s="69">
        <v>10</v>
      </c>
      <c r="AD185" s="70">
        <v>0</v>
      </c>
      <c r="AE185" s="69">
        <v>7</v>
      </c>
      <c r="AF185" s="7"/>
      <c r="AG185" s="7"/>
    </row>
    <row r="186">
      <c r="A186" s="60"/>
      <c r="B186" s="29" t="s">
        <v>39</v>
      </c>
      <c r="C186" s="17" t="s">
        <v>43</v>
      </c>
      <c r="D186" s="29">
        <f t="shared" si="12"/>
      </c>
      <c r="E186" s="29">
        <v>300.04</v>
      </c>
      <c r="F186" s="29">
        <v>257.67</v>
      </c>
      <c r="G186" s="61">
        <v>0</v>
      </c>
      <c r="H186" s="62">
        <v>0</v>
      </c>
      <c r="I186" s="61">
        <v>0</v>
      </c>
      <c r="J186" s="63">
        <f t="shared" si="227"/>
      </c>
      <c r="K186" s="64">
        <f t="shared" si="151"/>
      </c>
      <c r="L186" s="65">
        <f t="shared" si="94"/>
      </c>
      <c r="M186" s="66">
        <f t="shared" si="170"/>
      </c>
      <c r="N186" s="66">
        <f t="shared" si="56"/>
      </c>
      <c r="O186" s="65">
        <f t="shared" si="246"/>
      </c>
      <c r="P186" s="66">
        <f t="shared" si="189"/>
      </c>
      <c r="Q186" s="66">
        <f t="shared" si="113"/>
      </c>
      <c r="R186" s="65">
        <f t="shared" si="75"/>
      </c>
      <c r="S186" s="67">
        <f t="shared" si="265"/>
      </c>
      <c r="T186" s="65">
        <f t="shared" si="208"/>
      </c>
      <c r="U186" s="68">
        <f t="shared" si="132"/>
      </c>
      <c r="V186" s="44" t="s">
        <v>36</v>
      </c>
      <c r="W186" s="44" t="s">
        <v>37</v>
      </c>
      <c r="X186" s="69">
        <v>0</v>
      </c>
      <c r="Y186" s="69">
        <v>1468</v>
      </c>
      <c r="Z186" s="69">
        <v>187</v>
      </c>
      <c r="AA186" s="69">
        <v>386</v>
      </c>
      <c r="AB186" s="69">
        <v>90</v>
      </c>
      <c r="AC186" s="69">
        <v>10</v>
      </c>
      <c r="AD186" s="70">
        <v>0</v>
      </c>
      <c r="AE186" s="69">
        <v>5</v>
      </c>
      <c r="AF186" s="7"/>
      <c r="AG186" s="7"/>
    </row>
    <row r="187">
      <c r="A187" s="60"/>
      <c r="B187" s="29" t="s">
        <v>40</v>
      </c>
      <c r="C187" s="17" t="s">
        <v>43</v>
      </c>
      <c r="D187" s="29">
        <f t="shared" si="12"/>
      </c>
      <c r="E187" s="29">
        <v>290.04</v>
      </c>
      <c r="F187" s="29">
        <v>266.97</v>
      </c>
      <c r="G187" s="61">
        <v>0</v>
      </c>
      <c r="H187" s="62">
        <v>1</v>
      </c>
      <c r="I187" s="61">
        <v>1371.1200000000001</v>
      </c>
      <c r="J187" s="63">
        <f t="shared" si="227"/>
      </c>
      <c r="K187" s="64">
        <f t="shared" si="151"/>
      </c>
      <c r="L187" s="65">
        <f t="shared" si="94"/>
      </c>
      <c r="M187" s="66">
        <f t="shared" si="170"/>
      </c>
      <c r="N187" s="66">
        <f t="shared" si="56"/>
      </c>
      <c r="O187" s="65">
        <f t="shared" si="246"/>
      </c>
      <c r="P187" s="66">
        <f t="shared" si="189"/>
      </c>
      <c r="Q187" s="66">
        <f t="shared" si="113"/>
      </c>
      <c r="R187" s="65">
        <f t="shared" si="75"/>
      </c>
      <c r="S187" s="67">
        <f t="shared" si="265"/>
      </c>
      <c r="T187" s="65">
        <f t="shared" si="208"/>
      </c>
      <c r="U187" s="68">
        <f t="shared" si="132"/>
      </c>
      <c r="V187" s="44" t="s">
        <v>36</v>
      </c>
      <c r="W187" s="44" t="s">
        <v>37</v>
      </c>
      <c r="X187" s="69">
        <v>1</v>
      </c>
      <c r="Y187" s="69">
        <v>1423</v>
      </c>
      <c r="Z187" s="69">
        <v>174</v>
      </c>
      <c r="AA187" s="69">
        <v>346</v>
      </c>
      <c r="AB187" s="69">
        <v>89</v>
      </c>
      <c r="AC187" s="69">
        <v>5</v>
      </c>
      <c r="AD187" s="70">
        <v>1</v>
      </c>
      <c r="AE187" s="70">
        <v>5</v>
      </c>
      <c r="AF187" s="7"/>
      <c r="AG187" s="7"/>
    </row>
    <row r="188">
      <c r="A188" s="60"/>
      <c r="B188" s="74" t="s">
        <v>41</v>
      </c>
      <c r="C188" s="74"/>
      <c r="D188" s="74">
        <f>SUM(D184:D187)</f>
      </c>
      <c r="E188" s="74">
        <f>SUM(E184:E187)</f>
      </c>
      <c r="F188" s="74">
        <f>SUM(F184:F187)</f>
      </c>
      <c r="G188" s="74">
        <f>SUM(G184:G187)</f>
      </c>
      <c r="H188" s="74">
        <f>SUM(H184:H187)</f>
      </c>
      <c r="I188" s="74">
        <f>SUM(I184:I187)</f>
      </c>
      <c r="J188" s="75">
        <f t="shared" si="227"/>
      </c>
      <c r="K188" s="76">
        <f t="shared" si="151"/>
      </c>
      <c r="L188" s="77">
        <f t="shared" si="94"/>
      </c>
      <c r="M188" s="78">
        <f t="shared" si="170"/>
      </c>
      <c r="N188" s="78">
        <f t="shared" si="56"/>
      </c>
      <c r="O188" s="77">
        <f t="shared" si="246"/>
      </c>
      <c r="P188" s="78">
        <f t="shared" si="189"/>
      </c>
      <c r="Q188" s="78">
        <f t="shared" si="113"/>
      </c>
      <c r="R188" s="77">
        <f t="shared" si="75"/>
      </c>
      <c r="S188" s="79">
        <f t="shared" si="265"/>
      </c>
      <c r="T188" s="77">
        <f t="shared" si="208"/>
      </c>
      <c r="U188" s="80">
        <f t="shared" si="132"/>
      </c>
      <c r="V188" s="80"/>
      <c r="W188" s="80"/>
      <c r="X188" s="74">
        <f>SUM(X184:X187)</f>
      </c>
      <c r="Y188" s="74">
        <f>SUM(Y184:Y187)</f>
      </c>
      <c r="Z188" s="74">
        <f>SUM(Z184:Z187)</f>
      </c>
      <c r="AA188" s="74">
        <f>SUM(AA184:AA187)</f>
      </c>
      <c r="AB188" s="74">
        <f>SUM(AB184:AB187)</f>
      </c>
      <c r="AC188" s="74">
        <f>SUM(AC184:AC187)</f>
      </c>
      <c r="AD188" s="74">
        <f>SUM(AD184:AD187)</f>
      </c>
      <c r="AE188" s="74">
        <f>SUM(AE184:AE187)</f>
      </c>
      <c r="AF188" s="7"/>
      <c r="AG188" s="7"/>
    </row>
    <row r="189">
      <c r="A189" s="60"/>
      <c r="B189" s="29" t="s">
        <v>42</v>
      </c>
      <c r="C189" s="17" t="s">
        <v>48</v>
      </c>
      <c r="D189" s="29">
        <f t="shared" ref="D189:D190" si="13">E189+F189+G189</f>
      </c>
      <c r="E189" s="29">
        <v>498.56</v>
      </c>
      <c r="F189" s="29">
        <v>536.67</v>
      </c>
      <c r="G189" s="61">
        <v>0</v>
      </c>
      <c r="H189" s="62">
        <v>0</v>
      </c>
      <c r="I189" s="61">
        <v>0</v>
      </c>
      <c r="J189" s="63">
        <f t="shared" si="227"/>
      </c>
      <c r="K189" s="64">
        <f t="shared" si="151"/>
      </c>
      <c r="L189" s="65">
        <f t="shared" si="94"/>
      </c>
      <c r="M189" s="66">
        <f t="shared" si="170"/>
      </c>
      <c r="N189" s="66">
        <f t="shared" si="56"/>
      </c>
      <c r="O189" s="65">
        <f t="shared" si="246"/>
      </c>
      <c r="P189" s="66">
        <f t="shared" si="189"/>
      </c>
      <c r="Q189" s="66">
        <f t="shared" si="113"/>
      </c>
      <c r="R189" s="65">
        <f t="shared" si="75"/>
      </c>
      <c r="S189" s="67">
        <f t="shared" si="265"/>
      </c>
      <c r="T189" s="65">
        <f t="shared" si="208"/>
      </c>
      <c r="U189" s="68">
        <f t="shared" si="132"/>
      </c>
      <c r="V189" s="44" t="s">
        <v>36</v>
      </c>
      <c r="W189" s="44" t="s">
        <v>37</v>
      </c>
      <c r="X189" s="69">
        <v>0</v>
      </c>
      <c r="Y189" s="69">
        <v>2317</v>
      </c>
      <c r="Z189" s="69">
        <v>347</v>
      </c>
      <c r="AA189" s="69">
        <v>640</v>
      </c>
      <c r="AB189" s="69">
        <v>191</v>
      </c>
      <c r="AC189" s="69">
        <v>12</v>
      </c>
      <c r="AD189" s="70">
        <v>1</v>
      </c>
      <c r="AE189" s="70">
        <v>13</v>
      </c>
      <c r="AF189" s="7"/>
      <c r="AG189" s="7"/>
    </row>
    <row r="190">
      <c r="A190" s="60"/>
      <c r="B190" s="29" t="s">
        <v>44</v>
      </c>
      <c r="C190" s="17" t="s">
        <v>48</v>
      </c>
      <c r="D190" s="29">
        <f t="shared" si="13"/>
      </c>
      <c r="E190" s="61">
        <v>654.75</v>
      </c>
      <c r="F190" s="29">
        <v>687.41</v>
      </c>
      <c r="G190" s="61">
        <v>0</v>
      </c>
      <c r="H190" s="62">
        <v>0</v>
      </c>
      <c r="I190" s="61">
        <v>0</v>
      </c>
      <c r="J190" s="63">
        <f t="shared" si="227"/>
      </c>
      <c r="K190" s="64">
        <f t="shared" si="151"/>
      </c>
      <c r="L190" s="65">
        <f t="shared" si="94"/>
      </c>
      <c r="M190" s="66">
        <f t="shared" si="170"/>
      </c>
      <c r="N190" s="66">
        <f t="shared" si="56"/>
      </c>
      <c r="O190" s="65">
        <f t="shared" si="246"/>
      </c>
      <c r="P190" s="66">
        <f t="shared" si="189"/>
      </c>
      <c r="Q190" s="66">
        <f t="shared" si="113"/>
      </c>
      <c r="R190" s="65">
        <f t="shared" si="75"/>
      </c>
      <c r="S190" s="67">
        <f t="shared" si="265"/>
      </c>
      <c r="T190" s="65">
        <f t="shared" si="208"/>
      </c>
      <c r="U190" s="68">
        <f t="shared" si="132"/>
      </c>
      <c r="V190" s="44" t="s">
        <v>36</v>
      </c>
      <c r="W190" s="44" t="s">
        <v>37</v>
      </c>
      <c r="X190" s="69">
        <v>0</v>
      </c>
      <c r="Y190" s="69">
        <v>2621</v>
      </c>
      <c r="Z190" s="69">
        <v>431</v>
      </c>
      <c r="AA190" s="69">
        <v>758</v>
      </c>
      <c r="AB190" s="69">
        <v>198</v>
      </c>
      <c r="AC190" s="69">
        <v>22</v>
      </c>
      <c r="AD190" s="70">
        <v>0</v>
      </c>
      <c r="AE190" s="70">
        <v>15</v>
      </c>
      <c r="AF190" s="7"/>
      <c r="AG190" s="7"/>
    </row>
    <row r="191">
      <c r="A191" s="60"/>
      <c r="B191" s="74" t="s">
        <v>41</v>
      </c>
      <c r="C191" s="74"/>
      <c r="D191" s="74">
        <f>SUM(D189:D190)</f>
      </c>
      <c r="E191" s="74">
        <f>SUM(E189:E190)</f>
      </c>
      <c r="F191" s="74">
        <f>SUM(F189:F190)</f>
      </c>
      <c r="G191" s="74">
        <f>SUM(G189:G190)</f>
      </c>
      <c r="H191" s="74">
        <f>SUM(H189:H190)</f>
      </c>
      <c r="I191" s="74">
        <f>SUM(I189:I190)</f>
      </c>
      <c r="J191" s="75">
        <f t="shared" si="227"/>
      </c>
      <c r="K191" s="76">
        <f t="shared" si="151"/>
      </c>
      <c r="L191" s="77">
        <f t="shared" si="94"/>
      </c>
      <c r="M191" s="78">
        <f t="shared" si="170"/>
      </c>
      <c r="N191" s="78">
        <f t="shared" si="56"/>
      </c>
      <c r="O191" s="77">
        <f t="shared" si="246"/>
      </c>
      <c r="P191" s="78">
        <f t="shared" si="189"/>
      </c>
      <c r="Q191" s="78">
        <f t="shared" si="113"/>
      </c>
      <c r="R191" s="77">
        <f t="shared" si="75"/>
      </c>
      <c r="S191" s="79">
        <f t="shared" si="265"/>
      </c>
      <c r="T191" s="77">
        <f t="shared" si="208"/>
      </c>
      <c r="U191" s="80">
        <f t="shared" si="132"/>
      </c>
      <c r="V191" s="80"/>
      <c r="W191" s="80"/>
      <c r="X191" s="74">
        <f>SUM(X189:X190)</f>
      </c>
      <c r="Y191" s="74">
        <f>SUM(Y189:Y190)</f>
      </c>
      <c r="Z191" s="74">
        <f>SUM(Z189:Z190)</f>
      </c>
      <c r="AA191" s="74">
        <f>SUM(AA189:AA190)</f>
      </c>
      <c r="AB191" s="74">
        <f>SUM(AB189:AB190)</f>
      </c>
      <c r="AC191" s="74">
        <f>SUM(AC189:AC190)</f>
      </c>
      <c r="AD191" s="74">
        <f>SUM(AD189:AD190)</f>
      </c>
      <c r="AE191" s="74">
        <f>SUM(AE189:AE190)</f>
      </c>
      <c r="AF191" s="7"/>
      <c r="AG191" s="7"/>
    </row>
    <row r="192">
      <c r="A192" s="60"/>
      <c r="B192" s="81" t="s">
        <v>47</v>
      </c>
      <c r="C192" s="81"/>
      <c r="D192" s="82">
        <f>D188+D191</f>
      </c>
      <c r="E192" s="82">
        <f>E188+E191</f>
      </c>
      <c r="F192" s="82">
        <f>F188+F191</f>
      </c>
      <c r="G192" s="82">
        <f>G188+G191</f>
      </c>
      <c r="H192" s="82">
        <f>H188+H191</f>
      </c>
      <c r="I192" s="82">
        <f>I188+I191</f>
      </c>
      <c r="J192" s="82">
        <f t="shared" si="227"/>
      </c>
      <c r="K192" s="83">
        <f t="shared" si="151"/>
      </c>
      <c r="L192" s="82">
        <f t="shared" si="94"/>
      </c>
      <c r="M192" s="84">
        <f t="shared" si="170"/>
      </c>
      <c r="N192" s="84">
        <f t="shared" si="56"/>
      </c>
      <c r="O192" s="82">
        <f t="shared" si="246"/>
      </c>
      <c r="P192" s="84">
        <f t="shared" si="189"/>
      </c>
      <c r="Q192" s="84">
        <f t="shared" si="113"/>
      </c>
      <c r="R192" s="82">
        <f t="shared" si="75"/>
      </c>
      <c r="S192" s="85">
        <f t="shared" si="265"/>
      </c>
      <c r="T192" s="82">
        <f t="shared" si="208"/>
      </c>
      <c r="U192" s="86">
        <f t="shared" si="132"/>
      </c>
      <c r="V192" s="86"/>
      <c r="W192" s="86"/>
      <c r="X192" s="87">
        <f>X188+X191</f>
      </c>
      <c r="Y192" s="87">
        <f>Y188+Y191</f>
      </c>
      <c r="Z192" s="87">
        <f>Z188+Z191</f>
      </c>
      <c r="AA192" s="87">
        <f>AA188+AA191</f>
      </c>
      <c r="AB192" s="87">
        <f>AB188+AB191</f>
      </c>
      <c r="AC192" s="87">
        <f>AC188+AC191</f>
      </c>
      <c r="AD192" s="87">
        <f>AD188+AD191</f>
      </c>
      <c r="AE192" s="87">
        <f>AE188+AE191</f>
      </c>
      <c r="AF192" s="7"/>
      <c r="AG192" s="7"/>
    </row>
    <row r="193">
      <c r="A193" s="46" t="s">
        <v>1</v>
      </c>
      <c r="B193" s="46"/>
      <c r="C193" s="46"/>
      <c r="D193" s="47" t="s">
        <v>2</v>
      </c>
      <c r="E193" s="47"/>
      <c r="F193" s="47"/>
      <c r="G193" s="47"/>
      <c r="H193" s="47"/>
      <c r="I193" s="47"/>
      <c r="J193" s="47"/>
      <c r="K193" s="48" t="s">
        <v>3</v>
      </c>
      <c r="L193" s="48"/>
      <c r="M193" s="48"/>
      <c r="N193" s="48"/>
      <c r="O193" s="48"/>
      <c r="P193" s="48"/>
      <c r="Q193" s="48"/>
      <c r="R193" s="48"/>
      <c r="S193" s="48"/>
      <c r="T193" s="48"/>
      <c r="U193" s="49"/>
      <c r="V193" s="49"/>
      <c r="W193" s="49"/>
      <c r="X193" s="50"/>
      <c r="Y193" s="50"/>
      <c r="Z193" s="50"/>
      <c r="AA193" s="50"/>
      <c r="AB193" s="50"/>
      <c r="AC193" s="50"/>
      <c r="AD193" s="50"/>
      <c r="AE193" s="51" t="s">
        <v>4</v>
      </c>
    </row>
    <row r="194">
      <c r="A194" s="46" t="s">
        <v>5</v>
      </c>
      <c r="B194" s="46" t="s">
        <v>6</v>
      </c>
      <c r="C194" s="46" t="s">
        <v>7</v>
      </c>
      <c r="D194" s="47" t="s">
        <v>8</v>
      </c>
      <c r="E194" s="52" t="s">
        <v>9</v>
      </c>
      <c r="F194" s="52" t="s">
        <v>10</v>
      </c>
      <c r="G194" s="52" t="s">
        <v>50</v>
      </c>
      <c r="H194" s="53" t="s">
        <v>11</v>
      </c>
      <c r="I194" s="54" t="s">
        <v>12</v>
      </c>
      <c r="J194" s="52" t="s">
        <v>13</v>
      </c>
      <c r="K194" s="48" t="s">
        <v>14</v>
      </c>
      <c r="L194" s="55" t="s">
        <v>15</v>
      </c>
      <c r="M194" s="56" t="s">
        <v>16</v>
      </c>
      <c r="N194" s="56" t="s">
        <v>17</v>
      </c>
      <c r="O194" s="55" t="s">
        <v>18</v>
      </c>
      <c r="P194" s="56" t="s">
        <v>19</v>
      </c>
      <c r="Q194" s="56" t="s">
        <v>20</v>
      </c>
      <c r="R194" s="55" t="s">
        <v>21</v>
      </c>
      <c r="S194" s="56" t="s">
        <v>22</v>
      </c>
      <c r="T194" s="55" t="s">
        <v>23</v>
      </c>
      <c r="U194" s="57" t="s">
        <v>24</v>
      </c>
      <c r="V194" s="57" t="s">
        <v>25</v>
      </c>
      <c r="W194" s="57" t="s">
        <v>26</v>
      </c>
      <c r="X194" s="58" t="s">
        <v>27</v>
      </c>
      <c r="Y194" s="59" t="s">
        <v>28</v>
      </c>
      <c r="Z194" s="59" t="s">
        <v>29</v>
      </c>
      <c r="AA194" s="59" t="s">
        <v>30</v>
      </c>
      <c r="AB194" s="59" t="s">
        <v>31</v>
      </c>
      <c r="AC194" s="59" t="s">
        <v>32</v>
      </c>
      <c r="AD194" s="59" t="s">
        <v>33</v>
      </c>
      <c r="AE194" s="51"/>
    </row>
    <row r="195">
      <c r="A195" s="60">
        <v>46311</v>
      </c>
      <c r="B195" s="88" t="s">
        <v>51</v>
      </c>
      <c r="C195" s="61" t="s">
        <v>49</v>
      </c>
      <c r="D195" s="29">
        <f t="shared" ref="D195:D198" si="14">E195+F195+G195</f>
      </c>
      <c r="E195" s="29">
        <v>754.82</v>
      </c>
      <c r="F195" s="29">
        <v>369.84</v>
      </c>
      <c r="G195" s="61">
        <v>0</v>
      </c>
      <c r="H195" s="62">
        <v>0</v>
      </c>
      <c r="I195" s="61">
        <v>0</v>
      </c>
      <c r="J195" s="63">
        <f t="shared" ref="J195:J210" si="228">I195/D195</f>
      </c>
      <c r="K195" s="64">
        <f t="shared" ref="K195:K210" si="152">Z195/Y195</f>
      </c>
      <c r="L195" s="65">
        <f t="shared" ref="L195:L210" si="95">D195/AA195</f>
      </c>
      <c r="M195" s="66">
        <f t="shared" ref="M195:M210" si="171">AB195/AA195</f>
      </c>
      <c r="N195" s="66">
        <f t="shared" ref="N195:N210" si="57">AC195/AA195</f>
      </c>
      <c r="O195" s="65">
        <f t="shared" ref="O195:O210" si="247">D195/AC195</f>
      </c>
      <c r="P195" s="66">
        <f t="shared" ref="P195:P210" si="190">AD195/AC195</f>
      </c>
      <c r="Q195" s="66">
        <f t="shared" ref="Q195:Q210" si="114">H195/AD195</f>
      </c>
      <c r="R195" s="65">
        <f t="shared" ref="R195:R210" si="76">D195/H195</f>
      </c>
      <c r="S195" s="67">
        <f t="shared" ref="S195:S210" si="266">I195/H195</f>
      </c>
      <c r="T195" s="65">
        <f t="shared" ref="T195:T210" si="209">D195/X195</f>
      </c>
      <c r="U195" s="68">
        <f t="shared" ref="U195:U210" si="133">AE195*1000/D195</f>
      </c>
      <c r="V195" s="89" t="s">
        <v>52</v>
      </c>
      <c r="W195" s="44" t="s">
        <v>37</v>
      </c>
      <c r="X195" s="69">
        <v>0</v>
      </c>
      <c r="Y195" s="69">
        <v>3557</v>
      </c>
      <c r="Z195" s="69">
        <v>280</v>
      </c>
      <c r="AA195" s="69">
        <v>465</v>
      </c>
      <c r="AB195" s="69">
        <v>140</v>
      </c>
      <c r="AC195" s="69">
        <v>19</v>
      </c>
      <c r="AD195" s="70">
        <v>0</v>
      </c>
      <c r="AE195" s="70">
        <v>9</v>
      </c>
    </row>
    <row r="196">
      <c r="A196" s="60"/>
      <c r="B196" s="88" t="s">
        <v>53</v>
      </c>
      <c r="C196" s="61" t="s">
        <v>49</v>
      </c>
      <c r="D196" s="29">
        <f t="shared" si="14"/>
      </c>
      <c r="E196" s="72">
        <v>637.48</v>
      </c>
      <c r="F196" s="29">
        <v>458.36</v>
      </c>
      <c r="G196" s="61">
        <v>0</v>
      </c>
      <c r="H196" s="62">
        <v>1</v>
      </c>
      <c r="I196" s="61">
        <v>1448.6399999999999</v>
      </c>
      <c r="J196" s="63">
        <f t="shared" si="228"/>
      </c>
      <c r="K196" s="64">
        <f t="shared" si="152"/>
      </c>
      <c r="L196" s="65">
        <f t="shared" si="95"/>
      </c>
      <c r="M196" s="66">
        <f t="shared" si="171"/>
      </c>
      <c r="N196" s="66">
        <f t="shared" si="57"/>
      </c>
      <c r="O196" s="65">
        <f t="shared" si="247"/>
      </c>
      <c r="P196" s="66">
        <f t="shared" si="190"/>
      </c>
      <c r="Q196" s="66">
        <f t="shared" si="114"/>
      </c>
      <c r="R196" s="65">
        <f t="shared" si="76"/>
      </c>
      <c r="S196" s="67">
        <f t="shared" si="266"/>
      </c>
      <c r="T196" s="65">
        <f t="shared" si="209"/>
      </c>
      <c r="U196" s="68">
        <f t="shared" si="133"/>
      </c>
      <c r="V196" s="89" t="s">
        <v>52</v>
      </c>
      <c r="W196" s="44" t="s">
        <v>37</v>
      </c>
      <c r="X196" s="69">
        <v>1</v>
      </c>
      <c r="Y196" s="69">
        <v>2919</v>
      </c>
      <c r="Z196" s="69">
        <v>269</v>
      </c>
      <c r="AA196" s="69">
        <v>462</v>
      </c>
      <c r="AB196" s="69">
        <v>130</v>
      </c>
      <c r="AC196" s="69">
        <v>21</v>
      </c>
      <c r="AD196" s="70">
        <v>1</v>
      </c>
      <c r="AE196" s="69">
        <v>12</v>
      </c>
    </row>
    <row r="197">
      <c r="A197" s="60"/>
      <c r="B197" s="88" t="s">
        <v>54</v>
      </c>
      <c r="C197" s="61" t="s">
        <v>49</v>
      </c>
      <c r="D197" s="29">
        <f t="shared" si="14"/>
      </c>
      <c r="E197" s="29">
        <v>1246.79</v>
      </c>
      <c r="F197" s="29">
        <v>649.53</v>
      </c>
      <c r="G197" s="61">
        <v>0</v>
      </c>
      <c r="H197" s="62">
        <v>0</v>
      </c>
      <c r="I197" s="61">
        <v>0</v>
      </c>
      <c r="J197" s="63">
        <f t="shared" si="228"/>
      </c>
      <c r="K197" s="64">
        <f t="shared" si="152"/>
      </c>
      <c r="L197" s="65">
        <f t="shared" si="95"/>
      </c>
      <c r="M197" s="66">
        <f t="shared" si="171"/>
      </c>
      <c r="N197" s="66">
        <f t="shared" si="57"/>
      </c>
      <c r="O197" s="65">
        <f t="shared" si="247"/>
      </c>
      <c r="P197" s="66">
        <f t="shared" si="190"/>
      </c>
      <c r="Q197" s="66">
        <f t="shared" si="114"/>
      </c>
      <c r="R197" s="65">
        <f t="shared" si="76"/>
      </c>
      <c r="S197" s="67">
        <f t="shared" si="266"/>
      </c>
      <c r="T197" s="65">
        <f t="shared" si="209"/>
      </c>
      <c r="U197" s="68">
        <f t="shared" si="133"/>
      </c>
      <c r="V197" s="89" t="s">
        <v>52</v>
      </c>
      <c r="W197" s="44" t="s">
        <v>37</v>
      </c>
      <c r="X197" s="69">
        <v>0</v>
      </c>
      <c r="Y197" s="69">
        <v>3937</v>
      </c>
      <c r="Z197" s="69">
        <v>366</v>
      </c>
      <c r="AA197" s="69">
        <v>593</v>
      </c>
      <c r="AB197" s="69">
        <v>190</v>
      </c>
      <c r="AC197" s="69">
        <v>9</v>
      </c>
      <c r="AD197" s="70">
        <v>0</v>
      </c>
      <c r="AE197" s="69">
        <v>15</v>
      </c>
    </row>
    <row r="198">
      <c r="A198" s="60"/>
      <c r="B198" s="88" t="s">
        <v>55</v>
      </c>
      <c r="C198" s="61" t="s">
        <v>49</v>
      </c>
      <c r="D198" s="29">
        <f t="shared" si="14"/>
      </c>
      <c r="E198" s="29">
        <v>1245.33</v>
      </c>
      <c r="F198" s="29">
        <v>699.51</v>
      </c>
      <c r="G198" s="61">
        <v>0</v>
      </c>
      <c r="H198" s="62">
        <v>1</v>
      </c>
      <c r="I198" s="61">
        <v>1765.92</v>
      </c>
      <c r="J198" s="63">
        <f t="shared" si="228"/>
      </c>
      <c r="K198" s="64">
        <f t="shared" si="152"/>
      </c>
      <c r="L198" s="65">
        <f t="shared" si="95"/>
      </c>
      <c r="M198" s="66">
        <f t="shared" si="171"/>
      </c>
      <c r="N198" s="66">
        <f t="shared" si="57"/>
      </c>
      <c r="O198" s="65">
        <f t="shared" si="247"/>
      </c>
      <c r="P198" s="66">
        <f t="shared" si="190"/>
      </c>
      <c r="Q198" s="66">
        <f t="shared" si="114"/>
      </c>
      <c r="R198" s="65">
        <f t="shared" si="76"/>
      </c>
      <c r="S198" s="67">
        <f t="shared" si="266"/>
      </c>
      <c r="T198" s="65">
        <f t="shared" si="209"/>
      </c>
      <c r="U198" s="68">
        <f t="shared" si="133"/>
      </c>
      <c r="V198" s="89" t="s">
        <v>52</v>
      </c>
      <c r="W198" s="44" t="s">
        <v>37</v>
      </c>
      <c r="X198" s="69">
        <v>1</v>
      </c>
      <c r="Y198" s="69">
        <v>3835</v>
      </c>
      <c r="Z198" s="69">
        <v>358</v>
      </c>
      <c r="AA198" s="69">
        <v>541</v>
      </c>
      <c r="AB198" s="69">
        <v>166</v>
      </c>
      <c r="AC198" s="69">
        <v>21</v>
      </c>
      <c r="AD198" s="70">
        <v>1</v>
      </c>
      <c r="AE198" s="69">
        <v>14</v>
      </c>
    </row>
    <row r="199">
      <c r="A199" s="60"/>
      <c r="B199" s="74" t="s">
        <v>41</v>
      </c>
      <c r="C199" s="74"/>
      <c r="D199" s="74">
        <f>SUM(D195:D198)</f>
      </c>
      <c r="E199" s="74">
        <f>SUM(E195:E198)</f>
      </c>
      <c r="F199" s="74">
        <f>SUM(F195:F198)</f>
      </c>
      <c r="G199" s="74">
        <f>SUM(G195:G198)</f>
      </c>
      <c r="H199" s="74">
        <f>SUM(H195:H198)</f>
      </c>
      <c r="I199" s="74">
        <f>SUM(I195:I198)</f>
      </c>
      <c r="J199" s="75">
        <f t="shared" si="228"/>
      </c>
      <c r="K199" s="76">
        <f t="shared" si="152"/>
      </c>
      <c r="L199" s="77">
        <f t="shared" si="95"/>
      </c>
      <c r="M199" s="78">
        <f t="shared" si="171"/>
      </c>
      <c r="N199" s="78">
        <f t="shared" si="57"/>
      </c>
      <c r="O199" s="77">
        <f t="shared" si="247"/>
      </c>
      <c r="P199" s="78">
        <f t="shared" si="190"/>
      </c>
      <c r="Q199" s="78">
        <f t="shared" si="114"/>
      </c>
      <c r="R199" s="77">
        <f t="shared" si="76"/>
      </c>
      <c r="S199" s="79">
        <f t="shared" si="266"/>
      </c>
      <c r="T199" s="77">
        <f t="shared" si="209"/>
      </c>
      <c r="U199" s="80">
        <f t="shared" si="133"/>
      </c>
      <c r="V199" s="80"/>
      <c r="W199" s="80"/>
      <c r="X199" s="74">
        <f>SUM(X195:X198)</f>
      </c>
      <c r="Y199" s="74">
        <f>SUM(Y195:Y198)</f>
      </c>
      <c r="Z199" s="74">
        <f>SUM(Z195:Z198)</f>
      </c>
      <c r="AA199" s="74">
        <f>SUM(AA195:AA198)</f>
      </c>
      <c r="AB199" s="74">
        <f>SUM(AB195:AB198)</f>
      </c>
      <c r="AC199" s="74">
        <f>SUM(AC195:AC198)</f>
      </c>
      <c r="AD199" s="74">
        <f>SUM(AD195:AD198)</f>
      </c>
      <c r="AE199" s="74">
        <f>SUM(AE195:AE198)</f>
      </c>
    </row>
    <row r="200">
      <c r="A200" s="60"/>
      <c r="B200" s="88" t="s">
        <v>34</v>
      </c>
      <c r="C200" s="17" t="s">
        <v>43</v>
      </c>
      <c r="D200" s="29">
        <f t="shared" ref="D200:D203" si="15">E200+F200+G200</f>
      </c>
      <c r="E200" s="29">
        <v>1361.51</v>
      </c>
      <c r="F200" s="29">
        <v>387.05</v>
      </c>
      <c r="G200" s="61">
        <v>0</v>
      </c>
      <c r="H200" s="62">
        <v>0</v>
      </c>
      <c r="I200" s="61">
        <v>0</v>
      </c>
      <c r="J200" s="63">
        <f t="shared" si="228"/>
      </c>
      <c r="K200" s="64">
        <f t="shared" si="152"/>
      </c>
      <c r="L200" s="65">
        <f t="shared" si="95"/>
      </c>
      <c r="M200" s="66">
        <f t="shared" si="171"/>
      </c>
      <c r="N200" s="66">
        <f t="shared" si="57"/>
      </c>
      <c r="O200" s="65">
        <f t="shared" si="247"/>
      </c>
      <c r="P200" s="66">
        <f t="shared" si="190"/>
      </c>
      <c r="Q200" s="66">
        <f t="shared" si="114"/>
      </c>
      <c r="R200" s="65">
        <f t="shared" si="76"/>
      </c>
      <c r="S200" s="67">
        <f t="shared" si="266"/>
      </c>
      <c r="T200" s="65">
        <f t="shared" si="209"/>
      </c>
      <c r="U200" s="68">
        <f t="shared" si="133"/>
      </c>
      <c r="V200" s="44" t="s">
        <v>36</v>
      </c>
      <c r="W200" s="44" t="s">
        <v>37</v>
      </c>
      <c r="X200" s="69">
        <v>0</v>
      </c>
      <c r="Y200" s="69">
        <v>4869</v>
      </c>
      <c r="Z200" s="69">
        <v>301</v>
      </c>
      <c r="AA200" s="69">
        <v>454</v>
      </c>
      <c r="AB200" s="69">
        <v>164</v>
      </c>
      <c r="AC200" s="69">
        <v>18</v>
      </c>
      <c r="AD200" s="70">
        <v>0</v>
      </c>
      <c r="AE200" s="69">
        <v>20</v>
      </c>
    </row>
    <row r="201">
      <c r="A201" s="60"/>
      <c r="B201" s="90" t="s">
        <v>38</v>
      </c>
      <c r="C201" s="17" t="s">
        <v>43</v>
      </c>
      <c r="D201" s="29">
        <f t="shared" si="15"/>
      </c>
      <c r="E201" s="61">
        <v>785.56</v>
      </c>
      <c r="F201" s="29">
        <v>485.84</v>
      </c>
      <c r="G201" s="61">
        <v>0</v>
      </c>
      <c r="H201" s="62">
        <v>0</v>
      </c>
      <c r="I201" s="61">
        <v>0</v>
      </c>
      <c r="J201" s="63">
        <f t="shared" si="228"/>
      </c>
      <c r="K201" s="64">
        <f t="shared" si="152"/>
      </c>
      <c r="L201" s="65">
        <f t="shared" si="95"/>
      </c>
      <c r="M201" s="66">
        <f t="shared" si="171"/>
      </c>
      <c r="N201" s="66">
        <f t="shared" si="57"/>
      </c>
      <c r="O201" s="65">
        <f t="shared" si="247"/>
      </c>
      <c r="P201" s="66">
        <f t="shared" si="190"/>
      </c>
      <c r="Q201" s="66">
        <f t="shared" si="114"/>
      </c>
      <c r="R201" s="65">
        <f t="shared" si="76"/>
      </c>
      <c r="S201" s="67">
        <f t="shared" si="266"/>
      </c>
      <c r="T201" s="65">
        <f t="shared" si="209"/>
      </c>
      <c r="U201" s="68">
        <f t="shared" si="133"/>
      </c>
      <c r="V201" s="44" t="s">
        <v>36</v>
      </c>
      <c r="W201" s="44" t="s">
        <v>37</v>
      </c>
      <c r="X201" s="69">
        <v>0</v>
      </c>
      <c r="Y201" s="69">
        <v>2749</v>
      </c>
      <c r="Z201" s="69">
        <v>272</v>
      </c>
      <c r="AA201" s="69">
        <v>438</v>
      </c>
      <c r="AB201" s="69">
        <v>131</v>
      </c>
      <c r="AC201" s="69">
        <v>10</v>
      </c>
      <c r="AD201" s="70">
        <v>1</v>
      </c>
      <c r="AE201" s="70">
        <v>8</v>
      </c>
    </row>
    <row r="202">
      <c r="A202" s="60"/>
      <c r="B202" s="88" t="s">
        <v>39</v>
      </c>
      <c r="C202" s="17" t="s">
        <v>43</v>
      </c>
      <c r="D202" s="29">
        <f t="shared" si="15"/>
      </c>
      <c r="E202" s="29">
        <v>461.19</v>
      </c>
      <c r="F202" s="29">
        <v>362.5</v>
      </c>
      <c r="G202" s="61">
        <v>0</v>
      </c>
      <c r="H202" s="62">
        <v>0</v>
      </c>
      <c r="I202" s="61">
        <v>0</v>
      </c>
      <c r="J202" s="63">
        <f t="shared" si="228"/>
      </c>
      <c r="K202" s="64">
        <f t="shared" si="152"/>
      </c>
      <c r="L202" s="65">
        <f t="shared" si="95"/>
      </c>
      <c r="M202" s="66">
        <f t="shared" si="171"/>
      </c>
      <c r="N202" s="66">
        <f t="shared" si="57"/>
      </c>
      <c r="O202" s="65">
        <f t="shared" si="247"/>
      </c>
      <c r="P202" s="66">
        <f t="shared" si="190"/>
      </c>
      <c r="Q202" s="66">
        <f t="shared" si="114"/>
      </c>
      <c r="R202" s="65">
        <f t="shared" si="76"/>
      </c>
      <c r="S202" s="67">
        <f t="shared" si="266"/>
      </c>
      <c r="T202" s="65">
        <f t="shared" si="209"/>
      </c>
      <c r="U202" s="68">
        <f t="shared" si="133"/>
      </c>
      <c r="V202" s="44" t="s">
        <v>36</v>
      </c>
      <c r="W202" s="44" t="s">
        <v>37</v>
      </c>
      <c r="X202" s="69">
        <v>0</v>
      </c>
      <c r="Y202" s="69">
        <v>2043</v>
      </c>
      <c r="Z202" s="69">
        <v>275</v>
      </c>
      <c r="AA202" s="69">
        <v>449</v>
      </c>
      <c r="AB202" s="69">
        <v>129</v>
      </c>
      <c r="AC202" s="69">
        <v>6</v>
      </c>
      <c r="AD202" s="70">
        <v>0</v>
      </c>
      <c r="AE202" s="69">
        <v>5</v>
      </c>
    </row>
    <row r="203">
      <c r="A203" s="60"/>
      <c r="B203" s="88" t="s">
        <v>40</v>
      </c>
      <c r="C203" s="17" t="s">
        <v>43</v>
      </c>
      <c r="D203" s="29">
        <f t="shared" si="15"/>
      </c>
      <c r="E203" s="29">
        <v>506.06</v>
      </c>
      <c r="F203" s="29">
        <v>334.9</v>
      </c>
      <c r="G203" s="61">
        <v>0</v>
      </c>
      <c r="H203" s="62">
        <v>0</v>
      </c>
      <c r="I203" s="61">
        <v>0</v>
      </c>
      <c r="J203" s="63">
        <f t="shared" si="228"/>
      </c>
      <c r="K203" s="64">
        <f t="shared" si="152"/>
      </c>
      <c r="L203" s="65">
        <f t="shared" si="95"/>
      </c>
      <c r="M203" s="66">
        <f t="shared" si="171"/>
      </c>
      <c r="N203" s="66">
        <f t="shared" si="57"/>
      </c>
      <c r="O203" s="65">
        <f t="shared" si="247"/>
      </c>
      <c r="P203" s="66">
        <f t="shared" si="190"/>
      </c>
      <c r="Q203" s="66">
        <f t="shared" si="114"/>
      </c>
      <c r="R203" s="65">
        <f t="shared" si="76"/>
      </c>
      <c r="S203" s="67">
        <f t="shared" si="266"/>
      </c>
      <c r="T203" s="65">
        <f t="shared" si="209"/>
      </c>
      <c r="U203" s="68">
        <f t="shared" si="133"/>
      </c>
      <c r="V203" s="44" t="s">
        <v>36</v>
      </c>
      <c r="W203" s="44" t="s">
        <v>37</v>
      </c>
      <c r="X203" s="69">
        <v>0</v>
      </c>
      <c r="Y203" s="69">
        <v>1972</v>
      </c>
      <c r="Z203" s="69">
        <v>200</v>
      </c>
      <c r="AA203" s="69">
        <v>363</v>
      </c>
      <c r="AB203" s="69">
        <v>88</v>
      </c>
      <c r="AC203" s="69">
        <v>4</v>
      </c>
      <c r="AD203" s="70">
        <v>1</v>
      </c>
      <c r="AE203" s="70">
        <v>7</v>
      </c>
    </row>
    <row r="204">
      <c r="A204" s="60"/>
      <c r="B204" s="74" t="s">
        <v>41</v>
      </c>
      <c r="C204" s="74"/>
      <c r="D204" s="74">
        <f>SUM(D200:D203)</f>
      </c>
      <c r="E204" s="74">
        <f>SUM(E200:E203)</f>
      </c>
      <c r="F204" s="74">
        <f>SUM(F200:F203)</f>
      </c>
      <c r="G204" s="74">
        <f>SUM(G200:G203)</f>
      </c>
      <c r="H204" s="74">
        <f>SUM(H200:H203)</f>
      </c>
      <c r="I204" s="74">
        <f>SUM(I200:I203)</f>
      </c>
      <c r="J204" s="75">
        <f t="shared" si="228"/>
      </c>
      <c r="K204" s="76">
        <f t="shared" si="152"/>
      </c>
      <c r="L204" s="77">
        <f t="shared" si="95"/>
      </c>
      <c r="M204" s="78">
        <f t="shared" si="171"/>
      </c>
      <c r="N204" s="78">
        <f t="shared" si="57"/>
      </c>
      <c r="O204" s="77">
        <f t="shared" si="247"/>
      </c>
      <c r="P204" s="78">
        <f t="shared" si="190"/>
      </c>
      <c r="Q204" s="78">
        <f t="shared" si="114"/>
      </c>
      <c r="R204" s="77">
        <f t="shared" si="76"/>
      </c>
      <c r="S204" s="79">
        <f t="shared" si="266"/>
      </c>
      <c r="T204" s="77">
        <f t="shared" si="209"/>
      </c>
      <c r="U204" s="80">
        <f t="shared" si="133"/>
      </c>
      <c r="V204" s="80"/>
      <c r="W204" s="80"/>
      <c r="X204" s="74">
        <f>SUM(X200:X203)</f>
      </c>
      <c r="Y204" s="74">
        <f>SUM(Y200:Y203)</f>
      </c>
      <c r="Z204" s="74">
        <f>SUM(Z200:Z203)</f>
      </c>
      <c r="AA204" s="74">
        <f>SUM(AA200:AA203)</f>
      </c>
      <c r="AB204" s="74">
        <f>SUM(AB200:AB203)</f>
      </c>
      <c r="AC204" s="74">
        <f>SUM(AC200:AC203)</f>
      </c>
      <c r="AD204" s="74">
        <f>SUM(AD200:AD203)</f>
      </c>
      <c r="AE204" s="74">
        <f>SUM(AE200:AE203)</f>
      </c>
    </row>
    <row customHeight="true" ht="18.452380952380953" r="205">
      <c r="A205" s="60"/>
      <c r="B205" s="88" t="s">
        <v>42</v>
      </c>
      <c r="C205" s="17" t="s">
        <v>48</v>
      </c>
      <c r="D205" s="29">
        <f t="shared" ref="D205:D208" si="16">E205+F205+G205</f>
      </c>
      <c r="E205" s="29">
        <v>469.15</v>
      </c>
      <c r="F205" s="29">
        <v>653.01</v>
      </c>
      <c r="G205" s="61">
        <v>0</v>
      </c>
      <c r="H205" s="62">
        <v>3</v>
      </c>
      <c r="I205" s="61">
        <v>9464.52</v>
      </c>
      <c r="J205" s="63">
        <f t="shared" si="228"/>
      </c>
      <c r="K205" s="64">
        <f t="shared" si="152"/>
      </c>
      <c r="L205" s="65">
        <f t="shared" si="95"/>
      </c>
      <c r="M205" s="66">
        <f t="shared" si="171"/>
      </c>
      <c r="N205" s="66">
        <f t="shared" si="57"/>
      </c>
      <c r="O205" s="65">
        <f t="shared" si="247"/>
      </c>
      <c r="P205" s="66">
        <f t="shared" si="190"/>
      </c>
      <c r="Q205" s="66">
        <f t="shared" si="114"/>
      </c>
      <c r="R205" s="65">
        <f t="shared" si="76"/>
      </c>
      <c r="S205" s="67">
        <f t="shared" si="266"/>
      </c>
      <c r="T205" s="65">
        <f t="shared" si="209"/>
      </c>
      <c r="U205" s="68">
        <f t="shared" si="133"/>
      </c>
      <c r="V205" s="44" t="s">
        <v>36</v>
      </c>
      <c r="W205" s="44" t="s">
        <v>37</v>
      </c>
      <c r="X205" s="69">
        <v>2</v>
      </c>
      <c r="Y205" s="69">
        <v>1062</v>
      </c>
      <c r="Z205" s="69">
        <v>253</v>
      </c>
      <c r="AA205" s="69">
        <v>457</v>
      </c>
      <c r="AB205" s="69">
        <v>116</v>
      </c>
      <c r="AC205" s="69">
        <v>7</v>
      </c>
      <c r="AD205" s="70">
        <v>3</v>
      </c>
      <c r="AE205" s="70">
        <v>15</v>
      </c>
    </row>
    <row customHeight="true" ht="18.452380952380953" r="206">
      <c r="A206" s="60"/>
      <c r="B206" s="91" t="s">
        <v>44</v>
      </c>
      <c r="C206" s="17" t="s">
        <v>48</v>
      </c>
      <c r="D206" s="29">
        <f t="shared" si="16"/>
      </c>
      <c r="E206" s="29">
        <v>572.76</v>
      </c>
      <c r="F206" s="29">
        <v>953.27</v>
      </c>
      <c r="G206" s="61">
        <v>0</v>
      </c>
      <c r="H206" s="62">
        <v>2</v>
      </c>
      <c r="I206" s="61">
        <v>2656.5599999999995</v>
      </c>
      <c r="J206" s="63">
        <f t="shared" si="228"/>
      </c>
      <c r="K206" s="64">
        <f t="shared" si="152"/>
      </c>
      <c r="L206" s="65">
        <f t="shared" si="95"/>
      </c>
      <c r="M206" s="66">
        <f t="shared" si="171"/>
      </c>
      <c r="N206" s="66">
        <f t="shared" si="57"/>
      </c>
      <c r="O206" s="65">
        <f t="shared" si="247"/>
      </c>
      <c r="P206" s="66">
        <f t="shared" si="190"/>
      </c>
      <c r="Q206" s="66">
        <f t="shared" si="114"/>
      </c>
      <c r="R206" s="65">
        <f t="shared" si="76"/>
      </c>
      <c r="S206" s="67">
        <f t="shared" si="266"/>
      </c>
      <c r="T206" s="65">
        <f t="shared" si="209"/>
      </c>
      <c r="U206" s="68">
        <f t="shared" si="133"/>
      </c>
      <c r="V206" s="44" t="s">
        <v>36</v>
      </c>
      <c r="W206" s="44" t="s">
        <v>37</v>
      </c>
      <c r="X206" s="69">
        <v>2</v>
      </c>
      <c r="Y206" s="69">
        <v>3396</v>
      </c>
      <c r="Z206" s="69">
        <v>458</v>
      </c>
      <c r="AA206" s="69">
        <v>815</v>
      </c>
      <c r="AB206" s="69">
        <v>204</v>
      </c>
      <c r="AC206" s="69">
        <v>25</v>
      </c>
      <c r="AD206" s="70">
        <v>2</v>
      </c>
      <c r="AE206" s="70">
        <v>19</v>
      </c>
    </row>
    <row customHeight="true" ht="18.452380952380953" r="207">
      <c r="A207" s="60"/>
      <c r="B207" s="91" t="s">
        <v>45</v>
      </c>
      <c r="C207" s="17" t="s">
        <v>48</v>
      </c>
      <c r="D207" s="29">
        <f t="shared" si="16"/>
      </c>
      <c r="E207" s="29">
        <v>996.01</v>
      </c>
      <c r="F207" s="29">
        <v>1039.3</v>
      </c>
      <c r="G207" s="61">
        <v>0</v>
      </c>
      <c r="H207" s="62">
        <v>0</v>
      </c>
      <c r="I207" s="61">
        <v>0</v>
      </c>
      <c r="J207" s="63">
        <f t="shared" si="228"/>
      </c>
      <c r="K207" s="64">
        <f t="shared" si="152"/>
      </c>
      <c r="L207" s="65">
        <f t="shared" si="95"/>
      </c>
      <c r="M207" s="66">
        <f t="shared" si="171"/>
      </c>
      <c r="N207" s="66">
        <f t="shared" si="57"/>
      </c>
      <c r="O207" s="65">
        <f t="shared" si="247"/>
      </c>
      <c r="P207" s="66">
        <f t="shared" si="190"/>
      </c>
      <c r="Q207" s="66">
        <f t="shared" si="114"/>
      </c>
      <c r="R207" s="65">
        <f t="shared" si="76"/>
      </c>
      <c r="S207" s="67">
        <f t="shared" si="266"/>
      </c>
      <c r="T207" s="65">
        <f t="shared" si="209"/>
      </c>
      <c r="U207" s="68">
        <f t="shared" si="133"/>
      </c>
      <c r="V207" s="44" t="s">
        <v>36</v>
      </c>
      <c r="W207" s="44" t="s">
        <v>37</v>
      </c>
      <c r="X207" s="69">
        <v>0</v>
      </c>
      <c r="Y207" s="69">
        <v>4555</v>
      </c>
      <c r="Z207" s="69">
        <v>683</v>
      </c>
      <c r="AA207" s="69">
        <v>1152</v>
      </c>
      <c r="AB207" s="69">
        <v>339</v>
      </c>
      <c r="AC207" s="69">
        <v>13</v>
      </c>
      <c r="AD207" s="70">
        <v>0</v>
      </c>
      <c r="AE207" s="70">
        <v>20</v>
      </c>
    </row>
    <row customHeight="true" ht="18.452380952380953" r="208">
      <c r="A208" s="60"/>
      <c r="B208" s="88" t="s">
        <v>46</v>
      </c>
      <c r="C208" s="17" t="s">
        <v>48</v>
      </c>
      <c r="D208" s="29">
        <f t="shared" si="16"/>
      </c>
      <c r="E208" s="29">
        <v>528</v>
      </c>
      <c r="F208" s="29">
        <v>774.16</v>
      </c>
      <c r="G208" s="61">
        <v>0</v>
      </c>
      <c r="H208" s="62">
        <v>3</v>
      </c>
      <c r="I208" s="61">
        <v>7784.640000000003</v>
      </c>
      <c r="J208" s="63">
        <f t="shared" si="228"/>
      </c>
      <c r="K208" s="64">
        <f t="shared" si="152"/>
      </c>
      <c r="L208" s="65">
        <f t="shared" si="95"/>
      </c>
      <c r="M208" s="66">
        <f t="shared" si="171"/>
      </c>
      <c r="N208" s="66">
        <f t="shared" si="57"/>
      </c>
      <c r="O208" s="65">
        <f t="shared" si="247"/>
      </c>
      <c r="P208" s="66">
        <f t="shared" si="190"/>
      </c>
      <c r="Q208" s="66">
        <f t="shared" si="114"/>
      </c>
      <c r="R208" s="65">
        <f t="shared" si="76"/>
      </c>
      <c r="S208" s="67">
        <f t="shared" si="266"/>
      </c>
      <c r="T208" s="65">
        <f t="shared" si="209"/>
      </c>
      <c r="U208" s="68">
        <f t="shared" si="133"/>
      </c>
      <c r="V208" s="44" t="s">
        <v>36</v>
      </c>
      <c r="W208" s="44" t="s">
        <v>37</v>
      </c>
      <c r="X208" s="69">
        <v>3</v>
      </c>
      <c r="Y208" s="69">
        <v>3712</v>
      </c>
      <c r="Z208" s="69">
        <v>305</v>
      </c>
      <c r="AA208" s="69">
        <v>588</v>
      </c>
      <c r="AB208" s="69">
        <v>113</v>
      </c>
      <c r="AC208" s="69">
        <v>23</v>
      </c>
      <c r="AD208" s="70">
        <v>5</v>
      </c>
      <c r="AE208" s="70">
        <v>9</v>
      </c>
    </row>
    <row customHeight="true" ht="18.452380952380953" r="209">
      <c r="A209" s="60"/>
      <c r="B209" s="74" t="s">
        <v>41</v>
      </c>
      <c r="C209" s="74"/>
      <c r="D209" s="74">
        <f>SUM(D205:D208)</f>
      </c>
      <c r="E209" s="74">
        <f>SUM(E205:E208)</f>
      </c>
      <c r="F209" s="74">
        <f>SUM(F205:F208)</f>
      </c>
      <c r="G209" s="74">
        <f>SUM(G205:G208)</f>
      </c>
      <c r="H209" s="74">
        <f>SUM(H205:H208)</f>
      </c>
      <c r="I209" s="74">
        <f>SUM(I205:I208)</f>
      </c>
      <c r="J209" s="75">
        <f t="shared" si="228"/>
      </c>
      <c r="K209" s="76">
        <f t="shared" si="152"/>
      </c>
      <c r="L209" s="77">
        <f t="shared" si="95"/>
      </c>
      <c r="M209" s="78">
        <f t="shared" si="171"/>
      </c>
      <c r="N209" s="78">
        <f t="shared" si="57"/>
      </c>
      <c r="O209" s="77">
        <f t="shared" si="247"/>
      </c>
      <c r="P209" s="78">
        <f t="shared" si="190"/>
      </c>
      <c r="Q209" s="78">
        <f t="shared" si="114"/>
      </c>
      <c r="R209" s="77">
        <f t="shared" si="76"/>
      </c>
      <c r="S209" s="79">
        <f t="shared" si="266"/>
      </c>
      <c r="T209" s="77">
        <f t="shared" si="209"/>
      </c>
      <c r="U209" s="80">
        <f t="shared" si="133"/>
      </c>
      <c r="V209" s="80"/>
      <c r="W209" s="80"/>
      <c r="X209" s="74">
        <f>SUM(X205:X208)</f>
      </c>
      <c r="Y209" s="74">
        <f>SUM(Y205:Y208)</f>
      </c>
      <c r="Z209" s="74">
        <f>SUM(Z205:Z208)</f>
      </c>
      <c r="AA209" s="74">
        <f>SUM(AA205:AA208)</f>
      </c>
      <c r="AB209" s="74">
        <f>SUM(AB205:AB208)</f>
      </c>
      <c r="AC209" s="74">
        <f>SUM(AC205:AC208)</f>
      </c>
      <c r="AD209" s="74">
        <f>SUM(AD205:AD208)</f>
      </c>
      <c r="AE209" s="74">
        <f>SUM(AE205:AE208)</f>
      </c>
    </row>
    <row r="210">
      <c r="A210" s="60"/>
      <c r="B210" s="81" t="s">
        <v>47</v>
      </c>
      <c r="C210" s="81"/>
      <c r="D210" s="82">
        <f>D199+D204+D209</f>
      </c>
      <c r="E210" s="82">
        <f>E199+E204+E209</f>
      </c>
      <c r="F210" s="82">
        <f>F199+F204+F209</f>
      </c>
      <c r="G210" s="82">
        <f>G199+G204+G209</f>
      </c>
      <c r="H210" s="82">
        <f>H199+H204+H209</f>
      </c>
      <c r="I210" s="82">
        <f>I199+I204+I209</f>
      </c>
      <c r="J210" s="82">
        <f t="shared" si="228"/>
      </c>
      <c r="K210" s="83">
        <f t="shared" si="152"/>
      </c>
      <c r="L210" s="82">
        <f t="shared" si="95"/>
      </c>
      <c r="M210" s="84">
        <f t="shared" si="171"/>
      </c>
      <c r="N210" s="84">
        <f t="shared" si="57"/>
      </c>
      <c r="O210" s="82">
        <f t="shared" si="247"/>
      </c>
      <c r="P210" s="84">
        <f t="shared" si="190"/>
      </c>
      <c r="Q210" s="84">
        <f t="shared" si="114"/>
      </c>
      <c r="R210" s="82">
        <f t="shared" si="76"/>
      </c>
      <c r="S210" s="85">
        <f t="shared" si="266"/>
      </c>
      <c r="T210" s="82">
        <f t="shared" si="209"/>
      </c>
      <c r="U210" s="86">
        <f t="shared" si="133"/>
      </c>
      <c r="V210" s="86"/>
      <c r="W210" s="86"/>
      <c r="X210" s="87">
        <f>X199+X204+X209</f>
      </c>
      <c r="Y210" s="87">
        <f>Y199+Y204+Y209</f>
      </c>
      <c r="Z210" s="87">
        <f>Z199+Z204+Z209</f>
      </c>
      <c r="AA210" s="87">
        <f>AA199+AA204+AA209</f>
      </c>
      <c r="AB210" s="87">
        <f>AB199+AB204+AB209</f>
      </c>
      <c r="AC210" s="87">
        <f>AC199+AC204+AC209</f>
      </c>
      <c r="AD210" s="87">
        <f>AD199+AD204+AD209</f>
      </c>
      <c r="AE210" s="87">
        <f>AE199+AE204+AE209</f>
      </c>
    </row>
    <row r="211">
      <c r="A211" s="46" t="s">
        <v>1</v>
      </c>
      <c r="B211" s="46"/>
      <c r="C211" s="46"/>
      <c r="D211" s="47" t="s">
        <v>2</v>
      </c>
      <c r="E211" s="47"/>
      <c r="F211" s="47"/>
      <c r="G211" s="47"/>
      <c r="H211" s="47"/>
      <c r="I211" s="47"/>
      <c r="J211" s="47"/>
      <c r="K211" s="48" t="s">
        <v>3</v>
      </c>
      <c r="L211" s="48"/>
      <c r="M211" s="48"/>
      <c r="N211" s="48"/>
      <c r="O211" s="48"/>
      <c r="P211" s="48"/>
      <c r="Q211" s="48"/>
      <c r="R211" s="48"/>
      <c r="S211" s="48"/>
      <c r="T211" s="48"/>
      <c r="U211" s="49"/>
      <c r="V211" s="49"/>
      <c r="W211" s="49"/>
      <c r="X211" s="50"/>
      <c r="Y211" s="50"/>
      <c r="Z211" s="50"/>
      <c r="AA211" s="50"/>
      <c r="AB211" s="50"/>
      <c r="AC211" s="50"/>
      <c r="AD211" s="50"/>
      <c r="AE211" s="51" t="s">
        <v>4</v>
      </c>
    </row>
    <row r="212">
      <c r="A212" s="46" t="s">
        <v>5</v>
      </c>
      <c r="B212" s="46" t="s">
        <v>6</v>
      </c>
      <c r="C212" s="46" t="s">
        <v>7</v>
      </c>
      <c r="D212" s="47" t="s">
        <v>8</v>
      </c>
      <c r="E212" s="52" t="s">
        <v>9</v>
      </c>
      <c r="F212" s="52" t="s">
        <v>10</v>
      </c>
      <c r="G212" s="52" t="s">
        <v>50</v>
      </c>
      <c r="H212" s="53" t="s">
        <v>11</v>
      </c>
      <c r="I212" s="54" t="s">
        <v>12</v>
      </c>
      <c r="J212" s="52" t="s">
        <v>13</v>
      </c>
      <c r="K212" s="48" t="s">
        <v>14</v>
      </c>
      <c r="L212" s="55" t="s">
        <v>15</v>
      </c>
      <c r="M212" s="56" t="s">
        <v>16</v>
      </c>
      <c r="N212" s="56" t="s">
        <v>17</v>
      </c>
      <c r="O212" s="55" t="s">
        <v>18</v>
      </c>
      <c r="P212" s="56" t="s">
        <v>19</v>
      </c>
      <c r="Q212" s="56" t="s">
        <v>20</v>
      </c>
      <c r="R212" s="55" t="s">
        <v>21</v>
      </c>
      <c r="S212" s="56" t="s">
        <v>22</v>
      </c>
      <c r="T212" s="55" t="s">
        <v>23</v>
      </c>
      <c r="U212" s="57" t="s">
        <v>24</v>
      </c>
      <c r="V212" s="57" t="s">
        <v>25</v>
      </c>
      <c r="W212" s="57" t="s">
        <v>26</v>
      </c>
      <c r="X212" s="58" t="s">
        <v>27</v>
      </c>
      <c r="Y212" s="59" t="s">
        <v>28</v>
      </c>
      <c r="Z212" s="59" t="s">
        <v>29</v>
      </c>
      <c r="AA212" s="59" t="s">
        <v>30</v>
      </c>
      <c r="AB212" s="59" t="s">
        <v>31</v>
      </c>
      <c r="AC212" s="59" t="s">
        <v>32</v>
      </c>
      <c r="AD212" s="59" t="s">
        <v>33</v>
      </c>
      <c r="AE212" s="51"/>
    </row>
    <row r="213">
      <c r="A213" s="60">
        <v>46312</v>
      </c>
      <c r="B213" s="88" t="s">
        <v>51</v>
      </c>
      <c r="C213" s="61" t="s">
        <v>56</v>
      </c>
      <c r="D213" s="29">
        <f t="shared" ref="D213:D216" si="17">E213+F213+G213</f>
      </c>
      <c r="E213" s="29">
        <v>1175.1</v>
      </c>
      <c r="F213" s="29">
        <v>905.56</v>
      </c>
      <c r="G213" s="61">
        <v>0</v>
      </c>
      <c r="H213" s="62">
        <v>1</v>
      </c>
      <c r="I213" s="61">
        <v>1104.84</v>
      </c>
      <c r="J213" s="63">
        <f t="shared" ref="J213:J228" si="229">I213/D213</f>
      </c>
      <c r="K213" s="64">
        <f t="shared" ref="K213:K228" si="153">Z213/Y213</f>
      </c>
      <c r="L213" s="65">
        <f t="shared" ref="L213:L228" si="96">D213/AA213</f>
      </c>
      <c r="M213" s="66">
        <f t="shared" ref="M213:M228" si="172">AB213/AA213</f>
      </c>
      <c r="N213" s="66">
        <f t="shared" ref="N213:N228" si="58">AC213/AA213</f>
      </c>
      <c r="O213" s="65">
        <f t="shared" ref="O213:O228" si="248">D213/AC213</f>
      </c>
      <c r="P213" s="66">
        <f t="shared" ref="P213:P228" si="191">AD213/AC213</f>
      </c>
      <c r="Q213" s="66">
        <f t="shared" ref="Q213:Q228" si="115">H213/AD213</f>
      </c>
      <c r="R213" s="65">
        <f t="shared" ref="R213:R228" si="77">D213/H213</f>
      </c>
      <c r="S213" s="67">
        <f t="shared" ref="S213:S228" si="267">I213/H213</f>
      </c>
      <c r="T213" s="65">
        <f t="shared" ref="T213:T228" si="210">D213/X213</f>
      </c>
      <c r="U213" s="68">
        <f t="shared" ref="U213:U228" si="134">AE213*1000/D213</f>
      </c>
      <c r="V213" s="89" t="s">
        <v>52</v>
      </c>
      <c r="W213" s="89" t="s">
        <v>57</v>
      </c>
      <c r="X213" s="69">
        <v>1</v>
      </c>
      <c r="Y213" s="69">
        <v>5821</v>
      </c>
      <c r="Z213" s="69">
        <v>825</v>
      </c>
      <c r="AA213" s="69">
        <v>1305</v>
      </c>
      <c r="AB213" s="69">
        <v>399</v>
      </c>
      <c r="AC213" s="69">
        <v>43</v>
      </c>
      <c r="AD213" s="70">
        <v>1</v>
      </c>
      <c r="AE213" s="70">
        <v>35</v>
      </c>
    </row>
    <row r="214">
      <c r="A214" s="60"/>
      <c r="B214" s="88" t="s">
        <v>53</v>
      </c>
      <c r="C214" s="61" t="s">
        <v>56</v>
      </c>
      <c r="D214" s="29">
        <f t="shared" si="17"/>
      </c>
      <c r="E214" s="92">
        <v>1939.54</v>
      </c>
      <c r="F214" s="61">
        <v>755.48</v>
      </c>
      <c r="G214" s="61">
        <v>0</v>
      </c>
      <c r="H214" s="62">
        <v>1</v>
      </c>
      <c r="I214" s="61">
        <v>3463.4399999999996</v>
      </c>
      <c r="J214" s="63">
        <f t="shared" si="229"/>
      </c>
      <c r="K214" s="64">
        <f t="shared" si="153"/>
      </c>
      <c r="L214" s="65">
        <f t="shared" si="96"/>
      </c>
      <c r="M214" s="66">
        <f t="shared" si="172"/>
      </c>
      <c r="N214" s="66">
        <f t="shared" si="58"/>
      </c>
      <c r="O214" s="65">
        <f t="shared" si="248"/>
      </c>
      <c r="P214" s="66">
        <f t="shared" si="191"/>
      </c>
      <c r="Q214" s="66">
        <f t="shared" si="115"/>
      </c>
      <c r="R214" s="65">
        <f t="shared" si="77"/>
      </c>
      <c r="S214" s="67">
        <f t="shared" si="267"/>
      </c>
      <c r="T214" s="65">
        <f t="shared" si="210"/>
      </c>
      <c r="U214" s="68">
        <f t="shared" si="134"/>
      </c>
      <c r="V214" s="89" t="s">
        <v>52</v>
      </c>
      <c r="W214" s="89" t="s">
        <v>57</v>
      </c>
      <c r="X214" s="69">
        <v>1</v>
      </c>
      <c r="Y214" s="69">
        <v>5939</v>
      </c>
      <c r="Z214" s="69">
        <v>558</v>
      </c>
      <c r="AA214" s="69">
        <v>906</v>
      </c>
      <c r="AB214" s="69">
        <v>264</v>
      </c>
      <c r="AC214" s="69">
        <v>39</v>
      </c>
      <c r="AD214" s="70">
        <v>1</v>
      </c>
      <c r="AE214" s="70">
        <v>23</v>
      </c>
    </row>
    <row r="215">
      <c r="A215" s="60"/>
      <c r="B215" s="88" t="s">
        <v>54</v>
      </c>
      <c r="C215" s="61" t="s">
        <v>56</v>
      </c>
      <c r="D215" s="29">
        <f t="shared" si="17"/>
      </c>
      <c r="E215" s="61">
        <v>1190.44</v>
      </c>
      <c r="F215" s="61">
        <v>3340.64</v>
      </c>
      <c r="G215" s="61">
        <v>0</v>
      </c>
      <c r="H215" s="62">
        <v>3</v>
      </c>
      <c r="I215" s="61">
        <v>12407.880000000001</v>
      </c>
      <c r="J215" s="63">
        <f t="shared" si="229"/>
      </c>
      <c r="K215" s="64">
        <f t="shared" si="153"/>
      </c>
      <c r="L215" s="65">
        <f t="shared" si="96"/>
      </c>
      <c r="M215" s="66">
        <f t="shared" si="172"/>
      </c>
      <c r="N215" s="66">
        <f t="shared" si="58"/>
      </c>
      <c r="O215" s="65">
        <f t="shared" si="248"/>
      </c>
      <c r="P215" s="66">
        <f t="shared" si="191"/>
      </c>
      <c r="Q215" s="66">
        <f t="shared" si="115"/>
      </c>
      <c r="R215" s="65">
        <f t="shared" si="77"/>
      </c>
      <c r="S215" s="67">
        <f t="shared" si="267"/>
      </c>
      <c r="T215" s="65">
        <f t="shared" si="210"/>
      </c>
      <c r="U215" s="68">
        <f t="shared" si="134"/>
      </c>
      <c r="V215" s="89" t="s">
        <v>52</v>
      </c>
      <c r="W215" s="89" t="s">
        <v>57</v>
      </c>
      <c r="X215" s="69">
        <v>3</v>
      </c>
      <c r="Y215" s="69">
        <v>11775</v>
      </c>
      <c r="Z215" s="69">
        <v>799</v>
      </c>
      <c r="AA215" s="69">
        <v>1179</v>
      </c>
      <c r="AB215" s="69">
        <v>396</v>
      </c>
      <c r="AC215" s="69">
        <v>59</v>
      </c>
      <c r="AD215" s="70">
        <v>3</v>
      </c>
      <c r="AE215" s="70">
        <v>38</v>
      </c>
    </row>
    <row r="216">
      <c r="A216" s="60"/>
      <c r="B216" s="88" t="s">
        <v>55</v>
      </c>
      <c r="C216" s="61" t="s">
        <v>56</v>
      </c>
      <c r="D216" s="29">
        <f t="shared" si="17"/>
      </c>
      <c r="E216" s="61">
        <v>3424.09</v>
      </c>
      <c r="F216" s="61">
        <v>1363.24</v>
      </c>
      <c r="G216" s="61">
        <v>0</v>
      </c>
      <c r="H216" s="62">
        <v>4</v>
      </c>
      <c r="I216" s="61">
        <v>10331.640000000003</v>
      </c>
      <c r="J216" s="63">
        <f t="shared" si="229"/>
      </c>
      <c r="K216" s="64">
        <f t="shared" si="153"/>
      </c>
      <c r="L216" s="65">
        <f t="shared" si="96"/>
      </c>
      <c r="M216" s="66">
        <f t="shared" si="172"/>
      </c>
      <c r="N216" s="66">
        <f t="shared" si="58"/>
      </c>
      <c r="O216" s="65">
        <f t="shared" si="248"/>
      </c>
      <c r="P216" s="66">
        <f t="shared" si="191"/>
      </c>
      <c r="Q216" s="66">
        <f t="shared" si="115"/>
      </c>
      <c r="R216" s="65">
        <f t="shared" si="77"/>
      </c>
      <c r="S216" s="67">
        <f t="shared" si="267"/>
      </c>
      <c r="T216" s="65">
        <f t="shared" si="210"/>
      </c>
      <c r="U216" s="68">
        <f t="shared" si="134"/>
      </c>
      <c r="V216" s="89" t="s">
        <v>52</v>
      </c>
      <c r="W216" s="89" t="s">
        <v>57</v>
      </c>
      <c r="X216" s="69">
        <v>3</v>
      </c>
      <c r="Y216" s="69">
        <v>13279</v>
      </c>
      <c r="Z216" s="69">
        <v>1121</v>
      </c>
      <c r="AA216" s="69">
        <v>1698</v>
      </c>
      <c r="AB216" s="69">
        <v>535</v>
      </c>
      <c r="AC216" s="69">
        <v>64</v>
      </c>
      <c r="AD216" s="70">
        <v>5</v>
      </c>
      <c r="AE216" s="70">
        <v>57</v>
      </c>
    </row>
    <row r="217">
      <c r="A217" s="60"/>
      <c r="B217" s="74" t="s">
        <v>41</v>
      </c>
      <c r="C217" s="74"/>
      <c r="D217" s="74">
        <f>SUM(D213:D216)</f>
      </c>
      <c r="E217" s="74">
        <f>SUM(E213:E216)</f>
      </c>
      <c r="F217" s="74">
        <f>SUM(F213:F216)</f>
      </c>
      <c r="G217" s="74">
        <f>SUM(G213:G216)</f>
      </c>
      <c r="H217" s="74">
        <f>SUM(H213:H216)</f>
      </c>
      <c r="I217" s="74">
        <f>SUM(I213:I216)</f>
      </c>
      <c r="J217" s="75">
        <f t="shared" si="229"/>
      </c>
      <c r="K217" s="76">
        <f t="shared" si="153"/>
      </c>
      <c r="L217" s="77">
        <f t="shared" si="96"/>
      </c>
      <c r="M217" s="78">
        <f t="shared" si="172"/>
      </c>
      <c r="N217" s="78">
        <f t="shared" si="58"/>
      </c>
      <c r="O217" s="77">
        <f t="shared" si="248"/>
      </c>
      <c r="P217" s="78">
        <f t="shared" si="191"/>
      </c>
      <c r="Q217" s="78">
        <f t="shared" si="115"/>
      </c>
      <c r="R217" s="77">
        <f t="shared" si="77"/>
      </c>
      <c r="S217" s="79">
        <f t="shared" si="267"/>
      </c>
      <c r="T217" s="77">
        <f t="shared" si="210"/>
      </c>
      <c r="U217" s="80">
        <f t="shared" si="134"/>
      </c>
      <c r="V217" s="80"/>
      <c r="W217" s="80"/>
      <c r="X217" s="74">
        <f>SUM(X213:X216)</f>
      </c>
      <c r="Y217" s="74">
        <f>SUM(Y213:Y216)</f>
      </c>
      <c r="Z217" s="74">
        <f>SUM(Z213:Z216)</f>
      </c>
      <c r="AA217" s="74">
        <f>SUM(AA213:AA216)</f>
      </c>
      <c r="AB217" s="74">
        <f>SUM(AB213:AB216)</f>
      </c>
      <c r="AC217" s="74">
        <f>SUM(AC213:AC216)</f>
      </c>
      <c r="AD217" s="74">
        <f>SUM(AD213:AD216)</f>
      </c>
      <c r="AE217" s="74">
        <f>SUM(AE213:AE216)</f>
      </c>
    </row>
    <row r="218">
      <c r="A218" s="60"/>
      <c r="B218" s="88" t="s">
        <v>34</v>
      </c>
      <c r="C218" s="17" t="s">
        <v>43</v>
      </c>
      <c r="D218" s="29">
        <f t="shared" ref="D218:D221" si="18">E218+F218+G218</f>
      </c>
      <c r="E218" s="29">
        <v>4449.57</v>
      </c>
      <c r="F218" s="29">
        <v>1145.7</v>
      </c>
      <c r="G218" s="61">
        <v>0</v>
      </c>
      <c r="H218" s="62">
        <v>1</v>
      </c>
      <c r="I218" s="61">
        <v>3934.9199999999983</v>
      </c>
      <c r="J218" s="63">
        <f t="shared" si="229"/>
      </c>
      <c r="K218" s="64">
        <f t="shared" si="153"/>
      </c>
      <c r="L218" s="65">
        <f t="shared" si="96"/>
      </c>
      <c r="M218" s="66">
        <f t="shared" si="172"/>
      </c>
      <c r="N218" s="66">
        <f t="shared" si="58"/>
      </c>
      <c r="O218" s="65">
        <f t="shared" si="248"/>
      </c>
      <c r="P218" s="66">
        <f t="shared" si="191"/>
      </c>
      <c r="Q218" s="66">
        <f t="shared" si="115"/>
      </c>
      <c r="R218" s="65">
        <f t="shared" si="77"/>
      </c>
      <c r="S218" s="67">
        <f t="shared" si="267"/>
      </c>
      <c r="T218" s="65">
        <f t="shared" si="210"/>
      </c>
      <c r="U218" s="68">
        <f t="shared" si="134"/>
      </c>
      <c r="V218" s="44" t="s">
        <v>36</v>
      </c>
      <c r="W218" s="89" t="s">
        <v>57</v>
      </c>
      <c r="X218" s="69">
        <v>1</v>
      </c>
      <c r="Y218" s="69">
        <v>16019</v>
      </c>
      <c r="Z218" s="69">
        <v>1044</v>
      </c>
      <c r="AA218" s="69">
        <v>1622</v>
      </c>
      <c r="AB218" s="69">
        <v>490</v>
      </c>
      <c r="AC218" s="69">
        <v>72</v>
      </c>
      <c r="AD218" s="70">
        <v>2</v>
      </c>
      <c r="AE218" s="70">
        <v>45</v>
      </c>
    </row>
    <row r="219">
      <c r="A219" s="60"/>
      <c r="B219" s="90" t="s">
        <v>38</v>
      </c>
      <c r="C219" s="17" t="s">
        <v>43</v>
      </c>
      <c r="D219" s="29">
        <f t="shared" si="18"/>
      </c>
      <c r="E219" s="61">
        <v>1254.52</v>
      </c>
      <c r="F219" s="61">
        <v>740.04</v>
      </c>
      <c r="G219" s="61">
        <v>0</v>
      </c>
      <c r="H219" s="62">
        <v>2</v>
      </c>
      <c r="I219" s="61">
        <v>2992.6399999999994</v>
      </c>
      <c r="J219" s="63">
        <f t="shared" si="229"/>
      </c>
      <c r="K219" s="64">
        <f t="shared" si="153"/>
      </c>
      <c r="L219" s="65">
        <f t="shared" si="96"/>
      </c>
      <c r="M219" s="66">
        <f t="shared" si="172"/>
      </c>
      <c r="N219" s="66">
        <f t="shared" si="58"/>
      </c>
      <c r="O219" s="65">
        <f t="shared" si="248"/>
      </c>
      <c r="P219" s="66">
        <f t="shared" si="191"/>
      </c>
      <c r="Q219" s="66">
        <f t="shared" si="115"/>
      </c>
      <c r="R219" s="65">
        <f t="shared" si="77"/>
      </c>
      <c r="S219" s="67">
        <f t="shared" si="267"/>
      </c>
      <c r="T219" s="65">
        <f t="shared" si="210"/>
      </c>
      <c r="U219" s="68">
        <f t="shared" si="134"/>
      </c>
      <c r="V219" s="44" t="s">
        <v>36</v>
      </c>
      <c r="W219" s="89" t="s">
        <v>57</v>
      </c>
      <c r="X219" s="69">
        <v>2</v>
      </c>
      <c r="Y219" s="69">
        <v>4581</v>
      </c>
      <c r="Z219" s="69">
        <v>414</v>
      </c>
      <c r="AA219" s="69">
        <v>682</v>
      </c>
      <c r="AB219" s="69">
        <v>209</v>
      </c>
      <c r="AC219" s="69">
        <v>33</v>
      </c>
      <c r="AD219" s="70">
        <v>3</v>
      </c>
      <c r="AE219" s="70">
        <v>23</v>
      </c>
    </row>
    <row r="220">
      <c r="A220" s="60"/>
      <c r="B220" s="88" t="s">
        <v>39</v>
      </c>
      <c r="C220" s="17" t="s">
        <v>43</v>
      </c>
      <c r="D220" s="29">
        <f t="shared" si="18"/>
      </c>
      <c r="E220" s="61">
        <v>1623.02</v>
      </c>
      <c r="F220" s="61">
        <v>357.5</v>
      </c>
      <c r="G220" s="61">
        <v>0</v>
      </c>
      <c r="H220" s="62">
        <v>0</v>
      </c>
      <c r="I220" s="61">
        <v>0</v>
      </c>
      <c r="J220" s="63">
        <f t="shared" si="229"/>
      </c>
      <c r="K220" s="64">
        <f t="shared" si="153"/>
      </c>
      <c r="L220" s="65">
        <f t="shared" si="96"/>
      </c>
      <c r="M220" s="66">
        <f t="shared" si="172"/>
      </c>
      <c r="N220" s="66">
        <f t="shared" si="58"/>
      </c>
      <c r="O220" s="65">
        <f t="shared" si="248"/>
      </c>
      <c r="P220" s="66">
        <f t="shared" si="191"/>
      </c>
      <c r="Q220" s="66">
        <f t="shared" si="115"/>
      </c>
      <c r="R220" s="65">
        <f t="shared" si="77"/>
      </c>
      <c r="S220" s="67">
        <f t="shared" si="267"/>
      </c>
      <c r="T220" s="65">
        <f t="shared" si="210"/>
      </c>
      <c r="U220" s="68">
        <f t="shared" si="134"/>
      </c>
      <c r="V220" s="44" t="s">
        <v>36</v>
      </c>
      <c r="W220" s="89" t="s">
        <v>57</v>
      </c>
      <c r="X220" s="69">
        <v>0</v>
      </c>
      <c r="Y220" s="69">
        <v>6882</v>
      </c>
      <c r="Z220" s="69">
        <v>358</v>
      </c>
      <c r="AA220" s="69">
        <v>561</v>
      </c>
      <c r="AB220" s="69">
        <v>156</v>
      </c>
      <c r="AC220" s="69">
        <v>39</v>
      </c>
      <c r="AD220" s="70">
        <v>0</v>
      </c>
      <c r="AE220" s="70">
        <v>8</v>
      </c>
    </row>
    <row r="221">
      <c r="A221" s="60"/>
      <c r="B221" s="88" t="s">
        <v>40</v>
      </c>
      <c r="C221" s="17" t="s">
        <v>43</v>
      </c>
      <c r="D221" s="29">
        <f t="shared" si="18"/>
      </c>
      <c r="E221" s="61">
        <v>2202.67</v>
      </c>
      <c r="F221" s="61">
        <v>518.15</v>
      </c>
      <c r="G221" s="61">
        <v>0</v>
      </c>
      <c r="H221" s="62">
        <v>1</v>
      </c>
      <c r="I221" s="61">
        <v>1371.1200000000026</v>
      </c>
      <c r="J221" s="63">
        <f t="shared" si="229"/>
      </c>
      <c r="K221" s="64">
        <f t="shared" si="153"/>
      </c>
      <c r="L221" s="65">
        <f t="shared" si="96"/>
      </c>
      <c r="M221" s="66">
        <f t="shared" si="172"/>
      </c>
      <c r="N221" s="66">
        <f t="shared" si="58"/>
      </c>
      <c r="O221" s="65">
        <f t="shared" si="248"/>
      </c>
      <c r="P221" s="66">
        <f t="shared" si="191"/>
      </c>
      <c r="Q221" s="66">
        <f t="shared" si="115"/>
      </c>
      <c r="R221" s="65">
        <f t="shared" si="77"/>
      </c>
      <c r="S221" s="67">
        <f t="shared" si="267"/>
      </c>
      <c r="T221" s="65">
        <f t="shared" si="210"/>
      </c>
      <c r="U221" s="68">
        <f t="shared" si="134"/>
      </c>
      <c r="V221" s="44" t="s">
        <v>36</v>
      </c>
      <c r="W221" s="89" t="s">
        <v>57</v>
      </c>
      <c r="X221" s="69">
        <v>1</v>
      </c>
      <c r="Y221" s="69">
        <v>9001</v>
      </c>
      <c r="Z221" s="69">
        <v>569</v>
      </c>
      <c r="AA221" s="69">
        <v>820</v>
      </c>
      <c r="AB221" s="69">
        <v>249</v>
      </c>
      <c r="AC221" s="69">
        <v>58</v>
      </c>
      <c r="AD221" s="70">
        <v>2</v>
      </c>
      <c r="AE221" s="70">
        <v>24</v>
      </c>
    </row>
    <row r="222">
      <c r="A222" s="60"/>
      <c r="B222" s="74" t="s">
        <v>41</v>
      </c>
      <c r="C222" s="74"/>
      <c r="D222" s="74">
        <f>SUM(D218:D221)</f>
      </c>
      <c r="E222" s="74">
        <f>SUM(E218:E221)</f>
      </c>
      <c r="F222" s="74">
        <f>SUM(F218:F221)</f>
      </c>
      <c r="G222" s="74">
        <f>SUM(G218:G221)</f>
      </c>
      <c r="H222" s="74">
        <f>SUM(H218:H221)</f>
      </c>
      <c r="I222" s="74">
        <f>SUM(I218:I221)</f>
      </c>
      <c r="J222" s="75">
        <f t="shared" si="229"/>
      </c>
      <c r="K222" s="76">
        <f t="shared" si="153"/>
      </c>
      <c r="L222" s="77">
        <f t="shared" si="96"/>
      </c>
      <c r="M222" s="78">
        <f t="shared" si="172"/>
      </c>
      <c r="N222" s="78">
        <f t="shared" si="58"/>
      </c>
      <c r="O222" s="77">
        <f t="shared" si="248"/>
      </c>
      <c r="P222" s="78">
        <f t="shared" si="191"/>
      </c>
      <c r="Q222" s="78">
        <f t="shared" si="115"/>
      </c>
      <c r="R222" s="77">
        <f t="shared" si="77"/>
      </c>
      <c r="S222" s="79">
        <f t="shared" si="267"/>
      </c>
      <c r="T222" s="77">
        <f t="shared" si="210"/>
      </c>
      <c r="U222" s="80">
        <f t="shared" si="134"/>
      </c>
      <c r="V222" s="80"/>
      <c r="W222" s="80"/>
      <c r="X222" s="74">
        <f>SUM(X218:X221)</f>
      </c>
      <c r="Y222" s="74">
        <f>SUM(Y218:Y221)</f>
      </c>
      <c r="Z222" s="74">
        <f>SUM(Z218:Z221)</f>
      </c>
      <c r="AA222" s="74">
        <f>SUM(AA218:AA221)</f>
      </c>
      <c r="AB222" s="74">
        <f>SUM(AB218:AB221)</f>
      </c>
      <c r="AC222" s="74">
        <f>SUM(AC218:AC221)</f>
      </c>
      <c r="AD222" s="74">
        <f>SUM(AD218:AD221)</f>
      </c>
      <c r="AE222" s="74">
        <f>SUM(AE218:AE221)</f>
      </c>
    </row>
    <row r="223">
      <c r="A223" s="60"/>
      <c r="B223" s="88" t="s">
        <v>42</v>
      </c>
      <c r="C223" s="17" t="s">
        <v>58</v>
      </c>
      <c r="D223" s="29">
        <f t="shared" ref="D223:D226" si="19">E223+F223+G223</f>
      </c>
      <c r="E223" s="61">
        <v>2133.49</v>
      </c>
      <c r="F223" s="61">
        <v>478.87</v>
      </c>
      <c r="G223" s="61">
        <v>0</v>
      </c>
      <c r="H223" s="62">
        <v>1</v>
      </c>
      <c r="I223" s="61">
        <v>1309.5599999999977</v>
      </c>
      <c r="J223" s="63">
        <f t="shared" si="229"/>
      </c>
      <c r="K223" s="64">
        <f t="shared" si="153"/>
      </c>
      <c r="L223" s="65">
        <f t="shared" si="96"/>
      </c>
      <c r="M223" s="66">
        <f t="shared" si="172"/>
      </c>
      <c r="N223" s="66">
        <f t="shared" si="58"/>
      </c>
      <c r="O223" s="65">
        <f t="shared" si="248"/>
      </c>
      <c r="P223" s="66">
        <f t="shared" si="191"/>
      </c>
      <c r="Q223" s="66">
        <f t="shared" si="115"/>
      </c>
      <c r="R223" s="65">
        <f t="shared" si="77"/>
      </c>
      <c r="S223" s="67">
        <f t="shared" si="267"/>
      </c>
      <c r="T223" s="65">
        <f t="shared" si="210"/>
      </c>
      <c r="U223" s="68">
        <f t="shared" si="134"/>
      </c>
      <c r="V223" s="44" t="s">
        <v>36</v>
      </c>
      <c r="W223" s="89" t="s">
        <v>57</v>
      </c>
      <c r="X223" s="69">
        <v>0</v>
      </c>
      <c r="Y223" s="69">
        <v>7009</v>
      </c>
      <c r="Z223" s="69">
        <v>460</v>
      </c>
      <c r="AA223" s="69">
        <v>739</v>
      </c>
      <c r="AB223" s="69">
        <v>205</v>
      </c>
      <c r="AC223" s="69">
        <v>49</v>
      </c>
      <c r="AD223" s="70">
        <v>1</v>
      </c>
      <c r="AE223" s="70">
        <v>24</v>
      </c>
    </row>
    <row r="224">
      <c r="A224" s="60"/>
      <c r="B224" s="91" t="s">
        <v>44</v>
      </c>
      <c r="C224" s="17" t="s">
        <v>58</v>
      </c>
      <c r="D224" s="29">
        <f t="shared" si="19"/>
      </c>
      <c r="E224" s="61">
        <v>1598</v>
      </c>
      <c r="F224" s="61">
        <v>845.79</v>
      </c>
      <c r="G224" s="61">
        <v>0</v>
      </c>
      <c r="H224" s="62">
        <v>4</v>
      </c>
      <c r="I224" s="61">
        <v>12825.480000000003</v>
      </c>
      <c r="J224" s="63">
        <f t="shared" si="229"/>
      </c>
      <c r="K224" s="64">
        <f t="shared" si="153"/>
      </c>
      <c r="L224" s="65">
        <f t="shared" si="96"/>
      </c>
      <c r="M224" s="66">
        <f t="shared" si="172"/>
      </c>
      <c r="N224" s="66">
        <f t="shared" si="58"/>
      </c>
      <c r="O224" s="65">
        <f t="shared" si="248"/>
      </c>
      <c r="P224" s="66">
        <f t="shared" si="191"/>
      </c>
      <c r="Q224" s="66">
        <f t="shared" si="115"/>
      </c>
      <c r="R224" s="65">
        <f t="shared" si="77"/>
      </c>
      <c r="S224" s="67">
        <f t="shared" si="267"/>
      </c>
      <c r="T224" s="65">
        <f t="shared" si="210"/>
      </c>
      <c r="U224" s="68">
        <f t="shared" si="134"/>
      </c>
      <c r="V224" s="44" t="s">
        <v>36</v>
      </c>
      <c r="W224" s="89" t="s">
        <v>57</v>
      </c>
      <c r="X224" s="69">
        <v>3</v>
      </c>
      <c r="Y224" s="69">
        <v>6446</v>
      </c>
      <c r="Z224" s="69">
        <v>479</v>
      </c>
      <c r="AA224" s="69">
        <v>791</v>
      </c>
      <c r="AB224" s="69">
        <v>218</v>
      </c>
      <c r="AC224" s="69">
        <v>40</v>
      </c>
      <c r="AD224" s="70">
        <v>5</v>
      </c>
      <c r="AE224" s="70">
        <v>20</v>
      </c>
    </row>
    <row r="225">
      <c r="A225" s="60"/>
      <c r="B225" s="91" t="s">
        <v>45</v>
      </c>
      <c r="C225" s="17" t="s">
        <v>58</v>
      </c>
      <c r="D225" s="29">
        <f t="shared" si="19"/>
      </c>
      <c r="E225" s="61">
        <v>2422.89</v>
      </c>
      <c r="F225" s="61">
        <v>858.68</v>
      </c>
      <c r="G225" s="61">
        <v>0</v>
      </c>
      <c r="H225" s="62">
        <v>1</v>
      </c>
      <c r="I225" s="61">
        <v>2602.800000000003</v>
      </c>
      <c r="J225" s="63">
        <f t="shared" si="229"/>
      </c>
      <c r="K225" s="64">
        <f t="shared" si="153"/>
      </c>
      <c r="L225" s="65">
        <f t="shared" si="96"/>
      </c>
      <c r="M225" s="66">
        <f t="shared" si="172"/>
      </c>
      <c r="N225" s="66">
        <f t="shared" si="58"/>
      </c>
      <c r="O225" s="65">
        <f t="shared" si="248"/>
      </c>
      <c r="P225" s="66">
        <f t="shared" si="191"/>
      </c>
      <c r="Q225" s="66">
        <f t="shared" si="115"/>
      </c>
      <c r="R225" s="65">
        <f t="shared" si="77"/>
      </c>
      <c r="S225" s="67">
        <f t="shared" si="267"/>
      </c>
      <c r="T225" s="65">
        <f t="shared" si="210"/>
      </c>
      <c r="U225" s="68">
        <f t="shared" si="134"/>
      </c>
      <c r="V225" s="44" t="s">
        <v>36</v>
      </c>
      <c r="W225" s="89" t="s">
        <v>57</v>
      </c>
      <c r="X225" s="69">
        <v>1</v>
      </c>
      <c r="Y225" s="69">
        <v>6910</v>
      </c>
      <c r="Z225" s="69">
        <v>665</v>
      </c>
      <c r="AA225" s="69">
        <v>1033</v>
      </c>
      <c r="AB225" s="69">
        <v>315</v>
      </c>
      <c r="AC225" s="69">
        <v>48</v>
      </c>
      <c r="AD225" s="70">
        <v>4</v>
      </c>
      <c r="AE225" s="70">
        <v>37</v>
      </c>
    </row>
    <row r="226">
      <c r="A226" s="60"/>
      <c r="B226" s="88" t="s">
        <v>46</v>
      </c>
      <c r="C226" s="17" t="s">
        <v>58</v>
      </c>
      <c r="D226" s="29">
        <f t="shared" si="19"/>
      </c>
      <c r="E226" s="61">
        <v>823.83</v>
      </c>
      <c r="F226" s="61">
        <v>348.13</v>
      </c>
      <c r="G226" s="61">
        <v>0</v>
      </c>
      <c r="H226" s="62">
        <v>1</v>
      </c>
      <c r="I226" s="61">
        <v>2013.9599999999991</v>
      </c>
      <c r="J226" s="63">
        <f t="shared" si="229"/>
      </c>
      <c r="K226" s="64">
        <f t="shared" si="153"/>
      </c>
      <c r="L226" s="65">
        <f t="shared" si="96"/>
      </c>
      <c r="M226" s="66">
        <f t="shared" si="172"/>
      </c>
      <c r="N226" s="66">
        <f t="shared" si="58"/>
      </c>
      <c r="O226" s="65">
        <f t="shared" si="248"/>
      </c>
      <c r="P226" s="66">
        <f t="shared" si="191"/>
      </c>
      <c r="Q226" s="66">
        <f t="shared" si="115"/>
      </c>
      <c r="R226" s="65">
        <f t="shared" si="77"/>
      </c>
      <c r="S226" s="67">
        <f t="shared" si="267"/>
      </c>
      <c r="T226" s="65">
        <f t="shared" si="210"/>
      </c>
      <c r="U226" s="68">
        <f t="shared" si="134"/>
      </c>
      <c r="V226" s="44" t="s">
        <v>36</v>
      </c>
      <c r="W226" s="89" t="s">
        <v>57</v>
      </c>
      <c r="X226" s="69">
        <v>1</v>
      </c>
      <c r="Y226" s="70">
        <v>3421</v>
      </c>
      <c r="Z226" s="69">
        <v>199</v>
      </c>
      <c r="AA226" s="69">
        <v>326</v>
      </c>
      <c r="AB226" s="69">
        <v>95</v>
      </c>
      <c r="AC226" s="69">
        <v>22</v>
      </c>
      <c r="AD226" s="70">
        <v>3</v>
      </c>
      <c r="AE226" s="70">
        <v>10</v>
      </c>
    </row>
    <row r="227">
      <c r="A227" s="60"/>
      <c r="B227" s="74" t="s">
        <v>41</v>
      </c>
      <c r="C227" s="74"/>
      <c r="D227" s="74">
        <f>SUM(D223:D226)</f>
      </c>
      <c r="E227" s="74">
        <f>SUM(E223:E226)</f>
      </c>
      <c r="F227" s="74">
        <f>SUM(F223:F226)</f>
      </c>
      <c r="G227" s="74">
        <f>SUM(G223:G226)</f>
      </c>
      <c r="H227" s="74">
        <f>SUM(H223:H226)</f>
      </c>
      <c r="I227" s="74">
        <f>SUM(I223:I226)</f>
      </c>
      <c r="J227" s="75">
        <f t="shared" si="229"/>
      </c>
      <c r="K227" s="76">
        <f t="shared" si="153"/>
      </c>
      <c r="L227" s="77">
        <f t="shared" si="96"/>
      </c>
      <c r="M227" s="78">
        <f t="shared" si="172"/>
      </c>
      <c r="N227" s="78">
        <f t="shared" si="58"/>
      </c>
      <c r="O227" s="77">
        <f t="shared" si="248"/>
      </c>
      <c r="P227" s="78">
        <f t="shared" si="191"/>
      </c>
      <c r="Q227" s="78">
        <f t="shared" si="115"/>
      </c>
      <c r="R227" s="77">
        <f t="shared" si="77"/>
      </c>
      <c r="S227" s="79">
        <f t="shared" si="267"/>
      </c>
      <c r="T227" s="77">
        <f t="shared" si="210"/>
      </c>
      <c r="U227" s="80">
        <f t="shared" si="134"/>
      </c>
      <c r="V227" s="80"/>
      <c r="W227" s="80"/>
      <c r="X227" s="74">
        <f>SUM(X223:X226)</f>
      </c>
      <c r="Y227" s="74">
        <f>SUM(Y223:Y226)</f>
      </c>
      <c r="Z227" s="74">
        <f>SUM(Z223:Z226)</f>
      </c>
      <c r="AA227" s="74">
        <f>SUM(AA223:AA226)</f>
      </c>
      <c r="AB227" s="74">
        <f>SUM(AB223:AB226)</f>
      </c>
      <c r="AC227" s="74">
        <f>SUM(AC223:AC226)</f>
      </c>
      <c r="AD227" s="74">
        <f>SUM(AD223:AD226)</f>
      </c>
      <c r="AE227" s="74">
        <f>SUM(AE223:AE226)</f>
      </c>
    </row>
    <row r="228">
      <c r="A228" s="60"/>
      <c r="B228" s="81" t="s">
        <v>47</v>
      </c>
      <c r="C228" s="81"/>
      <c r="D228" s="82">
        <f>D217+D222+D227</f>
      </c>
      <c r="E228" s="82">
        <f>E217+E222+E227</f>
      </c>
      <c r="F228" s="82">
        <f>F217+F222+F227</f>
      </c>
      <c r="G228" s="82">
        <f>G217+G222+G227</f>
      </c>
      <c r="H228" s="82">
        <f>H217+H222+H227</f>
      </c>
      <c r="I228" s="82">
        <f>I217+I222+I227</f>
      </c>
      <c r="J228" s="82">
        <f t="shared" si="229"/>
      </c>
      <c r="K228" s="83">
        <f t="shared" si="153"/>
      </c>
      <c r="L228" s="82">
        <f t="shared" si="96"/>
      </c>
      <c r="M228" s="84">
        <f t="shared" si="172"/>
      </c>
      <c r="N228" s="84">
        <f t="shared" si="58"/>
      </c>
      <c r="O228" s="82">
        <f t="shared" si="248"/>
      </c>
      <c r="P228" s="84">
        <f t="shared" si="191"/>
      </c>
      <c r="Q228" s="84">
        <f t="shared" si="115"/>
      </c>
      <c r="R228" s="82">
        <f t="shared" si="77"/>
      </c>
      <c r="S228" s="85">
        <f t="shared" si="267"/>
      </c>
      <c r="T228" s="82">
        <f t="shared" si="210"/>
      </c>
      <c r="U228" s="86">
        <f t="shared" si="134"/>
      </c>
      <c r="V228" s="86"/>
      <c r="W228" s="86"/>
      <c r="X228" s="87">
        <f>X217+X222+X227</f>
      </c>
      <c r="Y228" s="87">
        <f>Y217+Y222+Y227</f>
      </c>
      <c r="Z228" s="87">
        <f>Z217+Z222+Z227</f>
      </c>
      <c r="AA228" s="87">
        <f>AA217+AA222+AA227</f>
      </c>
      <c r="AB228" s="87">
        <f>AB217+AB222+AB227</f>
      </c>
      <c r="AC228" s="87">
        <f>AC217+AC222+AC227</f>
      </c>
      <c r="AD228" s="87">
        <f>AD217+AD222+AD227</f>
      </c>
      <c r="AE228" s="87">
        <f>AE217+AE222+AE227</f>
      </c>
    </row>
    <row r="229">
      <c r="A229" s="46" t="s">
        <v>1</v>
      </c>
      <c r="B229" s="46"/>
      <c r="C229" s="46"/>
      <c r="D229" s="47" t="s">
        <v>2</v>
      </c>
      <c r="E229" s="47"/>
      <c r="F229" s="47"/>
      <c r="G229" s="47"/>
      <c r="H229" s="47"/>
      <c r="I229" s="47"/>
      <c r="J229" s="47"/>
      <c r="K229" s="48" t="s">
        <v>3</v>
      </c>
      <c r="L229" s="48"/>
      <c r="M229" s="48"/>
      <c r="N229" s="48"/>
      <c r="O229" s="48"/>
      <c r="P229" s="48"/>
      <c r="Q229" s="48"/>
      <c r="R229" s="48"/>
      <c r="S229" s="48"/>
      <c r="T229" s="48"/>
      <c r="U229" s="49"/>
      <c r="V229" s="49"/>
      <c r="W229" s="49"/>
      <c r="X229" s="50"/>
      <c r="Y229" s="50"/>
      <c r="Z229" s="50"/>
      <c r="AA229" s="50"/>
      <c r="AB229" s="50"/>
      <c r="AC229" s="50"/>
      <c r="AD229" s="50"/>
      <c r="AE229" s="51" t="s">
        <v>4</v>
      </c>
    </row>
    <row r="230">
      <c r="A230" s="46" t="s">
        <v>5</v>
      </c>
      <c r="B230" s="46" t="s">
        <v>6</v>
      </c>
      <c r="C230" s="46" t="s">
        <v>7</v>
      </c>
      <c r="D230" s="47" t="s">
        <v>8</v>
      </c>
      <c r="E230" s="52" t="s">
        <v>9</v>
      </c>
      <c r="F230" s="52" t="s">
        <v>10</v>
      </c>
      <c r="G230" s="52" t="s">
        <v>50</v>
      </c>
      <c r="H230" s="53" t="s">
        <v>11</v>
      </c>
      <c r="I230" s="54" t="s">
        <v>12</v>
      </c>
      <c r="J230" s="52" t="s">
        <v>13</v>
      </c>
      <c r="K230" s="48" t="s">
        <v>14</v>
      </c>
      <c r="L230" s="55" t="s">
        <v>15</v>
      </c>
      <c r="M230" s="56" t="s">
        <v>16</v>
      </c>
      <c r="N230" s="56" t="s">
        <v>17</v>
      </c>
      <c r="O230" s="55" t="s">
        <v>18</v>
      </c>
      <c r="P230" s="56" t="s">
        <v>19</v>
      </c>
      <c r="Q230" s="56" t="s">
        <v>20</v>
      </c>
      <c r="R230" s="55" t="s">
        <v>21</v>
      </c>
      <c r="S230" s="56" t="s">
        <v>22</v>
      </c>
      <c r="T230" s="55" t="s">
        <v>23</v>
      </c>
      <c r="U230" s="57" t="s">
        <v>24</v>
      </c>
      <c r="V230" s="57" t="s">
        <v>25</v>
      </c>
      <c r="W230" s="57" t="s">
        <v>26</v>
      </c>
      <c r="X230" s="58" t="s">
        <v>27</v>
      </c>
      <c r="Y230" s="59" t="s">
        <v>28</v>
      </c>
      <c r="Z230" s="59" t="s">
        <v>29</v>
      </c>
      <c r="AA230" s="59" t="s">
        <v>30</v>
      </c>
      <c r="AB230" s="59" t="s">
        <v>31</v>
      </c>
      <c r="AC230" s="59" t="s">
        <v>32</v>
      </c>
      <c r="AD230" s="59" t="s">
        <v>33</v>
      </c>
      <c r="AE230" s="51"/>
    </row>
    <row r="231">
      <c r="A231" s="60">
        <v>46313</v>
      </c>
      <c r="B231" s="88" t="s">
        <v>51</v>
      </c>
      <c r="C231" s="61" t="s">
        <v>56</v>
      </c>
      <c r="D231" s="29">
        <f t="shared" ref="D231:D234" si="20">E231+F231+G231</f>
      </c>
      <c r="E231" s="61">
        <v>2391.17</v>
      </c>
      <c r="F231" s="61">
        <v>534.74</v>
      </c>
      <c r="G231" s="61">
        <v>0</v>
      </c>
      <c r="H231" s="62">
        <v>1</v>
      </c>
      <c r="I231" s="61">
        <v>737.64</v>
      </c>
      <c r="J231" s="63">
        <f t="shared" ref="J231:J246" si="230">I231/D231</f>
      </c>
      <c r="K231" s="64">
        <f t="shared" ref="K231:K246" si="154">Z231/Y231</f>
      </c>
      <c r="L231" s="65">
        <f t="shared" ref="L231:L246" si="97">D231/AA231</f>
      </c>
      <c r="M231" s="66">
        <f t="shared" ref="M231:M246" si="173">AB231/AA231</f>
      </c>
      <c r="N231" s="66">
        <f t="shared" ref="N231:N246" si="59">AC231/AA231</f>
      </c>
      <c r="O231" s="65">
        <f t="shared" ref="O231:O246" si="249">D231/AC231</f>
      </c>
      <c r="P231" s="66">
        <f t="shared" ref="P231:P246" si="192">AD231/AC231</f>
      </c>
      <c r="Q231" s="66">
        <f t="shared" ref="Q231:Q246" si="116">H231/AD231</f>
      </c>
      <c r="R231" s="65">
        <f t="shared" ref="R231:R246" si="78">D231/H231</f>
      </c>
      <c r="S231" s="67">
        <f t="shared" ref="S231:S246" si="268">I231/H231</f>
      </c>
      <c r="T231" s="65">
        <f t="shared" ref="T231:T246" si="211">D231/X231</f>
      </c>
      <c r="U231" s="68">
        <f t="shared" ref="U231:U246" si="135">AE231*1000/D231</f>
      </c>
      <c r="V231" s="89" t="s">
        <v>52</v>
      </c>
      <c r="W231" s="89" t="s">
        <v>57</v>
      </c>
      <c r="X231" s="69">
        <v>0</v>
      </c>
      <c r="Y231" s="69">
        <v>9307</v>
      </c>
      <c r="Z231" s="69">
        <v>625</v>
      </c>
      <c r="AA231" s="69">
        <v>985</v>
      </c>
      <c r="AB231" s="69">
        <v>298</v>
      </c>
      <c r="AC231" s="69">
        <v>35</v>
      </c>
      <c r="AD231" s="70">
        <v>1</v>
      </c>
      <c r="AE231" s="70">
        <v>20</v>
      </c>
    </row>
    <row r="232">
      <c r="A232" s="60"/>
      <c r="B232" s="88" t="s">
        <v>53</v>
      </c>
      <c r="C232" s="61" t="s">
        <v>56</v>
      </c>
      <c r="D232" s="29">
        <f t="shared" si="20"/>
      </c>
      <c r="E232" s="92">
        <v>2129.09</v>
      </c>
      <c r="F232" s="61">
        <v>1028.52</v>
      </c>
      <c r="G232" s="61">
        <v>0</v>
      </c>
      <c r="H232" s="62">
        <v>3</v>
      </c>
      <c r="I232" s="61">
        <v>5421.24</v>
      </c>
      <c r="J232" s="63">
        <f t="shared" si="230"/>
      </c>
      <c r="K232" s="64">
        <f t="shared" si="154"/>
      </c>
      <c r="L232" s="65">
        <f t="shared" si="97"/>
      </c>
      <c r="M232" s="66">
        <f t="shared" si="173"/>
      </c>
      <c r="N232" s="66">
        <f t="shared" si="59"/>
      </c>
      <c r="O232" s="65">
        <f t="shared" si="249"/>
      </c>
      <c r="P232" s="66">
        <f t="shared" si="192"/>
      </c>
      <c r="Q232" s="66">
        <f t="shared" si="116"/>
      </c>
      <c r="R232" s="65">
        <f t="shared" si="78"/>
      </c>
      <c r="S232" s="67">
        <f t="shared" si="268"/>
      </c>
      <c r="T232" s="65">
        <f t="shared" si="211"/>
      </c>
      <c r="U232" s="68">
        <f t="shared" si="135"/>
      </c>
      <c r="V232" s="89" t="s">
        <v>52</v>
      </c>
      <c r="W232" s="89" t="s">
        <v>57</v>
      </c>
      <c r="X232" s="69">
        <v>2</v>
      </c>
      <c r="Y232" s="69">
        <v>9274</v>
      </c>
      <c r="Z232" s="69">
        <v>505</v>
      </c>
      <c r="AA232" s="69">
        <v>755</v>
      </c>
      <c r="AB232" s="69">
        <v>231</v>
      </c>
      <c r="AC232" s="69">
        <v>71</v>
      </c>
      <c r="AD232" s="70">
        <v>3</v>
      </c>
      <c r="AE232" s="70">
        <v>32</v>
      </c>
    </row>
    <row r="233">
      <c r="A233" s="60"/>
      <c r="B233" s="88" t="s">
        <v>54</v>
      </c>
      <c r="C233" s="61" t="s">
        <v>56</v>
      </c>
      <c r="D233" s="29">
        <f t="shared" si="20"/>
      </c>
      <c r="E233" s="61">
        <v>2399.24</v>
      </c>
      <c r="F233" s="61">
        <v>962.93</v>
      </c>
      <c r="G233" s="61">
        <v>0</v>
      </c>
      <c r="H233" s="62">
        <v>1</v>
      </c>
      <c r="I233" s="61">
        <v>2833.4399999999996</v>
      </c>
      <c r="J233" s="63">
        <f t="shared" si="230"/>
      </c>
      <c r="K233" s="64">
        <f t="shared" si="154"/>
      </c>
      <c r="L233" s="65">
        <f t="shared" si="97"/>
      </c>
      <c r="M233" s="66">
        <f t="shared" si="173"/>
      </c>
      <c r="N233" s="66">
        <f t="shared" si="59"/>
      </c>
      <c r="O233" s="65">
        <f t="shared" si="249"/>
      </c>
      <c r="P233" s="66">
        <f t="shared" si="192"/>
      </c>
      <c r="Q233" s="66">
        <f t="shared" si="116"/>
      </c>
      <c r="R233" s="65">
        <f t="shared" si="78"/>
      </c>
      <c r="S233" s="67">
        <f t="shared" si="268"/>
      </c>
      <c r="T233" s="65">
        <f t="shared" si="211"/>
      </c>
      <c r="U233" s="68">
        <f t="shared" si="135"/>
      </c>
      <c r="V233" s="89" t="s">
        <v>52</v>
      </c>
      <c r="W233" s="89" t="s">
        <v>57</v>
      </c>
      <c r="X233" s="69">
        <v>1</v>
      </c>
      <c r="Y233" s="69">
        <v>9048</v>
      </c>
      <c r="Z233" s="69">
        <v>554</v>
      </c>
      <c r="AA233" s="69">
        <v>783</v>
      </c>
      <c r="AB233" s="69">
        <v>251</v>
      </c>
      <c r="AC233" s="69">
        <v>36</v>
      </c>
      <c r="AD233" s="70">
        <v>2</v>
      </c>
      <c r="AE233" s="70">
        <v>23</v>
      </c>
    </row>
    <row r="234">
      <c r="A234" s="60"/>
      <c r="B234" s="88" t="s">
        <v>55</v>
      </c>
      <c r="C234" s="61" t="s">
        <v>56</v>
      </c>
      <c r="D234" s="29">
        <f t="shared" si="20"/>
      </c>
      <c r="E234" s="61">
        <v>2786.92</v>
      </c>
      <c r="F234" s="61">
        <v>967.37</v>
      </c>
      <c r="G234" s="61">
        <v>0</v>
      </c>
      <c r="H234" s="62">
        <v>1</v>
      </c>
      <c r="I234" s="61">
        <v>783.2399999999998</v>
      </c>
      <c r="J234" s="63">
        <f t="shared" si="230"/>
      </c>
      <c r="K234" s="64">
        <f t="shared" si="154"/>
      </c>
      <c r="L234" s="65">
        <f t="shared" si="97"/>
      </c>
      <c r="M234" s="66">
        <f t="shared" si="173"/>
      </c>
      <c r="N234" s="66">
        <f t="shared" si="59"/>
      </c>
      <c r="O234" s="65">
        <f t="shared" si="249"/>
      </c>
      <c r="P234" s="66">
        <f t="shared" si="192"/>
      </c>
      <c r="Q234" s="66">
        <f t="shared" si="116"/>
      </c>
      <c r="R234" s="65">
        <f t="shared" si="78"/>
      </c>
      <c r="S234" s="67">
        <f t="shared" si="268"/>
      </c>
      <c r="T234" s="65">
        <f t="shared" si="211"/>
      </c>
      <c r="U234" s="68">
        <f t="shared" si="135"/>
      </c>
      <c r="V234" s="89" t="s">
        <v>52</v>
      </c>
      <c r="W234" s="89" t="s">
        <v>57</v>
      </c>
      <c r="X234" s="69">
        <v>1</v>
      </c>
      <c r="Y234" s="69">
        <v>12062</v>
      </c>
      <c r="Z234" s="69">
        <v>735</v>
      </c>
      <c r="AA234" s="69">
        <v>1053</v>
      </c>
      <c r="AB234" s="69">
        <v>369</v>
      </c>
      <c r="AC234" s="69">
        <v>63</v>
      </c>
      <c r="AD234" s="70">
        <v>1</v>
      </c>
      <c r="AE234" s="70">
        <v>27</v>
      </c>
    </row>
    <row r="235">
      <c r="A235" s="60"/>
      <c r="B235" s="74" t="s">
        <v>41</v>
      </c>
      <c r="C235" s="74"/>
      <c r="D235" s="74">
        <f>SUM(D231:D234)</f>
      </c>
      <c r="E235" s="74">
        <f>SUM(E231:E234)</f>
      </c>
      <c r="F235" s="74">
        <f>SUM(F231:F234)</f>
      </c>
      <c r="G235" s="74">
        <f>SUM(G231:G234)</f>
      </c>
      <c r="H235" s="74">
        <f>SUM(H231:H234)</f>
      </c>
      <c r="I235" s="74">
        <f>SUM(I231:I234)</f>
      </c>
      <c r="J235" s="75">
        <f t="shared" si="230"/>
      </c>
      <c r="K235" s="76">
        <f t="shared" si="154"/>
      </c>
      <c r="L235" s="77">
        <f t="shared" si="97"/>
      </c>
      <c r="M235" s="78">
        <f t="shared" si="173"/>
      </c>
      <c r="N235" s="78">
        <f t="shared" si="59"/>
      </c>
      <c r="O235" s="77">
        <f t="shared" si="249"/>
      </c>
      <c r="P235" s="78">
        <f t="shared" si="192"/>
      </c>
      <c r="Q235" s="78">
        <f t="shared" si="116"/>
      </c>
      <c r="R235" s="77">
        <f t="shared" si="78"/>
      </c>
      <c r="S235" s="79">
        <f t="shared" si="268"/>
      </c>
      <c r="T235" s="77">
        <f t="shared" si="211"/>
      </c>
      <c r="U235" s="80">
        <f t="shared" si="135"/>
      </c>
      <c r="V235" s="80"/>
      <c r="W235" s="80"/>
      <c r="X235" s="74">
        <f>SUM(X231:X234)</f>
      </c>
      <c r="Y235" s="74">
        <f>SUM(Y231:Y234)</f>
      </c>
      <c r="Z235" s="74">
        <f>SUM(Z231:Z234)</f>
      </c>
      <c r="AA235" s="74">
        <f>SUM(AA231:AA234)</f>
      </c>
      <c r="AB235" s="74">
        <f>SUM(AB231:AB234)</f>
      </c>
      <c r="AC235" s="74">
        <f>SUM(AC231:AC234)</f>
      </c>
      <c r="AD235" s="74">
        <f>SUM(AD231:AD234)</f>
      </c>
      <c r="AE235" s="74">
        <f>SUM(AE231:AE234)</f>
      </c>
    </row>
    <row r="236">
      <c r="A236" s="60"/>
      <c r="B236" s="88" t="s">
        <v>34</v>
      </c>
      <c r="C236" s="17" t="s">
        <v>48</v>
      </c>
      <c r="D236" s="29">
        <f t="shared" ref="D236:D239" si="21">E236+F236+G236</f>
      </c>
      <c r="E236" s="61">
        <v>2084.51</v>
      </c>
      <c r="F236" s="61">
        <v>669.71</v>
      </c>
      <c r="G236" s="61">
        <v>0</v>
      </c>
      <c r="H236" s="62">
        <v>0</v>
      </c>
      <c r="I236" s="61">
        <v>0</v>
      </c>
      <c r="J236" s="63">
        <f t="shared" si="230"/>
      </c>
      <c r="K236" s="64">
        <f t="shared" si="154"/>
      </c>
      <c r="L236" s="65">
        <f t="shared" si="97"/>
      </c>
      <c r="M236" s="66">
        <f t="shared" si="173"/>
      </c>
      <c r="N236" s="66">
        <f t="shared" si="59"/>
      </c>
      <c r="O236" s="65">
        <f t="shared" si="249"/>
      </c>
      <c r="P236" s="66">
        <f t="shared" si="192"/>
      </c>
      <c r="Q236" s="66">
        <f t="shared" si="116"/>
      </c>
      <c r="R236" s="65">
        <f t="shared" si="78"/>
      </c>
      <c r="S236" s="67">
        <f t="shared" si="268"/>
      </c>
      <c r="T236" s="65">
        <f t="shared" si="211"/>
      </c>
      <c r="U236" s="68">
        <f t="shared" si="135"/>
      </c>
      <c r="V236" s="44" t="s">
        <v>36</v>
      </c>
      <c r="W236" s="89" t="s">
        <v>57</v>
      </c>
      <c r="X236" s="69">
        <v>0</v>
      </c>
      <c r="Y236" s="69">
        <v>8171</v>
      </c>
      <c r="Z236" s="69">
        <v>432</v>
      </c>
      <c r="AA236" s="69">
        <v>703</v>
      </c>
      <c r="AB236" s="69">
        <v>203</v>
      </c>
      <c r="AC236" s="69">
        <v>33</v>
      </c>
      <c r="AD236" s="70">
        <v>1</v>
      </c>
      <c r="AE236" s="70">
        <v>21</v>
      </c>
    </row>
    <row r="237">
      <c r="A237" s="60"/>
      <c r="B237" s="90" t="s">
        <v>38</v>
      </c>
      <c r="C237" s="17" t="s">
        <v>48</v>
      </c>
      <c r="D237" s="29">
        <f t="shared" si="21"/>
      </c>
      <c r="E237" s="61">
        <v>1207.08</v>
      </c>
      <c r="F237" s="29">
        <v>744.95</v>
      </c>
      <c r="G237" s="61">
        <v>0</v>
      </c>
      <c r="H237" s="62">
        <v>1</v>
      </c>
      <c r="I237" s="61">
        <v>561.6000000000004</v>
      </c>
      <c r="J237" s="63">
        <f t="shared" si="230"/>
      </c>
      <c r="K237" s="64">
        <f t="shared" si="154"/>
      </c>
      <c r="L237" s="65">
        <f t="shared" si="97"/>
      </c>
      <c r="M237" s="66">
        <f t="shared" si="173"/>
      </c>
      <c r="N237" s="66">
        <f t="shared" si="59"/>
      </c>
      <c r="O237" s="65">
        <f t="shared" si="249"/>
      </c>
      <c r="P237" s="66">
        <f t="shared" si="192"/>
      </c>
      <c r="Q237" s="66">
        <f t="shared" si="116"/>
      </c>
      <c r="R237" s="65">
        <f t="shared" si="78"/>
      </c>
      <c r="S237" s="67">
        <f t="shared" si="268"/>
      </c>
      <c r="T237" s="65">
        <f t="shared" si="211"/>
      </c>
      <c r="U237" s="68">
        <f t="shared" si="135"/>
      </c>
      <c r="V237" s="44" t="s">
        <v>36</v>
      </c>
      <c r="W237" s="89" t="s">
        <v>57</v>
      </c>
      <c r="X237" s="69">
        <v>1</v>
      </c>
      <c r="Y237" s="69">
        <v>5558</v>
      </c>
      <c r="Z237" s="69">
        <v>370</v>
      </c>
      <c r="AA237" s="69">
        <v>610</v>
      </c>
      <c r="AB237" s="69">
        <v>180</v>
      </c>
      <c r="AC237" s="69">
        <v>28</v>
      </c>
      <c r="AD237" s="70">
        <v>2</v>
      </c>
      <c r="AE237" s="70">
        <v>24</v>
      </c>
    </row>
    <row r="238">
      <c r="A238" s="60"/>
      <c r="B238" s="88" t="s">
        <v>39</v>
      </c>
      <c r="C238" s="17" t="s">
        <v>48</v>
      </c>
      <c r="D238" s="29">
        <f t="shared" si="21"/>
      </c>
      <c r="E238" s="61">
        <v>630.78</v>
      </c>
      <c r="F238" s="61">
        <v>496.67</v>
      </c>
      <c r="G238" s="61">
        <v>0</v>
      </c>
      <c r="H238" s="62">
        <v>0</v>
      </c>
      <c r="I238" s="61">
        <v>0</v>
      </c>
      <c r="J238" s="63">
        <f t="shared" si="230"/>
      </c>
      <c r="K238" s="64">
        <f t="shared" si="154"/>
      </c>
      <c r="L238" s="65">
        <f t="shared" si="97"/>
      </c>
      <c r="M238" s="66">
        <f t="shared" si="173"/>
      </c>
      <c r="N238" s="66">
        <f t="shared" si="59"/>
      </c>
      <c r="O238" s="65">
        <f t="shared" si="249"/>
      </c>
      <c r="P238" s="66">
        <f t="shared" si="192"/>
      </c>
      <c r="Q238" s="66">
        <f t="shared" si="116"/>
      </c>
      <c r="R238" s="65">
        <f t="shared" si="78"/>
      </c>
      <c r="S238" s="67">
        <f t="shared" si="268"/>
      </c>
      <c r="T238" s="65">
        <f t="shared" si="211"/>
      </c>
      <c r="U238" s="68">
        <f t="shared" si="135"/>
      </c>
      <c r="V238" s="44" t="s">
        <v>36</v>
      </c>
      <c r="W238" s="89" t="s">
        <v>57</v>
      </c>
      <c r="X238" s="69">
        <v>0</v>
      </c>
      <c r="Y238" s="69">
        <v>2965</v>
      </c>
      <c r="Z238" s="69">
        <v>405</v>
      </c>
      <c r="AA238" s="69">
        <v>711</v>
      </c>
      <c r="AB238" s="69">
        <v>204</v>
      </c>
      <c r="AC238" s="69">
        <v>18</v>
      </c>
      <c r="AD238" s="70">
        <v>0</v>
      </c>
      <c r="AE238" s="70">
        <v>19</v>
      </c>
    </row>
    <row r="239">
      <c r="A239" s="60"/>
      <c r="B239" s="88" t="s">
        <v>40</v>
      </c>
      <c r="C239" s="17" t="s">
        <v>48</v>
      </c>
      <c r="D239" s="29">
        <f t="shared" si="21"/>
      </c>
      <c r="E239" s="29">
        <v>693.4</v>
      </c>
      <c r="F239" s="29">
        <v>318.15</v>
      </c>
      <c r="G239" s="61">
        <v>0</v>
      </c>
      <c r="H239" s="62">
        <v>0</v>
      </c>
      <c r="I239" s="61">
        <v>0</v>
      </c>
      <c r="J239" s="63">
        <f t="shared" si="230"/>
      </c>
      <c r="K239" s="64">
        <f t="shared" si="154"/>
      </c>
      <c r="L239" s="65">
        <f t="shared" si="97"/>
      </c>
      <c r="M239" s="66">
        <f t="shared" si="173"/>
      </c>
      <c r="N239" s="66">
        <f t="shared" si="59"/>
      </c>
      <c r="O239" s="65">
        <f t="shared" si="249"/>
      </c>
      <c r="P239" s="66">
        <f t="shared" si="192"/>
      </c>
      <c r="Q239" s="66">
        <f t="shared" si="116"/>
      </c>
      <c r="R239" s="65">
        <f t="shared" si="78"/>
      </c>
      <c r="S239" s="67">
        <f t="shared" si="268"/>
      </c>
      <c r="T239" s="65">
        <f t="shared" si="211"/>
      </c>
      <c r="U239" s="68">
        <f t="shared" si="135"/>
      </c>
      <c r="V239" s="44" t="s">
        <v>36</v>
      </c>
      <c r="W239" s="89" t="s">
        <v>57</v>
      </c>
      <c r="X239" s="69">
        <v>0</v>
      </c>
      <c r="Y239" s="69">
        <v>2722</v>
      </c>
      <c r="Z239" s="69">
        <v>247</v>
      </c>
      <c r="AA239" s="69">
        <v>415</v>
      </c>
      <c r="AB239" s="69">
        <v>112</v>
      </c>
      <c r="AC239" s="69">
        <v>17</v>
      </c>
      <c r="AD239" s="70">
        <v>1</v>
      </c>
      <c r="AE239" s="70">
        <v>14</v>
      </c>
    </row>
    <row r="240">
      <c r="A240" s="60"/>
      <c r="B240" s="74" t="s">
        <v>41</v>
      </c>
      <c r="C240" s="74"/>
      <c r="D240" s="74">
        <f>SUM(D236:D239)</f>
      </c>
      <c r="E240" s="74">
        <f>SUM(E236:E239)</f>
      </c>
      <c r="F240" s="74">
        <f>SUM(F236:F239)</f>
      </c>
      <c r="G240" s="74">
        <f>SUM(G236:G239)</f>
      </c>
      <c r="H240" s="74">
        <f>SUM(H236:H239)</f>
      </c>
      <c r="I240" s="74">
        <f>SUM(I236:I239)</f>
      </c>
      <c r="J240" s="75">
        <f t="shared" si="230"/>
      </c>
      <c r="K240" s="76">
        <f t="shared" si="154"/>
      </c>
      <c r="L240" s="77">
        <f t="shared" si="97"/>
      </c>
      <c r="M240" s="78">
        <f t="shared" si="173"/>
      </c>
      <c r="N240" s="78">
        <f t="shared" si="59"/>
      </c>
      <c r="O240" s="77">
        <f t="shared" si="249"/>
      </c>
      <c r="P240" s="78">
        <f t="shared" si="192"/>
      </c>
      <c r="Q240" s="78">
        <f t="shared" si="116"/>
      </c>
      <c r="R240" s="77">
        <f t="shared" si="78"/>
      </c>
      <c r="S240" s="79">
        <f t="shared" si="268"/>
      </c>
      <c r="T240" s="77">
        <f t="shared" si="211"/>
      </c>
      <c r="U240" s="80">
        <f t="shared" si="135"/>
      </c>
      <c r="V240" s="80"/>
      <c r="W240" s="80"/>
      <c r="X240" s="74">
        <f>SUM(X236:X239)</f>
      </c>
      <c r="Y240" s="74">
        <f>SUM(Y236:Y239)</f>
      </c>
      <c r="Z240" s="74">
        <f>SUM(Z236:Z239)</f>
      </c>
      <c r="AA240" s="74">
        <f>SUM(AA236:AA239)</f>
      </c>
      <c r="AB240" s="74">
        <f>SUM(AB236:AB239)</f>
      </c>
      <c r="AC240" s="74">
        <f>SUM(AC236:AC239)</f>
      </c>
      <c r="AD240" s="74">
        <f>SUM(AD236:AD239)</f>
      </c>
      <c r="AE240" s="74">
        <f>SUM(AE236:AE239)</f>
      </c>
    </row>
    <row r="241">
      <c r="A241" s="60"/>
      <c r="B241" s="88" t="s">
        <v>42</v>
      </c>
      <c r="C241" s="17" t="s">
        <v>49</v>
      </c>
      <c r="D241" s="29">
        <f t="shared" ref="D241:D244" si="22">E241+F241+G241</f>
      </c>
      <c r="E241" s="29">
        <v>805.65</v>
      </c>
      <c r="F241" s="29">
        <v>668.76</v>
      </c>
      <c r="G241" s="61">
        <v>0</v>
      </c>
      <c r="H241" s="62">
        <v>2</v>
      </c>
      <c r="I241" s="61">
        <v>5674.68</v>
      </c>
      <c r="J241" s="63">
        <f t="shared" si="230"/>
      </c>
      <c r="K241" s="64">
        <f t="shared" si="154"/>
      </c>
      <c r="L241" s="65">
        <f t="shared" si="97"/>
      </c>
      <c r="M241" s="66">
        <f t="shared" si="173"/>
      </c>
      <c r="N241" s="66">
        <f t="shared" si="59"/>
      </c>
      <c r="O241" s="65">
        <f t="shared" si="249"/>
      </c>
      <c r="P241" s="66">
        <f t="shared" si="192"/>
      </c>
      <c r="Q241" s="66">
        <f t="shared" si="116"/>
      </c>
      <c r="R241" s="65">
        <f t="shared" si="78"/>
      </c>
      <c r="S241" s="67">
        <f t="shared" si="268"/>
      </c>
      <c r="T241" s="65">
        <f t="shared" si="211"/>
      </c>
      <c r="U241" s="68">
        <f t="shared" si="135"/>
      </c>
      <c r="V241" s="44" t="s">
        <v>36</v>
      </c>
      <c r="W241" s="89" t="s">
        <v>57</v>
      </c>
      <c r="X241" s="69">
        <v>1</v>
      </c>
      <c r="Y241" s="69">
        <v>4013</v>
      </c>
      <c r="Z241" s="69">
        <v>479</v>
      </c>
      <c r="AA241" s="69">
        <v>712</v>
      </c>
      <c r="AB241" s="69">
        <v>211</v>
      </c>
      <c r="AC241" s="69">
        <v>20</v>
      </c>
      <c r="AD241" s="70">
        <v>3</v>
      </c>
      <c r="AE241" s="70">
        <v>17</v>
      </c>
    </row>
    <row r="242">
      <c r="A242" s="60"/>
      <c r="B242" s="91" t="s">
        <v>44</v>
      </c>
      <c r="C242" s="17" t="s">
        <v>49</v>
      </c>
      <c r="D242" s="29">
        <f t="shared" si="22"/>
      </c>
      <c r="E242" s="29">
        <v>883.34</v>
      </c>
      <c r="F242" s="29">
        <v>1058.16</v>
      </c>
      <c r="G242" s="61">
        <v>0</v>
      </c>
      <c r="H242" s="62">
        <v>0</v>
      </c>
      <c r="I242" s="61">
        <v>0</v>
      </c>
      <c r="J242" s="63">
        <f t="shared" si="230"/>
      </c>
      <c r="K242" s="64">
        <f t="shared" si="154"/>
      </c>
      <c r="L242" s="65">
        <f t="shared" si="97"/>
      </c>
      <c r="M242" s="66">
        <f t="shared" si="173"/>
      </c>
      <c r="N242" s="66">
        <f t="shared" si="59"/>
      </c>
      <c r="O242" s="65">
        <f t="shared" si="249"/>
      </c>
      <c r="P242" s="66">
        <f t="shared" si="192"/>
      </c>
      <c r="Q242" s="66">
        <f t="shared" si="116"/>
      </c>
      <c r="R242" s="65">
        <f t="shared" si="78"/>
      </c>
      <c r="S242" s="67">
        <f t="shared" si="268"/>
      </c>
      <c r="T242" s="65">
        <f t="shared" si="211"/>
      </c>
      <c r="U242" s="68">
        <f t="shared" si="135"/>
      </c>
      <c r="V242" s="44" t="s">
        <v>36</v>
      </c>
      <c r="W242" s="89" t="s">
        <v>57</v>
      </c>
      <c r="X242" s="69">
        <v>0</v>
      </c>
      <c r="Y242" s="69">
        <v>5100</v>
      </c>
      <c r="Z242" s="69">
        <v>633</v>
      </c>
      <c r="AA242" s="69">
        <v>976</v>
      </c>
      <c r="AB242" s="69">
        <v>318</v>
      </c>
      <c r="AC242" s="69">
        <v>17</v>
      </c>
      <c r="AD242" s="70">
        <v>0</v>
      </c>
      <c r="AE242" s="70">
        <v>16</v>
      </c>
    </row>
    <row r="243">
      <c r="A243" s="60"/>
      <c r="B243" s="91" t="s">
        <v>45</v>
      </c>
      <c r="C243" s="17" t="s">
        <v>49</v>
      </c>
      <c r="D243" s="29">
        <f t="shared" si="22"/>
      </c>
      <c r="E243" s="61">
        <v>678.27</v>
      </c>
      <c r="F243" s="61">
        <v>679.42</v>
      </c>
      <c r="G243" s="61">
        <v>0</v>
      </c>
      <c r="H243" s="62">
        <v>2</v>
      </c>
      <c r="I243" s="61">
        <v>4042.6800000000003</v>
      </c>
      <c r="J243" s="63">
        <f t="shared" si="230"/>
      </c>
      <c r="K243" s="64">
        <f t="shared" si="154"/>
      </c>
      <c r="L243" s="65">
        <f t="shared" si="97"/>
      </c>
      <c r="M243" s="66">
        <f t="shared" si="173"/>
      </c>
      <c r="N243" s="66">
        <f t="shared" si="59"/>
      </c>
      <c r="O243" s="65">
        <f t="shared" si="249"/>
      </c>
      <c r="P243" s="66">
        <f t="shared" si="192"/>
      </c>
      <c r="Q243" s="66">
        <f t="shared" si="116"/>
      </c>
      <c r="R243" s="65">
        <f t="shared" si="78"/>
      </c>
      <c r="S243" s="67">
        <f t="shared" si="268"/>
      </c>
      <c r="T243" s="65">
        <f t="shared" si="211"/>
      </c>
      <c r="U243" s="68">
        <f t="shared" si="135"/>
      </c>
      <c r="V243" s="44" t="s">
        <v>36</v>
      </c>
      <c r="W243" s="89" t="s">
        <v>57</v>
      </c>
      <c r="X243" s="69">
        <v>2</v>
      </c>
      <c r="Y243" s="69">
        <v>3553</v>
      </c>
      <c r="Z243" s="69">
        <v>351</v>
      </c>
      <c r="AA243" s="69">
        <v>566</v>
      </c>
      <c r="AB243" s="69">
        <v>161</v>
      </c>
      <c r="AC243" s="69">
        <v>21</v>
      </c>
      <c r="AD243" s="70">
        <v>2</v>
      </c>
      <c r="AE243" s="70">
        <v>22</v>
      </c>
    </row>
    <row r="244">
      <c r="A244" s="60"/>
      <c r="B244" s="88" t="s">
        <v>46</v>
      </c>
      <c r="C244" s="17" t="s">
        <v>49</v>
      </c>
      <c r="D244" s="29">
        <f t="shared" si="22"/>
      </c>
      <c r="E244" s="61">
        <v>311.59</v>
      </c>
      <c r="F244" s="61">
        <v>379.34</v>
      </c>
      <c r="G244" s="61">
        <v>0</v>
      </c>
      <c r="H244" s="62">
        <v>1</v>
      </c>
      <c r="I244" s="61">
        <v>942.8400000000001</v>
      </c>
      <c r="J244" s="63">
        <f t="shared" si="230"/>
      </c>
      <c r="K244" s="64">
        <f t="shared" si="154"/>
      </c>
      <c r="L244" s="65">
        <f t="shared" si="97"/>
      </c>
      <c r="M244" s="66">
        <f t="shared" si="173"/>
      </c>
      <c r="N244" s="66">
        <f t="shared" si="59"/>
      </c>
      <c r="O244" s="65">
        <f t="shared" si="249"/>
      </c>
      <c r="P244" s="66">
        <f t="shared" si="192"/>
      </c>
      <c r="Q244" s="66">
        <f t="shared" si="116"/>
      </c>
      <c r="R244" s="65">
        <f t="shared" si="78"/>
      </c>
      <c r="S244" s="67">
        <f t="shared" si="268"/>
      </c>
      <c r="T244" s="65">
        <f t="shared" si="211"/>
      </c>
      <c r="U244" s="68">
        <f t="shared" si="135"/>
      </c>
      <c r="V244" s="44" t="s">
        <v>36</v>
      </c>
      <c r="W244" s="89" t="s">
        <v>57</v>
      </c>
      <c r="X244" s="69">
        <v>0</v>
      </c>
      <c r="Y244" s="69">
        <v>2065</v>
      </c>
      <c r="Z244" s="69">
        <v>198</v>
      </c>
      <c r="AA244" s="69">
        <v>273</v>
      </c>
      <c r="AB244" s="69">
        <v>66</v>
      </c>
      <c r="AC244" s="69">
        <v>14</v>
      </c>
      <c r="AD244" s="70">
        <v>1</v>
      </c>
      <c r="AE244" s="70">
        <v>8</v>
      </c>
    </row>
    <row r="245">
      <c r="A245" s="60"/>
      <c r="B245" s="74" t="s">
        <v>41</v>
      </c>
      <c r="C245" s="74"/>
      <c r="D245" s="74">
        <f>SUM(D241:D244)</f>
      </c>
      <c r="E245" s="74">
        <f>SUM(E241:E244)</f>
      </c>
      <c r="F245" s="74">
        <f>SUM(F241:F244)</f>
      </c>
      <c r="G245" s="74">
        <f>SUM(G241:G244)</f>
      </c>
      <c r="H245" s="74">
        <f>SUM(H241:H244)</f>
      </c>
      <c r="I245" s="74">
        <f>SUM(I241:I244)</f>
      </c>
      <c r="J245" s="75">
        <f t="shared" si="230"/>
      </c>
      <c r="K245" s="76">
        <f t="shared" si="154"/>
      </c>
      <c r="L245" s="77">
        <f t="shared" si="97"/>
      </c>
      <c r="M245" s="78">
        <f t="shared" si="173"/>
      </c>
      <c r="N245" s="78">
        <f t="shared" si="59"/>
      </c>
      <c r="O245" s="77">
        <f t="shared" si="249"/>
      </c>
      <c r="P245" s="78">
        <f t="shared" si="192"/>
      </c>
      <c r="Q245" s="78">
        <f t="shared" si="116"/>
      </c>
      <c r="R245" s="77">
        <f t="shared" si="78"/>
      </c>
      <c r="S245" s="79">
        <f t="shared" si="268"/>
      </c>
      <c r="T245" s="77">
        <f t="shared" si="211"/>
      </c>
      <c r="U245" s="80">
        <f t="shared" si="135"/>
      </c>
      <c r="V245" s="80"/>
      <c r="W245" s="80"/>
      <c r="X245" s="74">
        <f>SUM(X241:X244)</f>
      </c>
      <c r="Y245" s="74">
        <f>SUM(Y241:Y244)</f>
      </c>
      <c r="Z245" s="74">
        <f>SUM(Z241:Z244)</f>
      </c>
      <c r="AA245" s="74">
        <f>SUM(AA241:AA244)</f>
      </c>
      <c r="AB245" s="74">
        <f>SUM(AB241:AB244)</f>
      </c>
      <c r="AC245" s="74">
        <f>SUM(AC241:AC244)</f>
      </c>
      <c r="AD245" s="74">
        <f>SUM(AD241:AD244)</f>
      </c>
      <c r="AE245" s="74">
        <f>SUM(AE241:AE244)</f>
      </c>
    </row>
    <row r="246">
      <c r="A246" s="60"/>
      <c r="B246" s="81" t="s">
        <v>47</v>
      </c>
      <c r="C246" s="81"/>
      <c r="D246" s="82">
        <f>D235+D240+D245</f>
      </c>
      <c r="E246" s="82">
        <f>E235+E240+E245</f>
      </c>
      <c r="F246" s="82">
        <f>F235+F240+F245</f>
      </c>
      <c r="G246" s="82">
        <f>G235+G240+G245</f>
      </c>
      <c r="H246" s="82">
        <f>H235+H240+H245</f>
      </c>
      <c r="I246" s="82">
        <f>I235+I240+I245</f>
      </c>
      <c r="J246" s="82">
        <f t="shared" si="230"/>
      </c>
      <c r="K246" s="83">
        <f t="shared" si="154"/>
      </c>
      <c r="L246" s="82">
        <f t="shared" si="97"/>
      </c>
      <c r="M246" s="84">
        <f t="shared" si="173"/>
      </c>
      <c r="N246" s="84">
        <f t="shared" si="59"/>
      </c>
      <c r="O246" s="82">
        <f t="shared" si="249"/>
      </c>
      <c r="P246" s="84">
        <f t="shared" si="192"/>
      </c>
      <c r="Q246" s="84">
        <f t="shared" si="116"/>
      </c>
      <c r="R246" s="82">
        <f t="shared" si="78"/>
      </c>
      <c r="S246" s="85">
        <f t="shared" si="268"/>
      </c>
      <c r="T246" s="82">
        <f t="shared" si="211"/>
      </c>
      <c r="U246" s="86">
        <f t="shared" si="135"/>
      </c>
      <c r="V246" s="86"/>
      <c r="W246" s="86"/>
      <c r="X246" s="87">
        <f>X235+X240+X245</f>
      </c>
      <c r="Y246" s="87">
        <f>Y235+Y240+Y245</f>
      </c>
      <c r="Z246" s="87">
        <f>Z235+Z240+Z245</f>
      </c>
      <c r="AA246" s="87">
        <f>AA235+AA240+AA245</f>
      </c>
      <c r="AB246" s="87">
        <f>AB235+AB240+AB245</f>
      </c>
      <c r="AC246" s="87">
        <f>AC235+AC240+AC245</f>
      </c>
      <c r="AD246" s="87">
        <f>AD235+AD240+AD245</f>
      </c>
      <c r="AE246" s="87">
        <f>AE235+AE240+AE245</f>
      </c>
    </row>
    <row r="247">
      <c r="A247" s="46" t="s">
        <v>1</v>
      </c>
      <c r="B247" s="46"/>
      <c r="C247" s="46"/>
      <c r="D247" s="47" t="s">
        <v>2</v>
      </c>
      <c r="E247" s="47"/>
      <c r="F247" s="47"/>
      <c r="G247" s="47"/>
      <c r="H247" s="47"/>
      <c r="I247" s="47"/>
      <c r="J247" s="47"/>
      <c r="K247" s="48" t="s">
        <v>3</v>
      </c>
      <c r="L247" s="48"/>
      <c r="M247" s="48"/>
      <c r="N247" s="48"/>
      <c r="O247" s="48"/>
      <c r="P247" s="48"/>
      <c r="Q247" s="48"/>
      <c r="R247" s="48"/>
      <c r="S247" s="48"/>
      <c r="T247" s="48"/>
      <c r="U247" s="49"/>
      <c r="V247" s="49"/>
      <c r="W247" s="49"/>
      <c r="X247" s="50"/>
      <c r="Y247" s="50"/>
      <c r="Z247" s="50"/>
      <c r="AA247" s="50"/>
      <c r="AB247" s="50"/>
      <c r="AC247" s="50"/>
      <c r="AD247" s="50"/>
      <c r="AE247" s="51" t="s">
        <v>4</v>
      </c>
    </row>
    <row r="248">
      <c r="A248" s="46" t="s">
        <v>5</v>
      </c>
      <c r="B248" s="46" t="s">
        <v>6</v>
      </c>
      <c r="C248" s="46" t="s">
        <v>7</v>
      </c>
      <c r="D248" s="47" t="s">
        <v>8</v>
      </c>
      <c r="E248" s="52" t="s">
        <v>9</v>
      </c>
      <c r="F248" s="52" t="s">
        <v>10</v>
      </c>
      <c r="G248" s="52" t="s">
        <v>50</v>
      </c>
      <c r="H248" s="53" t="s">
        <v>11</v>
      </c>
      <c r="I248" s="54" t="s">
        <v>12</v>
      </c>
      <c r="J248" s="52" t="s">
        <v>13</v>
      </c>
      <c r="K248" s="48" t="s">
        <v>14</v>
      </c>
      <c r="L248" s="55" t="s">
        <v>15</v>
      </c>
      <c r="M248" s="56" t="s">
        <v>16</v>
      </c>
      <c r="N248" s="56" t="s">
        <v>17</v>
      </c>
      <c r="O248" s="55" t="s">
        <v>18</v>
      </c>
      <c r="P248" s="56" t="s">
        <v>19</v>
      </c>
      <c r="Q248" s="56" t="s">
        <v>20</v>
      </c>
      <c r="R248" s="55" t="s">
        <v>21</v>
      </c>
      <c r="S248" s="56" t="s">
        <v>22</v>
      </c>
      <c r="T248" s="55" t="s">
        <v>23</v>
      </c>
      <c r="U248" s="57" t="s">
        <v>24</v>
      </c>
      <c r="V248" s="57" t="s">
        <v>25</v>
      </c>
      <c r="W248" s="57" t="s">
        <v>26</v>
      </c>
      <c r="X248" s="58" t="s">
        <v>27</v>
      </c>
      <c r="Y248" s="59" t="s">
        <v>28</v>
      </c>
      <c r="Z248" s="59" t="s">
        <v>29</v>
      </c>
      <c r="AA248" s="59" t="s">
        <v>30</v>
      </c>
      <c r="AB248" s="59" t="s">
        <v>31</v>
      </c>
      <c r="AC248" s="59" t="s">
        <v>32</v>
      </c>
      <c r="AD248" s="59" t="s">
        <v>33</v>
      </c>
      <c r="AE248" s="51"/>
    </row>
    <row r="249">
      <c r="A249" s="60">
        <v>46314</v>
      </c>
      <c r="B249" s="88" t="s">
        <v>51</v>
      </c>
      <c r="C249" s="61" t="s">
        <v>58</v>
      </c>
      <c r="D249" s="29">
        <f t="shared" ref="D249:D252" si="23">E249+F249+G249</f>
      </c>
      <c r="E249" s="61">
        <v>2563.1</v>
      </c>
      <c r="F249" s="61">
        <v>1039.48</v>
      </c>
      <c r="G249" s="61">
        <v>0</v>
      </c>
      <c r="H249" s="62">
        <v>1</v>
      </c>
      <c r="I249" s="61">
        <v>2043.12</v>
      </c>
      <c r="J249" s="63">
        <f t="shared" ref="J249:J264" si="231">I249/D249</f>
      </c>
      <c r="K249" s="64">
        <f t="shared" ref="K249:K264" si="155">Z249/Y249</f>
      </c>
      <c r="L249" s="65">
        <f t="shared" ref="L249:L264" si="98">D249/AA249</f>
      </c>
      <c r="M249" s="66">
        <f t="shared" ref="M249:M264" si="174">AB249/AA249</f>
      </c>
      <c r="N249" s="66">
        <f t="shared" ref="N249:N264" si="60">AC249/AA249</f>
      </c>
      <c r="O249" s="65">
        <f t="shared" ref="O249:O264" si="250">D249/AC249</f>
      </c>
      <c r="P249" s="66">
        <f t="shared" ref="P249:P264" si="193">AD249/AC249</f>
      </c>
      <c r="Q249" s="66">
        <f t="shared" ref="Q249:Q264" si="117">H249/AD249</f>
      </c>
      <c r="R249" s="65">
        <f t="shared" ref="R249:R264" si="79">D249/H249</f>
      </c>
      <c r="S249" s="67">
        <f t="shared" ref="S249:S264" si="269">I249/H249</f>
      </c>
      <c r="T249" s="65">
        <f t="shared" ref="T249:T264" si="212">D249/X249</f>
      </c>
      <c r="U249" s="68">
        <f t="shared" ref="U249:U264" si="136">AE249*1000/D249</f>
      </c>
      <c r="V249" s="89" t="s">
        <v>52</v>
      </c>
      <c r="W249" s="89" t="s">
        <v>37</v>
      </c>
      <c r="X249" s="69">
        <v>1</v>
      </c>
      <c r="Y249" s="69">
        <v>9198</v>
      </c>
      <c r="Z249" s="69">
        <v>544</v>
      </c>
      <c r="AA249" s="69">
        <v>759</v>
      </c>
      <c r="AB249" s="69">
        <v>265</v>
      </c>
      <c r="AC249" s="69">
        <v>64</v>
      </c>
      <c r="AD249" s="70">
        <v>4</v>
      </c>
      <c r="AE249" s="70">
        <v>31</v>
      </c>
    </row>
    <row r="250">
      <c r="A250" s="60"/>
      <c r="B250" s="88" t="s">
        <v>53</v>
      </c>
      <c r="C250" s="61" t="s">
        <v>58</v>
      </c>
      <c r="D250" s="29">
        <f t="shared" si="23"/>
      </c>
      <c r="E250" s="92">
        <v>1268.94</v>
      </c>
      <c r="F250" s="61">
        <v>634.72</v>
      </c>
      <c r="G250" s="61">
        <v>0</v>
      </c>
      <c r="H250" s="62">
        <v>0</v>
      </c>
      <c r="I250" s="61">
        <v>0</v>
      </c>
      <c r="J250" s="63">
        <f t="shared" si="231"/>
      </c>
      <c r="K250" s="64">
        <f t="shared" si="155"/>
      </c>
      <c r="L250" s="65">
        <f t="shared" si="98"/>
      </c>
      <c r="M250" s="66">
        <f t="shared" si="174"/>
      </c>
      <c r="N250" s="66">
        <f t="shared" si="60"/>
      </c>
      <c r="O250" s="65">
        <f t="shared" si="250"/>
      </c>
      <c r="P250" s="66">
        <f t="shared" si="193"/>
      </c>
      <c r="Q250" s="66">
        <f t="shared" si="117"/>
      </c>
      <c r="R250" s="65">
        <f t="shared" si="79"/>
      </c>
      <c r="S250" s="67">
        <f t="shared" si="269"/>
      </c>
      <c r="T250" s="65">
        <f t="shared" si="212"/>
      </c>
      <c r="U250" s="68">
        <f t="shared" si="136"/>
      </c>
      <c r="V250" s="89" t="s">
        <v>52</v>
      </c>
      <c r="W250" s="89" t="s">
        <v>37</v>
      </c>
      <c r="X250" s="69">
        <v>0</v>
      </c>
      <c r="Y250" s="69">
        <v>4989</v>
      </c>
      <c r="Z250" s="69">
        <v>329</v>
      </c>
      <c r="AA250" s="69">
        <v>471</v>
      </c>
      <c r="AB250" s="69">
        <v>154</v>
      </c>
      <c r="AC250" s="69">
        <v>26</v>
      </c>
      <c r="AD250" s="70">
        <v>0</v>
      </c>
      <c r="AE250" s="70">
        <v>12</v>
      </c>
    </row>
    <row r="251">
      <c r="A251" s="60"/>
      <c r="B251" s="88" t="s">
        <v>54</v>
      </c>
      <c r="C251" s="61" t="s">
        <v>58</v>
      </c>
      <c r="D251" s="29">
        <f t="shared" si="23"/>
      </c>
      <c r="E251" s="61">
        <v>1821.11</v>
      </c>
      <c r="F251" s="61">
        <v>711.16</v>
      </c>
      <c r="G251" s="93">
        <v>0</v>
      </c>
      <c r="H251" s="62">
        <v>1</v>
      </c>
      <c r="I251" s="61">
        <v>2485.08</v>
      </c>
      <c r="J251" s="63">
        <f t="shared" si="231"/>
      </c>
      <c r="K251" s="64">
        <f t="shared" si="155"/>
      </c>
      <c r="L251" s="65">
        <f t="shared" si="98"/>
      </c>
      <c r="M251" s="66">
        <f t="shared" si="174"/>
      </c>
      <c r="N251" s="66">
        <f t="shared" si="60"/>
      </c>
      <c r="O251" s="65">
        <f t="shared" si="250"/>
      </c>
      <c r="P251" s="66">
        <f t="shared" si="193"/>
      </c>
      <c r="Q251" s="66">
        <f t="shared" si="117"/>
      </c>
      <c r="R251" s="65">
        <f t="shared" si="79"/>
      </c>
      <c r="S251" s="67">
        <f t="shared" si="269"/>
      </c>
      <c r="T251" s="65">
        <f t="shared" si="212"/>
      </c>
      <c r="U251" s="68">
        <f t="shared" si="136"/>
      </c>
      <c r="V251" s="89" t="s">
        <v>52</v>
      </c>
      <c r="W251" s="89" t="s">
        <v>37</v>
      </c>
      <c r="X251" s="69">
        <v>1</v>
      </c>
      <c r="Y251" s="69">
        <v>6746</v>
      </c>
      <c r="Z251" s="69">
        <v>460</v>
      </c>
      <c r="AA251" s="69">
        <v>724</v>
      </c>
      <c r="AB251" s="69">
        <v>246</v>
      </c>
      <c r="AC251" s="69">
        <v>39</v>
      </c>
      <c r="AD251" s="94">
        <v>3</v>
      </c>
      <c r="AE251" s="70">
        <v>27</v>
      </c>
    </row>
    <row r="252">
      <c r="A252" s="60"/>
      <c r="B252" s="88" t="s">
        <v>55</v>
      </c>
      <c r="C252" s="61" t="s">
        <v>58</v>
      </c>
      <c r="D252" s="29">
        <f t="shared" si="23"/>
      </c>
      <c r="E252" s="61"/>
      <c r="F252" s="61"/>
      <c r="G252" s="61"/>
      <c r="H252" s="62"/>
      <c r="I252" s="61"/>
      <c r="J252" s="63">
        <f t="shared" si="231"/>
      </c>
      <c r="K252" s="64">
        <f t="shared" si="155"/>
      </c>
      <c r="L252" s="65">
        <f t="shared" si="98"/>
      </c>
      <c r="M252" s="66">
        <f t="shared" si="174"/>
      </c>
      <c r="N252" s="66">
        <f t="shared" si="60"/>
      </c>
      <c r="O252" s="65">
        <f t="shared" si="250"/>
      </c>
      <c r="P252" s="66">
        <f t="shared" si="193"/>
      </c>
      <c r="Q252" s="66">
        <f t="shared" si="117"/>
      </c>
      <c r="R252" s="65">
        <f t="shared" si="79"/>
      </c>
      <c r="S252" s="67">
        <f t="shared" si="269"/>
      </c>
      <c r="T252" s="65">
        <f t="shared" si="212"/>
      </c>
      <c r="U252" s="68">
        <f t="shared" si="136"/>
      </c>
      <c r="V252" s="89" t="s">
        <v>52</v>
      </c>
      <c r="W252" s="89" t="s">
        <v>37</v>
      </c>
      <c r="X252" s="69"/>
      <c r="Y252" s="69"/>
      <c r="Z252" s="69"/>
      <c r="AA252" s="69"/>
      <c r="AB252" s="69"/>
      <c r="AC252" s="69"/>
      <c r="AD252" s="70"/>
      <c r="AE252" s="70"/>
    </row>
    <row r="253">
      <c r="A253" s="60"/>
      <c r="B253" s="74" t="s">
        <v>41</v>
      </c>
      <c r="C253" s="74"/>
      <c r="D253" s="74">
        <f>SUM(D249:D252)</f>
      </c>
      <c r="E253" s="74">
        <f>SUM(E249:E252)</f>
      </c>
      <c r="F253" s="74">
        <f>SUM(F249:F252)</f>
      </c>
      <c r="G253" s="74">
        <f>SUM(G249:G252)</f>
      </c>
      <c r="H253" s="74">
        <f>SUM(H249:H252)</f>
      </c>
      <c r="I253" s="74">
        <f>SUM(I249:I252)</f>
      </c>
      <c r="J253" s="75">
        <f t="shared" si="231"/>
      </c>
      <c r="K253" s="76">
        <f t="shared" si="155"/>
      </c>
      <c r="L253" s="77">
        <f t="shared" si="98"/>
      </c>
      <c r="M253" s="78">
        <f t="shared" si="174"/>
      </c>
      <c r="N253" s="78">
        <f t="shared" si="60"/>
      </c>
      <c r="O253" s="77">
        <f t="shared" si="250"/>
      </c>
      <c r="P253" s="78">
        <f t="shared" si="193"/>
      </c>
      <c r="Q253" s="78">
        <f t="shared" si="117"/>
      </c>
      <c r="R253" s="77">
        <f t="shared" si="79"/>
      </c>
      <c r="S253" s="79">
        <f t="shared" si="269"/>
      </c>
      <c r="T253" s="77">
        <f t="shared" si="212"/>
      </c>
      <c r="U253" s="80">
        <f t="shared" si="136"/>
      </c>
      <c r="V253" s="80"/>
      <c r="W253" s="80"/>
      <c r="X253" s="74">
        <f>SUM(X249:X252)</f>
      </c>
      <c r="Y253" s="74">
        <f>SUM(Y249:Y252)</f>
      </c>
      <c r="Z253" s="74">
        <f>SUM(Z249:Z252)</f>
      </c>
      <c r="AA253" s="74">
        <f>SUM(AA249:AA252)</f>
      </c>
      <c r="AB253" s="74">
        <f>SUM(AB249:AB252)</f>
      </c>
      <c r="AC253" s="74">
        <f>SUM(AC249:AC252)</f>
      </c>
      <c r="AD253" s="74">
        <f>SUM(AD249:AD252)</f>
      </c>
      <c r="AE253" s="74">
        <f>SUM(AE249:AE252)</f>
      </c>
    </row>
    <row r="254">
      <c r="A254" s="60"/>
      <c r="B254" s="88" t="s">
        <v>34</v>
      </c>
      <c r="C254" s="17" t="s">
        <v>49</v>
      </c>
      <c r="D254" s="29">
        <f t="shared" ref="D254:D257" si="24">E254+F254+G254</f>
      </c>
      <c r="E254" s="61"/>
      <c r="F254" s="61"/>
      <c r="G254" s="61"/>
      <c r="H254" s="62"/>
      <c r="I254" s="61"/>
      <c r="J254" s="63">
        <f t="shared" si="231"/>
      </c>
      <c r="K254" s="64">
        <f t="shared" si="155"/>
      </c>
      <c r="L254" s="65">
        <f t="shared" si="98"/>
      </c>
      <c r="M254" s="66">
        <f t="shared" si="174"/>
      </c>
      <c r="N254" s="66">
        <f t="shared" si="60"/>
      </c>
      <c r="O254" s="65">
        <f t="shared" si="250"/>
      </c>
      <c r="P254" s="66">
        <f t="shared" si="193"/>
      </c>
      <c r="Q254" s="66">
        <f t="shared" si="117"/>
      </c>
      <c r="R254" s="65">
        <f t="shared" si="79"/>
      </c>
      <c r="S254" s="67">
        <f t="shared" si="269"/>
      </c>
      <c r="T254" s="65">
        <f t="shared" si="212"/>
      </c>
      <c r="U254" s="68">
        <f t="shared" si="136"/>
      </c>
      <c r="V254" s="44" t="s">
        <v>36</v>
      </c>
      <c r="W254" s="89" t="s">
        <v>37</v>
      </c>
      <c r="X254" s="69"/>
      <c r="Y254" s="69"/>
      <c r="Z254" s="69"/>
      <c r="AA254" s="69"/>
      <c r="AB254" s="69"/>
      <c r="AC254" s="69"/>
      <c r="AD254" s="70"/>
      <c r="AE254" s="70"/>
    </row>
    <row r="255">
      <c r="A255" s="60"/>
      <c r="B255" s="90" t="s">
        <v>38</v>
      </c>
      <c r="C255" s="17" t="s">
        <v>49</v>
      </c>
      <c r="D255" s="29">
        <f t="shared" si="24"/>
      </c>
      <c r="E255" s="61"/>
      <c r="F255" s="29"/>
      <c r="G255" s="61"/>
      <c r="H255" s="62"/>
      <c r="I255" s="61"/>
      <c r="J255" s="63">
        <f t="shared" si="231"/>
      </c>
      <c r="K255" s="64">
        <f t="shared" si="155"/>
      </c>
      <c r="L255" s="65">
        <f t="shared" si="98"/>
      </c>
      <c r="M255" s="66">
        <f t="shared" si="174"/>
      </c>
      <c r="N255" s="66">
        <f t="shared" si="60"/>
      </c>
      <c r="O255" s="65">
        <f t="shared" si="250"/>
      </c>
      <c r="P255" s="66">
        <f t="shared" si="193"/>
      </c>
      <c r="Q255" s="66">
        <f t="shared" si="117"/>
      </c>
      <c r="R255" s="65">
        <f t="shared" si="79"/>
      </c>
      <c r="S255" s="67">
        <f t="shared" si="269"/>
      </c>
      <c r="T255" s="65">
        <f t="shared" si="212"/>
      </c>
      <c r="U255" s="68">
        <f t="shared" si="136"/>
      </c>
      <c r="V255" s="44" t="s">
        <v>36</v>
      </c>
      <c r="W255" s="89" t="s">
        <v>37</v>
      </c>
      <c r="X255" s="69"/>
      <c r="Y255" s="69"/>
      <c r="Z255" s="69"/>
      <c r="AA255" s="69"/>
      <c r="AB255" s="69"/>
      <c r="AC255" s="69"/>
      <c r="AD255" s="70"/>
      <c r="AE255" s="70"/>
    </row>
    <row r="256">
      <c r="A256" s="60"/>
      <c r="B256" s="88" t="s">
        <v>39</v>
      </c>
      <c r="C256" s="17" t="s">
        <v>49</v>
      </c>
      <c r="D256" s="29">
        <f t="shared" si="24"/>
      </c>
      <c r="E256" s="61"/>
      <c r="F256" s="61"/>
      <c r="G256" s="61"/>
      <c r="H256" s="62"/>
      <c r="I256" s="61"/>
      <c r="J256" s="63">
        <f t="shared" si="231"/>
      </c>
      <c r="K256" s="64">
        <f t="shared" si="155"/>
      </c>
      <c r="L256" s="65">
        <f t="shared" si="98"/>
      </c>
      <c r="M256" s="66">
        <f t="shared" si="174"/>
      </c>
      <c r="N256" s="66">
        <f t="shared" si="60"/>
      </c>
      <c r="O256" s="65">
        <f t="shared" si="250"/>
      </c>
      <c r="P256" s="66">
        <f t="shared" si="193"/>
      </c>
      <c r="Q256" s="66">
        <f t="shared" si="117"/>
      </c>
      <c r="R256" s="65">
        <f t="shared" si="79"/>
      </c>
      <c r="S256" s="67">
        <f t="shared" si="269"/>
      </c>
      <c r="T256" s="65">
        <f t="shared" si="212"/>
      </c>
      <c r="U256" s="68">
        <f t="shared" si="136"/>
      </c>
      <c r="V256" s="44" t="s">
        <v>36</v>
      </c>
      <c r="W256" s="89" t="s">
        <v>37</v>
      </c>
      <c r="X256" s="69"/>
      <c r="Y256" s="69"/>
      <c r="Z256" s="69"/>
      <c r="AA256" s="69"/>
      <c r="AB256" s="69"/>
      <c r="AC256" s="69"/>
      <c r="AD256" s="70"/>
      <c r="AE256" s="70"/>
    </row>
    <row r="257">
      <c r="A257" s="60"/>
      <c r="B257" s="88" t="s">
        <v>40</v>
      </c>
      <c r="C257" s="17" t="s">
        <v>49</v>
      </c>
      <c r="D257" s="29">
        <f t="shared" si="24"/>
      </c>
      <c r="E257" s="29"/>
      <c r="F257" s="29"/>
      <c r="G257" s="61"/>
      <c r="H257" s="62"/>
      <c r="I257" s="61"/>
      <c r="J257" s="63">
        <f t="shared" si="231"/>
      </c>
      <c r="K257" s="64">
        <f t="shared" si="155"/>
      </c>
      <c r="L257" s="65">
        <f t="shared" si="98"/>
      </c>
      <c r="M257" s="66">
        <f t="shared" si="174"/>
      </c>
      <c r="N257" s="66">
        <f t="shared" si="60"/>
      </c>
      <c r="O257" s="65">
        <f t="shared" si="250"/>
      </c>
      <c r="P257" s="66">
        <f t="shared" si="193"/>
      </c>
      <c r="Q257" s="66">
        <f t="shared" si="117"/>
      </c>
      <c r="R257" s="65">
        <f t="shared" si="79"/>
      </c>
      <c r="S257" s="67">
        <f t="shared" si="269"/>
      </c>
      <c r="T257" s="65">
        <f t="shared" si="212"/>
      </c>
      <c r="U257" s="68">
        <f t="shared" si="136"/>
      </c>
      <c r="V257" s="44" t="s">
        <v>36</v>
      </c>
      <c r="W257" s="89" t="s">
        <v>37</v>
      </c>
      <c r="X257" s="69"/>
      <c r="Y257" s="69"/>
      <c r="Z257" s="69"/>
      <c r="AA257" s="69"/>
      <c r="AB257" s="69"/>
      <c r="AC257" s="69"/>
      <c r="AD257" s="70"/>
      <c r="AE257" s="70"/>
    </row>
    <row r="258">
      <c r="A258" s="60"/>
      <c r="B258" s="74" t="s">
        <v>41</v>
      </c>
      <c r="C258" s="74"/>
      <c r="D258" s="74">
        <f>SUM(D254:D257)</f>
      </c>
      <c r="E258" s="74">
        <f>SUM(E254:E257)</f>
      </c>
      <c r="F258" s="74">
        <f>SUM(F254:F257)</f>
      </c>
      <c r="G258" s="74">
        <f>SUM(G254:G257)</f>
      </c>
      <c r="H258" s="74">
        <f>SUM(H254:H257)</f>
      </c>
      <c r="I258" s="74">
        <f>SUM(I254:I257)</f>
      </c>
      <c r="J258" s="75">
        <f t="shared" si="231"/>
      </c>
      <c r="K258" s="76">
        <f t="shared" si="155"/>
      </c>
      <c r="L258" s="77">
        <f t="shared" si="98"/>
      </c>
      <c r="M258" s="78">
        <f t="shared" si="174"/>
      </c>
      <c r="N258" s="78">
        <f t="shared" si="60"/>
      </c>
      <c r="O258" s="77">
        <f t="shared" si="250"/>
      </c>
      <c r="P258" s="78">
        <f t="shared" si="193"/>
      </c>
      <c r="Q258" s="78">
        <f t="shared" si="117"/>
      </c>
      <c r="R258" s="77">
        <f t="shared" si="79"/>
      </c>
      <c r="S258" s="79">
        <f t="shared" si="269"/>
      </c>
      <c r="T258" s="77">
        <f t="shared" si="212"/>
      </c>
      <c r="U258" s="80">
        <f t="shared" si="136"/>
      </c>
      <c r="V258" s="80"/>
      <c r="W258" s="80"/>
      <c r="X258" s="74">
        <f>SUM(X254:X257)</f>
      </c>
      <c r="Y258" s="74">
        <f>SUM(Y254:Y257)</f>
      </c>
      <c r="Z258" s="74">
        <f>SUM(Z254:Z257)</f>
      </c>
      <c r="AA258" s="74">
        <f>SUM(AA254:AA257)</f>
      </c>
      <c r="AB258" s="74">
        <f>SUM(AB254:AB257)</f>
      </c>
      <c r="AC258" s="74">
        <f>SUM(AC254:AC257)</f>
      </c>
      <c r="AD258" s="74">
        <f>SUM(AD254:AD257)</f>
      </c>
      <c r="AE258" s="74">
        <f>SUM(AE254:AE257)</f>
      </c>
    </row>
    <row r="259">
      <c r="A259" s="60"/>
      <c r="B259" s="88" t="s">
        <v>42</v>
      </c>
      <c r="C259" s="17" t="s">
        <v>43</v>
      </c>
      <c r="D259" s="29">
        <f t="shared" ref="D259:D262" si="25">E259+F259+G259</f>
      </c>
      <c r="E259" s="29"/>
      <c r="F259" s="29"/>
      <c r="G259" s="61"/>
      <c r="H259" s="62"/>
      <c r="I259" s="61"/>
      <c r="J259" s="63">
        <f t="shared" si="231"/>
      </c>
      <c r="K259" s="64">
        <f t="shared" si="155"/>
      </c>
      <c r="L259" s="65">
        <f t="shared" si="98"/>
      </c>
      <c r="M259" s="66">
        <f t="shared" si="174"/>
      </c>
      <c r="N259" s="66">
        <f t="shared" si="60"/>
      </c>
      <c r="O259" s="65">
        <f t="shared" si="250"/>
      </c>
      <c r="P259" s="66">
        <f t="shared" si="193"/>
      </c>
      <c r="Q259" s="66">
        <f t="shared" si="117"/>
      </c>
      <c r="R259" s="65">
        <f t="shared" si="79"/>
      </c>
      <c r="S259" s="67">
        <f t="shared" si="269"/>
      </c>
      <c r="T259" s="65">
        <f t="shared" si="212"/>
      </c>
      <c r="U259" s="68">
        <f t="shared" si="136"/>
      </c>
      <c r="V259" s="44" t="s">
        <v>36</v>
      </c>
      <c r="W259" s="89" t="s">
        <v>37</v>
      </c>
      <c r="X259" s="69"/>
      <c r="Y259" s="69"/>
      <c r="Z259" s="69"/>
      <c r="AA259" s="69"/>
      <c r="AB259" s="69"/>
      <c r="AC259" s="69"/>
      <c r="AD259" s="70"/>
      <c r="AE259" s="70"/>
    </row>
    <row r="260">
      <c r="A260" s="60"/>
      <c r="B260" s="91" t="s">
        <v>44</v>
      </c>
      <c r="C260" s="17" t="s">
        <v>43</v>
      </c>
      <c r="D260" s="29">
        <f t="shared" si="25"/>
      </c>
      <c r="E260" s="29"/>
      <c r="F260" s="29"/>
      <c r="G260" s="61"/>
      <c r="H260" s="62"/>
      <c r="I260" s="61"/>
      <c r="J260" s="63">
        <f t="shared" si="231"/>
      </c>
      <c r="K260" s="64">
        <f t="shared" si="155"/>
      </c>
      <c r="L260" s="65">
        <f t="shared" si="98"/>
      </c>
      <c r="M260" s="66">
        <f t="shared" si="174"/>
      </c>
      <c r="N260" s="66">
        <f t="shared" si="60"/>
      </c>
      <c r="O260" s="65">
        <f t="shared" si="250"/>
      </c>
      <c r="P260" s="66">
        <f t="shared" si="193"/>
      </c>
      <c r="Q260" s="66">
        <f t="shared" si="117"/>
      </c>
      <c r="R260" s="65">
        <f t="shared" si="79"/>
      </c>
      <c r="S260" s="67">
        <f t="shared" si="269"/>
      </c>
      <c r="T260" s="65">
        <f t="shared" si="212"/>
      </c>
      <c r="U260" s="68">
        <f t="shared" si="136"/>
      </c>
      <c r="V260" s="44" t="s">
        <v>36</v>
      </c>
      <c r="W260" s="89" t="s">
        <v>37</v>
      </c>
      <c r="X260" s="69"/>
      <c r="Y260" s="69"/>
      <c r="Z260" s="69"/>
      <c r="AA260" s="69"/>
      <c r="AB260" s="69"/>
      <c r="AC260" s="69"/>
      <c r="AD260" s="70"/>
      <c r="AE260" s="70"/>
    </row>
    <row r="261">
      <c r="A261" s="60"/>
      <c r="B261" s="91" t="s">
        <v>45</v>
      </c>
      <c r="C261" s="17" t="s">
        <v>43</v>
      </c>
      <c r="D261" s="29">
        <f t="shared" si="25"/>
      </c>
      <c r="E261" s="61"/>
      <c r="F261" s="61"/>
      <c r="G261" s="61"/>
      <c r="H261" s="62"/>
      <c r="I261" s="61"/>
      <c r="J261" s="63">
        <f t="shared" si="231"/>
      </c>
      <c r="K261" s="64">
        <f t="shared" si="155"/>
      </c>
      <c r="L261" s="65">
        <f t="shared" si="98"/>
      </c>
      <c r="M261" s="66">
        <f t="shared" si="174"/>
      </c>
      <c r="N261" s="66">
        <f t="shared" si="60"/>
      </c>
      <c r="O261" s="65">
        <f t="shared" si="250"/>
      </c>
      <c r="P261" s="66">
        <f t="shared" si="193"/>
      </c>
      <c r="Q261" s="66">
        <f t="shared" si="117"/>
      </c>
      <c r="R261" s="65">
        <f t="shared" si="79"/>
      </c>
      <c r="S261" s="67">
        <f t="shared" si="269"/>
      </c>
      <c r="T261" s="65">
        <f t="shared" si="212"/>
      </c>
      <c r="U261" s="68">
        <f t="shared" si="136"/>
      </c>
      <c r="V261" s="44" t="s">
        <v>36</v>
      </c>
      <c r="W261" s="89" t="s">
        <v>37</v>
      </c>
      <c r="X261" s="69"/>
      <c r="Y261" s="69"/>
      <c r="Z261" s="69"/>
      <c r="AA261" s="69"/>
      <c r="AB261" s="69"/>
      <c r="AC261" s="69"/>
      <c r="AD261" s="70"/>
      <c r="AE261" s="70"/>
    </row>
    <row r="262">
      <c r="A262" s="60"/>
      <c r="B262" s="88" t="s">
        <v>46</v>
      </c>
      <c r="C262" s="17" t="s">
        <v>43</v>
      </c>
      <c r="D262" s="29">
        <f t="shared" si="25"/>
      </c>
      <c r="E262" s="61"/>
      <c r="F262" s="61"/>
      <c r="G262" s="61"/>
      <c r="H262" s="62"/>
      <c r="I262" s="61"/>
      <c r="J262" s="63">
        <f t="shared" si="231"/>
      </c>
      <c r="K262" s="64">
        <f t="shared" si="155"/>
      </c>
      <c r="L262" s="65">
        <f t="shared" si="98"/>
      </c>
      <c r="M262" s="66">
        <f t="shared" si="174"/>
      </c>
      <c r="N262" s="66">
        <f t="shared" si="60"/>
      </c>
      <c r="O262" s="65">
        <f t="shared" si="250"/>
      </c>
      <c r="P262" s="66">
        <f t="shared" si="193"/>
      </c>
      <c r="Q262" s="66">
        <f t="shared" si="117"/>
      </c>
      <c r="R262" s="65">
        <f t="shared" si="79"/>
      </c>
      <c r="S262" s="67">
        <f t="shared" si="269"/>
      </c>
      <c r="T262" s="65">
        <f t="shared" si="212"/>
      </c>
      <c r="U262" s="68">
        <f t="shared" si="136"/>
      </c>
      <c r="V262" s="44" t="s">
        <v>36</v>
      </c>
      <c r="W262" s="89" t="s">
        <v>37</v>
      </c>
      <c r="X262" s="69"/>
      <c r="Y262" s="69"/>
      <c r="Z262" s="69"/>
      <c r="AA262" s="69"/>
      <c r="AB262" s="69"/>
      <c r="AC262" s="69"/>
      <c r="AD262" s="70"/>
      <c r="AE262" s="70"/>
    </row>
    <row r="263">
      <c r="A263" s="60"/>
      <c r="B263" s="74" t="s">
        <v>41</v>
      </c>
      <c r="C263" s="74"/>
      <c r="D263" s="74">
        <f>SUM(D259:D262)</f>
      </c>
      <c r="E263" s="74">
        <f>SUM(E259:E262)</f>
      </c>
      <c r="F263" s="74">
        <f>SUM(F259:F262)</f>
      </c>
      <c r="G263" s="74">
        <f>SUM(G259:G262)</f>
      </c>
      <c r="H263" s="74">
        <f>SUM(H259:H262)</f>
      </c>
      <c r="I263" s="74">
        <f>SUM(I259:I262)</f>
      </c>
      <c r="J263" s="75">
        <f t="shared" si="231"/>
      </c>
      <c r="K263" s="76">
        <f t="shared" si="155"/>
      </c>
      <c r="L263" s="77">
        <f t="shared" si="98"/>
      </c>
      <c r="M263" s="78">
        <f t="shared" si="174"/>
      </c>
      <c r="N263" s="78">
        <f t="shared" si="60"/>
      </c>
      <c r="O263" s="77">
        <f t="shared" si="250"/>
      </c>
      <c r="P263" s="78">
        <f t="shared" si="193"/>
      </c>
      <c r="Q263" s="78">
        <f t="shared" si="117"/>
      </c>
      <c r="R263" s="77">
        <f t="shared" si="79"/>
      </c>
      <c r="S263" s="79">
        <f t="shared" si="269"/>
      </c>
      <c r="T263" s="77">
        <f t="shared" si="212"/>
      </c>
      <c r="U263" s="80">
        <f t="shared" si="136"/>
      </c>
      <c r="V263" s="80"/>
      <c r="W263" s="80"/>
      <c r="X263" s="74">
        <f>SUM(X259:X262)</f>
      </c>
      <c r="Y263" s="74">
        <f>SUM(Y259:Y262)</f>
      </c>
      <c r="Z263" s="74">
        <f>SUM(Z259:Z262)</f>
      </c>
      <c r="AA263" s="74">
        <f>SUM(AA259:AA262)</f>
      </c>
      <c r="AB263" s="74">
        <f>SUM(AB259:AB262)</f>
      </c>
      <c r="AC263" s="74">
        <f>SUM(AC259:AC262)</f>
      </c>
      <c r="AD263" s="74">
        <f>SUM(AD259:AD262)</f>
      </c>
      <c r="AE263" s="74">
        <f>SUM(AE259:AE262)</f>
      </c>
    </row>
    <row r="264">
      <c r="A264" s="60"/>
      <c r="B264" s="81" t="s">
        <v>47</v>
      </c>
      <c r="C264" s="81"/>
      <c r="D264" s="82">
        <f>D253+D258+D263</f>
      </c>
      <c r="E264" s="82">
        <f>E253+E258+E263</f>
      </c>
      <c r="F264" s="82">
        <f>F253+F258+F263</f>
      </c>
      <c r="G264" s="82">
        <f>G253+G258+G263</f>
      </c>
      <c r="H264" s="82">
        <f>H253+H258+H263</f>
      </c>
      <c r="I264" s="82">
        <f>I253+I258+I263</f>
      </c>
      <c r="J264" s="82">
        <f t="shared" si="231"/>
      </c>
      <c r="K264" s="83">
        <f t="shared" si="155"/>
      </c>
      <c r="L264" s="82">
        <f t="shared" si="98"/>
      </c>
      <c r="M264" s="84">
        <f t="shared" si="174"/>
      </c>
      <c r="N264" s="84">
        <f t="shared" si="60"/>
      </c>
      <c r="O264" s="82">
        <f t="shared" si="250"/>
      </c>
      <c r="P264" s="84">
        <f t="shared" si="193"/>
      </c>
      <c r="Q264" s="84">
        <f t="shared" si="117"/>
      </c>
      <c r="R264" s="82">
        <f t="shared" si="79"/>
      </c>
      <c r="S264" s="85">
        <f t="shared" si="269"/>
      </c>
      <c r="T264" s="82">
        <f t="shared" si="212"/>
      </c>
      <c r="U264" s="86">
        <f t="shared" si="136"/>
      </c>
      <c r="V264" s="86"/>
      <c r="W264" s="86"/>
      <c r="X264" s="87">
        <f>X253+X258+X263</f>
      </c>
      <c r="Y264" s="87">
        <f>Y253+Y258+Y263</f>
      </c>
      <c r="Z264" s="87">
        <f>Z253+Z258+Z263</f>
      </c>
      <c r="AA264" s="87">
        <f>AA253+AA258+AA263</f>
      </c>
      <c r="AB264" s="87">
        <f>AB253+AB258+AB263</f>
      </c>
      <c r="AC264" s="87">
        <f>AC253+AC258+AC263</f>
      </c>
      <c r="AD264" s="87">
        <f>AD253+AD258+AD263</f>
      </c>
      <c r="AE264" s="87">
        <f>AE253+AE258+AE263</f>
      </c>
    </row>
    <row r="265">
      <c r="H265" s="95">
        <f>H266-H264</f>
      </c>
      <c r="I265" s="95">
        <f>I266-I264</f>
      </c>
      <c r="X265" s="95"/>
      <c r="Y265" s="95"/>
      <c r="Z265" s="95"/>
      <c r="AA265" s="95"/>
      <c r="AB265" s="95"/>
      <c r="AC265" s="95"/>
      <c r="AE265" s="95">
        <f>AE266-AE264</f>
      </c>
      <c r="AF265" s="95"/>
    </row>
    <row r="266">
      <c r="H266" s="96">
        <v>2</v>
      </c>
      <c r="I266">
        <v>4528.2</v>
      </c>
      <c r="AE266" s="96">
        <v>70</v>
      </c>
    </row>
  </sheetData>
  <mergeCells>
    <mergeCell ref="B192:C192"/>
    <mergeCell ref="B191:C191"/>
    <mergeCell ref="B188:C188"/>
    <mergeCell ref="A184:A192"/>
    <mergeCell ref="A182:C182"/>
    <mergeCell ref="B181:C181"/>
    <mergeCell ref="B180:C180"/>
    <mergeCell ref="B175:C175"/>
    <mergeCell ref="A171:A181"/>
    <mergeCell ref="A169:C169"/>
    <mergeCell ref="B168:C168"/>
    <mergeCell ref="B167:C167"/>
    <mergeCell ref="B162:C162"/>
    <mergeCell ref="A158:A168"/>
    <mergeCell ref="A156:C156"/>
    <mergeCell ref="B155:C155"/>
    <mergeCell ref="B154:C154"/>
    <mergeCell ref="B149:C149"/>
    <mergeCell ref="A145:A155"/>
    <mergeCell ref="A143:C143"/>
    <mergeCell ref="B64:C64"/>
    <mergeCell ref="B63:C63"/>
    <mergeCell ref="B59:C59"/>
    <mergeCell ref="A55:A64"/>
    <mergeCell ref="A53:C53"/>
    <mergeCell ref="B52:C52"/>
    <mergeCell ref="B51:C51"/>
    <mergeCell ref="B46:C46"/>
    <mergeCell ref="A42:A52"/>
    <mergeCell ref="A40:C40"/>
    <mergeCell ref="B39:C39"/>
    <mergeCell ref="B38:C38"/>
    <mergeCell ref="A29:A39"/>
    <mergeCell ref="A27:C27"/>
    <mergeCell ref="B33:C33"/>
    <mergeCell ref="B26:C26"/>
    <mergeCell ref="B25:C25"/>
    <mergeCell ref="A16:A26"/>
    <mergeCell ref="A14:C14"/>
    <mergeCell ref="B20:C20"/>
    <mergeCell ref="B13:C13"/>
    <mergeCell ref="B12:C12"/>
    <mergeCell ref="A3:A13"/>
    <mergeCell ref="A1:C1"/>
    <mergeCell ref="B7:C7"/>
    <mergeCell ref="B71:C71"/>
    <mergeCell ref="A65:C65"/>
    <mergeCell ref="A67:A77"/>
    <mergeCell ref="B76:C76"/>
    <mergeCell ref="B77:C77"/>
    <mergeCell ref="A78:C78"/>
    <mergeCell ref="A80:A90"/>
    <mergeCell ref="B84:C84"/>
    <mergeCell ref="B89:C89"/>
    <mergeCell ref="B90:C90"/>
    <mergeCell ref="A91:C91"/>
    <mergeCell ref="A93:A103"/>
    <mergeCell ref="B97:C97"/>
    <mergeCell ref="B102:C102"/>
    <mergeCell ref="B103:C103"/>
    <mergeCell ref="A104:C104"/>
    <mergeCell ref="A106:A116"/>
    <mergeCell ref="B110:C110"/>
    <mergeCell ref="B115:C115"/>
    <mergeCell ref="B116:C116"/>
    <mergeCell ref="A117:C117"/>
    <mergeCell ref="A119:A129"/>
    <mergeCell ref="B123:C123"/>
    <mergeCell ref="B128:C128"/>
    <mergeCell ref="B129:C129"/>
    <mergeCell ref="A130:C130"/>
    <mergeCell ref="A132:A142"/>
    <mergeCell ref="B136:C136"/>
    <mergeCell ref="B141:C141"/>
    <mergeCell ref="B142:C142"/>
    <mergeCell ref="D130:J130"/>
    <mergeCell ref="K130:T130"/>
    <mergeCell ref="AE130:AE131"/>
    <mergeCell ref="D117:J117"/>
    <mergeCell ref="K117:T117"/>
    <mergeCell ref="AE117:AE118"/>
    <mergeCell ref="AE53:AE54"/>
    <mergeCell ref="K53:T53"/>
    <mergeCell ref="D53:J53"/>
    <mergeCell ref="AE40:AE41"/>
    <mergeCell ref="K40:T40"/>
    <mergeCell ref="D40:J40"/>
    <mergeCell ref="AE27:AE28"/>
    <mergeCell ref="K27:T27"/>
    <mergeCell ref="D27:J27"/>
    <mergeCell ref="AE14:AE15"/>
    <mergeCell ref="K14:T14"/>
    <mergeCell ref="D14:J14"/>
    <mergeCell ref="AE1:AE2"/>
    <mergeCell ref="K1:T1"/>
    <mergeCell ref="D1:J1"/>
    <mergeCell ref="D65:J65"/>
    <mergeCell ref="K65:T65"/>
    <mergeCell ref="AE65:AE66"/>
    <mergeCell ref="D78:J78"/>
    <mergeCell ref="K78:T78"/>
    <mergeCell ref="AE78:AE79"/>
    <mergeCell ref="D91:J91"/>
    <mergeCell ref="K91:T91"/>
    <mergeCell ref="AE91:AE92"/>
    <mergeCell ref="D104:J104"/>
    <mergeCell ref="K104:T104"/>
    <mergeCell ref="AE104:AE105"/>
    <mergeCell ref="D143:J143"/>
    <mergeCell ref="K143:T143"/>
    <mergeCell ref="AE143:AE144"/>
    <mergeCell ref="D156:J156"/>
    <mergeCell ref="K156:T156"/>
    <mergeCell ref="AE156:AE157"/>
    <mergeCell ref="D169:J169"/>
    <mergeCell ref="K169:T169"/>
    <mergeCell ref="AE169:AE170"/>
    <mergeCell ref="D182:J182"/>
    <mergeCell ref="K182:T182"/>
    <mergeCell ref="AE182:AE183"/>
    <mergeCell ref="A193:C193"/>
    <mergeCell ref="D193:J193"/>
    <mergeCell ref="K193:T193"/>
    <mergeCell ref="AE193:AE194"/>
    <mergeCell ref="B199:C199"/>
    <mergeCell ref="B204:C204"/>
    <mergeCell ref="B210:C210"/>
    <mergeCell ref="A195:A210"/>
    <mergeCell ref="B209:C209"/>
    <mergeCell ref="A211:C211"/>
    <mergeCell ref="D211:J211"/>
    <mergeCell ref="K211:T211"/>
    <mergeCell ref="AE211:AE212"/>
    <mergeCell ref="A213:A228"/>
    <mergeCell ref="B217:C217"/>
    <mergeCell ref="B222:C222"/>
    <mergeCell ref="B227:C227"/>
    <mergeCell ref="B228:C228"/>
    <mergeCell ref="A229:C229"/>
    <mergeCell ref="D229:J229"/>
    <mergeCell ref="K229:T229"/>
    <mergeCell ref="AE229:AE230"/>
    <mergeCell ref="A231:A246"/>
    <mergeCell ref="B235:C235"/>
    <mergeCell ref="B240:C240"/>
    <mergeCell ref="B245:C245"/>
    <mergeCell ref="B246:C246"/>
    <mergeCell ref="A247:C247"/>
    <mergeCell ref="D247:J247"/>
    <mergeCell ref="K247:T247"/>
    <mergeCell ref="AE247:AE248"/>
    <mergeCell ref="A249:A264"/>
    <mergeCell ref="B253:C253"/>
    <mergeCell ref="B258:C258"/>
    <mergeCell ref="B263:C263"/>
    <mergeCell ref="B264:C26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9" min="9" style="0" width="11.211267605633802"/>
  </cols>
  <sheetData>
    <row r="1">
      <c r="A1" s="97" t="s">
        <v>59</v>
      </c>
      <c r="B1" s="98"/>
      <c r="C1" s="98"/>
      <c r="D1" s="99" t="s">
        <v>60</v>
      </c>
      <c r="E1" s="99"/>
      <c r="F1" s="99"/>
      <c r="G1" s="100"/>
      <c r="H1" s="101"/>
      <c r="I1" s="101"/>
      <c r="J1" s="102" t="s">
        <v>61</v>
      </c>
      <c r="K1" s="102"/>
      <c r="L1" s="102"/>
      <c r="M1" s="102"/>
      <c r="N1" s="102"/>
      <c r="O1" s="102"/>
      <c r="P1" s="102"/>
      <c r="Q1" s="102"/>
      <c r="R1" s="102"/>
      <c r="S1" s="102"/>
      <c r="T1" s="103"/>
      <c r="U1" s="103"/>
      <c r="V1" s="103"/>
      <c r="W1" s="104"/>
      <c r="X1" s="104"/>
      <c r="Y1" s="104"/>
      <c r="Z1" s="104"/>
      <c r="AA1" s="104"/>
      <c r="AB1" s="104"/>
      <c r="AC1" s="104"/>
      <c r="AD1" s="105" t="s">
        <v>62</v>
      </c>
      <c r="AE1" s="106"/>
      <c r="AF1" s="106"/>
    </row>
    <row r="2">
      <c r="A2" s="107" t="s">
        <v>63</v>
      </c>
      <c r="B2" s="97" t="s">
        <v>64</v>
      </c>
      <c r="C2" s="97" t="s">
        <v>65</v>
      </c>
      <c r="D2" s="101" t="s">
        <v>66</v>
      </c>
      <c r="E2" s="108" t="s">
        <v>67</v>
      </c>
      <c r="F2" s="108" t="s">
        <v>68</v>
      </c>
      <c r="G2" s="109" t="s">
        <v>69</v>
      </c>
      <c r="H2" s="101" t="s">
        <v>70</v>
      </c>
      <c r="I2" s="108" t="s">
        <v>71</v>
      </c>
      <c r="J2" s="102" t="s">
        <v>72</v>
      </c>
      <c r="K2" s="102" t="s">
        <v>73</v>
      </c>
      <c r="L2" s="110" t="s">
        <v>74</v>
      </c>
      <c r="M2" s="110" t="s">
        <v>75</v>
      </c>
      <c r="N2" s="102" t="s">
        <v>76</v>
      </c>
      <c r="O2" s="110" t="s">
        <v>77</v>
      </c>
      <c r="P2" s="110" t="s">
        <v>78</v>
      </c>
      <c r="Q2" s="102" t="s">
        <v>79</v>
      </c>
      <c r="R2" s="110" t="s">
        <v>80</v>
      </c>
      <c r="S2" s="102" t="s">
        <v>81</v>
      </c>
      <c r="T2" s="111" t="s">
        <v>82</v>
      </c>
      <c r="U2" s="111" t="s">
        <v>83</v>
      </c>
      <c r="V2" s="111" t="s">
        <v>84</v>
      </c>
      <c r="W2" s="112" t="s">
        <v>85</v>
      </c>
      <c r="X2" s="113" t="s">
        <v>86</v>
      </c>
      <c r="Y2" s="113" t="s">
        <v>87</v>
      </c>
      <c r="Z2" s="113" t="s">
        <v>88</v>
      </c>
      <c r="AA2" s="113" t="s">
        <v>89</v>
      </c>
      <c r="AB2" s="113" t="s">
        <v>90</v>
      </c>
      <c r="AC2" s="113" t="s">
        <v>91</v>
      </c>
      <c r="AD2" s="105"/>
      <c r="AE2" s="106"/>
      <c r="AF2" s="106"/>
    </row>
    <row r="3">
      <c r="A3" s="114">
        <v>46273</v>
      </c>
      <c r="B3" s="115" t="s">
        <v>92</v>
      </c>
      <c r="C3" s="116" t="s">
        <v>93</v>
      </c>
      <c r="D3" s="115">
        <f t="shared" ref="D3:D6" si="60">E3+F3</f>
      </c>
      <c r="E3" s="115">
        <v>295.26</v>
      </c>
      <c r="F3" s="115">
        <v>446.92</v>
      </c>
      <c r="G3" s="117">
        <v>1</v>
      </c>
      <c r="H3" s="115">
        <v>695</v>
      </c>
      <c r="I3" s="118">
        <f t="shared" ref="I3:I8" si="0">H3/D3</f>
      </c>
      <c r="J3" s="119">
        <f t="shared" ref="J3:J8" si="195">Y3/X3</f>
      </c>
      <c r="K3" s="120">
        <f t="shared" ref="K3:K8" si="133">D3/Z3</f>
      </c>
      <c r="L3" s="119">
        <f t="shared" ref="L3:L8" si="215">AA3/Z3</f>
      </c>
      <c r="M3" s="119">
        <f t="shared" ref="M3:M8" si="93">AB3/Z3</f>
      </c>
      <c r="N3" s="120">
        <f t="shared" ref="N3:N8" si="20">D3/AB3</f>
      </c>
      <c r="O3" s="119">
        <f t="shared" ref="O3:O8" si="235">AC3/AB3</f>
      </c>
      <c r="P3" s="119">
        <f t="shared" ref="P3:P8" si="153">G3/AC3</f>
      </c>
      <c r="Q3" s="120">
        <f t="shared" ref="Q3:Q8" si="113">D3/G3</f>
      </c>
      <c r="R3" s="121">
        <f t="shared" ref="R3:R8" si="40">H3/G3</f>
      </c>
      <c r="S3" s="120">
        <f t="shared" ref="S3:S8" si="255">D3/W3</f>
      </c>
      <c r="T3" s="122">
        <f t="shared" ref="T3:T8" si="173">AD3*1000/D3</f>
      </c>
      <c r="U3" s="123" t="s">
        <v>94</v>
      </c>
      <c r="V3" s="124" t="s">
        <v>95</v>
      </c>
      <c r="W3" s="125">
        <v>1</v>
      </c>
      <c r="X3" s="125">
        <v>2170</v>
      </c>
      <c r="Y3" s="125">
        <v>407</v>
      </c>
      <c r="Z3" s="125">
        <v>563</v>
      </c>
      <c r="AA3" s="125">
        <v>152</v>
      </c>
      <c r="AB3" s="125">
        <v>4</v>
      </c>
      <c r="AC3" s="126">
        <v>1</v>
      </c>
      <c r="AD3" s="126">
        <v>5</v>
      </c>
      <c r="AE3" s="106"/>
      <c r="AF3" s="106"/>
    </row>
    <row r="4">
      <c r="A4" s="127"/>
      <c r="B4" s="115" t="s">
        <v>96</v>
      </c>
      <c r="C4" s="116" t="s">
        <v>93</v>
      </c>
      <c r="D4" s="115">
        <f t="shared" si="60"/>
      </c>
      <c r="E4" s="115">
        <v>1679.94</v>
      </c>
      <c r="F4" s="115">
        <v>748.4</v>
      </c>
      <c r="G4" s="117">
        <v>2</v>
      </c>
      <c r="H4" s="115">
        <v>2369.3999999999996</v>
      </c>
      <c r="I4" s="118">
        <f t="shared" si="0"/>
      </c>
      <c r="J4" s="119">
        <f t="shared" si="195"/>
      </c>
      <c r="K4" s="120">
        <f t="shared" si="133"/>
      </c>
      <c r="L4" s="119">
        <f t="shared" si="215"/>
      </c>
      <c r="M4" s="119">
        <f t="shared" si="93"/>
      </c>
      <c r="N4" s="120">
        <f t="shared" si="20"/>
      </c>
      <c r="O4" s="119">
        <f t="shared" si="235"/>
      </c>
      <c r="P4" s="119">
        <f t="shared" si="153"/>
      </c>
      <c r="Q4" s="120">
        <f t="shared" si="113"/>
      </c>
      <c r="R4" s="121">
        <f t="shared" si="40"/>
      </c>
      <c r="S4" s="120">
        <f t="shared" si="255"/>
      </c>
      <c r="T4" s="122">
        <f t="shared" si="173"/>
      </c>
      <c r="U4" s="123" t="s">
        <v>94</v>
      </c>
      <c r="V4" s="124" t="s">
        <v>95</v>
      </c>
      <c r="W4" s="125">
        <v>2</v>
      </c>
      <c r="X4" s="125">
        <v>4440</v>
      </c>
      <c r="Y4" s="125">
        <v>949</v>
      </c>
      <c r="Z4" s="125">
        <v>1278</v>
      </c>
      <c r="AA4" s="125">
        <v>373</v>
      </c>
      <c r="AB4" s="125">
        <v>5</v>
      </c>
      <c r="AC4" s="126">
        <v>3</v>
      </c>
      <c r="AD4" s="125">
        <v>29</v>
      </c>
      <c r="AE4" s="106"/>
      <c r="AF4" s="106"/>
    </row>
    <row r="5">
      <c r="A5" s="127"/>
      <c r="B5" s="115" t="s">
        <v>97</v>
      </c>
      <c r="C5" s="116" t="s">
        <v>93</v>
      </c>
      <c r="D5" s="115">
        <f t="shared" si="60"/>
      </c>
      <c r="E5" s="115">
        <v>2758.48</v>
      </c>
      <c r="F5" s="115">
        <v>1291.49</v>
      </c>
      <c r="G5" s="117">
        <v>1</v>
      </c>
      <c r="H5" s="115">
        <v>2485.08</v>
      </c>
      <c r="I5" s="118">
        <f t="shared" si="0"/>
      </c>
      <c r="J5" s="119">
        <f t="shared" si="195"/>
      </c>
      <c r="K5" s="120">
        <f t="shared" si="133"/>
      </c>
      <c r="L5" s="119">
        <f t="shared" si="215"/>
      </c>
      <c r="M5" s="119">
        <f t="shared" si="93"/>
      </c>
      <c r="N5" s="120">
        <f t="shared" si="20"/>
      </c>
      <c r="O5" s="119">
        <f t="shared" si="235"/>
      </c>
      <c r="P5" s="119">
        <f t="shared" si="153"/>
      </c>
      <c r="Q5" s="120">
        <f t="shared" si="113"/>
      </c>
      <c r="R5" s="121">
        <f t="shared" si="40"/>
      </c>
      <c r="S5" s="120">
        <f t="shared" si="255"/>
      </c>
      <c r="T5" s="122">
        <f t="shared" si="173"/>
      </c>
      <c r="U5" s="123" t="s">
        <v>94</v>
      </c>
      <c r="V5" s="124" t="s">
        <v>95</v>
      </c>
      <c r="W5" s="125">
        <v>1</v>
      </c>
      <c r="X5" s="125">
        <v>9971</v>
      </c>
      <c r="Y5" s="125">
        <v>1525</v>
      </c>
      <c r="Z5" s="125">
        <v>2040</v>
      </c>
      <c r="AA5" s="125">
        <v>632</v>
      </c>
      <c r="AB5" s="125">
        <v>32</v>
      </c>
      <c r="AC5" s="126">
        <v>2</v>
      </c>
      <c r="AD5" s="126">
        <v>33</v>
      </c>
      <c r="AE5" s="106"/>
      <c r="AF5" s="106"/>
    </row>
    <row r="6">
      <c r="A6" s="128"/>
      <c r="B6" s="129" t="s">
        <v>98</v>
      </c>
      <c r="C6" s="129" t="s">
        <v>93</v>
      </c>
      <c r="D6" s="130">
        <f t="shared" si="60"/>
      </c>
      <c r="E6" s="130">
        <v>960.01</v>
      </c>
      <c r="F6" s="130">
        <v>535.32</v>
      </c>
      <c r="G6" s="131">
        <v>0</v>
      </c>
      <c r="H6" s="116">
        <v>0</v>
      </c>
      <c r="I6" s="118">
        <f t="shared" si="0"/>
      </c>
      <c r="J6" s="119">
        <f t="shared" si="195"/>
      </c>
      <c r="K6" s="120">
        <f t="shared" si="133"/>
      </c>
      <c r="L6" s="119">
        <f t="shared" si="215"/>
      </c>
      <c r="M6" s="119">
        <f t="shared" si="93"/>
      </c>
      <c r="N6" s="120">
        <f t="shared" si="20"/>
      </c>
      <c r="O6" s="119">
        <f t="shared" si="235"/>
      </c>
      <c r="P6" s="119">
        <f t="shared" si="153"/>
      </c>
      <c r="Q6" s="120">
        <f t="shared" si="113"/>
      </c>
      <c r="R6" s="121">
        <f t="shared" si="40"/>
      </c>
      <c r="S6" s="120">
        <f t="shared" si="255"/>
      </c>
      <c r="T6" s="122">
        <f t="shared" si="173"/>
      </c>
      <c r="U6" s="123" t="s">
        <v>94</v>
      </c>
      <c r="V6" s="124" t="s">
        <v>95</v>
      </c>
      <c r="W6" s="125">
        <v>0</v>
      </c>
      <c r="X6" s="125">
        <v>4541</v>
      </c>
      <c r="Y6" s="125">
        <v>753</v>
      </c>
      <c r="Z6" s="125">
        <v>1123</v>
      </c>
      <c r="AA6" s="125">
        <v>307</v>
      </c>
      <c r="AB6" s="125">
        <v>6</v>
      </c>
      <c r="AC6" s="126">
        <v>1</v>
      </c>
      <c r="AD6" s="126">
        <v>19</v>
      </c>
      <c r="AE6" s="106"/>
      <c r="AF6" s="106"/>
    </row>
    <row r="7">
      <c r="A7" s="128"/>
      <c r="B7" s="132" t="s">
        <v>99</v>
      </c>
      <c r="C7" s="132"/>
      <c r="D7" s="132">
        <f>SUM(D3:D6)</f>
      </c>
      <c r="E7" s="132">
        <f>SUM(E3:E6)</f>
      </c>
      <c r="F7" s="132">
        <f>SUM(F3:F6)</f>
      </c>
      <c r="G7" s="133">
        <f>SUM(G3:G6)</f>
      </c>
      <c r="H7" s="132">
        <f>SUM(H3:H6)</f>
      </c>
      <c r="I7" s="134">
        <f t="shared" si="0"/>
      </c>
      <c r="J7" s="135">
        <f t="shared" si="195"/>
      </c>
      <c r="K7" s="136">
        <f t="shared" si="133"/>
      </c>
      <c r="L7" s="135">
        <f t="shared" si="215"/>
      </c>
      <c r="M7" s="135">
        <f t="shared" si="93"/>
      </c>
      <c r="N7" s="136">
        <f t="shared" si="20"/>
      </c>
      <c r="O7" s="135">
        <f t="shared" si="235"/>
      </c>
      <c r="P7" s="135">
        <f t="shared" si="153"/>
      </c>
      <c r="Q7" s="136">
        <f t="shared" si="113"/>
      </c>
      <c r="R7" s="137">
        <f t="shared" si="40"/>
      </c>
      <c r="S7" s="136">
        <f t="shared" si="255"/>
      </c>
      <c r="T7" s="138">
        <f t="shared" si="173"/>
      </c>
      <c r="U7" s="138"/>
      <c r="V7" s="138"/>
      <c r="W7" s="132">
        <f>SUM(W3:W6)</f>
      </c>
      <c r="X7" s="132">
        <f>SUM(X3:X6)</f>
      </c>
      <c r="Y7" s="132">
        <f>SUM(Y3:Y6)</f>
      </c>
      <c r="Z7" s="132">
        <f>SUM(Z3:Z6)</f>
      </c>
      <c r="AA7" s="132">
        <f>SUM(AA3:AA6)</f>
      </c>
      <c r="AB7" s="132">
        <f>SUM(AB3:AB6)</f>
      </c>
      <c r="AC7" s="132">
        <f>SUM(AC3:AC6)</f>
      </c>
      <c r="AD7" s="132">
        <f>SUM(AD3:AD6)</f>
      </c>
      <c r="AE7" s="106"/>
      <c r="AF7" s="106"/>
    </row>
    <row r="8">
      <c r="A8" s="128"/>
      <c r="B8" s="139" t="s">
        <v>100</v>
      </c>
      <c r="C8" s="139"/>
      <c r="D8" s="140">
        <f>D7</f>
      </c>
      <c r="E8" s="140">
        <f>E7</f>
      </c>
      <c r="F8" s="140">
        <f>F7</f>
      </c>
      <c r="G8" s="141">
        <f>G7</f>
      </c>
      <c r="H8" s="140">
        <f>H7</f>
      </c>
      <c r="I8" s="140">
        <f t="shared" si="0"/>
      </c>
      <c r="J8" s="142">
        <f t="shared" si="195"/>
      </c>
      <c r="K8" s="140">
        <f t="shared" si="133"/>
      </c>
      <c r="L8" s="142">
        <f t="shared" si="215"/>
      </c>
      <c r="M8" s="142">
        <f t="shared" si="93"/>
      </c>
      <c r="N8" s="140">
        <f t="shared" si="20"/>
      </c>
      <c r="O8" s="142">
        <f t="shared" si="235"/>
      </c>
      <c r="P8" s="142">
        <f t="shared" si="153"/>
      </c>
      <c r="Q8" s="140">
        <f t="shared" si="113"/>
      </c>
      <c r="R8" s="143">
        <f t="shared" si="40"/>
      </c>
      <c r="S8" s="140">
        <f t="shared" si="255"/>
      </c>
      <c r="T8" s="144">
        <f t="shared" si="173"/>
      </c>
      <c r="U8" s="144"/>
      <c r="V8" s="144"/>
      <c r="W8" s="145">
        <f>W7</f>
      </c>
      <c r="X8" s="145">
        <f>X7</f>
      </c>
      <c r="Y8" s="145">
        <f>Y7</f>
      </c>
      <c r="Z8" s="145">
        <f>Z7</f>
      </c>
      <c r="AA8" s="145">
        <f>AA7</f>
      </c>
      <c r="AB8" s="145">
        <f>AB7</f>
      </c>
      <c r="AC8" s="145">
        <f>AC7</f>
      </c>
      <c r="AD8" s="145">
        <f>AD7</f>
      </c>
      <c r="AE8" s="106"/>
      <c r="AF8" s="106"/>
    </row>
    <row r="9">
      <c r="A9" s="97" t="s">
        <v>59</v>
      </c>
      <c r="B9" s="97"/>
      <c r="C9" s="97"/>
      <c r="D9" s="99" t="s">
        <v>60</v>
      </c>
      <c r="E9" s="99"/>
      <c r="F9" s="99"/>
      <c r="G9" s="99"/>
      <c r="H9" s="99"/>
      <c r="I9" s="99"/>
      <c r="J9" s="102" t="s">
        <v>61</v>
      </c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3"/>
      <c r="V9" s="103"/>
      <c r="W9" s="104"/>
      <c r="X9" s="104"/>
      <c r="Y9" s="104"/>
      <c r="Z9" s="104"/>
      <c r="AA9" s="104"/>
      <c r="AB9" s="104"/>
      <c r="AC9" s="104"/>
      <c r="AD9" s="105" t="s">
        <v>62</v>
      </c>
      <c r="AE9" s="106"/>
      <c r="AF9" s="106"/>
    </row>
    <row r="10">
      <c r="A10" s="107" t="s">
        <v>63</v>
      </c>
      <c r="B10" s="97" t="s">
        <v>64</v>
      </c>
      <c r="C10" s="97" t="s">
        <v>65</v>
      </c>
      <c r="D10" s="101" t="s">
        <v>66</v>
      </c>
      <c r="E10" s="108" t="s">
        <v>67</v>
      </c>
      <c r="F10" s="108" t="s">
        <v>68</v>
      </c>
      <c r="G10" s="109" t="s">
        <v>69</v>
      </c>
      <c r="H10" s="101" t="s">
        <v>70</v>
      </c>
      <c r="I10" s="108" t="s">
        <v>71</v>
      </c>
      <c r="J10" s="102" t="s">
        <v>72</v>
      </c>
      <c r="K10" s="102" t="s">
        <v>73</v>
      </c>
      <c r="L10" s="110" t="s">
        <v>74</v>
      </c>
      <c r="M10" s="110" t="s">
        <v>75</v>
      </c>
      <c r="N10" s="102" t="s">
        <v>76</v>
      </c>
      <c r="O10" s="110" t="s">
        <v>77</v>
      </c>
      <c r="P10" s="110" t="s">
        <v>78</v>
      </c>
      <c r="Q10" s="102" t="s">
        <v>79</v>
      </c>
      <c r="R10" s="110" t="s">
        <v>80</v>
      </c>
      <c r="S10" s="102" t="s">
        <v>81</v>
      </c>
      <c r="T10" s="111" t="s">
        <v>82</v>
      </c>
      <c r="U10" s="111" t="s">
        <v>83</v>
      </c>
      <c r="V10" s="111" t="s">
        <v>84</v>
      </c>
      <c r="W10" s="112" t="s">
        <v>85</v>
      </c>
      <c r="X10" s="113" t="s">
        <v>86</v>
      </c>
      <c r="Y10" s="113" t="s">
        <v>87</v>
      </c>
      <c r="Z10" s="113" t="s">
        <v>88</v>
      </c>
      <c r="AA10" s="113" t="s">
        <v>89</v>
      </c>
      <c r="AB10" s="113" t="s">
        <v>90</v>
      </c>
      <c r="AC10" s="113" t="s">
        <v>91</v>
      </c>
      <c r="AD10" s="105"/>
      <c r="AE10" s="106"/>
      <c r="AF10" s="106"/>
    </row>
    <row r="11">
      <c r="A11" s="114">
        <v>46274</v>
      </c>
      <c r="B11" s="115" t="s">
        <v>92</v>
      </c>
      <c r="C11" s="116" t="s">
        <v>93</v>
      </c>
      <c r="D11" s="115">
        <f t="shared" ref="D11:D14" si="61">E11+F11</f>
      </c>
      <c r="E11" s="115">
        <v>1635.36</v>
      </c>
      <c r="F11" s="115">
        <v>1620.18</v>
      </c>
      <c r="G11" s="117">
        <v>1</v>
      </c>
      <c r="H11" s="115">
        <v>2175</v>
      </c>
      <c r="I11" s="118">
        <f t="shared" ref="I11:I16" si="1">H11/D11</f>
      </c>
      <c r="J11" s="119">
        <f t="shared" ref="J11:J16" si="196">Y11/X11</f>
      </c>
      <c r="K11" s="120">
        <f t="shared" ref="K11:K16" si="134">D11/Z11</f>
      </c>
      <c r="L11" s="119">
        <f t="shared" ref="L11:L16" si="216">AA11/Z11</f>
      </c>
      <c r="M11" s="119">
        <f t="shared" ref="M11:M16" si="94">AB11/Z11</f>
      </c>
      <c r="N11" s="120">
        <f t="shared" ref="N11:N16" si="21">D11/AB11</f>
      </c>
      <c r="O11" s="119">
        <f t="shared" ref="O11:O16" si="236">AC11/AB11</f>
      </c>
      <c r="P11" s="119">
        <f t="shared" ref="P11:P16" si="154">G11/AC11</f>
      </c>
      <c r="Q11" s="120">
        <f t="shared" ref="Q11:Q16" si="114">D11/G11</f>
      </c>
      <c r="R11" s="121">
        <f t="shared" ref="R11:R16" si="41">H11/G11</f>
      </c>
      <c r="S11" s="120">
        <f t="shared" ref="S11:S16" si="256">D11/W11</f>
      </c>
      <c r="T11" s="122">
        <f t="shared" ref="T11:T16" si="174">AD11*1000/D11</f>
      </c>
      <c r="U11" s="123" t="s">
        <v>94</v>
      </c>
      <c r="V11" s="124" t="s">
        <v>95</v>
      </c>
      <c r="W11" s="125">
        <v>1</v>
      </c>
      <c r="X11" s="125">
        <v>9138</v>
      </c>
      <c r="Y11" s="125">
        <v>1071</v>
      </c>
      <c r="Z11" s="125">
        <v>1438</v>
      </c>
      <c r="AA11" s="125">
        <v>408</v>
      </c>
      <c r="AB11" s="125">
        <v>47</v>
      </c>
      <c r="AC11" s="126">
        <v>1</v>
      </c>
      <c r="AD11" s="126">
        <v>36</v>
      </c>
      <c r="AE11" s="106"/>
      <c r="AF11" s="106"/>
    </row>
    <row r="12">
      <c r="A12" s="114"/>
      <c r="B12" s="115" t="s">
        <v>96</v>
      </c>
      <c r="C12" s="116" t="s">
        <v>93</v>
      </c>
      <c r="D12" s="115">
        <f t="shared" si="61"/>
      </c>
      <c r="E12" s="115">
        <v>3286.15</v>
      </c>
      <c r="F12" s="115">
        <v>1220.21</v>
      </c>
      <c r="G12" s="146">
        <v>0</v>
      </c>
      <c r="H12" s="116">
        <v>0</v>
      </c>
      <c r="I12" s="118">
        <f t="shared" si="1"/>
      </c>
      <c r="J12" s="119">
        <f t="shared" si="196"/>
      </c>
      <c r="K12" s="120">
        <f t="shared" si="134"/>
      </c>
      <c r="L12" s="119">
        <f t="shared" si="216"/>
      </c>
      <c r="M12" s="119">
        <f t="shared" si="94"/>
      </c>
      <c r="N12" s="120">
        <f t="shared" si="21"/>
      </c>
      <c r="O12" s="119">
        <f t="shared" si="236"/>
      </c>
      <c r="P12" s="119">
        <f t="shared" si="154"/>
      </c>
      <c r="Q12" s="120">
        <f t="shared" si="114"/>
      </c>
      <c r="R12" s="121">
        <f t="shared" si="41"/>
      </c>
      <c r="S12" s="120">
        <f t="shared" si="256"/>
      </c>
      <c r="T12" s="122">
        <f t="shared" si="174"/>
      </c>
      <c r="U12" s="123" t="s">
        <v>94</v>
      </c>
      <c r="V12" s="124" t="s">
        <v>95</v>
      </c>
      <c r="W12" s="125">
        <v>0</v>
      </c>
      <c r="X12" s="125">
        <v>12184</v>
      </c>
      <c r="Y12" s="125">
        <v>1342</v>
      </c>
      <c r="Z12" s="125">
        <v>1715</v>
      </c>
      <c r="AA12" s="125">
        <v>420</v>
      </c>
      <c r="AB12" s="125">
        <v>84</v>
      </c>
      <c r="AC12" s="126">
        <v>4</v>
      </c>
      <c r="AD12" s="125">
        <v>34</v>
      </c>
      <c r="AE12" s="106"/>
      <c r="AF12" s="106"/>
    </row>
    <row r="13">
      <c r="A13" s="114"/>
      <c r="B13" s="115" t="s">
        <v>97</v>
      </c>
      <c r="C13" s="116" t="s">
        <v>93</v>
      </c>
      <c r="D13" s="115">
        <f t="shared" si="61"/>
      </c>
      <c r="E13" s="115">
        <v>4484.610000000001</v>
      </c>
      <c r="F13" s="115">
        <v>623.65</v>
      </c>
      <c r="G13" s="117">
        <v>3</v>
      </c>
      <c r="H13" s="115">
        <v>12159.24</v>
      </c>
      <c r="I13" s="118">
        <f t="shared" si="1"/>
      </c>
      <c r="J13" s="119">
        <f t="shared" si="196"/>
      </c>
      <c r="K13" s="120">
        <f t="shared" si="134"/>
      </c>
      <c r="L13" s="119">
        <f t="shared" si="216"/>
      </c>
      <c r="M13" s="119">
        <f t="shared" si="94"/>
      </c>
      <c r="N13" s="120">
        <f t="shared" si="21"/>
      </c>
      <c r="O13" s="119">
        <f t="shared" si="236"/>
      </c>
      <c r="P13" s="119">
        <f t="shared" si="154"/>
      </c>
      <c r="Q13" s="120">
        <f t="shared" si="114"/>
      </c>
      <c r="R13" s="121">
        <f t="shared" si="41"/>
      </c>
      <c r="S13" s="120">
        <f t="shared" si="256"/>
      </c>
      <c r="T13" s="122">
        <f t="shared" si="174"/>
      </c>
      <c r="U13" s="123" t="s">
        <v>94</v>
      </c>
      <c r="V13" s="124" t="s">
        <v>95</v>
      </c>
      <c r="W13" s="125">
        <v>2</v>
      </c>
      <c r="X13" s="125">
        <v>15742</v>
      </c>
      <c r="Y13" s="125">
        <v>1024</v>
      </c>
      <c r="Z13" s="125">
        <v>1201</v>
      </c>
      <c r="AA13" s="125">
        <v>402</v>
      </c>
      <c r="AB13" s="125">
        <v>150</v>
      </c>
      <c r="AC13" s="126">
        <v>4</v>
      </c>
      <c r="AD13" s="126">
        <v>43</v>
      </c>
      <c r="AE13" s="106"/>
      <c r="AF13" s="106"/>
    </row>
    <row r="14">
      <c r="A14" s="114"/>
      <c r="B14" s="129" t="s">
        <v>98</v>
      </c>
      <c r="C14" s="129" t="s">
        <v>93</v>
      </c>
      <c r="D14" s="130">
        <f t="shared" si="61"/>
      </c>
      <c r="E14" s="130">
        <v>1964.52</v>
      </c>
      <c r="F14" s="130">
        <v>620.08</v>
      </c>
      <c r="G14" s="131">
        <v>0</v>
      </c>
      <c r="H14" s="116">
        <v>0</v>
      </c>
      <c r="I14" s="118">
        <f t="shared" si="1"/>
      </c>
      <c r="J14" s="119">
        <f t="shared" si="196"/>
      </c>
      <c r="K14" s="120">
        <f t="shared" si="134"/>
      </c>
      <c r="L14" s="119">
        <f t="shared" si="216"/>
      </c>
      <c r="M14" s="119">
        <f t="shared" si="94"/>
      </c>
      <c r="N14" s="120">
        <f t="shared" si="21"/>
      </c>
      <c r="O14" s="119">
        <f t="shared" si="236"/>
      </c>
      <c r="P14" s="119">
        <f t="shared" si="154"/>
      </c>
      <c r="Q14" s="120">
        <f t="shared" si="114"/>
      </c>
      <c r="R14" s="121">
        <f t="shared" si="41"/>
      </c>
      <c r="S14" s="120">
        <f t="shared" si="256"/>
      </c>
      <c r="T14" s="122">
        <f t="shared" si="174"/>
      </c>
      <c r="U14" s="123" t="s">
        <v>94</v>
      </c>
      <c r="V14" s="124" t="s">
        <v>95</v>
      </c>
      <c r="W14" s="125">
        <v>0</v>
      </c>
      <c r="X14" s="125">
        <v>6956</v>
      </c>
      <c r="Y14" s="125">
        <v>756</v>
      </c>
      <c r="Z14" s="125">
        <v>982</v>
      </c>
      <c r="AA14" s="125">
        <v>293</v>
      </c>
      <c r="AB14" s="125">
        <v>43</v>
      </c>
      <c r="AC14" s="126">
        <v>1</v>
      </c>
      <c r="AD14" s="126">
        <v>21</v>
      </c>
      <c r="AE14" s="106"/>
      <c r="AF14" s="106"/>
    </row>
    <row r="15">
      <c r="A15" s="114"/>
      <c r="B15" s="132" t="s">
        <v>99</v>
      </c>
      <c r="C15" s="132"/>
      <c r="D15" s="132">
        <f>SUM(D11:D14)</f>
      </c>
      <c r="E15" s="132">
        <f>SUM(E11:E14)</f>
      </c>
      <c r="F15" s="132">
        <f>SUM(F11:F14)</f>
      </c>
      <c r="G15" s="133">
        <f>SUM(G11:G14)</f>
      </c>
      <c r="H15" s="132">
        <f>SUM(H11:H14)</f>
      </c>
      <c r="I15" s="134">
        <f t="shared" si="1"/>
      </c>
      <c r="J15" s="135">
        <f t="shared" si="196"/>
      </c>
      <c r="K15" s="136">
        <f t="shared" si="134"/>
      </c>
      <c r="L15" s="135">
        <f t="shared" si="216"/>
      </c>
      <c r="M15" s="135">
        <f t="shared" si="94"/>
      </c>
      <c r="N15" s="136">
        <f t="shared" si="21"/>
      </c>
      <c r="O15" s="135">
        <f t="shared" si="236"/>
      </c>
      <c r="P15" s="135">
        <f t="shared" si="154"/>
      </c>
      <c r="Q15" s="136">
        <f t="shared" si="114"/>
      </c>
      <c r="R15" s="137">
        <f t="shared" si="41"/>
      </c>
      <c r="S15" s="136">
        <f t="shared" si="256"/>
      </c>
      <c r="T15" s="138">
        <f t="shared" si="174"/>
      </c>
      <c r="U15" s="138"/>
      <c r="V15" s="138"/>
      <c r="W15" s="132">
        <f>SUM(W11:W14)</f>
      </c>
      <c r="X15" s="132">
        <f>SUM(X11:X14)</f>
      </c>
      <c r="Y15" s="132">
        <f>SUM(Y11:Y14)</f>
      </c>
      <c r="Z15" s="132">
        <f>SUM(Z11:Z14)</f>
      </c>
      <c r="AA15" s="132">
        <f>SUM(AA11:AA14)</f>
      </c>
      <c r="AB15" s="132">
        <f>SUM(AB11:AB14)</f>
      </c>
      <c r="AC15" s="132">
        <f>SUM(AC11:AC14)</f>
      </c>
      <c r="AD15" s="132">
        <f>SUM(AD11:AD14)</f>
      </c>
      <c r="AE15" s="106"/>
      <c r="AF15" s="106"/>
    </row>
    <row r="16">
      <c r="A16" s="147"/>
      <c r="B16" s="148" t="s">
        <v>100</v>
      </c>
      <c r="C16" s="148"/>
      <c r="D16" s="149">
        <f>D15</f>
      </c>
      <c r="E16" s="149">
        <f>E15</f>
      </c>
      <c r="F16" s="149">
        <f>F15</f>
      </c>
      <c r="G16" s="150">
        <f>G15</f>
      </c>
      <c r="H16" s="149">
        <f>H15</f>
      </c>
      <c r="I16" s="149">
        <f t="shared" si="1"/>
      </c>
      <c r="J16" s="142">
        <f t="shared" si="196"/>
      </c>
      <c r="K16" s="140">
        <f t="shared" si="134"/>
      </c>
      <c r="L16" s="142">
        <f t="shared" si="216"/>
      </c>
      <c r="M16" s="142">
        <f t="shared" si="94"/>
      </c>
      <c r="N16" s="140">
        <f t="shared" si="21"/>
      </c>
      <c r="O16" s="142">
        <f t="shared" si="236"/>
      </c>
      <c r="P16" s="142">
        <f t="shared" si="154"/>
      </c>
      <c r="Q16" s="140">
        <f t="shared" si="114"/>
      </c>
      <c r="R16" s="143">
        <f t="shared" si="41"/>
      </c>
      <c r="S16" s="140">
        <f t="shared" si="256"/>
      </c>
      <c r="T16" s="144">
        <f t="shared" si="174"/>
      </c>
      <c r="U16" s="144"/>
      <c r="V16" s="144"/>
      <c r="W16" s="145">
        <f>W15</f>
      </c>
      <c r="X16" s="145">
        <f>X15</f>
      </c>
      <c r="Y16" s="145">
        <f>Y15</f>
      </c>
      <c r="Z16" s="145">
        <f>Z15</f>
      </c>
      <c r="AA16" s="145">
        <f>AA15</f>
      </c>
      <c r="AB16" s="145">
        <f>AB15</f>
      </c>
      <c r="AC16" s="145">
        <f>AC15</f>
      </c>
      <c r="AD16" s="145">
        <f>AD15</f>
      </c>
      <c r="AE16" s="106"/>
      <c r="AF16" s="106"/>
    </row>
    <row r="17">
      <c r="A17" s="97" t="s">
        <v>59</v>
      </c>
      <c r="B17" s="97"/>
      <c r="C17" s="97"/>
      <c r="D17" s="101" t="s">
        <v>60</v>
      </c>
      <c r="E17" s="101"/>
      <c r="F17" s="101"/>
      <c r="G17" s="101"/>
      <c r="H17" s="101"/>
      <c r="I17" s="101"/>
      <c r="J17" s="151" t="s">
        <v>61</v>
      </c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03"/>
      <c r="V17" s="103"/>
      <c r="W17" s="104"/>
      <c r="X17" s="104"/>
      <c r="Y17" s="104"/>
      <c r="Z17" s="104"/>
      <c r="AA17" s="104"/>
      <c r="AB17" s="104"/>
      <c r="AC17" s="104"/>
      <c r="AD17" s="105" t="s">
        <v>62</v>
      </c>
      <c r="AE17" s="106"/>
      <c r="AF17" s="106"/>
    </row>
    <row r="18">
      <c r="A18" s="97" t="s">
        <v>63</v>
      </c>
      <c r="B18" s="97" t="s">
        <v>64</v>
      </c>
      <c r="C18" s="97" t="s">
        <v>65</v>
      </c>
      <c r="D18" s="101" t="s">
        <v>66</v>
      </c>
      <c r="E18" s="108" t="s">
        <v>67</v>
      </c>
      <c r="F18" s="108" t="s">
        <v>68</v>
      </c>
      <c r="G18" s="100" t="s">
        <v>69</v>
      </c>
      <c r="H18" s="101" t="s">
        <v>70</v>
      </c>
      <c r="I18" s="108" t="s">
        <v>71</v>
      </c>
      <c r="J18" s="151" t="s">
        <v>72</v>
      </c>
      <c r="K18" s="102" t="s">
        <v>73</v>
      </c>
      <c r="L18" s="110" t="s">
        <v>74</v>
      </c>
      <c r="M18" s="110" t="s">
        <v>75</v>
      </c>
      <c r="N18" s="102" t="s">
        <v>76</v>
      </c>
      <c r="O18" s="110" t="s">
        <v>77</v>
      </c>
      <c r="P18" s="110" t="s">
        <v>78</v>
      </c>
      <c r="Q18" s="102" t="s">
        <v>79</v>
      </c>
      <c r="R18" s="110" t="s">
        <v>80</v>
      </c>
      <c r="S18" s="102" t="s">
        <v>81</v>
      </c>
      <c r="T18" s="111" t="s">
        <v>82</v>
      </c>
      <c r="U18" s="111" t="s">
        <v>83</v>
      </c>
      <c r="V18" s="111" t="s">
        <v>84</v>
      </c>
      <c r="W18" s="112" t="s">
        <v>85</v>
      </c>
      <c r="X18" s="113" t="s">
        <v>86</v>
      </c>
      <c r="Y18" s="113" t="s">
        <v>87</v>
      </c>
      <c r="Z18" s="113" t="s">
        <v>88</v>
      </c>
      <c r="AA18" s="113" t="s">
        <v>89</v>
      </c>
      <c r="AB18" s="113" t="s">
        <v>90</v>
      </c>
      <c r="AC18" s="113" t="s">
        <v>91</v>
      </c>
      <c r="AD18" s="105"/>
      <c r="AE18" s="106"/>
      <c r="AF18" s="106"/>
    </row>
    <row r="19">
      <c r="A19" s="152">
        <v>46275</v>
      </c>
      <c r="B19" s="115" t="s">
        <v>92</v>
      </c>
      <c r="C19" s="116" t="s">
        <v>101</v>
      </c>
      <c r="D19" s="115">
        <f t="shared" ref="D19:D23" si="62">E19+F19</f>
      </c>
      <c r="E19" s="115">
        <v>2035.23</v>
      </c>
      <c r="F19" s="115">
        <v>650.25</v>
      </c>
      <c r="G19" s="153">
        <v>2</v>
      </c>
      <c r="H19" s="115">
        <v>2855.04</v>
      </c>
      <c r="I19" s="118">
        <f t="shared" ref="I19:I25" si="2">H19/D19</f>
      </c>
      <c r="J19" s="154">
        <f t="shared" ref="J19:J25" si="197">Y19/X19</f>
      </c>
      <c r="K19" s="120">
        <f t="shared" ref="K19:K25" si="135">D19/Z19</f>
      </c>
      <c r="L19" s="119">
        <f t="shared" ref="L19:L25" si="217">AA19/Z19</f>
      </c>
      <c r="M19" s="119">
        <f t="shared" ref="M19:M25" si="95">AB19/Z19</f>
      </c>
      <c r="N19" s="120">
        <f t="shared" ref="N19:N25" si="22">D19/AB19</f>
      </c>
      <c r="O19" s="119">
        <f t="shared" ref="O19:O25" si="237">AC19/AB19</f>
      </c>
      <c r="P19" s="119">
        <f t="shared" ref="P19:P25" si="155">G19/AC19</f>
      </c>
      <c r="Q19" s="120">
        <f t="shared" ref="Q19:Q25" si="115">D19/G19</f>
      </c>
      <c r="R19" s="121">
        <f t="shared" ref="R19:R25" si="42">H19/G19</f>
      </c>
      <c r="S19" s="120">
        <f t="shared" ref="S19:S25" si="257">D19/W19</f>
      </c>
      <c r="T19" s="122">
        <f t="shared" ref="T19:T25" si="175">AD19*1000/D19</f>
      </c>
      <c r="U19" s="123" t="s">
        <v>94</v>
      </c>
      <c r="V19" s="124" t="s">
        <v>95</v>
      </c>
      <c r="W19" s="125">
        <v>2</v>
      </c>
      <c r="X19" s="125">
        <v>9149</v>
      </c>
      <c r="Y19" s="125">
        <v>772</v>
      </c>
      <c r="Z19" s="125">
        <v>902</v>
      </c>
      <c r="AA19" s="125">
        <v>263</v>
      </c>
      <c r="AB19" s="125">
        <v>95</v>
      </c>
      <c r="AC19" s="126">
        <v>2</v>
      </c>
      <c r="AD19" s="126">
        <v>32</v>
      </c>
      <c r="AE19" s="106"/>
      <c r="AF19" s="106"/>
    </row>
    <row r="20">
      <c r="A20" s="152"/>
      <c r="B20" s="115" t="s">
        <v>96</v>
      </c>
      <c r="C20" s="116" t="s">
        <v>101</v>
      </c>
      <c r="D20" s="115">
        <f t="shared" si="62"/>
      </c>
      <c r="E20" s="115">
        <v>2515.7999999999997</v>
      </c>
      <c r="F20" s="115">
        <v>654.38</v>
      </c>
      <c r="G20" s="131">
        <v>3</v>
      </c>
      <c r="H20" s="116">
        <v>12810.48</v>
      </c>
      <c r="I20" s="118">
        <f t="shared" si="2"/>
      </c>
      <c r="J20" s="154">
        <f t="shared" si="197"/>
      </c>
      <c r="K20" s="120">
        <f t="shared" si="135"/>
      </c>
      <c r="L20" s="119">
        <f t="shared" si="217"/>
      </c>
      <c r="M20" s="119">
        <f t="shared" si="95"/>
      </c>
      <c r="N20" s="120">
        <f t="shared" si="22"/>
      </c>
      <c r="O20" s="119">
        <f t="shared" si="237"/>
      </c>
      <c r="P20" s="119">
        <f t="shared" si="155"/>
      </c>
      <c r="Q20" s="120">
        <f t="shared" si="115"/>
      </c>
      <c r="R20" s="121">
        <f t="shared" si="42"/>
      </c>
      <c r="S20" s="120">
        <f t="shared" si="257"/>
      </c>
      <c r="T20" s="122">
        <f t="shared" si="175"/>
      </c>
      <c r="U20" s="123" t="s">
        <v>94</v>
      </c>
      <c r="V20" s="124" t="s">
        <v>95</v>
      </c>
      <c r="W20" s="125">
        <v>2</v>
      </c>
      <c r="X20" s="125">
        <v>12342</v>
      </c>
      <c r="Y20" s="125">
        <v>758</v>
      </c>
      <c r="Z20" s="125">
        <v>984</v>
      </c>
      <c r="AA20" s="125">
        <v>272</v>
      </c>
      <c r="AB20" s="125">
        <v>113</v>
      </c>
      <c r="AC20" s="126">
        <v>4</v>
      </c>
      <c r="AD20" s="125">
        <v>33</v>
      </c>
      <c r="AE20" s="106"/>
      <c r="AF20" s="106"/>
    </row>
    <row r="21">
      <c r="A21" s="152"/>
      <c r="B21" s="115" t="s">
        <v>97</v>
      </c>
      <c r="C21" s="116" t="s">
        <v>101</v>
      </c>
      <c r="D21" s="115">
        <f t="shared" si="62"/>
      </c>
      <c r="E21" s="115">
        <v>3978.1</v>
      </c>
      <c r="F21" s="115">
        <v>1206.59</v>
      </c>
      <c r="G21" s="153">
        <v>2</v>
      </c>
      <c r="H21" s="115">
        <v>2664.959999999999</v>
      </c>
      <c r="I21" s="118">
        <f t="shared" si="2"/>
      </c>
      <c r="J21" s="154">
        <f t="shared" si="197"/>
      </c>
      <c r="K21" s="120">
        <f t="shared" si="135"/>
      </c>
      <c r="L21" s="119">
        <f t="shared" si="217"/>
      </c>
      <c r="M21" s="119">
        <f t="shared" si="95"/>
      </c>
      <c r="N21" s="120">
        <f t="shared" si="22"/>
      </c>
      <c r="O21" s="119">
        <f t="shared" si="237"/>
      </c>
      <c r="P21" s="119">
        <f t="shared" si="155"/>
      </c>
      <c r="Q21" s="120">
        <f t="shared" si="115"/>
      </c>
      <c r="R21" s="121">
        <f t="shared" si="42"/>
      </c>
      <c r="S21" s="120">
        <f t="shared" si="257"/>
      </c>
      <c r="T21" s="122">
        <f t="shared" si="175"/>
      </c>
      <c r="U21" s="123" t="s">
        <v>94</v>
      </c>
      <c r="V21" s="124" t="s">
        <v>95</v>
      </c>
      <c r="W21" s="125">
        <v>1</v>
      </c>
      <c r="X21" s="125">
        <v>20529</v>
      </c>
      <c r="Y21" s="125">
        <v>922</v>
      </c>
      <c r="Z21" s="125">
        <v>1155</v>
      </c>
      <c r="AA21" s="125">
        <v>268</v>
      </c>
      <c r="AB21" s="125">
        <v>158</v>
      </c>
      <c r="AC21" s="126">
        <v>3</v>
      </c>
      <c r="AD21" s="126">
        <v>35</v>
      </c>
      <c r="AE21" s="106"/>
      <c r="AF21" s="106"/>
    </row>
    <row r="22">
      <c r="A22" s="152"/>
      <c r="B22" s="116" t="s">
        <v>98</v>
      </c>
      <c r="C22" s="116" t="s">
        <v>101</v>
      </c>
      <c r="D22" s="115">
        <f t="shared" si="62"/>
      </c>
      <c r="E22" s="115">
        <v>4378.67</v>
      </c>
      <c r="F22" s="115">
        <v>1080.79</v>
      </c>
      <c r="G22" s="131">
        <v>3</v>
      </c>
      <c r="H22" s="116">
        <v>7011.600000000002</v>
      </c>
      <c r="I22" s="118">
        <f t="shared" si="2"/>
      </c>
      <c r="J22" s="154">
        <f t="shared" si="197"/>
      </c>
      <c r="K22" s="120">
        <f t="shared" si="135"/>
      </c>
      <c r="L22" s="119">
        <f t="shared" si="217"/>
      </c>
      <c r="M22" s="119">
        <f t="shared" si="95"/>
      </c>
      <c r="N22" s="120">
        <f t="shared" si="22"/>
      </c>
      <c r="O22" s="119">
        <f t="shared" si="237"/>
      </c>
      <c r="P22" s="119">
        <f t="shared" si="155"/>
      </c>
      <c r="Q22" s="120">
        <f t="shared" si="115"/>
      </c>
      <c r="R22" s="121">
        <f t="shared" si="42"/>
      </c>
      <c r="S22" s="120">
        <f t="shared" si="257"/>
      </c>
      <c r="T22" s="122">
        <f t="shared" si="175"/>
      </c>
      <c r="U22" s="123" t="s">
        <v>94</v>
      </c>
      <c r="V22" s="124" t="s">
        <v>95</v>
      </c>
      <c r="W22" s="125">
        <v>1</v>
      </c>
      <c r="X22" s="125">
        <v>20514</v>
      </c>
      <c r="Y22" s="125">
        <v>1026</v>
      </c>
      <c r="Z22" s="125">
        <v>1221</v>
      </c>
      <c r="AA22" s="125">
        <v>257</v>
      </c>
      <c r="AB22" s="125">
        <v>147</v>
      </c>
      <c r="AC22" s="126">
        <v>5</v>
      </c>
      <c r="AD22" s="126">
        <v>26</v>
      </c>
      <c r="AE22" s="106"/>
      <c r="AF22" s="106"/>
    </row>
    <row customHeight="true" ht="18.452380952380953" r="23">
      <c r="A23" s="152"/>
      <c r="B23" s="116" t="s">
        <v>102</v>
      </c>
      <c r="C23" s="116" t="s">
        <v>101</v>
      </c>
      <c r="D23" s="115">
        <f t="shared" si="62"/>
      </c>
      <c r="E23" s="115">
        <v>1771.86</v>
      </c>
      <c r="F23" s="115">
        <v>410.81</v>
      </c>
      <c r="G23" s="131">
        <v>4</v>
      </c>
      <c r="H23" s="116">
        <v>9380.159999999996</v>
      </c>
      <c r="I23" s="118">
        <f t="shared" si="2"/>
      </c>
      <c r="J23" s="154">
        <f t="shared" si="197"/>
      </c>
      <c r="K23" s="120">
        <f t="shared" si="135"/>
      </c>
      <c r="L23" s="119">
        <f t="shared" si="217"/>
      </c>
      <c r="M23" s="119">
        <f t="shared" si="95"/>
      </c>
      <c r="N23" s="120">
        <f t="shared" si="22"/>
      </c>
      <c r="O23" s="119">
        <f t="shared" si="237"/>
      </c>
      <c r="P23" s="119">
        <f t="shared" si="155"/>
      </c>
      <c r="Q23" s="120">
        <f t="shared" si="115"/>
      </c>
      <c r="R23" s="121">
        <f t="shared" si="42"/>
      </c>
      <c r="S23" s="120">
        <f t="shared" si="257"/>
      </c>
      <c r="T23" s="122">
        <f t="shared" si="175"/>
      </c>
      <c r="U23" s="123" t="s">
        <v>94</v>
      </c>
      <c r="V23" s="124" t="s">
        <v>95</v>
      </c>
      <c r="W23" s="125">
        <v>3</v>
      </c>
      <c r="X23" s="125">
        <v>8943</v>
      </c>
      <c r="Y23" s="125">
        <v>391</v>
      </c>
      <c r="Z23" s="125">
        <v>481</v>
      </c>
      <c r="AA23" s="125">
        <v>115</v>
      </c>
      <c r="AB23" s="125">
        <v>88</v>
      </c>
      <c r="AC23" s="126">
        <v>4</v>
      </c>
      <c r="AD23" s="126">
        <v>26</v>
      </c>
      <c r="AE23" s="106"/>
      <c r="AF23" s="106"/>
    </row>
    <row r="24">
      <c r="A24" s="152"/>
      <c r="B24" s="132" t="s">
        <v>99</v>
      </c>
      <c r="C24" s="132"/>
      <c r="D24" s="132">
        <f>SUM(D19:D23)</f>
      </c>
      <c r="E24" s="132">
        <f>SUM(E19:E23)</f>
      </c>
      <c r="F24" s="132">
        <f>SUM(F19:F23)</f>
      </c>
      <c r="G24" s="132">
        <f>SUM(G19:G23)</f>
      </c>
      <c r="H24" s="132">
        <f>SUM(H19:H23)</f>
      </c>
      <c r="I24" s="134">
        <f t="shared" si="2"/>
      </c>
      <c r="J24" s="155">
        <f t="shared" si="197"/>
      </c>
      <c r="K24" s="136">
        <f t="shared" si="135"/>
      </c>
      <c r="L24" s="135">
        <f t="shared" si="217"/>
      </c>
      <c r="M24" s="135">
        <f t="shared" si="95"/>
      </c>
      <c r="N24" s="136">
        <f t="shared" si="22"/>
      </c>
      <c r="O24" s="135">
        <f t="shared" si="237"/>
      </c>
      <c r="P24" s="135">
        <f t="shared" si="155"/>
      </c>
      <c r="Q24" s="136">
        <f t="shared" si="115"/>
      </c>
      <c r="R24" s="137">
        <f t="shared" si="42"/>
      </c>
      <c r="S24" s="136">
        <f t="shared" si="257"/>
      </c>
      <c r="T24" s="138">
        <f t="shared" si="175"/>
      </c>
      <c r="U24" s="138"/>
      <c r="V24" s="138"/>
      <c r="W24" s="132">
        <f>SUM(W19:W23)</f>
      </c>
      <c r="X24" s="132">
        <f>SUM(X19:X23)</f>
      </c>
      <c r="Y24" s="132">
        <f>SUM(Y19:Y23)</f>
      </c>
      <c r="Z24" s="132">
        <f>SUM(Z19:Z23)</f>
      </c>
      <c r="AA24" s="132">
        <f>SUM(AA19:AA23)</f>
      </c>
      <c r="AB24" s="132">
        <f>SUM(AB19:AB23)</f>
      </c>
      <c r="AC24" s="132">
        <f>SUM(AC19:AC23)</f>
      </c>
      <c r="AD24" s="132">
        <f>SUM(AD19:AD23)</f>
      </c>
      <c r="AE24" s="106"/>
      <c r="AF24" s="106"/>
    </row>
    <row r="25">
      <c r="A25" s="152"/>
      <c r="B25" s="139" t="s">
        <v>100</v>
      </c>
      <c r="C25" s="139"/>
      <c r="D25" s="140">
        <f>D24</f>
      </c>
      <c r="E25" s="140">
        <f>E24</f>
      </c>
      <c r="F25" s="140">
        <f>F24</f>
      </c>
      <c r="G25" s="141">
        <f>G24</f>
      </c>
      <c r="H25" s="140">
        <f>H24</f>
      </c>
      <c r="I25" s="140">
        <f t="shared" si="2"/>
      </c>
      <c r="J25" s="156">
        <f t="shared" si="197"/>
      </c>
      <c r="K25" s="140">
        <f t="shared" si="135"/>
      </c>
      <c r="L25" s="142">
        <f t="shared" si="217"/>
      </c>
      <c r="M25" s="142">
        <f t="shared" si="95"/>
      </c>
      <c r="N25" s="140">
        <f t="shared" si="22"/>
      </c>
      <c r="O25" s="142">
        <f t="shared" si="237"/>
      </c>
      <c r="P25" s="142">
        <f t="shared" si="155"/>
      </c>
      <c r="Q25" s="140">
        <f t="shared" si="115"/>
      </c>
      <c r="R25" s="143">
        <f t="shared" si="42"/>
      </c>
      <c r="S25" s="140">
        <f t="shared" si="257"/>
      </c>
      <c r="T25" s="144">
        <f t="shared" si="175"/>
      </c>
      <c r="U25" s="144"/>
      <c r="V25" s="144"/>
      <c r="W25" s="145">
        <f>W24</f>
      </c>
      <c r="X25" s="145">
        <f>X24</f>
      </c>
      <c r="Y25" s="145">
        <f>Y24</f>
      </c>
      <c r="Z25" s="145">
        <f>Z24</f>
      </c>
      <c r="AA25" s="145">
        <f>AA24</f>
      </c>
      <c r="AB25" s="145">
        <f>AB24</f>
      </c>
      <c r="AC25" s="145">
        <f>AC24</f>
      </c>
      <c r="AD25" s="145">
        <f>AD24</f>
      </c>
      <c r="AE25" s="106"/>
      <c r="AF25" s="106"/>
    </row>
    <row r="26">
      <c r="A26" s="97" t="s">
        <v>59</v>
      </c>
      <c r="B26" s="97"/>
      <c r="C26" s="97"/>
      <c r="D26" s="101" t="s">
        <v>60</v>
      </c>
      <c r="E26" s="101"/>
      <c r="F26" s="101"/>
      <c r="G26" s="101"/>
      <c r="H26" s="101"/>
      <c r="I26" s="101"/>
      <c r="J26" s="151" t="s">
        <v>61</v>
      </c>
      <c r="K26" s="151"/>
      <c r="L26" s="151"/>
      <c r="M26" s="151"/>
      <c r="N26" s="151"/>
      <c r="O26" s="151"/>
      <c r="P26" s="151"/>
      <c r="Q26" s="151"/>
      <c r="R26" s="151"/>
      <c r="S26" s="151"/>
      <c r="T26" s="103"/>
      <c r="U26" s="103"/>
      <c r="V26" s="103"/>
      <c r="W26" s="104"/>
      <c r="X26" s="104"/>
      <c r="Y26" s="104"/>
      <c r="Z26" s="104"/>
      <c r="AA26" s="104"/>
      <c r="AB26" s="104"/>
      <c r="AC26" s="104"/>
      <c r="AD26" s="105" t="s">
        <v>62</v>
      </c>
      <c r="AE26" s="106"/>
      <c r="AF26" s="106"/>
    </row>
    <row r="27">
      <c r="A27" s="97" t="s">
        <v>63</v>
      </c>
      <c r="B27" s="97" t="s">
        <v>64</v>
      </c>
      <c r="C27" s="97" t="s">
        <v>65</v>
      </c>
      <c r="D27" s="101" t="s">
        <v>66</v>
      </c>
      <c r="E27" s="108" t="s">
        <v>67</v>
      </c>
      <c r="F27" s="108" t="s">
        <v>68</v>
      </c>
      <c r="G27" s="100" t="s">
        <v>69</v>
      </c>
      <c r="H27" s="101" t="s">
        <v>70</v>
      </c>
      <c r="I27" s="108" t="s">
        <v>71</v>
      </c>
      <c r="J27" s="151" t="s">
        <v>72</v>
      </c>
      <c r="K27" s="102" t="s">
        <v>73</v>
      </c>
      <c r="L27" s="110" t="s">
        <v>74</v>
      </c>
      <c r="M27" s="110" t="s">
        <v>75</v>
      </c>
      <c r="N27" s="102" t="s">
        <v>76</v>
      </c>
      <c r="O27" s="110" t="s">
        <v>77</v>
      </c>
      <c r="P27" s="110" t="s">
        <v>78</v>
      </c>
      <c r="Q27" s="102" t="s">
        <v>79</v>
      </c>
      <c r="R27" s="110" t="s">
        <v>80</v>
      </c>
      <c r="S27" s="102" t="s">
        <v>81</v>
      </c>
      <c r="T27" s="111" t="s">
        <v>82</v>
      </c>
      <c r="U27" s="111" t="s">
        <v>83</v>
      </c>
      <c r="V27" s="111" t="s">
        <v>84</v>
      </c>
      <c r="W27" s="112" t="s">
        <v>85</v>
      </c>
      <c r="X27" s="113" t="s">
        <v>86</v>
      </c>
      <c r="Y27" s="113" t="s">
        <v>87</v>
      </c>
      <c r="Z27" s="113" t="s">
        <v>88</v>
      </c>
      <c r="AA27" s="113" t="s">
        <v>89</v>
      </c>
      <c r="AB27" s="113" t="s">
        <v>90</v>
      </c>
      <c r="AC27" s="113" t="s">
        <v>91</v>
      </c>
      <c r="AD27" s="105"/>
      <c r="AE27" s="106"/>
      <c r="AF27" s="106"/>
    </row>
    <row r="28">
      <c r="A28" s="152">
        <v>46276</v>
      </c>
      <c r="B28" s="157" t="s">
        <v>103</v>
      </c>
      <c r="C28" s="116" t="s">
        <v>93</v>
      </c>
      <c r="D28" s="115">
        <f t="shared" ref="D28:D32" si="63">E28+F28</f>
      </c>
      <c r="E28" s="115">
        <v>2021.0500000000002</v>
      </c>
      <c r="F28" s="115">
        <v>642.53</v>
      </c>
      <c r="G28" s="153">
        <v>1</v>
      </c>
      <c r="H28" s="115">
        <v>942.8399999999999</v>
      </c>
      <c r="I28" s="118">
        <f t="shared" ref="I28:I38" si="3">H28/D28</f>
      </c>
      <c r="J28" s="154">
        <f t="shared" ref="J28:J38" si="198">Y28/X28</f>
      </c>
      <c r="K28" s="120">
        <f t="shared" ref="K28:K38" si="136">D28/Z28</f>
      </c>
      <c r="L28" s="119">
        <f t="shared" ref="L28:L38" si="218">AA28/Z28</f>
      </c>
      <c r="M28" s="119">
        <f t="shared" ref="M28:M38" si="96">AB28/Z28</f>
      </c>
      <c r="N28" s="120">
        <f t="shared" ref="N28:N38" si="23">D28/AB28</f>
      </c>
      <c r="O28" s="119">
        <f t="shared" ref="O28:O38" si="238">AC28/AB28</f>
      </c>
      <c r="P28" s="119">
        <f t="shared" ref="P28:P38" si="156">G28/AC28</f>
      </c>
      <c r="Q28" s="120">
        <f t="shared" ref="Q28:Q38" si="116">D28/G28</f>
      </c>
      <c r="R28" s="121">
        <f t="shared" ref="R28:R38" si="43">H28/G28</f>
      </c>
      <c r="S28" s="120">
        <f t="shared" ref="S28:S38" si="258">D28/W28</f>
      </c>
      <c r="T28" s="122">
        <f t="shared" ref="T28:T38" si="176">AD28*1000/D28</f>
      </c>
      <c r="U28" s="123" t="s">
        <v>94</v>
      </c>
      <c r="V28" s="124" t="s">
        <v>95</v>
      </c>
      <c r="W28" s="125">
        <v>1</v>
      </c>
      <c r="X28" s="125">
        <v>8243</v>
      </c>
      <c r="Y28" s="125">
        <v>394</v>
      </c>
      <c r="Z28" s="125">
        <v>482</v>
      </c>
      <c r="AA28" s="125">
        <v>132</v>
      </c>
      <c r="AB28" s="125">
        <v>68</v>
      </c>
      <c r="AC28" s="126">
        <v>1</v>
      </c>
      <c r="AD28" s="126">
        <v>17</v>
      </c>
      <c r="AE28" s="106"/>
      <c r="AF28" s="106"/>
    </row>
    <row r="29">
      <c r="A29" s="152"/>
      <c r="B29" s="158" t="s">
        <v>104</v>
      </c>
      <c r="C29" s="116" t="s">
        <v>93</v>
      </c>
      <c r="D29" s="115">
        <f t="shared" si="63"/>
      </c>
      <c r="E29" s="115">
        <v>3083.21</v>
      </c>
      <c r="F29" s="115">
        <v>565.37</v>
      </c>
      <c r="G29" s="131">
        <v>3</v>
      </c>
      <c r="H29" s="116">
        <v>3569.76</v>
      </c>
      <c r="I29" s="118">
        <f t="shared" si="3"/>
      </c>
      <c r="J29" s="154">
        <f t="shared" si="198"/>
      </c>
      <c r="K29" s="120">
        <f t="shared" si="136"/>
      </c>
      <c r="L29" s="119">
        <f t="shared" si="218"/>
      </c>
      <c r="M29" s="119">
        <f t="shared" si="96"/>
      </c>
      <c r="N29" s="120">
        <f t="shared" si="23"/>
      </c>
      <c r="O29" s="119">
        <f t="shared" si="238"/>
      </c>
      <c r="P29" s="119">
        <f t="shared" si="156"/>
      </c>
      <c r="Q29" s="120">
        <f t="shared" si="116"/>
      </c>
      <c r="R29" s="121">
        <f t="shared" si="43"/>
      </c>
      <c r="S29" s="120">
        <f t="shared" si="258"/>
      </c>
      <c r="T29" s="122">
        <f t="shared" si="176"/>
      </c>
      <c r="U29" s="123" t="s">
        <v>94</v>
      </c>
      <c r="V29" s="124" t="s">
        <v>95</v>
      </c>
      <c r="W29" s="125">
        <v>2</v>
      </c>
      <c r="X29" s="125">
        <v>15970</v>
      </c>
      <c r="Y29" s="125">
        <v>518</v>
      </c>
      <c r="Z29" s="125">
        <v>603</v>
      </c>
      <c r="AA29" s="125">
        <v>167</v>
      </c>
      <c r="AB29" s="125">
        <v>92</v>
      </c>
      <c r="AC29" s="126">
        <v>6</v>
      </c>
      <c r="AD29" s="125">
        <v>34</v>
      </c>
      <c r="AE29" s="106"/>
      <c r="AF29" s="106"/>
    </row>
    <row r="30">
      <c r="A30" s="152"/>
      <c r="B30" s="158" t="s">
        <v>105</v>
      </c>
      <c r="C30" s="116" t="s">
        <v>93</v>
      </c>
      <c r="D30" s="115">
        <f t="shared" si="63"/>
      </c>
      <c r="E30" s="115">
        <v>2527.06</v>
      </c>
      <c r="F30" s="115">
        <v>342.43</v>
      </c>
      <c r="G30" s="153">
        <v>1</v>
      </c>
      <c r="H30" s="115">
        <v>737.6399999999994</v>
      </c>
      <c r="I30" s="118">
        <f t="shared" si="3"/>
      </c>
      <c r="J30" s="154">
        <f t="shared" si="198"/>
      </c>
      <c r="K30" s="120">
        <f t="shared" si="136"/>
      </c>
      <c r="L30" s="119">
        <f t="shared" si="218"/>
      </c>
      <c r="M30" s="119">
        <f t="shared" si="96"/>
      </c>
      <c r="N30" s="120">
        <f t="shared" si="23"/>
      </c>
      <c r="O30" s="119">
        <f t="shared" si="238"/>
      </c>
      <c r="P30" s="119">
        <f t="shared" si="156"/>
      </c>
      <c r="Q30" s="120">
        <f t="shared" si="116"/>
      </c>
      <c r="R30" s="121">
        <f t="shared" si="43"/>
      </c>
      <c r="S30" s="120">
        <f t="shared" si="258"/>
      </c>
      <c r="T30" s="122">
        <f t="shared" si="176"/>
      </c>
      <c r="U30" s="123" t="s">
        <v>94</v>
      </c>
      <c r="V30" s="124" t="s">
        <v>95</v>
      </c>
      <c r="W30" s="125">
        <v>1</v>
      </c>
      <c r="X30" s="125">
        <v>14917</v>
      </c>
      <c r="Y30" s="125">
        <v>407</v>
      </c>
      <c r="Z30" s="125">
        <v>502</v>
      </c>
      <c r="AA30" s="125">
        <v>128</v>
      </c>
      <c r="AB30" s="125">
        <v>81</v>
      </c>
      <c r="AC30" s="126">
        <v>2</v>
      </c>
      <c r="AD30" s="126">
        <v>18</v>
      </c>
      <c r="AE30" s="106"/>
      <c r="AF30" s="106"/>
    </row>
    <row r="31">
      <c r="A31" s="152"/>
      <c r="B31" s="158" t="s">
        <v>92</v>
      </c>
      <c r="C31" s="116" t="s">
        <v>93</v>
      </c>
      <c r="D31" s="115">
        <f t="shared" si="63"/>
      </c>
      <c r="E31" s="115">
        <v>4482.83</v>
      </c>
      <c r="F31" s="115">
        <v>497.63</v>
      </c>
      <c r="G31" s="131">
        <v>3</v>
      </c>
      <c r="H31" s="116">
        <v>11850.959999999997</v>
      </c>
      <c r="I31" s="118">
        <f t="shared" si="3"/>
      </c>
      <c r="J31" s="154">
        <f t="shared" si="198"/>
      </c>
      <c r="K31" s="120">
        <f t="shared" si="136"/>
      </c>
      <c r="L31" s="119">
        <f t="shared" si="218"/>
      </c>
      <c r="M31" s="119">
        <f t="shared" si="96"/>
      </c>
      <c r="N31" s="120">
        <f t="shared" si="23"/>
      </c>
      <c r="O31" s="119">
        <f t="shared" si="238"/>
      </c>
      <c r="P31" s="119">
        <f t="shared" si="156"/>
      </c>
      <c r="Q31" s="120">
        <f t="shared" si="116"/>
      </c>
      <c r="R31" s="121">
        <f t="shared" si="43"/>
      </c>
      <c r="S31" s="120">
        <f t="shared" si="258"/>
      </c>
      <c r="T31" s="122">
        <f t="shared" si="176"/>
      </c>
      <c r="U31" s="123" t="s">
        <v>94</v>
      </c>
      <c r="V31" s="124" t="s">
        <v>95</v>
      </c>
      <c r="W31" s="125">
        <v>3</v>
      </c>
      <c r="X31" s="125">
        <v>28604</v>
      </c>
      <c r="Y31" s="125">
        <v>561</v>
      </c>
      <c r="Z31" s="125">
        <v>626</v>
      </c>
      <c r="AA31" s="125">
        <v>158</v>
      </c>
      <c r="AB31" s="125">
        <v>166</v>
      </c>
      <c r="AC31" s="126">
        <v>3</v>
      </c>
      <c r="AD31" s="126">
        <v>31</v>
      </c>
      <c r="AE31" s="106"/>
      <c r="AF31" s="106"/>
    </row>
    <row r="32">
      <c r="A32" s="152"/>
      <c r="B32" s="116" t="s">
        <v>96</v>
      </c>
      <c r="C32" s="116" t="s">
        <v>93</v>
      </c>
      <c r="D32" s="115">
        <f t="shared" si="63"/>
      </c>
      <c r="E32" s="115">
        <v>2063.87</v>
      </c>
      <c r="F32" s="115">
        <v>821.93</v>
      </c>
      <c r="G32" s="131">
        <v>3</v>
      </c>
      <c r="H32" s="116">
        <v>3110.0400000000045</v>
      </c>
      <c r="I32" s="118">
        <f t="shared" si="3"/>
      </c>
      <c r="J32" s="154">
        <f t="shared" si="198"/>
      </c>
      <c r="K32" s="120">
        <f t="shared" si="136"/>
      </c>
      <c r="L32" s="119">
        <f t="shared" si="218"/>
      </c>
      <c r="M32" s="119">
        <f t="shared" si="96"/>
      </c>
      <c r="N32" s="120">
        <f t="shared" si="23"/>
      </c>
      <c r="O32" s="119">
        <f t="shared" si="238"/>
      </c>
      <c r="P32" s="119">
        <f t="shared" si="156"/>
      </c>
      <c r="Q32" s="120">
        <f t="shared" si="116"/>
      </c>
      <c r="R32" s="121">
        <f t="shared" si="43"/>
      </c>
      <c r="S32" s="120">
        <f t="shared" si="258"/>
      </c>
      <c r="T32" s="122">
        <f t="shared" si="176"/>
      </c>
      <c r="U32" s="123" t="s">
        <v>94</v>
      </c>
      <c r="V32" s="124" t="s">
        <v>95</v>
      </c>
      <c r="W32" s="125">
        <v>2</v>
      </c>
      <c r="X32" s="125">
        <v>8746</v>
      </c>
      <c r="Y32" s="125">
        <v>354</v>
      </c>
      <c r="Z32" s="125">
        <v>423</v>
      </c>
      <c r="AA32" s="125">
        <v>119</v>
      </c>
      <c r="AB32" s="125">
        <v>67</v>
      </c>
      <c r="AC32" s="126">
        <v>3</v>
      </c>
      <c r="AD32" s="126">
        <v>30</v>
      </c>
      <c r="AE32" s="106"/>
      <c r="AF32" s="106"/>
    </row>
    <row r="33">
      <c r="A33" s="152"/>
      <c r="B33" s="132" t="s">
        <v>99</v>
      </c>
      <c r="C33" s="132"/>
      <c r="D33" s="132">
        <f>SUM(D28:D32)</f>
      </c>
      <c r="E33" s="132">
        <f>SUM(E28:E32)</f>
      </c>
      <c r="F33" s="132">
        <f>SUM(F28:F32)</f>
      </c>
      <c r="G33" s="132">
        <f>SUM(G28:G32)</f>
      </c>
      <c r="H33" s="132">
        <f>SUM(H28:H32)</f>
      </c>
      <c r="I33" s="134">
        <f t="shared" si="3"/>
      </c>
      <c r="J33" s="155">
        <f t="shared" si="198"/>
      </c>
      <c r="K33" s="136">
        <f t="shared" si="136"/>
      </c>
      <c r="L33" s="135">
        <f t="shared" si="218"/>
      </c>
      <c r="M33" s="135">
        <f t="shared" si="96"/>
      </c>
      <c r="N33" s="136">
        <f t="shared" si="23"/>
      </c>
      <c r="O33" s="135">
        <f t="shared" si="238"/>
      </c>
      <c r="P33" s="135">
        <f t="shared" si="156"/>
      </c>
      <c r="Q33" s="136">
        <f t="shared" si="116"/>
      </c>
      <c r="R33" s="137">
        <f t="shared" si="43"/>
      </c>
      <c r="S33" s="136">
        <f t="shared" si="258"/>
      </c>
      <c r="T33" s="138">
        <f t="shared" si="176"/>
      </c>
      <c r="U33" s="138"/>
      <c r="V33" s="138"/>
      <c r="W33" s="132">
        <f>SUM(W28:W32)</f>
      </c>
      <c r="X33" s="132">
        <f>SUM(X28:X32)</f>
      </c>
      <c r="Y33" s="132">
        <f>SUM(Y28:Y32)</f>
      </c>
      <c r="Z33" s="132">
        <f>SUM(Z28:Z32)</f>
      </c>
      <c r="AA33" s="132">
        <f>SUM(AA28:AA32)</f>
      </c>
      <c r="AB33" s="132">
        <f>SUM(AB28:AB32)</f>
      </c>
      <c r="AC33" s="132">
        <f>SUM(AC28:AC32)</f>
      </c>
      <c r="AD33" s="132">
        <f>SUM(AD28:AD32)</f>
      </c>
      <c r="AE33" s="106"/>
      <c r="AF33" s="106"/>
    </row>
    <row customHeight="true" ht="18.452380952380953" r="34">
      <c r="A34" s="152"/>
      <c r="B34" s="115" t="s">
        <v>97</v>
      </c>
      <c r="C34" s="116" t="s">
        <v>106</v>
      </c>
      <c r="D34" s="115">
        <f t="shared" ref="D34:D36" si="64">E34+F34</f>
      </c>
      <c r="E34" s="115">
        <v>2804.45</v>
      </c>
      <c r="F34" s="115">
        <v>1426.59</v>
      </c>
      <c r="G34" s="131">
        <v>0</v>
      </c>
      <c r="H34" s="116">
        <v>0</v>
      </c>
      <c r="I34" s="118">
        <f t="shared" si="3"/>
      </c>
      <c r="J34" s="154">
        <f t="shared" si="198"/>
      </c>
      <c r="K34" s="120">
        <f t="shared" si="136"/>
      </c>
      <c r="L34" s="119">
        <f t="shared" si="218"/>
      </c>
      <c r="M34" s="119">
        <f t="shared" si="96"/>
      </c>
      <c r="N34" s="120">
        <f t="shared" si="23"/>
      </c>
      <c r="O34" s="119">
        <f t="shared" si="238"/>
      </c>
      <c r="P34" s="119">
        <f t="shared" si="156"/>
      </c>
      <c r="Q34" s="120">
        <f t="shared" si="116"/>
      </c>
      <c r="R34" s="121">
        <f t="shared" si="43"/>
      </c>
      <c r="S34" s="120">
        <f t="shared" si="258"/>
      </c>
      <c r="T34" s="122">
        <f t="shared" si="176"/>
      </c>
      <c r="U34" s="123" t="s">
        <v>94</v>
      </c>
      <c r="V34" s="124" t="s">
        <v>95</v>
      </c>
      <c r="W34" s="125">
        <v>1</v>
      </c>
      <c r="X34" s="125">
        <v>13501</v>
      </c>
      <c r="Y34" s="125">
        <v>671</v>
      </c>
      <c r="Z34" s="125">
        <v>825</v>
      </c>
      <c r="AA34" s="125">
        <v>194</v>
      </c>
      <c r="AB34" s="125">
        <v>86</v>
      </c>
      <c r="AC34" s="126">
        <v>1</v>
      </c>
      <c r="AD34" s="126">
        <v>26</v>
      </c>
      <c r="AE34" s="106"/>
      <c r="AF34" s="106"/>
    </row>
    <row customHeight="true" ht="18.452380952380953" r="35">
      <c r="A35" s="152"/>
      <c r="B35" s="115" t="s">
        <v>98</v>
      </c>
      <c r="C35" s="116" t="s">
        <v>106</v>
      </c>
      <c r="D35" s="115">
        <f t="shared" si="64"/>
      </c>
      <c r="E35" s="115">
        <v>1005.41</v>
      </c>
      <c r="F35" s="115">
        <v>1534.36</v>
      </c>
      <c r="G35" s="153">
        <v>1</v>
      </c>
      <c r="H35" s="115">
        <v>5563.200000000001</v>
      </c>
      <c r="I35" s="118">
        <f t="shared" si="3"/>
      </c>
      <c r="J35" s="154">
        <f t="shared" si="198"/>
      </c>
      <c r="K35" s="120">
        <f t="shared" si="136"/>
      </c>
      <c r="L35" s="119">
        <f t="shared" si="218"/>
      </c>
      <c r="M35" s="119">
        <f t="shared" si="96"/>
      </c>
      <c r="N35" s="120">
        <f t="shared" si="23"/>
      </c>
      <c r="O35" s="119">
        <f t="shared" si="238"/>
      </c>
      <c r="P35" s="119">
        <f t="shared" si="156"/>
      </c>
      <c r="Q35" s="120">
        <f t="shared" si="116"/>
      </c>
      <c r="R35" s="121">
        <f t="shared" si="43"/>
      </c>
      <c r="S35" s="120">
        <f t="shared" si="258"/>
      </c>
      <c r="T35" s="122">
        <f t="shared" si="176"/>
      </c>
      <c r="U35" s="123" t="s">
        <v>94</v>
      </c>
      <c r="V35" s="124" t="s">
        <v>95</v>
      </c>
      <c r="W35" s="125">
        <v>1</v>
      </c>
      <c r="X35" s="125">
        <v>5639</v>
      </c>
      <c r="Y35" s="125">
        <v>396</v>
      </c>
      <c r="Z35" s="125">
        <v>577</v>
      </c>
      <c r="AA35" s="125">
        <v>147</v>
      </c>
      <c r="AB35" s="125">
        <v>41</v>
      </c>
      <c r="AC35" s="126">
        <v>2</v>
      </c>
      <c r="AD35" s="126">
        <v>19</v>
      </c>
      <c r="AE35" s="106"/>
      <c r="AF35" s="106"/>
    </row>
    <row customHeight="true" ht="18.452380952380953" r="36">
      <c r="A36" s="152"/>
      <c r="B36" s="115" t="s">
        <v>102</v>
      </c>
      <c r="C36" s="116" t="s">
        <v>106</v>
      </c>
      <c r="D36" s="115">
        <f t="shared" si="64"/>
      </c>
      <c r="E36" s="115">
        <v>2139.18</v>
      </c>
      <c r="F36" s="115">
        <v>532.1</v>
      </c>
      <c r="G36" s="131">
        <v>0</v>
      </c>
      <c r="H36" s="116">
        <v>0</v>
      </c>
      <c r="I36" s="118">
        <f t="shared" si="3"/>
      </c>
      <c r="J36" s="154">
        <f t="shared" si="198"/>
      </c>
      <c r="K36" s="120">
        <f t="shared" si="136"/>
      </c>
      <c r="L36" s="119">
        <f t="shared" si="218"/>
      </c>
      <c r="M36" s="119">
        <f t="shared" si="96"/>
      </c>
      <c r="N36" s="120">
        <f t="shared" si="23"/>
      </c>
      <c r="O36" s="119">
        <f t="shared" si="238"/>
      </c>
      <c r="P36" s="119">
        <f t="shared" si="156"/>
      </c>
      <c r="Q36" s="120">
        <f t="shared" si="116"/>
      </c>
      <c r="R36" s="121">
        <f t="shared" si="43"/>
      </c>
      <c r="S36" s="120">
        <f t="shared" si="258"/>
      </c>
      <c r="T36" s="122">
        <f t="shared" si="176"/>
      </c>
      <c r="U36" s="123" t="s">
        <v>94</v>
      </c>
      <c r="V36" s="124" t="s">
        <v>95</v>
      </c>
      <c r="W36" s="125">
        <v>0</v>
      </c>
      <c r="X36" s="125">
        <v>1335</v>
      </c>
      <c r="Y36" s="125">
        <v>133</v>
      </c>
      <c r="Z36" s="125">
        <v>216</v>
      </c>
      <c r="AA36" s="125">
        <v>45</v>
      </c>
      <c r="AB36" s="125">
        <v>17</v>
      </c>
      <c r="AC36" s="126">
        <v>0</v>
      </c>
      <c r="AD36" s="126">
        <v>16</v>
      </c>
      <c r="AE36" s="106"/>
      <c r="AF36" s="106"/>
    </row>
    <row customHeight="true" ht="18.452380952380953" r="37">
      <c r="A37" s="152"/>
      <c r="B37" s="132" t="s">
        <v>99</v>
      </c>
      <c r="C37" s="132"/>
      <c r="D37" s="132">
        <f>SUM(D34:D36)</f>
      </c>
      <c r="E37" s="132">
        <f>SUM(E34:E36)</f>
      </c>
      <c r="F37" s="132">
        <f>SUM(F34:F36)</f>
      </c>
      <c r="G37" s="132">
        <f>SUM(G34:G36)</f>
      </c>
      <c r="H37" s="132">
        <f>SUM(H34:H36)</f>
      </c>
      <c r="I37" s="134">
        <f t="shared" si="3"/>
      </c>
      <c r="J37" s="155">
        <f t="shared" si="198"/>
      </c>
      <c r="K37" s="136">
        <f t="shared" si="136"/>
      </c>
      <c r="L37" s="135">
        <f t="shared" si="218"/>
      </c>
      <c r="M37" s="135">
        <f t="shared" si="96"/>
      </c>
      <c r="N37" s="136">
        <f t="shared" si="23"/>
      </c>
      <c r="O37" s="135">
        <f t="shared" si="238"/>
      </c>
      <c r="P37" s="135">
        <f t="shared" si="156"/>
      </c>
      <c r="Q37" s="136">
        <f t="shared" si="116"/>
      </c>
      <c r="R37" s="137">
        <f t="shared" si="43"/>
      </c>
      <c r="S37" s="136">
        <f t="shared" si="258"/>
      </c>
      <c r="T37" s="138">
        <f t="shared" si="176"/>
      </c>
      <c r="U37" s="138"/>
      <c r="V37" s="138"/>
      <c r="W37" s="132">
        <f>SUM(W34:W36)</f>
      </c>
      <c r="X37" s="132">
        <f>SUM(X34:X36)</f>
      </c>
      <c r="Y37" s="132">
        <f>SUM(Y34:Y36)</f>
      </c>
      <c r="Z37" s="132">
        <f>SUM(Z34:Z36)</f>
      </c>
      <c r="AA37" s="132">
        <f>SUM(AA34:AA36)</f>
      </c>
      <c r="AB37" s="132">
        <f>SUM(AB34:AB36)</f>
      </c>
      <c r="AC37" s="132">
        <f>SUM(AC34:AC36)</f>
      </c>
      <c r="AD37" s="132">
        <f>SUM(AD34:AD36)</f>
      </c>
      <c r="AE37" s="106"/>
      <c r="AF37" s="106"/>
    </row>
    <row r="38">
      <c r="A38" s="152"/>
      <c r="B38" s="139" t="s">
        <v>100</v>
      </c>
      <c r="C38" s="139"/>
      <c r="D38" s="140">
        <f>D33+D37</f>
      </c>
      <c r="E38" s="140">
        <f>E33+E37</f>
      </c>
      <c r="F38" s="140">
        <f>F33+F37</f>
      </c>
      <c r="G38" s="140">
        <f>G33+G37</f>
      </c>
      <c r="H38" s="140">
        <f>H33+H37</f>
      </c>
      <c r="I38" s="140">
        <f t="shared" si="3"/>
      </c>
      <c r="J38" s="156">
        <f t="shared" si="198"/>
      </c>
      <c r="K38" s="140">
        <f t="shared" si="136"/>
      </c>
      <c r="L38" s="142">
        <f t="shared" si="218"/>
      </c>
      <c r="M38" s="142">
        <f t="shared" si="96"/>
      </c>
      <c r="N38" s="140">
        <f t="shared" si="23"/>
      </c>
      <c r="O38" s="142">
        <f t="shared" si="238"/>
      </c>
      <c r="P38" s="142">
        <f t="shared" si="156"/>
      </c>
      <c r="Q38" s="140">
        <f t="shared" si="116"/>
      </c>
      <c r="R38" s="143">
        <f t="shared" si="43"/>
      </c>
      <c r="S38" s="140">
        <f t="shared" si="258"/>
      </c>
      <c r="T38" s="144">
        <f t="shared" si="176"/>
      </c>
      <c r="U38" s="144"/>
      <c r="V38" s="144"/>
      <c r="W38" s="145">
        <f>W33+W37</f>
      </c>
      <c r="X38" s="145">
        <f>X33+X37</f>
      </c>
      <c r="Y38" s="145">
        <f>Y33+Y37</f>
      </c>
      <c r="Z38" s="145">
        <f>Z33+Z37</f>
      </c>
      <c r="AA38" s="145">
        <f>AA33+AA37</f>
      </c>
      <c r="AB38" s="145">
        <f>AB33+AB37</f>
      </c>
      <c r="AC38" s="145">
        <f>AC33+AC37</f>
      </c>
      <c r="AD38" s="145">
        <f>AD33+AD37</f>
      </c>
      <c r="AE38" s="106"/>
      <c r="AF38" s="106"/>
    </row>
    <row r="39">
      <c r="A39" s="97" t="s">
        <v>59</v>
      </c>
      <c r="B39" s="97"/>
      <c r="C39" s="97"/>
      <c r="D39" s="101" t="s">
        <v>60</v>
      </c>
      <c r="E39" s="101"/>
      <c r="F39" s="101"/>
      <c r="G39" s="101"/>
      <c r="H39" s="101"/>
      <c r="I39" s="101"/>
      <c r="J39" s="151" t="s">
        <v>61</v>
      </c>
      <c r="K39" s="151"/>
      <c r="L39" s="151"/>
      <c r="M39" s="151"/>
      <c r="N39" s="151"/>
      <c r="O39" s="151"/>
      <c r="P39" s="151"/>
      <c r="Q39" s="151"/>
      <c r="R39" s="151"/>
      <c r="S39" s="151"/>
      <c r="T39" s="103"/>
      <c r="U39" s="103"/>
      <c r="V39" s="103"/>
      <c r="W39" s="104"/>
      <c r="X39" s="104"/>
      <c r="Y39" s="104"/>
      <c r="Z39" s="104"/>
      <c r="AA39" s="104"/>
      <c r="AB39" s="104"/>
      <c r="AC39" s="104"/>
      <c r="AD39" s="105" t="s">
        <v>62</v>
      </c>
      <c r="AE39" s="106"/>
      <c r="AF39" s="106"/>
    </row>
    <row r="40">
      <c r="A40" s="97" t="s">
        <v>63</v>
      </c>
      <c r="B40" s="97" t="s">
        <v>64</v>
      </c>
      <c r="C40" s="97" t="s">
        <v>65</v>
      </c>
      <c r="D40" s="101" t="s">
        <v>66</v>
      </c>
      <c r="E40" s="108" t="s">
        <v>67</v>
      </c>
      <c r="F40" s="108" t="s">
        <v>68</v>
      </c>
      <c r="G40" s="100" t="s">
        <v>69</v>
      </c>
      <c r="H40" s="101" t="s">
        <v>70</v>
      </c>
      <c r="I40" s="108" t="s">
        <v>71</v>
      </c>
      <c r="J40" s="151" t="s">
        <v>72</v>
      </c>
      <c r="K40" s="102" t="s">
        <v>73</v>
      </c>
      <c r="L40" s="110" t="s">
        <v>74</v>
      </c>
      <c r="M40" s="110" t="s">
        <v>75</v>
      </c>
      <c r="N40" s="102" t="s">
        <v>76</v>
      </c>
      <c r="O40" s="110" t="s">
        <v>77</v>
      </c>
      <c r="P40" s="110" t="s">
        <v>78</v>
      </c>
      <c r="Q40" s="102" t="s">
        <v>79</v>
      </c>
      <c r="R40" s="110" t="s">
        <v>80</v>
      </c>
      <c r="S40" s="102" t="s">
        <v>81</v>
      </c>
      <c r="T40" s="111" t="s">
        <v>82</v>
      </c>
      <c r="U40" s="111" t="s">
        <v>83</v>
      </c>
      <c r="V40" s="111" t="s">
        <v>84</v>
      </c>
      <c r="W40" s="112" t="s">
        <v>85</v>
      </c>
      <c r="X40" s="113" t="s">
        <v>86</v>
      </c>
      <c r="Y40" s="113" t="s">
        <v>87</v>
      </c>
      <c r="Z40" s="113" t="s">
        <v>88</v>
      </c>
      <c r="AA40" s="113" t="s">
        <v>89</v>
      </c>
      <c r="AB40" s="113" t="s">
        <v>90</v>
      </c>
      <c r="AC40" s="113" t="s">
        <v>91</v>
      </c>
      <c r="AD40" s="105"/>
      <c r="AE40" s="106"/>
      <c r="AF40" s="106"/>
    </row>
    <row r="41">
      <c r="A41" s="152">
        <v>46277</v>
      </c>
      <c r="B41" s="157" t="s">
        <v>103</v>
      </c>
      <c r="C41" s="116" t="s">
        <v>93</v>
      </c>
      <c r="D41" s="115">
        <f t="shared" ref="D41:D45" si="65">E41+F41</f>
      </c>
      <c r="E41" s="115">
        <v>2116.23</v>
      </c>
      <c r="F41" s="115">
        <v>1142.17</v>
      </c>
      <c r="G41" s="153">
        <v>1</v>
      </c>
      <c r="H41" s="115">
        <v>1216.08</v>
      </c>
      <c r="I41" s="118">
        <f t="shared" ref="I41:I51" si="4">H41/D41</f>
      </c>
      <c r="J41" s="154">
        <f t="shared" ref="J41:J51" si="199">Y41/X41</f>
      </c>
      <c r="K41" s="120">
        <f t="shared" ref="K41:K51" si="137">D41/Z41</f>
      </c>
      <c r="L41" s="119">
        <f t="shared" ref="L41:L51" si="219">AA41/Z41</f>
      </c>
      <c r="M41" s="119">
        <f t="shared" ref="M41:M51" si="97">AB41/Z41</f>
      </c>
      <c r="N41" s="120">
        <f t="shared" ref="N41:N51" si="24">D41/AB41</f>
      </c>
      <c r="O41" s="119">
        <f t="shared" ref="O41:O51" si="239">AC41/AB41</f>
      </c>
      <c r="P41" s="119">
        <f t="shared" ref="P41:P51" si="157">G41/AC41</f>
      </c>
      <c r="Q41" s="120">
        <f t="shared" ref="Q41:Q51" si="117">D41/G41</f>
      </c>
      <c r="R41" s="121">
        <f t="shared" ref="R41:R51" si="44">H41/G41</f>
      </c>
      <c r="S41" s="120">
        <f t="shared" ref="S41:S51" si="259">D41/W41</f>
      </c>
      <c r="T41" s="122">
        <f t="shared" ref="T41:T51" si="177">AD41*1000/D41</f>
      </c>
      <c r="U41" s="123" t="s">
        <v>94</v>
      </c>
      <c r="V41" s="124" t="s">
        <v>95</v>
      </c>
      <c r="W41" s="125">
        <v>1</v>
      </c>
      <c r="X41" s="125">
        <v>11189</v>
      </c>
      <c r="Y41" s="125">
        <v>497</v>
      </c>
      <c r="Z41" s="125">
        <v>643</v>
      </c>
      <c r="AA41" s="125">
        <v>208</v>
      </c>
      <c r="AB41" s="125">
        <v>99</v>
      </c>
      <c r="AC41" s="126">
        <v>1</v>
      </c>
      <c r="AD41" s="126">
        <v>34</v>
      </c>
      <c r="AE41" s="106"/>
      <c r="AF41" s="106"/>
    </row>
    <row r="42">
      <c r="A42" s="152"/>
      <c r="B42" s="158" t="s">
        <v>104</v>
      </c>
      <c r="C42" s="116" t="s">
        <v>93</v>
      </c>
      <c r="D42" s="115">
        <f t="shared" si="65"/>
      </c>
      <c r="E42" s="115">
        <v>2272.31</v>
      </c>
      <c r="F42" s="115">
        <v>1615.62</v>
      </c>
      <c r="G42" s="131">
        <v>2</v>
      </c>
      <c r="H42" s="116">
        <v>6949.8</v>
      </c>
      <c r="I42" s="118">
        <f t="shared" si="4"/>
      </c>
      <c r="J42" s="154">
        <f t="shared" si="199"/>
      </c>
      <c r="K42" s="120">
        <f t="shared" si="137"/>
      </c>
      <c r="L42" s="119">
        <f t="shared" si="219"/>
      </c>
      <c r="M42" s="119">
        <f t="shared" si="97"/>
      </c>
      <c r="N42" s="120">
        <f t="shared" si="24"/>
      </c>
      <c r="O42" s="119">
        <f t="shared" si="239"/>
      </c>
      <c r="P42" s="119">
        <f t="shared" si="157"/>
      </c>
      <c r="Q42" s="120">
        <f t="shared" si="117"/>
      </c>
      <c r="R42" s="121">
        <f t="shared" si="44"/>
      </c>
      <c r="S42" s="120">
        <f t="shared" si="259"/>
      </c>
      <c r="T42" s="122">
        <f t="shared" si="177"/>
      </c>
      <c r="U42" s="123" t="s">
        <v>94</v>
      </c>
      <c r="V42" s="124" t="s">
        <v>95</v>
      </c>
      <c r="W42" s="125">
        <v>2</v>
      </c>
      <c r="X42" s="125">
        <v>12637</v>
      </c>
      <c r="Y42" s="125">
        <v>616</v>
      </c>
      <c r="Z42" s="125">
        <v>826</v>
      </c>
      <c r="AA42" s="125">
        <v>231</v>
      </c>
      <c r="AB42" s="125">
        <v>112</v>
      </c>
      <c r="AC42" s="126">
        <v>4</v>
      </c>
      <c r="AD42" s="125">
        <v>27</v>
      </c>
      <c r="AE42" s="106"/>
      <c r="AF42" s="106"/>
    </row>
    <row r="43">
      <c r="A43" s="152"/>
      <c r="B43" s="158" t="s">
        <v>105</v>
      </c>
      <c r="C43" s="116" t="s">
        <v>93</v>
      </c>
      <c r="D43" s="115">
        <f t="shared" si="65"/>
      </c>
      <c r="E43" s="115">
        <v>1179.24</v>
      </c>
      <c r="F43" s="115">
        <v>1291.07</v>
      </c>
      <c r="G43" s="153">
        <v>2</v>
      </c>
      <c r="H43" s="115">
        <v>9460.319999999996</v>
      </c>
      <c r="I43" s="118">
        <f t="shared" si="4"/>
      </c>
      <c r="J43" s="154">
        <f t="shared" si="199"/>
      </c>
      <c r="K43" s="120">
        <f t="shared" si="137"/>
      </c>
      <c r="L43" s="119">
        <f t="shared" si="219"/>
      </c>
      <c r="M43" s="119">
        <f t="shared" si="97"/>
      </c>
      <c r="N43" s="120">
        <f t="shared" si="24"/>
      </c>
      <c r="O43" s="119">
        <f t="shared" si="239"/>
      </c>
      <c r="P43" s="119">
        <f t="shared" si="157"/>
      </c>
      <c r="Q43" s="120">
        <f t="shared" si="117"/>
      </c>
      <c r="R43" s="121">
        <f t="shared" si="44"/>
      </c>
      <c r="S43" s="120">
        <f t="shared" si="259"/>
      </c>
      <c r="T43" s="122">
        <f t="shared" si="177"/>
      </c>
      <c r="U43" s="123" t="s">
        <v>94</v>
      </c>
      <c r="V43" s="124" t="s">
        <v>95</v>
      </c>
      <c r="W43" s="125">
        <v>2</v>
      </c>
      <c r="X43" s="125">
        <v>10747</v>
      </c>
      <c r="Y43" s="125">
        <v>436</v>
      </c>
      <c r="Z43" s="125">
        <v>518</v>
      </c>
      <c r="AA43" s="125">
        <v>106</v>
      </c>
      <c r="AB43" s="125">
        <v>71</v>
      </c>
      <c r="AC43" s="126">
        <v>3</v>
      </c>
      <c r="AD43" s="126">
        <v>19</v>
      </c>
      <c r="AE43" s="106"/>
      <c r="AF43" s="106"/>
    </row>
    <row r="44">
      <c r="A44" s="152"/>
      <c r="B44" s="158" t="s">
        <v>92</v>
      </c>
      <c r="C44" s="116" t="s">
        <v>93</v>
      </c>
      <c r="D44" s="115">
        <f t="shared" si="65"/>
      </c>
      <c r="E44" s="115">
        <v>1927.38</v>
      </c>
      <c r="F44" s="115">
        <v>849.78</v>
      </c>
      <c r="G44" s="131">
        <v>2</v>
      </c>
      <c r="H44" s="116">
        <v>8141.040000000001</v>
      </c>
      <c r="I44" s="118">
        <f t="shared" si="4"/>
      </c>
      <c r="J44" s="154">
        <f t="shared" si="199"/>
      </c>
      <c r="K44" s="120">
        <f t="shared" si="137"/>
      </c>
      <c r="L44" s="119">
        <f t="shared" si="219"/>
      </c>
      <c r="M44" s="119">
        <f t="shared" si="97"/>
      </c>
      <c r="N44" s="120">
        <f t="shared" si="24"/>
      </c>
      <c r="O44" s="119">
        <f t="shared" si="239"/>
      </c>
      <c r="P44" s="119">
        <f t="shared" si="157"/>
      </c>
      <c r="Q44" s="120">
        <f t="shared" si="117"/>
      </c>
      <c r="R44" s="121">
        <f t="shared" si="44"/>
      </c>
      <c r="S44" s="120">
        <f t="shared" si="259"/>
      </c>
      <c r="T44" s="122">
        <f t="shared" si="177"/>
      </c>
      <c r="U44" s="123" t="s">
        <v>94</v>
      </c>
      <c r="V44" s="124" t="s">
        <v>95</v>
      </c>
      <c r="W44" s="125">
        <v>2</v>
      </c>
      <c r="X44" s="125">
        <v>15551</v>
      </c>
      <c r="Y44" s="125">
        <v>495</v>
      </c>
      <c r="Z44" s="125">
        <v>593</v>
      </c>
      <c r="AA44" s="125">
        <v>128</v>
      </c>
      <c r="AB44" s="125">
        <v>111</v>
      </c>
      <c r="AC44" s="126">
        <v>2</v>
      </c>
      <c r="AD44" s="126">
        <v>29</v>
      </c>
      <c r="AE44" s="106"/>
      <c r="AF44" s="106"/>
    </row>
    <row r="45">
      <c r="A45" s="152"/>
      <c r="B45" s="116" t="s">
        <v>96</v>
      </c>
      <c r="C45" s="116" t="s">
        <v>93</v>
      </c>
      <c r="D45" s="115">
        <f t="shared" si="65"/>
      </c>
      <c r="E45" s="115">
        <v>1623.15</v>
      </c>
      <c r="F45" s="115">
        <v>1275.89</v>
      </c>
      <c r="G45" s="131">
        <v>2</v>
      </c>
      <c r="H45" s="116">
        <v>5417.760000000002</v>
      </c>
      <c r="I45" s="118">
        <f t="shared" si="4"/>
      </c>
      <c r="J45" s="154">
        <f t="shared" si="199"/>
      </c>
      <c r="K45" s="120">
        <f t="shared" si="137"/>
      </c>
      <c r="L45" s="119">
        <f t="shared" si="219"/>
      </c>
      <c r="M45" s="119">
        <f t="shared" si="97"/>
      </c>
      <c r="N45" s="120">
        <f t="shared" si="24"/>
      </c>
      <c r="O45" s="119">
        <f t="shared" si="239"/>
      </c>
      <c r="P45" s="119">
        <f t="shared" si="157"/>
      </c>
      <c r="Q45" s="120">
        <f t="shared" si="117"/>
      </c>
      <c r="R45" s="121">
        <f t="shared" si="44"/>
      </c>
      <c r="S45" s="120">
        <f t="shared" si="259"/>
      </c>
      <c r="T45" s="122">
        <f t="shared" si="177"/>
      </c>
      <c r="U45" s="123" t="s">
        <v>94</v>
      </c>
      <c r="V45" s="124" t="s">
        <v>95</v>
      </c>
      <c r="W45" s="125">
        <v>1</v>
      </c>
      <c r="X45" s="125">
        <v>9343</v>
      </c>
      <c r="Y45" s="125">
        <v>419</v>
      </c>
      <c r="Z45" s="125">
        <v>476</v>
      </c>
      <c r="AA45" s="125">
        <v>124</v>
      </c>
      <c r="AB45" s="125">
        <v>67</v>
      </c>
      <c r="AC45" s="126">
        <v>3</v>
      </c>
      <c r="AD45" s="126">
        <v>28</v>
      </c>
      <c r="AE45" s="106"/>
      <c r="AF45" s="106"/>
    </row>
    <row r="46">
      <c r="A46" s="152"/>
      <c r="B46" s="132" t="s">
        <v>99</v>
      </c>
      <c r="C46" s="132"/>
      <c r="D46" s="132">
        <f>SUM(D41:D45)</f>
      </c>
      <c r="E46" s="132">
        <f>SUM(E41:E45)</f>
      </c>
      <c r="F46" s="132">
        <f>SUM(F41:F45)</f>
      </c>
      <c r="G46" s="132">
        <f>SUM(G41:G45)</f>
      </c>
      <c r="H46" s="132">
        <f>SUM(H41:H45)</f>
      </c>
      <c r="I46" s="134">
        <f t="shared" si="4"/>
      </c>
      <c r="J46" s="155">
        <f t="shared" si="199"/>
      </c>
      <c r="K46" s="136">
        <f t="shared" si="137"/>
      </c>
      <c r="L46" s="135">
        <f t="shared" si="219"/>
      </c>
      <c r="M46" s="135">
        <f t="shared" si="97"/>
      </c>
      <c r="N46" s="136">
        <f t="shared" si="24"/>
      </c>
      <c r="O46" s="135">
        <f t="shared" si="239"/>
      </c>
      <c r="P46" s="135">
        <f t="shared" si="157"/>
      </c>
      <c r="Q46" s="136">
        <f t="shared" si="117"/>
      </c>
      <c r="R46" s="137">
        <f t="shared" si="44"/>
      </c>
      <c r="S46" s="136">
        <f t="shared" si="259"/>
      </c>
      <c r="T46" s="138">
        <f t="shared" si="177"/>
      </c>
      <c r="U46" s="138"/>
      <c r="V46" s="138"/>
      <c r="W46" s="132">
        <f>SUM(W41:W45)</f>
      </c>
      <c r="X46" s="132">
        <f>SUM(X41:X45)</f>
      </c>
      <c r="Y46" s="132">
        <f>SUM(Y41:Y45)</f>
      </c>
      <c r="Z46" s="132">
        <f>SUM(Z41:Z45)</f>
      </c>
      <c r="AA46" s="132">
        <f>SUM(AA41:AA45)</f>
      </c>
      <c r="AB46" s="132">
        <f>SUM(AB41:AB45)</f>
      </c>
      <c r="AC46" s="132">
        <f>SUM(AC41:AC45)</f>
      </c>
      <c r="AD46" s="132">
        <f>SUM(AD41:AD45)</f>
      </c>
      <c r="AE46" s="106"/>
      <c r="AF46" s="106"/>
    </row>
    <row r="47">
      <c r="A47" s="152"/>
      <c r="B47" s="115" t="s">
        <v>97</v>
      </c>
      <c r="C47" s="116" t="s">
        <v>107</v>
      </c>
      <c r="D47" s="115">
        <f t="shared" ref="D47:D49" si="66">E47+F47</f>
      </c>
      <c r="E47" s="115">
        <v>1098.3</v>
      </c>
      <c r="F47" s="115">
        <v>2322.63</v>
      </c>
      <c r="G47" s="131">
        <v>0</v>
      </c>
      <c r="H47" s="116">
        <v>0</v>
      </c>
      <c r="I47" s="118">
        <f t="shared" si="4"/>
      </c>
      <c r="J47" s="154">
        <f t="shared" si="199"/>
      </c>
      <c r="K47" s="120">
        <f t="shared" si="137"/>
      </c>
      <c r="L47" s="119">
        <f t="shared" si="219"/>
      </c>
      <c r="M47" s="119">
        <f t="shared" si="97"/>
      </c>
      <c r="N47" s="120">
        <f t="shared" si="24"/>
      </c>
      <c r="O47" s="119">
        <f t="shared" si="239"/>
      </c>
      <c r="P47" s="119">
        <f t="shared" si="157"/>
      </c>
      <c r="Q47" s="120">
        <f t="shared" si="117"/>
      </c>
      <c r="R47" s="121">
        <f t="shared" si="44"/>
      </c>
      <c r="S47" s="120">
        <f t="shared" si="259"/>
      </c>
      <c r="T47" s="122">
        <f t="shared" si="177"/>
      </c>
      <c r="U47" s="123" t="s">
        <v>94</v>
      </c>
      <c r="V47" s="124" t="s">
        <v>95</v>
      </c>
      <c r="W47" s="125">
        <v>0</v>
      </c>
      <c r="X47" s="125">
        <v>11998</v>
      </c>
      <c r="Y47" s="125">
        <v>676</v>
      </c>
      <c r="Z47" s="125">
        <v>873</v>
      </c>
      <c r="AA47" s="125">
        <v>157</v>
      </c>
      <c r="AB47" s="125">
        <v>80</v>
      </c>
      <c r="AC47" s="126">
        <v>2</v>
      </c>
      <c r="AD47" s="126">
        <v>20</v>
      </c>
      <c r="AE47" s="106"/>
      <c r="AF47" s="106"/>
    </row>
    <row r="48">
      <c r="A48" s="152"/>
      <c r="B48" s="115" t="s">
        <v>98</v>
      </c>
      <c r="C48" s="116" t="s">
        <v>107</v>
      </c>
      <c r="D48" s="115">
        <f t="shared" si="66"/>
      </c>
      <c r="E48" s="115">
        <v>1308.52</v>
      </c>
      <c r="F48" s="115">
        <v>1289.7</v>
      </c>
      <c r="G48" s="153">
        <v>1</v>
      </c>
      <c r="H48" s="115">
        <v>1817.2799999999988</v>
      </c>
      <c r="I48" s="118">
        <f t="shared" si="4"/>
      </c>
      <c r="J48" s="154">
        <f t="shared" si="199"/>
      </c>
      <c r="K48" s="120">
        <f t="shared" si="137"/>
      </c>
      <c r="L48" s="119">
        <f t="shared" si="219"/>
      </c>
      <c r="M48" s="119">
        <f t="shared" si="97"/>
      </c>
      <c r="N48" s="120">
        <f t="shared" si="24"/>
      </c>
      <c r="O48" s="119">
        <f t="shared" si="239"/>
      </c>
      <c r="P48" s="119">
        <f t="shared" si="157"/>
      </c>
      <c r="Q48" s="120">
        <f t="shared" si="117"/>
      </c>
      <c r="R48" s="121">
        <f t="shared" si="44"/>
      </c>
      <c r="S48" s="120">
        <f t="shared" si="259"/>
      </c>
      <c r="T48" s="122">
        <f t="shared" si="177"/>
      </c>
      <c r="U48" s="123" t="s">
        <v>94</v>
      </c>
      <c r="V48" s="124" t="s">
        <v>95</v>
      </c>
      <c r="W48" s="125">
        <v>1</v>
      </c>
      <c r="X48" s="125">
        <v>8346</v>
      </c>
      <c r="Y48" s="125">
        <v>459</v>
      </c>
      <c r="Z48" s="125">
        <v>585</v>
      </c>
      <c r="AA48" s="125">
        <v>144</v>
      </c>
      <c r="AB48" s="125">
        <v>72</v>
      </c>
      <c r="AC48" s="126">
        <v>3</v>
      </c>
      <c r="AD48" s="126">
        <v>24</v>
      </c>
      <c r="AE48" s="106"/>
      <c r="AF48" s="106"/>
    </row>
    <row r="49">
      <c r="A49" s="152"/>
      <c r="B49" s="115" t="s">
        <v>102</v>
      </c>
      <c r="C49" s="116" t="s">
        <v>107</v>
      </c>
      <c r="D49" s="115">
        <f t="shared" si="66"/>
      </c>
      <c r="E49" s="115">
        <v>475.18</v>
      </c>
      <c r="F49" s="115">
        <v>484.44</v>
      </c>
      <c r="G49" s="131">
        <v>0</v>
      </c>
      <c r="H49" s="116">
        <v>0</v>
      </c>
      <c r="I49" s="118">
        <f t="shared" si="4"/>
      </c>
      <c r="J49" s="154">
        <f t="shared" si="199"/>
      </c>
      <c r="K49" s="120">
        <f t="shared" si="137"/>
      </c>
      <c r="L49" s="119">
        <f t="shared" si="219"/>
      </c>
      <c r="M49" s="119">
        <f t="shared" si="97"/>
      </c>
      <c r="N49" s="120">
        <f t="shared" si="24"/>
      </c>
      <c r="O49" s="119">
        <f t="shared" si="239"/>
      </c>
      <c r="P49" s="119">
        <f t="shared" si="157"/>
      </c>
      <c r="Q49" s="120">
        <f t="shared" si="117"/>
      </c>
      <c r="R49" s="121">
        <f t="shared" si="44"/>
      </c>
      <c r="S49" s="120">
        <f t="shared" si="259"/>
      </c>
      <c r="T49" s="122">
        <f t="shared" si="177"/>
      </c>
      <c r="U49" s="123" t="s">
        <v>94</v>
      </c>
      <c r="V49" s="124" t="s">
        <v>95</v>
      </c>
      <c r="W49" s="125">
        <v>0</v>
      </c>
      <c r="X49" s="125">
        <v>2016</v>
      </c>
      <c r="Y49" s="125">
        <v>203</v>
      </c>
      <c r="Z49" s="125">
        <v>279</v>
      </c>
      <c r="AA49" s="125">
        <v>66</v>
      </c>
      <c r="AB49" s="125">
        <v>16</v>
      </c>
      <c r="AC49" s="126">
        <v>1</v>
      </c>
      <c r="AD49" s="126">
        <v>9</v>
      </c>
      <c r="AE49" s="106"/>
      <c r="AF49" s="106"/>
    </row>
    <row r="50">
      <c r="A50" s="152"/>
      <c r="B50" s="132" t="s">
        <v>99</v>
      </c>
      <c r="C50" s="132"/>
      <c r="D50" s="132">
        <f>SUM(D47:D49)</f>
      </c>
      <c r="E50" s="132">
        <f>SUM(E47:E49)</f>
      </c>
      <c r="F50" s="132">
        <f>SUM(F47:F49)</f>
      </c>
      <c r="G50" s="132">
        <f>SUM(G47:G49)</f>
      </c>
      <c r="H50" s="132">
        <f>SUM(H47:H49)</f>
      </c>
      <c r="I50" s="134">
        <f t="shared" si="4"/>
      </c>
      <c r="J50" s="155">
        <f t="shared" si="199"/>
      </c>
      <c r="K50" s="136">
        <f t="shared" si="137"/>
      </c>
      <c r="L50" s="135">
        <f t="shared" si="219"/>
      </c>
      <c r="M50" s="135">
        <f t="shared" si="97"/>
      </c>
      <c r="N50" s="136">
        <f t="shared" si="24"/>
      </c>
      <c r="O50" s="135">
        <f t="shared" si="239"/>
      </c>
      <c r="P50" s="135">
        <f t="shared" si="157"/>
      </c>
      <c r="Q50" s="136">
        <f t="shared" si="117"/>
      </c>
      <c r="R50" s="137">
        <f t="shared" si="44"/>
      </c>
      <c r="S50" s="136">
        <f t="shared" si="259"/>
      </c>
      <c r="T50" s="138">
        <f t="shared" si="177"/>
      </c>
      <c r="U50" s="138"/>
      <c r="V50" s="138"/>
      <c r="W50" s="132">
        <f>SUM(W47:W49)</f>
      </c>
      <c r="X50" s="132">
        <f>SUM(X47:X49)</f>
      </c>
      <c r="Y50" s="132">
        <f>SUM(Y47:Y49)</f>
      </c>
      <c r="Z50" s="132">
        <f>SUM(Z47:Z49)</f>
      </c>
      <c r="AA50" s="132">
        <f>SUM(AA47:AA49)</f>
      </c>
      <c r="AB50" s="132">
        <f>SUM(AB47:AB49)</f>
      </c>
      <c r="AC50" s="132">
        <f>SUM(AC47:AC49)</f>
      </c>
      <c r="AD50" s="132">
        <f>SUM(AD47:AD49)</f>
      </c>
      <c r="AE50" s="106"/>
      <c r="AF50" s="106"/>
    </row>
    <row r="51">
      <c r="A51" s="152"/>
      <c r="B51" s="139" t="s">
        <v>100</v>
      </c>
      <c r="C51" s="139"/>
      <c r="D51" s="140">
        <f>D46+D50</f>
      </c>
      <c r="E51" s="140">
        <f>E46+E50</f>
      </c>
      <c r="F51" s="140">
        <f>F46+F50</f>
      </c>
      <c r="G51" s="140">
        <f>G46+G50</f>
      </c>
      <c r="H51" s="140">
        <f>H46+H50</f>
      </c>
      <c r="I51" s="140">
        <f t="shared" si="4"/>
      </c>
      <c r="J51" s="156">
        <f t="shared" si="199"/>
      </c>
      <c r="K51" s="140">
        <f t="shared" si="137"/>
      </c>
      <c r="L51" s="142">
        <f t="shared" si="219"/>
      </c>
      <c r="M51" s="142">
        <f t="shared" si="97"/>
      </c>
      <c r="N51" s="140">
        <f t="shared" si="24"/>
      </c>
      <c r="O51" s="142">
        <f t="shared" si="239"/>
      </c>
      <c r="P51" s="142">
        <f t="shared" si="157"/>
      </c>
      <c r="Q51" s="140">
        <f t="shared" si="117"/>
      </c>
      <c r="R51" s="143">
        <f t="shared" si="44"/>
      </c>
      <c r="S51" s="140">
        <f t="shared" si="259"/>
      </c>
      <c r="T51" s="144">
        <f t="shared" si="177"/>
      </c>
      <c r="U51" s="144"/>
      <c r="V51" s="144"/>
      <c r="W51" s="145">
        <f>W46+W50</f>
      </c>
      <c r="X51" s="145">
        <f>X46+X50</f>
      </c>
      <c r="Y51" s="145">
        <f>Y46+Y50</f>
      </c>
      <c r="Z51" s="145">
        <f>Z46+Z50</f>
      </c>
      <c r="AA51" s="145">
        <f>AA46+AA50</f>
      </c>
      <c r="AB51" s="145">
        <f>AB46+AB50</f>
      </c>
      <c r="AC51" s="145">
        <f>AC46+AC50</f>
      </c>
      <c r="AD51" s="145">
        <f>AD46+AD50</f>
      </c>
      <c r="AE51" s="106"/>
      <c r="AF51" s="106"/>
    </row>
    <row r="52">
      <c r="A52" s="97" t="s">
        <v>59</v>
      </c>
      <c r="B52" s="97"/>
      <c r="C52" s="97"/>
      <c r="D52" s="101" t="s">
        <v>60</v>
      </c>
      <c r="E52" s="101"/>
      <c r="F52" s="101"/>
      <c r="G52" s="101"/>
      <c r="H52" s="101"/>
      <c r="I52" s="101"/>
      <c r="J52" s="151" t="s">
        <v>61</v>
      </c>
      <c r="K52" s="151"/>
      <c r="L52" s="151"/>
      <c r="M52" s="151"/>
      <c r="N52" s="151"/>
      <c r="O52" s="151"/>
      <c r="P52" s="151"/>
      <c r="Q52" s="151"/>
      <c r="R52" s="151"/>
      <c r="S52" s="151"/>
      <c r="T52" s="103"/>
      <c r="U52" s="103"/>
      <c r="V52" s="103"/>
      <c r="W52" s="104"/>
      <c r="X52" s="104"/>
      <c r="Y52" s="104"/>
      <c r="Z52" s="104"/>
      <c r="AA52" s="104"/>
      <c r="AB52" s="104"/>
      <c r="AC52" s="104"/>
      <c r="AD52" s="105" t="s">
        <v>62</v>
      </c>
      <c r="AE52" s="106"/>
      <c r="AF52" s="106"/>
    </row>
    <row r="53">
      <c r="A53" s="97" t="s">
        <v>63</v>
      </c>
      <c r="B53" s="97" t="s">
        <v>64</v>
      </c>
      <c r="C53" s="97" t="s">
        <v>65</v>
      </c>
      <c r="D53" s="101" t="s">
        <v>66</v>
      </c>
      <c r="E53" s="108" t="s">
        <v>67</v>
      </c>
      <c r="F53" s="108" t="s">
        <v>68</v>
      </c>
      <c r="G53" s="100" t="s">
        <v>69</v>
      </c>
      <c r="H53" s="101" t="s">
        <v>70</v>
      </c>
      <c r="I53" s="108" t="s">
        <v>71</v>
      </c>
      <c r="J53" s="151" t="s">
        <v>72</v>
      </c>
      <c r="K53" s="102" t="s">
        <v>73</v>
      </c>
      <c r="L53" s="110" t="s">
        <v>74</v>
      </c>
      <c r="M53" s="110" t="s">
        <v>75</v>
      </c>
      <c r="N53" s="102" t="s">
        <v>76</v>
      </c>
      <c r="O53" s="110" t="s">
        <v>77</v>
      </c>
      <c r="P53" s="110" t="s">
        <v>78</v>
      </c>
      <c r="Q53" s="102" t="s">
        <v>79</v>
      </c>
      <c r="R53" s="110" t="s">
        <v>80</v>
      </c>
      <c r="S53" s="102" t="s">
        <v>81</v>
      </c>
      <c r="T53" s="111" t="s">
        <v>82</v>
      </c>
      <c r="U53" s="111" t="s">
        <v>83</v>
      </c>
      <c r="V53" s="111" t="s">
        <v>84</v>
      </c>
      <c r="W53" s="112" t="s">
        <v>85</v>
      </c>
      <c r="X53" s="113" t="s">
        <v>86</v>
      </c>
      <c r="Y53" s="113" t="s">
        <v>87</v>
      </c>
      <c r="Z53" s="113" t="s">
        <v>88</v>
      </c>
      <c r="AA53" s="113" t="s">
        <v>89</v>
      </c>
      <c r="AB53" s="113" t="s">
        <v>90</v>
      </c>
      <c r="AC53" s="113" t="s">
        <v>91</v>
      </c>
      <c r="AD53" s="105"/>
      <c r="AE53" s="106"/>
      <c r="AF53" s="106"/>
    </row>
    <row r="54">
      <c r="A54" s="152">
        <v>46278</v>
      </c>
      <c r="B54" s="157" t="s">
        <v>103</v>
      </c>
      <c r="C54" s="116" t="s">
        <v>101</v>
      </c>
      <c r="D54" s="115">
        <f t="shared" ref="D54:D58" si="67">E54+F54</f>
      </c>
      <c r="E54" s="115">
        <v>2587.16</v>
      </c>
      <c r="F54" s="115">
        <v>983</v>
      </c>
      <c r="G54" s="131">
        <v>0</v>
      </c>
      <c r="H54" s="116">
        <v>0</v>
      </c>
      <c r="I54" s="118">
        <f t="shared" ref="I54:I64" si="5">H54/D54</f>
      </c>
      <c r="J54" s="154">
        <f t="shared" ref="J54:J64" si="200">Y54/X54</f>
      </c>
      <c r="K54" s="120">
        <f t="shared" ref="K54:K64" si="138">D54/Z54</f>
      </c>
      <c r="L54" s="119">
        <f t="shared" ref="L54:L64" si="220">AA54/Z54</f>
      </c>
      <c r="M54" s="119">
        <f t="shared" ref="M54:M64" si="98">AB54/Z54</f>
      </c>
      <c r="N54" s="120">
        <f t="shared" ref="N54:N64" si="25">D54/AB54</f>
      </c>
      <c r="O54" s="119">
        <f t="shared" ref="O54:O64" si="240">AC54/AB54</f>
      </c>
      <c r="P54" s="119">
        <f t="shared" ref="P54:P64" si="158">G54/AC54</f>
      </c>
      <c r="Q54" s="120">
        <f t="shared" ref="Q54:Q64" si="118">D54/G54</f>
      </c>
      <c r="R54" s="121">
        <f t="shared" ref="R54:R64" si="45">H54/G54</f>
      </c>
      <c r="S54" s="120">
        <f t="shared" ref="S54:S64" si="260">D54/W54</f>
      </c>
      <c r="T54" s="122">
        <f t="shared" ref="T54:T64" si="178">AD54*1000/D54</f>
      </c>
      <c r="U54" s="123" t="s">
        <v>94</v>
      </c>
      <c r="V54" s="124" t="s">
        <v>95</v>
      </c>
      <c r="W54" s="125">
        <v>0</v>
      </c>
      <c r="X54" s="125">
        <v>10313</v>
      </c>
      <c r="Y54" s="125">
        <v>466</v>
      </c>
      <c r="Z54" s="125">
        <v>582</v>
      </c>
      <c r="AA54" s="125">
        <v>173</v>
      </c>
      <c r="AB54" s="125">
        <v>97</v>
      </c>
      <c r="AC54" s="126">
        <v>0</v>
      </c>
      <c r="AD54" s="126">
        <v>29</v>
      </c>
      <c r="AE54" s="106"/>
      <c r="AF54" s="106"/>
    </row>
    <row r="55">
      <c r="A55" s="152"/>
      <c r="B55" s="158" t="s">
        <v>104</v>
      </c>
      <c r="C55" s="116" t="s">
        <v>101</v>
      </c>
      <c r="D55" s="115">
        <f t="shared" si="67"/>
      </c>
      <c r="E55" s="115">
        <v>772.85</v>
      </c>
      <c r="F55" s="115">
        <v>1050.32</v>
      </c>
      <c r="G55" s="131">
        <v>2</v>
      </c>
      <c r="H55" s="116">
        <v>8429.76</v>
      </c>
      <c r="I55" s="118">
        <f t="shared" si="5"/>
      </c>
      <c r="J55" s="154">
        <f t="shared" si="200"/>
      </c>
      <c r="K55" s="120">
        <f t="shared" si="138"/>
      </c>
      <c r="L55" s="119">
        <f t="shared" si="220"/>
      </c>
      <c r="M55" s="119">
        <f t="shared" si="98"/>
      </c>
      <c r="N55" s="120">
        <f t="shared" si="25"/>
      </c>
      <c r="O55" s="119">
        <f t="shared" si="240"/>
      </c>
      <c r="P55" s="119">
        <f t="shared" si="158"/>
      </c>
      <c r="Q55" s="120">
        <f t="shared" si="118"/>
      </c>
      <c r="R55" s="121">
        <f t="shared" si="45"/>
      </c>
      <c r="S55" s="120">
        <f t="shared" si="260"/>
      </c>
      <c r="T55" s="122">
        <f t="shared" si="178"/>
      </c>
      <c r="U55" s="123" t="s">
        <v>94</v>
      </c>
      <c r="V55" s="124" t="s">
        <v>95</v>
      </c>
      <c r="W55" s="125">
        <v>2</v>
      </c>
      <c r="X55" s="125">
        <v>3820</v>
      </c>
      <c r="Y55" s="125">
        <v>285</v>
      </c>
      <c r="Z55" s="125">
        <v>423</v>
      </c>
      <c r="AA55" s="125">
        <v>117</v>
      </c>
      <c r="AB55" s="125">
        <v>39</v>
      </c>
      <c r="AC55" s="126">
        <v>3</v>
      </c>
      <c r="AD55" s="125">
        <v>12</v>
      </c>
      <c r="AE55" s="106"/>
      <c r="AF55" s="106"/>
    </row>
    <row r="56">
      <c r="A56" s="152"/>
      <c r="B56" s="158" t="s">
        <v>105</v>
      </c>
      <c r="C56" s="116" t="s">
        <v>101</v>
      </c>
      <c r="D56" s="115">
        <f t="shared" si="67"/>
      </c>
      <c r="E56" s="115">
        <v>2032.14</v>
      </c>
      <c r="F56" s="115">
        <v>490.05</v>
      </c>
      <c r="G56" s="153">
        <v>1</v>
      </c>
      <c r="H56" s="115">
        <v>2389.3200000000015</v>
      </c>
      <c r="I56" s="118">
        <f t="shared" si="5"/>
      </c>
      <c r="J56" s="154">
        <f t="shared" si="200"/>
      </c>
      <c r="K56" s="120">
        <f t="shared" si="138"/>
      </c>
      <c r="L56" s="119">
        <f t="shared" si="220"/>
      </c>
      <c r="M56" s="119">
        <f t="shared" si="98"/>
      </c>
      <c r="N56" s="120">
        <f t="shared" si="25"/>
      </c>
      <c r="O56" s="119">
        <f t="shared" si="240"/>
      </c>
      <c r="P56" s="119">
        <f t="shared" si="158"/>
      </c>
      <c r="Q56" s="120">
        <f t="shared" si="118"/>
      </c>
      <c r="R56" s="121">
        <f t="shared" si="45"/>
      </c>
      <c r="S56" s="120">
        <f t="shared" si="260"/>
      </c>
      <c r="T56" s="122">
        <f t="shared" si="178"/>
      </c>
      <c r="U56" s="123" t="s">
        <v>94</v>
      </c>
      <c r="V56" s="124" t="s">
        <v>95</v>
      </c>
      <c r="W56" s="125">
        <v>1</v>
      </c>
      <c r="X56" s="125">
        <v>9604</v>
      </c>
      <c r="Y56" s="125">
        <v>333</v>
      </c>
      <c r="Z56" s="125">
        <v>412</v>
      </c>
      <c r="AA56" s="125">
        <v>115</v>
      </c>
      <c r="AB56" s="125">
        <v>97</v>
      </c>
      <c r="AC56" s="126">
        <v>2</v>
      </c>
      <c r="AD56" s="126">
        <v>20</v>
      </c>
      <c r="AE56" s="106"/>
      <c r="AF56" s="106"/>
    </row>
    <row r="57">
      <c r="A57" s="152"/>
      <c r="B57" s="158" t="s">
        <v>92</v>
      </c>
      <c r="C57" s="116" t="s">
        <v>101</v>
      </c>
      <c r="D57" s="115">
        <f t="shared" si="67"/>
      </c>
      <c r="E57" s="115">
        <v>582.6</v>
      </c>
      <c r="F57" s="115">
        <v>968.53</v>
      </c>
      <c r="G57" s="131">
        <v>1</v>
      </c>
      <c r="H57" s="116">
        <v>1216.08</v>
      </c>
      <c r="I57" s="118">
        <f t="shared" si="5"/>
      </c>
      <c r="J57" s="154">
        <f t="shared" si="200"/>
      </c>
      <c r="K57" s="120">
        <f t="shared" si="138"/>
      </c>
      <c r="L57" s="119">
        <f t="shared" si="220"/>
      </c>
      <c r="M57" s="119">
        <f t="shared" si="98"/>
      </c>
      <c r="N57" s="120">
        <f t="shared" si="25"/>
      </c>
      <c r="O57" s="119">
        <f t="shared" si="240"/>
      </c>
      <c r="P57" s="119">
        <f t="shared" si="158"/>
      </c>
      <c r="Q57" s="120">
        <f t="shared" si="118"/>
      </c>
      <c r="R57" s="121">
        <f t="shared" si="45"/>
      </c>
      <c r="S57" s="120">
        <f t="shared" si="260"/>
      </c>
      <c r="T57" s="122">
        <f t="shared" si="178"/>
      </c>
      <c r="U57" s="123" t="s">
        <v>94</v>
      </c>
      <c r="V57" s="124" t="s">
        <v>95</v>
      </c>
      <c r="W57" s="125">
        <v>0</v>
      </c>
      <c r="X57" s="125">
        <v>5839</v>
      </c>
      <c r="Y57" s="125">
        <v>307</v>
      </c>
      <c r="Z57" s="125">
        <v>419</v>
      </c>
      <c r="AA57" s="125">
        <v>77</v>
      </c>
      <c r="AB57" s="125">
        <v>33</v>
      </c>
      <c r="AC57" s="126">
        <v>2</v>
      </c>
      <c r="AD57" s="126">
        <v>11</v>
      </c>
      <c r="AE57" s="106"/>
      <c r="AF57" s="106"/>
    </row>
    <row r="58">
      <c r="A58" s="152"/>
      <c r="B58" s="116" t="s">
        <v>96</v>
      </c>
      <c r="C58" s="116" t="s">
        <v>101</v>
      </c>
      <c r="D58" s="115">
        <f t="shared" si="67"/>
      </c>
      <c r="E58" s="115">
        <v>781.52</v>
      </c>
      <c r="F58" s="115">
        <v>1813.86</v>
      </c>
      <c r="G58" s="131">
        <v>1</v>
      </c>
      <c r="H58" s="116">
        <v>1216.08</v>
      </c>
      <c r="I58" s="118">
        <f t="shared" si="5"/>
      </c>
      <c r="J58" s="154">
        <f t="shared" si="200"/>
      </c>
      <c r="K58" s="120">
        <f t="shared" si="138"/>
      </c>
      <c r="L58" s="119">
        <f t="shared" si="220"/>
      </c>
      <c r="M58" s="119">
        <f t="shared" si="98"/>
      </c>
      <c r="N58" s="120">
        <f t="shared" si="25"/>
      </c>
      <c r="O58" s="119">
        <f t="shared" si="240"/>
      </c>
      <c r="P58" s="119">
        <f t="shared" si="158"/>
      </c>
      <c r="Q58" s="120">
        <f t="shared" si="118"/>
      </c>
      <c r="R58" s="121">
        <f t="shared" si="45"/>
      </c>
      <c r="S58" s="120">
        <f t="shared" si="260"/>
      </c>
      <c r="T58" s="122">
        <f t="shared" si="178"/>
      </c>
      <c r="U58" s="123" t="s">
        <v>94</v>
      </c>
      <c r="V58" s="124" t="s">
        <v>95</v>
      </c>
      <c r="W58" s="125">
        <v>2</v>
      </c>
      <c r="X58" s="125">
        <v>7591</v>
      </c>
      <c r="Y58" s="125">
        <v>565</v>
      </c>
      <c r="Z58" s="125">
        <v>727</v>
      </c>
      <c r="AA58" s="125">
        <v>120</v>
      </c>
      <c r="AB58" s="125">
        <v>67</v>
      </c>
      <c r="AC58" s="126">
        <v>2</v>
      </c>
      <c r="AD58" s="126">
        <v>24</v>
      </c>
      <c r="AE58" s="106"/>
      <c r="AF58" s="106"/>
    </row>
    <row r="59">
      <c r="A59" s="152"/>
      <c r="B59" s="132" t="s">
        <v>99</v>
      </c>
      <c r="C59" s="132"/>
      <c r="D59" s="132">
        <f>SUM(D54:D58)</f>
      </c>
      <c r="E59" s="132">
        <f>SUM(E54:E58)</f>
      </c>
      <c r="F59" s="132">
        <f>SUM(F54:F58)</f>
      </c>
      <c r="G59" s="132">
        <f>SUM(G54:G58)</f>
      </c>
      <c r="H59" s="132">
        <f>SUM(H54:H58)</f>
      </c>
      <c r="I59" s="134">
        <f t="shared" si="5"/>
      </c>
      <c r="J59" s="155">
        <f t="shared" si="200"/>
      </c>
      <c r="K59" s="136">
        <f t="shared" si="138"/>
      </c>
      <c r="L59" s="135">
        <f t="shared" si="220"/>
      </c>
      <c r="M59" s="135">
        <f t="shared" si="98"/>
      </c>
      <c r="N59" s="136">
        <f t="shared" si="25"/>
      </c>
      <c r="O59" s="135">
        <f t="shared" si="240"/>
      </c>
      <c r="P59" s="135">
        <f t="shared" si="158"/>
      </c>
      <c r="Q59" s="136">
        <f t="shared" si="118"/>
      </c>
      <c r="R59" s="137">
        <f t="shared" si="45"/>
      </c>
      <c r="S59" s="136">
        <f t="shared" si="260"/>
      </c>
      <c r="T59" s="138">
        <f t="shared" si="178"/>
      </c>
      <c r="U59" s="138"/>
      <c r="V59" s="138"/>
      <c r="W59" s="132">
        <f>SUM(W54:W58)</f>
      </c>
      <c r="X59" s="132">
        <f>SUM(X54:X58)</f>
      </c>
      <c r="Y59" s="132">
        <f>SUM(Y54:Y58)</f>
      </c>
      <c r="Z59" s="132">
        <f>SUM(Z54:Z58)</f>
      </c>
      <c r="AA59" s="132">
        <f>SUM(AA54:AA58)</f>
      </c>
      <c r="AB59" s="132">
        <f>SUM(AB54:AB58)</f>
      </c>
      <c r="AC59" s="132">
        <f>SUM(AC54:AC58)</f>
      </c>
      <c r="AD59" s="132">
        <f>SUM(AD54:AD58)</f>
      </c>
      <c r="AE59" s="106"/>
      <c r="AF59" s="106"/>
    </row>
    <row r="60">
      <c r="A60" s="152"/>
      <c r="B60" s="115" t="s">
        <v>97</v>
      </c>
      <c r="C60" s="116" t="s">
        <v>107</v>
      </c>
      <c r="D60" s="115">
        <f t="shared" ref="D60:D62" si="68">E60+F60</f>
      </c>
      <c r="E60" s="115">
        <v>1362.14</v>
      </c>
      <c r="F60" s="115">
        <v>1526.34</v>
      </c>
      <c r="G60" s="131">
        <v>2</v>
      </c>
      <c r="H60" s="116">
        <v>6526.68</v>
      </c>
      <c r="I60" s="118">
        <f t="shared" si="5"/>
      </c>
      <c r="J60" s="154">
        <f t="shared" si="200"/>
      </c>
      <c r="K60" s="120">
        <f t="shared" si="138"/>
      </c>
      <c r="L60" s="119">
        <f t="shared" si="220"/>
      </c>
      <c r="M60" s="119">
        <f t="shared" si="98"/>
      </c>
      <c r="N60" s="120">
        <f t="shared" si="25"/>
      </c>
      <c r="O60" s="119">
        <f t="shared" si="240"/>
      </c>
      <c r="P60" s="119">
        <f t="shared" si="158"/>
      </c>
      <c r="Q60" s="120">
        <f t="shared" si="118"/>
      </c>
      <c r="R60" s="121">
        <f t="shared" si="45"/>
      </c>
      <c r="S60" s="120">
        <f t="shared" si="260"/>
      </c>
      <c r="T60" s="122">
        <f t="shared" si="178"/>
      </c>
      <c r="U60" s="123" t="s">
        <v>94</v>
      </c>
      <c r="V60" s="124" t="s">
        <v>95</v>
      </c>
      <c r="W60" s="125">
        <v>2</v>
      </c>
      <c r="X60" s="125">
        <v>9612</v>
      </c>
      <c r="Y60" s="125">
        <v>581</v>
      </c>
      <c r="Z60" s="125">
        <v>743</v>
      </c>
      <c r="AA60" s="125">
        <v>163</v>
      </c>
      <c r="AB60" s="125">
        <v>75</v>
      </c>
      <c r="AC60" s="126">
        <v>3</v>
      </c>
      <c r="AD60" s="126">
        <v>20</v>
      </c>
      <c r="AE60" s="106"/>
      <c r="AF60" s="106"/>
    </row>
    <row r="61">
      <c r="A61" s="152"/>
      <c r="B61" s="115" t="s">
        <v>98</v>
      </c>
      <c r="C61" s="116" t="s">
        <v>107</v>
      </c>
      <c r="D61" s="115">
        <f t="shared" si="68"/>
      </c>
      <c r="E61" s="115">
        <v>1711.43</v>
      </c>
      <c r="F61" s="115">
        <v>1453.67</v>
      </c>
      <c r="G61" s="131">
        <v>0</v>
      </c>
      <c r="H61" s="116">
        <v>0</v>
      </c>
      <c r="I61" s="118">
        <f t="shared" si="5"/>
      </c>
      <c r="J61" s="154">
        <f t="shared" si="200"/>
      </c>
      <c r="K61" s="120">
        <f t="shared" si="138"/>
      </c>
      <c r="L61" s="119">
        <f t="shared" si="220"/>
      </c>
      <c r="M61" s="119">
        <f t="shared" si="98"/>
      </c>
      <c r="N61" s="120">
        <f t="shared" si="25"/>
      </c>
      <c r="O61" s="119">
        <f t="shared" si="240"/>
      </c>
      <c r="P61" s="119">
        <f t="shared" si="158"/>
      </c>
      <c r="Q61" s="120">
        <f t="shared" si="118"/>
      </c>
      <c r="R61" s="121">
        <f t="shared" si="45"/>
      </c>
      <c r="S61" s="120">
        <f t="shared" si="260"/>
      </c>
      <c r="T61" s="122">
        <f t="shared" si="178"/>
      </c>
      <c r="U61" s="123" t="s">
        <v>94</v>
      </c>
      <c r="V61" s="124" t="s">
        <v>95</v>
      </c>
      <c r="W61" s="125">
        <v>0</v>
      </c>
      <c r="X61" s="125">
        <v>6360</v>
      </c>
      <c r="Y61" s="125">
        <v>514</v>
      </c>
      <c r="Z61" s="125">
        <v>705</v>
      </c>
      <c r="AA61" s="125">
        <v>173</v>
      </c>
      <c r="AB61" s="125">
        <v>63</v>
      </c>
      <c r="AC61" s="126">
        <v>1</v>
      </c>
      <c r="AD61" s="126">
        <v>26</v>
      </c>
      <c r="AE61" s="106"/>
      <c r="AF61" s="106"/>
    </row>
    <row r="62">
      <c r="A62" s="152"/>
      <c r="B62" s="115" t="s">
        <v>102</v>
      </c>
      <c r="C62" s="116" t="s">
        <v>107</v>
      </c>
      <c r="D62" s="115">
        <f t="shared" si="68"/>
      </c>
      <c r="E62" s="115">
        <v>929.41</v>
      </c>
      <c r="F62" s="115">
        <v>690.66</v>
      </c>
      <c r="G62" s="131">
        <v>0</v>
      </c>
      <c r="H62" s="116">
        <v>0</v>
      </c>
      <c r="I62" s="118">
        <f t="shared" si="5"/>
      </c>
      <c r="J62" s="154">
        <f t="shared" si="200"/>
      </c>
      <c r="K62" s="120">
        <f t="shared" si="138"/>
      </c>
      <c r="L62" s="119">
        <f t="shared" si="220"/>
      </c>
      <c r="M62" s="119">
        <f t="shared" si="98"/>
      </c>
      <c r="N62" s="120">
        <f t="shared" si="25"/>
      </c>
      <c r="O62" s="119">
        <f t="shared" si="240"/>
      </c>
      <c r="P62" s="119">
        <f t="shared" si="158"/>
      </c>
      <c r="Q62" s="120">
        <f t="shared" si="118"/>
      </c>
      <c r="R62" s="121">
        <f t="shared" si="45"/>
      </c>
      <c r="S62" s="120">
        <f t="shared" si="260"/>
      </c>
      <c r="T62" s="122">
        <f t="shared" si="178"/>
      </c>
      <c r="U62" s="123" t="s">
        <v>94</v>
      </c>
      <c r="V62" s="124" t="s">
        <v>95</v>
      </c>
      <c r="W62" s="125">
        <v>0</v>
      </c>
      <c r="X62" s="125">
        <v>4850</v>
      </c>
      <c r="Y62" s="125">
        <v>345</v>
      </c>
      <c r="Z62" s="125">
        <v>503</v>
      </c>
      <c r="AA62" s="125">
        <v>131</v>
      </c>
      <c r="AB62" s="125">
        <v>34</v>
      </c>
      <c r="AC62" s="126">
        <v>0</v>
      </c>
      <c r="AD62" s="126">
        <v>20</v>
      </c>
      <c r="AE62" s="106"/>
      <c r="AF62" s="106"/>
    </row>
    <row r="63">
      <c r="A63" s="152"/>
      <c r="B63" s="132" t="s">
        <v>99</v>
      </c>
      <c r="C63" s="132"/>
      <c r="D63" s="132">
        <f>SUM(D60:D62)</f>
      </c>
      <c r="E63" s="132">
        <f>SUM(E60:E62)</f>
      </c>
      <c r="F63" s="132">
        <f>SUM(F60:F62)</f>
      </c>
      <c r="G63" s="132">
        <f>SUM(G60:G62)</f>
      </c>
      <c r="H63" s="132">
        <f>SUM(H60:H62)</f>
      </c>
      <c r="I63" s="134">
        <f t="shared" si="5"/>
      </c>
      <c r="J63" s="155">
        <f t="shared" si="200"/>
      </c>
      <c r="K63" s="136">
        <f t="shared" si="138"/>
      </c>
      <c r="L63" s="135">
        <f t="shared" si="220"/>
      </c>
      <c r="M63" s="135">
        <f t="shared" si="98"/>
      </c>
      <c r="N63" s="136">
        <f t="shared" si="25"/>
      </c>
      <c r="O63" s="135">
        <f t="shared" si="240"/>
      </c>
      <c r="P63" s="135">
        <f t="shared" si="158"/>
      </c>
      <c r="Q63" s="136">
        <f t="shared" si="118"/>
      </c>
      <c r="R63" s="137">
        <f t="shared" si="45"/>
      </c>
      <c r="S63" s="136">
        <f t="shared" si="260"/>
      </c>
      <c r="T63" s="138">
        <f t="shared" si="178"/>
      </c>
      <c r="U63" s="138"/>
      <c r="V63" s="138"/>
      <c r="W63" s="132">
        <f>SUM(W60:W62)</f>
      </c>
      <c r="X63" s="132">
        <f>SUM(X60:X62)</f>
      </c>
      <c r="Y63" s="132">
        <f>SUM(Y60:Y62)</f>
      </c>
      <c r="Z63" s="132">
        <f>SUM(Z60:Z62)</f>
      </c>
      <c r="AA63" s="132">
        <f>SUM(AA60:AA62)</f>
      </c>
      <c r="AB63" s="132">
        <f>SUM(AB60:AB62)</f>
      </c>
      <c r="AC63" s="132">
        <f>SUM(AC60:AC62)</f>
      </c>
      <c r="AD63" s="132">
        <f>SUM(AD60:AD62)</f>
      </c>
      <c r="AE63" s="106"/>
      <c r="AF63" s="106"/>
    </row>
    <row r="64">
      <c r="A64" s="152"/>
      <c r="B64" s="139" t="s">
        <v>100</v>
      </c>
      <c r="C64" s="139"/>
      <c r="D64" s="140">
        <f>D59+D63</f>
      </c>
      <c r="E64" s="140">
        <f>E59+E63</f>
      </c>
      <c r="F64" s="140">
        <f>F59+F63</f>
      </c>
      <c r="G64" s="140">
        <f>G59+G63</f>
      </c>
      <c r="H64" s="140">
        <f>H59+H63</f>
      </c>
      <c r="I64" s="140">
        <f t="shared" si="5"/>
      </c>
      <c r="J64" s="156">
        <f t="shared" si="200"/>
      </c>
      <c r="K64" s="140">
        <f t="shared" si="138"/>
      </c>
      <c r="L64" s="142">
        <f t="shared" si="220"/>
      </c>
      <c r="M64" s="142">
        <f t="shared" si="98"/>
      </c>
      <c r="N64" s="140">
        <f t="shared" si="25"/>
      </c>
      <c r="O64" s="142">
        <f t="shared" si="240"/>
      </c>
      <c r="P64" s="142">
        <f t="shared" si="158"/>
      </c>
      <c r="Q64" s="140">
        <f t="shared" si="118"/>
      </c>
      <c r="R64" s="143">
        <f t="shared" si="45"/>
      </c>
      <c r="S64" s="140">
        <f t="shared" si="260"/>
      </c>
      <c r="T64" s="144">
        <f t="shared" si="178"/>
      </c>
      <c r="U64" s="144"/>
      <c r="V64" s="144"/>
      <c r="W64" s="145">
        <f>W59+W63</f>
      </c>
      <c r="X64" s="145">
        <f>X59+X63</f>
      </c>
      <c r="Y64" s="145">
        <f>Y59+Y63</f>
      </c>
      <c r="Z64" s="145">
        <f>Z59+Z63</f>
      </c>
      <c r="AA64" s="145">
        <f>AA59+AA63</f>
      </c>
      <c r="AB64" s="145">
        <f>AB59+AB63</f>
      </c>
      <c r="AC64" s="145">
        <f>AC59+AC63</f>
      </c>
      <c r="AD64" s="145">
        <f>AD59+AD63</f>
      </c>
      <c r="AE64" s="106"/>
      <c r="AF64" s="106"/>
    </row>
    <row r="65">
      <c r="A65" s="97" t="s">
        <v>59</v>
      </c>
      <c r="B65" s="97"/>
      <c r="C65" s="97"/>
      <c r="D65" s="101" t="s">
        <v>60</v>
      </c>
      <c r="E65" s="101"/>
      <c r="F65" s="101"/>
      <c r="G65" s="101"/>
      <c r="H65" s="101"/>
      <c r="I65" s="101"/>
      <c r="J65" s="151" t="s">
        <v>61</v>
      </c>
      <c r="K65" s="151"/>
      <c r="L65" s="151"/>
      <c r="M65" s="151"/>
      <c r="N65" s="151"/>
      <c r="O65" s="151"/>
      <c r="P65" s="151"/>
      <c r="Q65" s="151"/>
      <c r="R65" s="151"/>
      <c r="S65" s="151"/>
      <c r="T65" s="103"/>
      <c r="U65" s="103"/>
      <c r="V65" s="103"/>
      <c r="W65" s="104"/>
      <c r="X65" s="104"/>
      <c r="Y65" s="104"/>
      <c r="Z65" s="104"/>
      <c r="AA65" s="104"/>
      <c r="AB65" s="104"/>
      <c r="AC65" s="104"/>
      <c r="AD65" s="105" t="s">
        <v>62</v>
      </c>
      <c r="AE65" s="106"/>
      <c r="AF65" s="106"/>
    </row>
    <row r="66">
      <c r="A66" s="97" t="s">
        <v>63</v>
      </c>
      <c r="B66" s="97" t="s">
        <v>64</v>
      </c>
      <c r="C66" s="97" t="s">
        <v>65</v>
      </c>
      <c r="D66" s="101" t="s">
        <v>66</v>
      </c>
      <c r="E66" s="108" t="s">
        <v>67</v>
      </c>
      <c r="F66" s="108" t="s">
        <v>68</v>
      </c>
      <c r="G66" s="100" t="s">
        <v>69</v>
      </c>
      <c r="H66" s="101" t="s">
        <v>70</v>
      </c>
      <c r="I66" s="108" t="s">
        <v>71</v>
      </c>
      <c r="J66" s="151" t="s">
        <v>72</v>
      </c>
      <c r="K66" s="102" t="s">
        <v>73</v>
      </c>
      <c r="L66" s="110" t="s">
        <v>74</v>
      </c>
      <c r="M66" s="110" t="s">
        <v>75</v>
      </c>
      <c r="N66" s="102" t="s">
        <v>76</v>
      </c>
      <c r="O66" s="110" t="s">
        <v>77</v>
      </c>
      <c r="P66" s="110" t="s">
        <v>78</v>
      </c>
      <c r="Q66" s="102" t="s">
        <v>79</v>
      </c>
      <c r="R66" s="110" t="s">
        <v>80</v>
      </c>
      <c r="S66" s="102" t="s">
        <v>81</v>
      </c>
      <c r="T66" s="111" t="s">
        <v>82</v>
      </c>
      <c r="U66" s="111" t="s">
        <v>83</v>
      </c>
      <c r="V66" s="111" t="s">
        <v>84</v>
      </c>
      <c r="W66" s="112" t="s">
        <v>85</v>
      </c>
      <c r="X66" s="113" t="s">
        <v>86</v>
      </c>
      <c r="Y66" s="113" t="s">
        <v>87</v>
      </c>
      <c r="Z66" s="113" t="s">
        <v>88</v>
      </c>
      <c r="AA66" s="113" t="s">
        <v>89</v>
      </c>
      <c r="AB66" s="113" t="s">
        <v>90</v>
      </c>
      <c r="AC66" s="113" t="s">
        <v>91</v>
      </c>
      <c r="AD66" s="105"/>
      <c r="AE66" s="106"/>
      <c r="AF66" s="106"/>
    </row>
    <row r="67">
      <c r="A67" s="152">
        <v>46279</v>
      </c>
      <c r="B67" s="157" t="s">
        <v>103</v>
      </c>
      <c r="C67" s="116" t="s">
        <v>101</v>
      </c>
      <c r="D67" s="115">
        <f t="shared" ref="D67:D71" si="69">E67+F67</f>
      </c>
      <c r="E67" s="115">
        <v>903.7</v>
      </c>
      <c r="F67" s="115">
        <v>982.6</v>
      </c>
      <c r="G67" s="131">
        <v>2</v>
      </c>
      <c r="H67" s="116">
        <v>2747.04</v>
      </c>
      <c r="I67" s="118">
        <f t="shared" ref="I67:I77" si="6">H67/D67</f>
      </c>
      <c r="J67" s="154">
        <f t="shared" ref="J67:J77" si="201">Y67/X67</f>
      </c>
      <c r="K67" s="120">
        <f t="shared" ref="K67:K77" si="139">D67/Z67</f>
      </c>
      <c r="L67" s="119">
        <f t="shared" ref="L67:L77" si="221">AA67/Z67</f>
      </c>
      <c r="M67" s="119">
        <f t="shared" ref="M67:M77" si="99">AB67/Z67</f>
      </c>
      <c r="N67" s="120">
        <f t="shared" ref="N67:N77" si="26">D67/AB67</f>
      </c>
      <c r="O67" s="119">
        <f t="shared" ref="O67:O77" si="241">AC67/AB67</f>
      </c>
      <c r="P67" s="119">
        <f t="shared" ref="P67:P77" si="159">G67/AC67</f>
      </c>
      <c r="Q67" s="120">
        <f t="shared" ref="Q67:Q77" si="119">D67/G67</f>
      </c>
      <c r="R67" s="121">
        <f t="shared" ref="R67:R77" si="46">H67/G67</f>
      </c>
      <c r="S67" s="120">
        <f t="shared" ref="S67:S77" si="261">D67/W67</f>
      </c>
      <c r="T67" s="122">
        <f t="shared" ref="T67:T77" si="179">AD67*1000/D67</f>
      </c>
      <c r="U67" s="123" t="s">
        <v>94</v>
      </c>
      <c r="V67" s="124" t="s">
        <v>95</v>
      </c>
      <c r="W67" s="125">
        <v>1</v>
      </c>
      <c r="X67" s="125">
        <v>4860</v>
      </c>
      <c r="Y67" s="125">
        <v>489</v>
      </c>
      <c r="Z67" s="125">
        <v>693</v>
      </c>
      <c r="AA67" s="125">
        <v>203</v>
      </c>
      <c r="AB67" s="125">
        <v>32</v>
      </c>
      <c r="AC67" s="126">
        <v>3</v>
      </c>
      <c r="AD67" s="126">
        <v>24</v>
      </c>
      <c r="AE67" s="106"/>
      <c r="AF67" s="106"/>
    </row>
    <row r="68">
      <c r="A68" s="152"/>
      <c r="B68" s="158" t="s">
        <v>104</v>
      </c>
      <c r="C68" s="116" t="s">
        <v>101</v>
      </c>
      <c r="D68" s="115">
        <f t="shared" si="69"/>
      </c>
      <c r="E68" s="115">
        <v>359.9</v>
      </c>
      <c r="F68" s="115">
        <v>1513.55</v>
      </c>
      <c r="G68" s="131">
        <v>0</v>
      </c>
      <c r="H68" s="116">
        <v>0</v>
      </c>
      <c r="I68" s="118">
        <f t="shared" si="6"/>
      </c>
      <c r="J68" s="154">
        <f t="shared" si="201"/>
      </c>
      <c r="K68" s="120">
        <f t="shared" si="139"/>
      </c>
      <c r="L68" s="119">
        <f t="shared" si="221"/>
      </c>
      <c r="M68" s="119">
        <f t="shared" si="99"/>
      </c>
      <c r="N68" s="120">
        <f t="shared" si="26"/>
      </c>
      <c r="O68" s="119">
        <f t="shared" si="241"/>
      </c>
      <c r="P68" s="119">
        <f t="shared" si="159"/>
      </c>
      <c r="Q68" s="120">
        <f t="shared" si="119"/>
      </c>
      <c r="R68" s="121">
        <f t="shared" si="46"/>
      </c>
      <c r="S68" s="120">
        <f t="shared" si="261"/>
      </c>
      <c r="T68" s="122">
        <f t="shared" si="179"/>
      </c>
      <c r="U68" s="123" t="s">
        <v>94</v>
      </c>
      <c r="V68" s="124" t="s">
        <v>95</v>
      </c>
      <c r="W68" s="125">
        <v>0</v>
      </c>
      <c r="X68" s="125">
        <v>3315</v>
      </c>
      <c r="Y68" s="125">
        <v>553</v>
      </c>
      <c r="Z68" s="125">
        <v>915</v>
      </c>
      <c r="AA68" s="125">
        <v>280</v>
      </c>
      <c r="AB68" s="125">
        <v>21</v>
      </c>
      <c r="AC68" s="126">
        <v>0</v>
      </c>
      <c r="AD68" s="125">
        <v>23</v>
      </c>
      <c r="AE68" s="106"/>
      <c r="AF68" s="106"/>
    </row>
    <row r="69">
      <c r="A69" s="152"/>
      <c r="B69" s="158" t="s">
        <v>105</v>
      </c>
      <c r="C69" s="116" t="s">
        <v>101</v>
      </c>
      <c r="D69" s="115">
        <f t="shared" si="69"/>
      </c>
      <c r="E69" s="115">
        <v>283.2</v>
      </c>
      <c r="F69" s="115">
        <v>804.97</v>
      </c>
      <c r="G69" s="153">
        <v>1</v>
      </c>
      <c r="H69" s="115">
        <v>4843.920000000001</v>
      </c>
      <c r="I69" s="118">
        <f t="shared" si="6"/>
      </c>
      <c r="J69" s="154">
        <f t="shared" si="201"/>
      </c>
      <c r="K69" s="120">
        <f t="shared" si="139"/>
      </c>
      <c r="L69" s="119">
        <f t="shared" si="221"/>
      </c>
      <c r="M69" s="119">
        <f t="shared" si="99"/>
      </c>
      <c r="N69" s="120">
        <f t="shared" si="26"/>
      </c>
      <c r="O69" s="119">
        <f t="shared" si="241"/>
      </c>
      <c r="P69" s="119">
        <f t="shared" si="159"/>
      </c>
      <c r="Q69" s="120">
        <f t="shared" si="119"/>
      </c>
      <c r="R69" s="121">
        <f t="shared" si="46"/>
      </c>
      <c r="S69" s="120">
        <f t="shared" si="261"/>
      </c>
      <c r="T69" s="122">
        <f t="shared" si="179"/>
      </c>
      <c r="U69" s="123" t="s">
        <v>94</v>
      </c>
      <c r="V69" s="124" t="s">
        <v>95</v>
      </c>
      <c r="W69" s="125">
        <v>0</v>
      </c>
      <c r="X69" s="125">
        <v>2646</v>
      </c>
      <c r="Y69" s="125">
        <v>380</v>
      </c>
      <c r="Z69" s="125">
        <v>619</v>
      </c>
      <c r="AA69" s="125">
        <v>155</v>
      </c>
      <c r="AB69" s="125">
        <v>20</v>
      </c>
      <c r="AC69" s="126">
        <v>1</v>
      </c>
      <c r="AD69" s="126">
        <v>13</v>
      </c>
      <c r="AE69" s="106"/>
      <c r="AF69" s="106"/>
    </row>
    <row r="70">
      <c r="A70" s="152"/>
      <c r="B70" s="158" t="s">
        <v>92</v>
      </c>
      <c r="C70" s="116" t="s">
        <v>101</v>
      </c>
      <c r="D70" s="115">
        <f t="shared" si="69"/>
      </c>
      <c r="E70" s="115">
        <v>913.6</v>
      </c>
      <c r="F70" s="115">
        <v>499.99</v>
      </c>
      <c r="G70" s="131">
        <v>3</v>
      </c>
      <c r="H70" s="116">
        <v>14465.88</v>
      </c>
      <c r="I70" s="118">
        <f t="shared" si="6"/>
      </c>
      <c r="J70" s="154">
        <f t="shared" si="201"/>
      </c>
      <c r="K70" s="120">
        <f t="shared" si="139"/>
      </c>
      <c r="L70" s="119">
        <f t="shared" si="221"/>
      </c>
      <c r="M70" s="119">
        <f t="shared" si="99"/>
      </c>
      <c r="N70" s="120">
        <f t="shared" si="26"/>
      </c>
      <c r="O70" s="119">
        <f t="shared" si="241"/>
      </c>
      <c r="P70" s="119">
        <f t="shared" si="159"/>
      </c>
      <c r="Q70" s="120">
        <f t="shared" si="119"/>
      </c>
      <c r="R70" s="121">
        <f t="shared" si="46"/>
      </c>
      <c r="S70" s="120">
        <f t="shared" si="261"/>
      </c>
      <c r="T70" s="122">
        <f t="shared" si="179"/>
      </c>
      <c r="U70" s="123" t="s">
        <v>94</v>
      </c>
      <c r="V70" s="124" t="s">
        <v>95</v>
      </c>
      <c r="W70" s="125">
        <v>2</v>
      </c>
      <c r="X70" s="125">
        <v>4833</v>
      </c>
      <c r="Y70" s="125">
        <v>306</v>
      </c>
      <c r="Z70" s="125">
        <v>479</v>
      </c>
      <c r="AA70" s="125">
        <v>123</v>
      </c>
      <c r="AB70" s="125">
        <v>33</v>
      </c>
      <c r="AC70" s="126">
        <v>3</v>
      </c>
      <c r="AD70" s="126">
        <v>17</v>
      </c>
      <c r="AE70" s="106"/>
      <c r="AF70" s="106"/>
    </row>
    <row r="71">
      <c r="A71" s="152"/>
      <c r="B71" s="116" t="s">
        <v>96</v>
      </c>
      <c r="C71" s="116" t="s">
        <v>101</v>
      </c>
      <c r="D71" s="115">
        <f t="shared" si="69"/>
      </c>
      <c r="E71" s="115">
        <v>1639.02</v>
      </c>
      <c r="F71" s="115">
        <v>606.25</v>
      </c>
      <c r="G71" s="131">
        <v>1</v>
      </c>
      <c r="H71" s="116">
        <v>845.6399999999994</v>
      </c>
      <c r="I71" s="118">
        <f t="shared" si="6"/>
      </c>
      <c r="J71" s="154">
        <f t="shared" si="201"/>
      </c>
      <c r="K71" s="120">
        <f t="shared" si="139"/>
      </c>
      <c r="L71" s="119">
        <f t="shared" si="221"/>
      </c>
      <c r="M71" s="119">
        <f t="shared" si="99"/>
      </c>
      <c r="N71" s="120">
        <f t="shared" si="26"/>
      </c>
      <c r="O71" s="119">
        <f t="shared" si="241"/>
      </c>
      <c r="P71" s="119">
        <f t="shared" si="159"/>
      </c>
      <c r="Q71" s="120">
        <f t="shared" si="119"/>
      </c>
      <c r="R71" s="121">
        <f t="shared" si="46"/>
      </c>
      <c r="S71" s="120">
        <f t="shared" si="261"/>
      </c>
      <c r="T71" s="122">
        <f t="shared" si="179"/>
      </c>
      <c r="U71" s="123" t="s">
        <v>94</v>
      </c>
      <c r="V71" s="124" t="s">
        <v>95</v>
      </c>
      <c r="W71" s="125">
        <v>0</v>
      </c>
      <c r="X71" s="125">
        <v>8509</v>
      </c>
      <c r="Y71" s="125">
        <v>472</v>
      </c>
      <c r="Z71" s="125">
        <v>619</v>
      </c>
      <c r="AA71" s="125">
        <v>137</v>
      </c>
      <c r="AB71" s="125">
        <v>44</v>
      </c>
      <c r="AC71" s="126">
        <v>1</v>
      </c>
      <c r="AD71" s="126">
        <v>16</v>
      </c>
      <c r="AE71" s="106"/>
      <c r="AF71" s="106"/>
    </row>
    <row r="72">
      <c r="A72" s="152"/>
      <c r="B72" s="132" t="s">
        <v>99</v>
      </c>
      <c r="C72" s="132"/>
      <c r="D72" s="132">
        <f>SUM(D67:D71)</f>
      </c>
      <c r="E72" s="132">
        <f>SUM(E67:E71)</f>
      </c>
      <c r="F72" s="132">
        <f>SUM(F67:F71)</f>
      </c>
      <c r="G72" s="132">
        <f>SUM(G67:G71)</f>
      </c>
      <c r="H72" s="132">
        <f>SUM(H67:H71)</f>
      </c>
      <c r="I72" s="134">
        <f t="shared" si="6"/>
      </c>
      <c r="J72" s="155">
        <f t="shared" si="201"/>
      </c>
      <c r="K72" s="136">
        <f t="shared" si="139"/>
      </c>
      <c r="L72" s="135">
        <f t="shared" si="221"/>
      </c>
      <c r="M72" s="135">
        <f t="shared" si="99"/>
      </c>
      <c r="N72" s="136">
        <f t="shared" si="26"/>
      </c>
      <c r="O72" s="135">
        <f t="shared" si="241"/>
      </c>
      <c r="P72" s="135">
        <f t="shared" si="159"/>
      </c>
      <c r="Q72" s="136">
        <f t="shared" si="119"/>
      </c>
      <c r="R72" s="137">
        <f t="shared" si="46"/>
      </c>
      <c r="S72" s="136">
        <f t="shared" si="261"/>
      </c>
      <c r="T72" s="138">
        <f t="shared" si="179"/>
      </c>
      <c r="U72" s="138"/>
      <c r="V72" s="138"/>
      <c r="W72" s="132">
        <f>SUM(W67:W71)</f>
      </c>
      <c r="X72" s="132">
        <f>SUM(X67:X71)</f>
      </c>
      <c r="Y72" s="132">
        <f>SUM(Y67:Y71)</f>
      </c>
      <c r="Z72" s="132">
        <f>SUM(Z67:Z71)</f>
      </c>
      <c r="AA72" s="132">
        <f>SUM(AA67:AA71)</f>
      </c>
      <c r="AB72" s="132">
        <f>SUM(AB67:AB71)</f>
      </c>
      <c r="AC72" s="132">
        <f>SUM(AC67:AC71)</f>
      </c>
      <c r="AD72" s="132">
        <f>SUM(AD67:AD71)</f>
      </c>
      <c r="AE72" s="106"/>
      <c r="AF72" s="106"/>
    </row>
    <row r="73">
      <c r="A73" s="152"/>
      <c r="B73" s="115" t="s">
        <v>97</v>
      </c>
      <c r="C73" s="116" t="s">
        <v>108</v>
      </c>
      <c r="D73" s="115">
        <f t="shared" ref="D73:D75" si="70">E73+F73</f>
      </c>
      <c r="E73" s="115">
        <v>1294.89</v>
      </c>
      <c r="F73" s="115">
        <v>649.76</v>
      </c>
      <c r="G73" s="131">
        <v>0</v>
      </c>
      <c r="H73" s="116">
        <v>0</v>
      </c>
      <c r="I73" s="118">
        <f t="shared" si="6"/>
      </c>
      <c r="J73" s="154">
        <f t="shared" si="201"/>
      </c>
      <c r="K73" s="120">
        <f t="shared" si="139"/>
      </c>
      <c r="L73" s="119">
        <f t="shared" si="221"/>
      </c>
      <c r="M73" s="119">
        <f t="shared" si="99"/>
      </c>
      <c r="N73" s="120">
        <f t="shared" si="26"/>
      </c>
      <c r="O73" s="119">
        <f t="shared" si="241"/>
      </c>
      <c r="P73" s="119">
        <f t="shared" si="159"/>
      </c>
      <c r="Q73" s="120">
        <f t="shared" si="119"/>
      </c>
      <c r="R73" s="121">
        <f t="shared" si="46"/>
      </c>
      <c r="S73" s="120">
        <f t="shared" si="261"/>
      </c>
      <c r="T73" s="122">
        <f t="shared" si="179"/>
      </c>
      <c r="U73" s="123" t="s">
        <v>94</v>
      </c>
      <c r="V73" s="124" t="s">
        <v>95</v>
      </c>
      <c r="W73" s="125">
        <v>0</v>
      </c>
      <c r="X73" s="125">
        <v>5399</v>
      </c>
      <c r="Y73" s="125">
        <v>421</v>
      </c>
      <c r="Z73" s="125">
        <v>497</v>
      </c>
      <c r="AA73" s="125">
        <v>128</v>
      </c>
      <c r="AB73" s="125">
        <v>48</v>
      </c>
      <c r="AC73" s="126">
        <v>2</v>
      </c>
      <c r="AD73" s="126">
        <v>15</v>
      </c>
      <c r="AE73" s="106"/>
      <c r="AF73" s="106"/>
    </row>
    <row r="74">
      <c r="A74" s="152"/>
      <c r="B74" s="115" t="s">
        <v>98</v>
      </c>
      <c r="C74" s="116" t="s">
        <v>108</v>
      </c>
      <c r="D74" s="115">
        <f t="shared" si="70"/>
      </c>
      <c r="E74" s="115">
        <v>1205</v>
      </c>
      <c r="F74" s="115">
        <v>550</v>
      </c>
      <c r="G74" s="131">
        <v>3</v>
      </c>
      <c r="H74" s="116">
        <v>3955.7000000000007</v>
      </c>
      <c r="I74" s="118">
        <f t="shared" si="6"/>
      </c>
      <c r="J74" s="154">
        <f t="shared" si="201"/>
      </c>
      <c r="K74" s="120">
        <f t="shared" si="139"/>
      </c>
      <c r="L74" s="119">
        <f t="shared" si="221"/>
      </c>
      <c r="M74" s="119">
        <f t="shared" si="99"/>
      </c>
      <c r="N74" s="120">
        <f t="shared" si="26"/>
      </c>
      <c r="O74" s="119">
        <f t="shared" si="241"/>
      </c>
      <c r="P74" s="119">
        <f t="shared" si="159"/>
      </c>
      <c r="Q74" s="120">
        <f t="shared" si="119"/>
      </c>
      <c r="R74" s="121">
        <f t="shared" si="46"/>
      </c>
      <c r="S74" s="120">
        <f t="shared" si="261"/>
      </c>
      <c r="T74" s="122">
        <f t="shared" si="179"/>
      </c>
      <c r="U74" s="123" t="s">
        <v>94</v>
      </c>
      <c r="V74" s="124" t="s">
        <v>95</v>
      </c>
      <c r="W74" s="125">
        <v>2</v>
      </c>
      <c r="X74" s="125">
        <v>5714</v>
      </c>
      <c r="Y74" s="125">
        <v>310</v>
      </c>
      <c r="Z74" s="125">
        <v>399</v>
      </c>
      <c r="AA74" s="125">
        <v>112</v>
      </c>
      <c r="AB74" s="125">
        <v>46</v>
      </c>
      <c r="AC74" s="126">
        <v>4</v>
      </c>
      <c r="AD74" s="126">
        <v>15</v>
      </c>
      <c r="AE74" s="106"/>
      <c r="AF74" s="106"/>
    </row>
    <row r="75">
      <c r="A75" s="152"/>
      <c r="B75" s="115" t="s">
        <v>102</v>
      </c>
      <c r="C75" s="116" t="s">
        <v>108</v>
      </c>
      <c r="D75" s="115">
        <f t="shared" si="70"/>
      </c>
      <c r="E75" s="115">
        <v>761.79</v>
      </c>
      <c r="F75" s="115">
        <v>195.31</v>
      </c>
      <c r="G75" s="131">
        <v>2</v>
      </c>
      <c r="H75" s="116">
        <v>2812.199999999997</v>
      </c>
      <c r="I75" s="118">
        <f t="shared" si="6"/>
      </c>
      <c r="J75" s="154">
        <f t="shared" si="201"/>
      </c>
      <c r="K75" s="120">
        <f t="shared" si="139"/>
      </c>
      <c r="L75" s="119">
        <f t="shared" si="221"/>
      </c>
      <c r="M75" s="119">
        <f t="shared" si="99"/>
      </c>
      <c r="N75" s="120">
        <f t="shared" si="26"/>
      </c>
      <c r="O75" s="119">
        <f t="shared" si="241"/>
      </c>
      <c r="P75" s="119">
        <f t="shared" si="159"/>
      </c>
      <c r="Q75" s="120">
        <f t="shared" si="119"/>
      </c>
      <c r="R75" s="121">
        <f t="shared" si="46"/>
      </c>
      <c r="S75" s="120">
        <f t="shared" si="261"/>
      </c>
      <c r="T75" s="122">
        <f t="shared" si="179"/>
      </c>
      <c r="U75" s="123" t="s">
        <v>94</v>
      </c>
      <c r="V75" s="124" t="s">
        <v>95</v>
      </c>
      <c r="W75" s="125">
        <v>1</v>
      </c>
      <c r="X75" s="125">
        <v>3743</v>
      </c>
      <c r="Y75" s="125">
        <v>203</v>
      </c>
      <c r="Z75" s="125">
        <v>259</v>
      </c>
      <c r="AA75" s="125">
        <v>54</v>
      </c>
      <c r="AB75" s="125">
        <v>29</v>
      </c>
      <c r="AC75" s="126">
        <v>4</v>
      </c>
      <c r="AD75" s="126">
        <v>6</v>
      </c>
      <c r="AE75" s="106"/>
      <c r="AF75" s="106"/>
    </row>
    <row r="76">
      <c r="A76" s="152"/>
      <c r="B76" s="132" t="s">
        <v>99</v>
      </c>
      <c r="C76" s="132"/>
      <c r="D76" s="132">
        <f>SUM(D73:D75)</f>
      </c>
      <c r="E76" s="132">
        <f>SUM(E73:E75)</f>
      </c>
      <c r="F76" s="132">
        <f>SUM(F73:F75)</f>
      </c>
      <c r="G76" s="132">
        <f>SUM(G73:G75)</f>
      </c>
      <c r="H76" s="132">
        <f>SUM(H73:H75)</f>
      </c>
      <c r="I76" s="134">
        <f t="shared" si="6"/>
      </c>
      <c r="J76" s="155">
        <f t="shared" si="201"/>
      </c>
      <c r="K76" s="136">
        <f t="shared" si="139"/>
      </c>
      <c r="L76" s="135">
        <f t="shared" si="221"/>
      </c>
      <c r="M76" s="135">
        <f t="shared" si="99"/>
      </c>
      <c r="N76" s="136">
        <f t="shared" si="26"/>
      </c>
      <c r="O76" s="135">
        <f t="shared" si="241"/>
      </c>
      <c r="P76" s="135">
        <f t="shared" si="159"/>
      </c>
      <c r="Q76" s="136">
        <f t="shared" si="119"/>
      </c>
      <c r="R76" s="137">
        <f t="shared" si="46"/>
      </c>
      <c r="S76" s="136">
        <f t="shared" si="261"/>
      </c>
      <c r="T76" s="138">
        <f t="shared" si="179"/>
      </c>
      <c r="U76" s="138"/>
      <c r="V76" s="138"/>
      <c r="W76" s="132">
        <f>SUM(W73:W75)</f>
      </c>
      <c r="X76" s="132">
        <f>SUM(X73:X75)</f>
      </c>
      <c r="Y76" s="132">
        <f>SUM(Y73:Y75)</f>
      </c>
      <c r="Z76" s="132">
        <f>SUM(Z73:Z75)</f>
      </c>
      <c r="AA76" s="132">
        <f>SUM(AA73:AA75)</f>
      </c>
      <c r="AB76" s="132">
        <f>SUM(AB73:AB75)</f>
      </c>
      <c r="AC76" s="132">
        <f>SUM(AC73:AC75)</f>
      </c>
      <c r="AD76" s="132">
        <f>SUM(AD73:AD75)</f>
      </c>
      <c r="AE76" s="106"/>
      <c r="AF76" s="106"/>
    </row>
    <row r="77">
      <c r="A77" s="152"/>
      <c r="B77" s="139" t="s">
        <v>100</v>
      </c>
      <c r="C77" s="139"/>
      <c r="D77" s="140">
        <f>D72+D76</f>
      </c>
      <c r="E77" s="140">
        <f>E72+E76</f>
      </c>
      <c r="F77" s="140">
        <f>F72+F76</f>
      </c>
      <c r="G77" s="140">
        <f>G72+G76</f>
      </c>
      <c r="H77" s="140">
        <f>H72+H76</f>
      </c>
      <c r="I77" s="140">
        <f t="shared" si="6"/>
      </c>
      <c r="J77" s="156">
        <f t="shared" si="201"/>
      </c>
      <c r="K77" s="140">
        <f t="shared" si="139"/>
      </c>
      <c r="L77" s="142">
        <f t="shared" si="221"/>
      </c>
      <c r="M77" s="142">
        <f t="shared" si="99"/>
      </c>
      <c r="N77" s="140">
        <f t="shared" si="26"/>
      </c>
      <c r="O77" s="142">
        <f t="shared" si="241"/>
      </c>
      <c r="P77" s="142">
        <f t="shared" si="159"/>
      </c>
      <c r="Q77" s="140">
        <f t="shared" si="119"/>
      </c>
      <c r="R77" s="143">
        <f t="shared" si="46"/>
      </c>
      <c r="S77" s="140">
        <f t="shared" si="261"/>
      </c>
      <c r="T77" s="144">
        <f t="shared" si="179"/>
      </c>
      <c r="U77" s="144"/>
      <c r="V77" s="144"/>
      <c r="W77" s="145">
        <f>W72+W76</f>
      </c>
      <c r="X77" s="145">
        <f>X72+X76</f>
      </c>
      <c r="Y77" s="145">
        <f>Y72+Y76</f>
      </c>
      <c r="Z77" s="145">
        <f>Z72+Z76</f>
      </c>
      <c r="AA77" s="145">
        <f>AA72+AA76</f>
      </c>
      <c r="AB77" s="145">
        <f>AB72+AB76</f>
      </c>
      <c r="AC77" s="145">
        <f>AC72+AC76</f>
      </c>
      <c r="AD77" s="145">
        <f>AD72+AD76</f>
      </c>
      <c r="AE77" s="106"/>
      <c r="AF77" s="106"/>
    </row>
    <row r="78">
      <c r="A78" s="97" t="s">
        <v>59</v>
      </c>
      <c r="B78" s="97"/>
      <c r="C78" s="97"/>
      <c r="D78" s="101" t="s">
        <v>60</v>
      </c>
      <c r="E78" s="101"/>
      <c r="F78" s="101"/>
      <c r="G78" s="101"/>
      <c r="H78" s="101"/>
      <c r="I78" s="101"/>
      <c r="J78" s="151" t="s">
        <v>61</v>
      </c>
      <c r="K78" s="151"/>
      <c r="L78" s="151"/>
      <c r="M78" s="151"/>
      <c r="N78" s="151"/>
      <c r="O78" s="151"/>
      <c r="P78" s="151"/>
      <c r="Q78" s="151"/>
      <c r="R78" s="151"/>
      <c r="S78" s="151"/>
      <c r="T78" s="103"/>
      <c r="U78" s="103"/>
      <c r="V78" s="103"/>
      <c r="W78" s="104"/>
      <c r="X78" s="104"/>
      <c r="Y78" s="104"/>
      <c r="Z78" s="104"/>
      <c r="AA78" s="104"/>
      <c r="AB78" s="104"/>
      <c r="AC78" s="104"/>
      <c r="AD78" s="105" t="s">
        <v>62</v>
      </c>
      <c r="AE78" s="106"/>
      <c r="AF78" s="106"/>
    </row>
    <row r="79">
      <c r="A79" s="97" t="s">
        <v>63</v>
      </c>
      <c r="B79" s="97" t="s">
        <v>64</v>
      </c>
      <c r="C79" s="97" t="s">
        <v>65</v>
      </c>
      <c r="D79" s="101" t="s">
        <v>66</v>
      </c>
      <c r="E79" s="108" t="s">
        <v>67</v>
      </c>
      <c r="F79" s="108" t="s">
        <v>68</v>
      </c>
      <c r="G79" s="100" t="s">
        <v>69</v>
      </c>
      <c r="H79" s="101" t="s">
        <v>70</v>
      </c>
      <c r="I79" s="108" t="s">
        <v>71</v>
      </c>
      <c r="J79" s="151" t="s">
        <v>72</v>
      </c>
      <c r="K79" s="102" t="s">
        <v>73</v>
      </c>
      <c r="L79" s="110" t="s">
        <v>74</v>
      </c>
      <c r="M79" s="110" t="s">
        <v>75</v>
      </c>
      <c r="N79" s="102" t="s">
        <v>76</v>
      </c>
      <c r="O79" s="110" t="s">
        <v>77</v>
      </c>
      <c r="P79" s="110" t="s">
        <v>78</v>
      </c>
      <c r="Q79" s="102" t="s">
        <v>79</v>
      </c>
      <c r="R79" s="110" t="s">
        <v>80</v>
      </c>
      <c r="S79" s="102" t="s">
        <v>81</v>
      </c>
      <c r="T79" s="111" t="s">
        <v>82</v>
      </c>
      <c r="U79" s="111" t="s">
        <v>83</v>
      </c>
      <c r="V79" s="111" t="s">
        <v>84</v>
      </c>
      <c r="W79" s="112" t="s">
        <v>85</v>
      </c>
      <c r="X79" s="113" t="s">
        <v>86</v>
      </c>
      <c r="Y79" s="113" t="s">
        <v>87</v>
      </c>
      <c r="Z79" s="113" t="s">
        <v>88</v>
      </c>
      <c r="AA79" s="113" t="s">
        <v>89</v>
      </c>
      <c r="AB79" s="113" t="s">
        <v>90</v>
      </c>
      <c r="AC79" s="113" t="s">
        <v>91</v>
      </c>
      <c r="AD79" s="105"/>
      <c r="AE79" s="106"/>
      <c r="AF79" s="106"/>
    </row>
    <row r="80">
      <c r="A80" s="152">
        <v>46280</v>
      </c>
      <c r="B80" s="157" t="s">
        <v>103</v>
      </c>
      <c r="C80" s="116" t="s">
        <v>101</v>
      </c>
      <c r="D80" s="115">
        <f t="shared" ref="D80:D84" si="71">E80+F80</f>
      </c>
      <c r="E80" s="115">
        <v>1699.65</v>
      </c>
      <c r="F80" s="115">
        <v>518.03</v>
      </c>
      <c r="G80" s="131">
        <v>0</v>
      </c>
      <c r="H80" s="116">
        <v>0</v>
      </c>
      <c r="I80" s="118">
        <f t="shared" ref="I80:I90" si="7">H80/D80</f>
      </c>
      <c r="J80" s="154">
        <f t="shared" ref="J80:J90" si="202">Y80/X80</f>
      </c>
      <c r="K80" s="120">
        <f t="shared" ref="K80:K90" si="140">D80/Z80</f>
      </c>
      <c r="L80" s="119">
        <f t="shared" ref="L80:L90" si="222">AA80/Z80</f>
      </c>
      <c r="M80" s="119">
        <f t="shared" ref="M80:M90" si="100">AB80/Z80</f>
      </c>
      <c r="N80" s="120">
        <f t="shared" ref="N80:N90" si="27">D80/AB80</f>
      </c>
      <c r="O80" s="119">
        <f t="shared" ref="O80:O90" si="242">AC80/AB80</f>
      </c>
      <c r="P80" s="119">
        <f t="shared" ref="P80:P90" si="160">G80/AC80</f>
      </c>
      <c r="Q80" s="120">
        <f t="shared" ref="Q80:Q90" si="120">D80/G80</f>
      </c>
      <c r="R80" s="121">
        <f t="shared" ref="R80:R90" si="47">H80/G80</f>
      </c>
      <c r="S80" s="120">
        <f t="shared" ref="S80:S90" si="262">D80/W80</f>
      </c>
      <c r="T80" s="122">
        <f t="shared" ref="T80:T90" si="180">AD80*1000/D80</f>
      </c>
      <c r="U80" s="123" t="s">
        <v>94</v>
      </c>
      <c r="V80" s="124" t="s">
        <v>109</v>
      </c>
      <c r="W80" s="125">
        <v>0</v>
      </c>
      <c r="X80" s="125">
        <v>6254</v>
      </c>
      <c r="Y80" s="125">
        <v>390</v>
      </c>
      <c r="Z80" s="125">
        <v>528</v>
      </c>
      <c r="AA80" s="125">
        <v>150</v>
      </c>
      <c r="AB80" s="125">
        <v>43</v>
      </c>
      <c r="AC80" s="126">
        <v>1</v>
      </c>
      <c r="AD80" s="126">
        <v>14</v>
      </c>
      <c r="AE80" s="106"/>
      <c r="AF80" s="106"/>
    </row>
    <row r="81">
      <c r="A81" s="152"/>
      <c r="B81" s="158" t="s">
        <v>104</v>
      </c>
      <c r="C81" s="116" t="s">
        <v>101</v>
      </c>
      <c r="D81" s="115">
        <f t="shared" si="71"/>
      </c>
      <c r="E81" s="115">
        <v>1349.78</v>
      </c>
      <c r="F81" s="115">
        <v>579.39</v>
      </c>
      <c r="G81" s="131">
        <v>1</v>
      </c>
      <c r="H81" s="116">
        <v>1216.08</v>
      </c>
      <c r="I81" s="118">
        <f t="shared" si="7"/>
      </c>
      <c r="J81" s="154">
        <f t="shared" si="202"/>
      </c>
      <c r="K81" s="120">
        <f t="shared" si="140"/>
      </c>
      <c r="L81" s="119">
        <f t="shared" si="222"/>
      </c>
      <c r="M81" s="119">
        <f t="shared" si="100"/>
      </c>
      <c r="N81" s="120">
        <f t="shared" si="27"/>
      </c>
      <c r="O81" s="119">
        <f t="shared" si="242"/>
      </c>
      <c r="P81" s="119">
        <f t="shared" si="160"/>
      </c>
      <c r="Q81" s="120">
        <f t="shared" si="120"/>
      </c>
      <c r="R81" s="121">
        <f t="shared" si="47"/>
      </c>
      <c r="S81" s="120">
        <f t="shared" si="262"/>
      </c>
      <c r="T81" s="122">
        <f t="shared" si="180"/>
      </c>
      <c r="U81" s="123" t="s">
        <v>94</v>
      </c>
      <c r="V81" s="124" t="s">
        <v>109</v>
      </c>
      <c r="W81" s="125">
        <v>1</v>
      </c>
      <c r="X81" s="125">
        <v>5379</v>
      </c>
      <c r="Y81" s="125">
        <v>362</v>
      </c>
      <c r="Z81" s="125">
        <v>537</v>
      </c>
      <c r="AA81" s="125">
        <v>144</v>
      </c>
      <c r="AB81" s="125">
        <v>63</v>
      </c>
      <c r="AC81" s="126">
        <v>1</v>
      </c>
      <c r="AD81" s="126">
        <v>20</v>
      </c>
      <c r="AE81" s="106"/>
      <c r="AF81" s="106"/>
    </row>
    <row r="82">
      <c r="A82" s="152"/>
      <c r="B82" s="158" t="s">
        <v>105</v>
      </c>
      <c r="C82" s="116" t="s">
        <v>101</v>
      </c>
      <c r="D82" s="115">
        <f t="shared" si="71"/>
      </c>
      <c r="E82" s="115">
        <v>1771.2</v>
      </c>
      <c r="F82" s="115">
        <v>475.93</v>
      </c>
      <c r="G82" s="131">
        <v>0</v>
      </c>
      <c r="H82" s="116">
        <v>0</v>
      </c>
      <c r="I82" s="118">
        <f t="shared" si="7"/>
      </c>
      <c r="J82" s="154">
        <f t="shared" si="202"/>
      </c>
      <c r="K82" s="120">
        <f t="shared" si="140"/>
      </c>
      <c r="L82" s="119">
        <f t="shared" si="222"/>
      </c>
      <c r="M82" s="119">
        <f t="shared" si="100"/>
      </c>
      <c r="N82" s="120">
        <f t="shared" si="27"/>
      </c>
      <c r="O82" s="119">
        <f t="shared" si="242"/>
      </c>
      <c r="P82" s="119">
        <f t="shared" si="160"/>
      </c>
      <c r="Q82" s="120">
        <f t="shared" si="120"/>
      </c>
      <c r="R82" s="121">
        <f t="shared" si="47"/>
      </c>
      <c r="S82" s="120">
        <f t="shared" si="262"/>
      </c>
      <c r="T82" s="122">
        <f t="shared" si="180"/>
      </c>
      <c r="U82" s="123" t="s">
        <v>94</v>
      </c>
      <c r="V82" s="124" t="s">
        <v>109</v>
      </c>
      <c r="W82" s="125">
        <v>0</v>
      </c>
      <c r="X82" s="125">
        <v>6586</v>
      </c>
      <c r="Y82" s="125">
        <v>385</v>
      </c>
      <c r="Z82" s="125">
        <v>493</v>
      </c>
      <c r="AA82" s="125">
        <v>137</v>
      </c>
      <c r="AB82" s="125">
        <v>50</v>
      </c>
      <c r="AC82" s="126">
        <v>1</v>
      </c>
      <c r="AD82" s="126">
        <v>14</v>
      </c>
      <c r="AE82" s="106"/>
      <c r="AF82" s="106"/>
    </row>
    <row r="83">
      <c r="A83" s="152"/>
      <c r="B83" s="158" t="s">
        <v>92</v>
      </c>
      <c r="C83" s="116" t="s">
        <v>101</v>
      </c>
      <c r="D83" s="115">
        <f t="shared" si="71"/>
      </c>
      <c r="E83" s="115">
        <v>2014.73</v>
      </c>
      <c r="F83" s="115">
        <v>494.57</v>
      </c>
      <c r="G83" s="131">
        <v>1</v>
      </c>
      <c r="H83" s="116">
        <v>3669.84</v>
      </c>
      <c r="I83" s="118">
        <f t="shared" si="7"/>
      </c>
      <c r="J83" s="154">
        <f t="shared" si="202"/>
      </c>
      <c r="K83" s="120">
        <f t="shared" si="140"/>
      </c>
      <c r="L83" s="119">
        <f t="shared" si="222"/>
      </c>
      <c r="M83" s="119">
        <f t="shared" si="100"/>
      </c>
      <c r="N83" s="120">
        <f t="shared" si="27"/>
      </c>
      <c r="O83" s="119">
        <f t="shared" si="242"/>
      </c>
      <c r="P83" s="119">
        <f t="shared" si="160"/>
      </c>
      <c r="Q83" s="120">
        <f t="shared" si="120"/>
      </c>
      <c r="R83" s="121">
        <f t="shared" si="47"/>
      </c>
      <c r="S83" s="120">
        <f t="shared" si="262"/>
      </c>
      <c r="T83" s="122">
        <f t="shared" si="180"/>
      </c>
      <c r="U83" s="123" t="s">
        <v>94</v>
      </c>
      <c r="V83" s="124" t="s">
        <v>109</v>
      </c>
      <c r="W83" s="125">
        <v>1</v>
      </c>
      <c r="X83" s="125">
        <v>6691</v>
      </c>
      <c r="Y83" s="125">
        <v>451</v>
      </c>
      <c r="Z83" s="125">
        <v>558</v>
      </c>
      <c r="AA83" s="125">
        <v>163</v>
      </c>
      <c r="AB83" s="125">
        <v>59</v>
      </c>
      <c r="AC83" s="126">
        <v>1</v>
      </c>
      <c r="AD83" s="126">
        <v>26</v>
      </c>
      <c r="AE83" s="106"/>
      <c r="AF83" s="106"/>
    </row>
    <row r="84">
      <c r="A84" s="152"/>
      <c r="B84" s="116" t="s">
        <v>96</v>
      </c>
      <c r="C84" s="116" t="s">
        <v>101</v>
      </c>
      <c r="D84" s="115">
        <f t="shared" si="71"/>
      </c>
      <c r="E84" s="115">
        <v>1699</v>
      </c>
      <c r="F84" s="115">
        <v>379.32</v>
      </c>
      <c r="G84" s="131">
        <v>0</v>
      </c>
      <c r="H84" s="116">
        <v>0</v>
      </c>
      <c r="I84" s="118">
        <f t="shared" si="7"/>
      </c>
      <c r="J84" s="154">
        <f t="shared" si="202"/>
      </c>
      <c r="K84" s="120">
        <f t="shared" si="140"/>
      </c>
      <c r="L84" s="119">
        <f t="shared" si="222"/>
      </c>
      <c r="M84" s="119">
        <f t="shared" si="100"/>
      </c>
      <c r="N84" s="120">
        <f t="shared" si="27"/>
      </c>
      <c r="O84" s="119">
        <f t="shared" si="242"/>
      </c>
      <c r="P84" s="119">
        <f t="shared" si="160"/>
      </c>
      <c r="Q84" s="120">
        <f t="shared" si="120"/>
      </c>
      <c r="R84" s="121">
        <f t="shared" si="47"/>
      </c>
      <c r="S84" s="120">
        <f t="shared" si="262"/>
      </c>
      <c r="T84" s="122">
        <f t="shared" si="180"/>
      </c>
      <c r="U84" s="123" t="s">
        <v>94</v>
      </c>
      <c r="V84" s="124" t="s">
        <v>109</v>
      </c>
      <c r="W84" s="125">
        <v>0</v>
      </c>
      <c r="X84" s="125">
        <v>6346</v>
      </c>
      <c r="Y84" s="125">
        <v>352</v>
      </c>
      <c r="Z84" s="125">
        <v>449</v>
      </c>
      <c r="AA84" s="125">
        <v>155</v>
      </c>
      <c r="AB84" s="125">
        <v>72</v>
      </c>
      <c r="AC84" s="126">
        <v>0</v>
      </c>
      <c r="AD84" s="126">
        <v>19</v>
      </c>
      <c r="AE84" s="106"/>
      <c r="AF84" s="106"/>
    </row>
    <row r="85">
      <c r="A85" s="152"/>
      <c r="B85" s="132" t="s">
        <v>99</v>
      </c>
      <c r="C85" s="132"/>
      <c r="D85" s="132">
        <f>SUM(D80:D84)</f>
      </c>
      <c r="E85" s="132">
        <f>SUM(E80:E84)</f>
      </c>
      <c r="F85" s="132">
        <f>SUM(F80:F84)</f>
      </c>
      <c r="G85" s="132">
        <f>SUM(G80:G84)</f>
      </c>
      <c r="H85" s="132">
        <f>SUM(H80:H84)</f>
      </c>
      <c r="I85" s="134">
        <f t="shared" si="7"/>
      </c>
      <c r="J85" s="155">
        <f t="shared" si="202"/>
      </c>
      <c r="K85" s="136">
        <f t="shared" si="140"/>
      </c>
      <c r="L85" s="135">
        <f t="shared" si="222"/>
      </c>
      <c r="M85" s="135">
        <f t="shared" si="100"/>
      </c>
      <c r="N85" s="136">
        <f t="shared" si="27"/>
      </c>
      <c r="O85" s="135">
        <f t="shared" si="242"/>
      </c>
      <c r="P85" s="135">
        <f t="shared" si="160"/>
      </c>
      <c r="Q85" s="136">
        <f t="shared" si="120"/>
      </c>
      <c r="R85" s="137">
        <f t="shared" si="47"/>
      </c>
      <c r="S85" s="136">
        <f t="shared" si="262"/>
      </c>
      <c r="T85" s="138">
        <f t="shared" si="180"/>
      </c>
      <c r="U85" s="138"/>
      <c r="V85" s="138"/>
      <c r="W85" s="132">
        <f>SUM(W80:W84)</f>
      </c>
      <c r="X85" s="132">
        <f>SUM(X80:X84)</f>
      </c>
      <c r="Y85" s="132">
        <f>SUM(Y80:Y84)</f>
      </c>
      <c r="Z85" s="132">
        <f>SUM(Z80:Z84)</f>
      </c>
      <c r="AA85" s="132">
        <f>SUM(AA80:AA84)</f>
      </c>
      <c r="AB85" s="132">
        <f>SUM(AB80:AB84)</f>
      </c>
      <c r="AC85" s="132">
        <f>SUM(AC80:AC84)</f>
      </c>
      <c r="AD85" s="132">
        <f>SUM(AD80:AD84)</f>
      </c>
      <c r="AE85" s="106"/>
      <c r="AF85" s="106"/>
    </row>
    <row r="86">
      <c r="A86" s="152"/>
      <c r="B86" s="115" t="s">
        <v>97</v>
      </c>
      <c r="C86" s="116" t="s">
        <v>110</v>
      </c>
      <c r="D86" s="115">
        <f t="shared" ref="D86:D88" si="72">E86+F86</f>
      </c>
      <c r="E86" s="115">
        <v>575.18</v>
      </c>
      <c r="F86" s="115">
        <v>356.35</v>
      </c>
      <c r="G86" s="131">
        <v>0</v>
      </c>
      <c r="H86" s="116">
        <v>0</v>
      </c>
      <c r="I86" s="118">
        <f t="shared" si="7"/>
      </c>
      <c r="J86" s="154">
        <f t="shared" si="202"/>
      </c>
      <c r="K86" s="120">
        <f t="shared" si="140"/>
      </c>
      <c r="L86" s="119">
        <f t="shared" si="222"/>
      </c>
      <c r="M86" s="119">
        <f t="shared" si="100"/>
      </c>
      <c r="N86" s="120">
        <f t="shared" si="27"/>
      </c>
      <c r="O86" s="119">
        <f t="shared" si="242"/>
      </c>
      <c r="P86" s="119">
        <f t="shared" si="160"/>
      </c>
      <c r="Q86" s="120">
        <f t="shared" si="120"/>
      </c>
      <c r="R86" s="121">
        <f t="shared" si="47"/>
      </c>
      <c r="S86" s="120">
        <f t="shared" si="262"/>
      </c>
      <c r="T86" s="122">
        <f t="shared" si="180"/>
      </c>
      <c r="U86" s="123" t="s">
        <v>94</v>
      </c>
      <c r="V86" s="124" t="s">
        <v>109</v>
      </c>
      <c r="W86" s="125">
        <v>0</v>
      </c>
      <c r="X86" s="125">
        <v>2538</v>
      </c>
      <c r="Y86" s="125">
        <v>149</v>
      </c>
      <c r="Z86" s="125">
        <v>200</v>
      </c>
      <c r="AA86" s="125">
        <v>50</v>
      </c>
      <c r="AB86" s="125">
        <v>22</v>
      </c>
      <c r="AC86" s="126">
        <v>0</v>
      </c>
      <c r="AD86" s="126">
        <v>4</v>
      </c>
      <c r="AE86" s="106"/>
      <c r="AF86" s="106"/>
    </row>
    <row r="87">
      <c r="A87" s="152"/>
      <c r="B87" s="115" t="s">
        <v>98</v>
      </c>
      <c r="C87" s="116" t="s">
        <v>110</v>
      </c>
      <c r="D87" s="115">
        <f t="shared" si="72"/>
      </c>
      <c r="E87" s="115">
        <v>1077.78</v>
      </c>
      <c r="F87" s="115">
        <v>479.65</v>
      </c>
      <c r="G87" s="131">
        <v>1</v>
      </c>
      <c r="H87" s="116">
        <v>942.8400000000001</v>
      </c>
      <c r="I87" s="118">
        <f t="shared" si="7"/>
      </c>
      <c r="J87" s="154">
        <f t="shared" si="202"/>
      </c>
      <c r="K87" s="120">
        <f t="shared" si="140"/>
      </c>
      <c r="L87" s="119">
        <f t="shared" si="222"/>
      </c>
      <c r="M87" s="119">
        <f t="shared" si="100"/>
      </c>
      <c r="N87" s="120">
        <f t="shared" si="27"/>
      </c>
      <c r="O87" s="119">
        <f t="shared" si="242"/>
      </c>
      <c r="P87" s="119">
        <f t="shared" si="160"/>
      </c>
      <c r="Q87" s="120">
        <f t="shared" si="120"/>
      </c>
      <c r="R87" s="121">
        <f t="shared" si="47"/>
      </c>
      <c r="S87" s="120">
        <f t="shared" si="262"/>
      </c>
      <c r="T87" s="122">
        <f t="shared" si="180"/>
      </c>
      <c r="U87" s="123" t="s">
        <v>94</v>
      </c>
      <c r="V87" s="124" t="s">
        <v>109</v>
      </c>
      <c r="W87" s="125">
        <v>0</v>
      </c>
      <c r="X87" s="125">
        <v>4187</v>
      </c>
      <c r="Y87" s="125">
        <v>382</v>
      </c>
      <c r="Z87" s="125">
        <v>499</v>
      </c>
      <c r="AA87" s="125">
        <v>148</v>
      </c>
      <c r="AB87" s="125">
        <v>32</v>
      </c>
      <c r="AC87" s="126">
        <v>1</v>
      </c>
      <c r="AD87" s="126">
        <v>21</v>
      </c>
      <c r="AE87" s="106"/>
      <c r="AF87" s="106"/>
    </row>
    <row r="88">
      <c r="A88" s="152"/>
      <c r="B88" s="115" t="s">
        <v>102</v>
      </c>
      <c r="C88" s="116" t="s">
        <v>110</v>
      </c>
      <c r="D88" s="115">
        <f t="shared" si="72"/>
      </c>
      <c r="E88" s="115">
        <v>491.09</v>
      </c>
      <c r="F88" s="115">
        <v>267.23</v>
      </c>
      <c r="G88" s="131">
        <v>0</v>
      </c>
      <c r="H88" s="116">
        <v>0</v>
      </c>
      <c r="I88" s="118">
        <f t="shared" si="7"/>
      </c>
      <c r="J88" s="154">
        <f t="shared" si="202"/>
      </c>
      <c r="K88" s="120">
        <f t="shared" si="140"/>
      </c>
      <c r="L88" s="119">
        <f t="shared" si="222"/>
      </c>
      <c r="M88" s="119">
        <f t="shared" si="100"/>
      </c>
      <c r="N88" s="120">
        <f t="shared" si="27"/>
      </c>
      <c r="O88" s="119">
        <f t="shared" si="242"/>
      </c>
      <c r="P88" s="119">
        <f t="shared" si="160"/>
      </c>
      <c r="Q88" s="120">
        <f t="shared" si="120"/>
      </c>
      <c r="R88" s="121">
        <f t="shared" si="47"/>
      </c>
      <c r="S88" s="120">
        <f t="shared" si="262"/>
      </c>
      <c r="T88" s="122">
        <f t="shared" si="180"/>
      </c>
      <c r="U88" s="123" t="s">
        <v>94</v>
      </c>
      <c r="V88" s="124" t="s">
        <v>109</v>
      </c>
      <c r="W88" s="125">
        <v>1</v>
      </c>
      <c r="X88" s="125">
        <v>1966</v>
      </c>
      <c r="Y88" s="125">
        <v>141</v>
      </c>
      <c r="Z88" s="125">
        <v>215</v>
      </c>
      <c r="AA88" s="125">
        <v>53</v>
      </c>
      <c r="AB88" s="125">
        <v>18</v>
      </c>
      <c r="AC88" s="126">
        <v>0</v>
      </c>
      <c r="AD88" s="126">
        <v>9</v>
      </c>
      <c r="AE88" s="106"/>
      <c r="AF88" s="106"/>
    </row>
    <row r="89">
      <c r="A89" s="152"/>
      <c r="B89" s="132" t="s">
        <v>99</v>
      </c>
      <c r="C89" s="132"/>
      <c r="D89" s="132">
        <f>SUM(D86:D88)</f>
      </c>
      <c r="E89" s="132">
        <f>SUM(E86:E88)</f>
      </c>
      <c r="F89" s="132">
        <f>SUM(F86:F88)</f>
      </c>
      <c r="G89" s="132">
        <f>SUM(G86:G88)</f>
      </c>
      <c r="H89" s="132">
        <f>SUM(H86:H88)</f>
      </c>
      <c r="I89" s="134">
        <f t="shared" si="7"/>
      </c>
      <c r="J89" s="155">
        <f t="shared" si="202"/>
      </c>
      <c r="K89" s="136">
        <f t="shared" si="140"/>
      </c>
      <c r="L89" s="135">
        <f t="shared" si="222"/>
      </c>
      <c r="M89" s="135">
        <f t="shared" si="100"/>
      </c>
      <c r="N89" s="136">
        <f t="shared" si="27"/>
      </c>
      <c r="O89" s="135">
        <f t="shared" si="242"/>
      </c>
      <c r="P89" s="135">
        <f t="shared" si="160"/>
      </c>
      <c r="Q89" s="136">
        <f t="shared" si="120"/>
      </c>
      <c r="R89" s="137">
        <f t="shared" si="47"/>
      </c>
      <c r="S89" s="136">
        <f t="shared" si="262"/>
      </c>
      <c r="T89" s="138">
        <f t="shared" si="180"/>
      </c>
      <c r="U89" s="138"/>
      <c r="V89" s="138"/>
      <c r="W89" s="132">
        <f>SUM(W86:W88)</f>
      </c>
      <c r="X89" s="132">
        <f>SUM(X86:X88)</f>
      </c>
      <c r="Y89" s="132">
        <f>SUM(Y86:Y88)</f>
      </c>
      <c r="Z89" s="132">
        <f>SUM(Z86:Z88)</f>
      </c>
      <c r="AA89" s="132">
        <f>SUM(AA86:AA88)</f>
      </c>
      <c r="AB89" s="132">
        <f>SUM(AB86:AB88)</f>
      </c>
      <c r="AC89" s="132">
        <f>SUM(AC86:AC88)</f>
      </c>
      <c r="AD89" s="132">
        <f>SUM(AD86:AD88)</f>
      </c>
      <c r="AE89" s="106"/>
      <c r="AF89" s="106"/>
    </row>
    <row r="90">
      <c r="A90" s="152"/>
      <c r="B90" s="139" t="s">
        <v>100</v>
      </c>
      <c r="C90" s="139"/>
      <c r="D90" s="140">
        <f>D85+D89</f>
      </c>
      <c r="E90" s="140">
        <f>E85+E89</f>
      </c>
      <c r="F90" s="140">
        <f>F85+F89</f>
      </c>
      <c r="G90" s="140">
        <f>G85+G89</f>
      </c>
      <c r="H90" s="140">
        <f>H85+H89</f>
      </c>
      <c r="I90" s="140">
        <f t="shared" si="7"/>
      </c>
      <c r="J90" s="156">
        <f t="shared" si="202"/>
      </c>
      <c r="K90" s="140">
        <f t="shared" si="140"/>
      </c>
      <c r="L90" s="142">
        <f t="shared" si="222"/>
      </c>
      <c r="M90" s="142">
        <f t="shared" si="100"/>
      </c>
      <c r="N90" s="140">
        <f t="shared" si="27"/>
      </c>
      <c r="O90" s="142">
        <f t="shared" si="242"/>
      </c>
      <c r="P90" s="142">
        <f t="shared" si="160"/>
      </c>
      <c r="Q90" s="140">
        <f t="shared" si="120"/>
      </c>
      <c r="R90" s="143">
        <f t="shared" si="47"/>
      </c>
      <c r="S90" s="140">
        <f t="shared" si="262"/>
      </c>
      <c r="T90" s="144">
        <f t="shared" si="180"/>
      </c>
      <c r="U90" s="144"/>
      <c r="V90" s="144"/>
      <c r="W90" s="145">
        <f>W85+W89</f>
      </c>
      <c r="X90" s="145">
        <f>X85+X89</f>
      </c>
      <c r="Y90" s="145">
        <f>Y85+Y89</f>
      </c>
      <c r="Z90" s="145">
        <f>Z85+Z89</f>
      </c>
      <c r="AA90" s="145">
        <f>AA85+AA89</f>
      </c>
      <c r="AB90" s="145">
        <f>AB85+AB89</f>
      </c>
      <c r="AC90" s="145">
        <f>AC85+AC89</f>
      </c>
      <c r="AD90" s="145">
        <f>AD85+AD89</f>
      </c>
      <c r="AE90" s="106"/>
      <c r="AF90" s="106"/>
    </row>
    <row r="91">
      <c r="A91" s="97" t="s">
        <v>59</v>
      </c>
      <c r="B91" s="97"/>
      <c r="C91" s="97"/>
      <c r="D91" s="101" t="s">
        <v>60</v>
      </c>
      <c r="E91" s="101"/>
      <c r="F91" s="101"/>
      <c r="G91" s="101"/>
      <c r="H91" s="101"/>
      <c r="I91" s="101"/>
      <c r="J91" s="151" t="s">
        <v>61</v>
      </c>
      <c r="K91" s="151"/>
      <c r="L91" s="151"/>
      <c r="M91" s="151"/>
      <c r="N91" s="151"/>
      <c r="O91" s="151"/>
      <c r="P91" s="151"/>
      <c r="Q91" s="151"/>
      <c r="R91" s="151"/>
      <c r="S91" s="151"/>
      <c r="T91" s="103"/>
      <c r="U91" s="103"/>
      <c r="V91" s="103"/>
      <c r="W91" s="104"/>
      <c r="X91" s="104"/>
      <c r="Y91" s="104"/>
      <c r="Z91" s="104"/>
      <c r="AA91" s="104"/>
      <c r="AB91" s="104"/>
      <c r="AC91" s="104"/>
      <c r="AD91" s="105" t="s">
        <v>62</v>
      </c>
      <c r="AE91" s="106"/>
      <c r="AF91" s="106"/>
    </row>
    <row r="92">
      <c r="A92" s="97" t="s">
        <v>63</v>
      </c>
      <c r="B92" s="97" t="s">
        <v>64</v>
      </c>
      <c r="C92" s="97" t="s">
        <v>65</v>
      </c>
      <c r="D92" s="101" t="s">
        <v>66</v>
      </c>
      <c r="E92" s="108" t="s">
        <v>67</v>
      </c>
      <c r="F92" s="108" t="s">
        <v>68</v>
      </c>
      <c r="G92" s="100" t="s">
        <v>69</v>
      </c>
      <c r="H92" s="101" t="s">
        <v>70</v>
      </c>
      <c r="I92" s="108" t="s">
        <v>71</v>
      </c>
      <c r="J92" s="151" t="s">
        <v>72</v>
      </c>
      <c r="K92" s="102" t="s">
        <v>73</v>
      </c>
      <c r="L92" s="110" t="s">
        <v>74</v>
      </c>
      <c r="M92" s="110" t="s">
        <v>75</v>
      </c>
      <c r="N92" s="102" t="s">
        <v>76</v>
      </c>
      <c r="O92" s="110" t="s">
        <v>77</v>
      </c>
      <c r="P92" s="110" t="s">
        <v>78</v>
      </c>
      <c r="Q92" s="102" t="s">
        <v>79</v>
      </c>
      <c r="R92" s="110" t="s">
        <v>80</v>
      </c>
      <c r="S92" s="102" t="s">
        <v>81</v>
      </c>
      <c r="T92" s="111" t="s">
        <v>82</v>
      </c>
      <c r="U92" s="111" t="s">
        <v>83</v>
      </c>
      <c r="V92" s="111" t="s">
        <v>84</v>
      </c>
      <c r="W92" s="112" t="s">
        <v>85</v>
      </c>
      <c r="X92" s="113" t="s">
        <v>86</v>
      </c>
      <c r="Y92" s="113" t="s">
        <v>87</v>
      </c>
      <c r="Z92" s="113" t="s">
        <v>88</v>
      </c>
      <c r="AA92" s="113" t="s">
        <v>89</v>
      </c>
      <c r="AB92" s="113" t="s">
        <v>90</v>
      </c>
      <c r="AC92" s="113" t="s">
        <v>91</v>
      </c>
      <c r="AD92" s="105"/>
      <c r="AE92" s="106"/>
      <c r="AF92" s="106"/>
    </row>
    <row r="93">
      <c r="A93" s="152">
        <v>46281</v>
      </c>
      <c r="B93" s="157" t="s">
        <v>103</v>
      </c>
      <c r="C93" s="116" t="s">
        <v>110</v>
      </c>
      <c r="D93" s="115">
        <f>E93+F93</f>
      </c>
      <c r="E93" s="115">
        <v>1448.75</v>
      </c>
      <c r="F93" s="115">
        <v>539.27</v>
      </c>
      <c r="G93" s="131">
        <v>0</v>
      </c>
      <c r="H93" s="116">
        <v>0</v>
      </c>
      <c r="I93" s="118">
        <f t="shared" ref="I93:I95" si="8">H93/D93</f>
      </c>
      <c r="J93" s="154">
        <f t="shared" ref="J93:J95" si="203">Y93/X93</f>
      </c>
      <c r="K93" s="120">
        <f t="shared" ref="K93:K95" si="141">D93/Z93</f>
      </c>
      <c r="L93" s="119">
        <f t="shared" ref="L93:L95" si="223">AA93/Z93</f>
      </c>
      <c r="M93" s="119">
        <f t="shared" ref="M93:M95" si="101">AB93/Z93</f>
      </c>
      <c r="N93" s="120">
        <f t="shared" ref="N93:N95" si="28">D93/AB93</f>
      </c>
      <c r="O93" s="119">
        <f t="shared" ref="O93:O95" si="243">AC93/AB93</f>
      </c>
      <c r="P93" s="119">
        <f t="shared" ref="P93:P95" si="161">G93/AC93</f>
      </c>
      <c r="Q93" s="120">
        <f t="shared" ref="Q93:Q95" si="121">D93/G93</f>
      </c>
      <c r="R93" s="121">
        <f t="shared" ref="R93:R95" si="48">H93/G93</f>
      </c>
      <c r="S93" s="120">
        <f t="shared" ref="S93:S95" si="263">D93/W93</f>
      </c>
      <c r="T93" s="122">
        <f t="shared" ref="T93:T95" si="181">AD93*1000/D93</f>
      </c>
      <c r="U93" s="123" t="s">
        <v>94</v>
      </c>
      <c r="V93" s="124" t="s">
        <v>95</v>
      </c>
      <c r="W93" s="125">
        <v>0</v>
      </c>
      <c r="X93" s="125">
        <v>5475</v>
      </c>
      <c r="Y93" s="125">
        <v>388</v>
      </c>
      <c r="Z93" s="125">
        <v>531</v>
      </c>
      <c r="AA93" s="125">
        <v>176</v>
      </c>
      <c r="AB93" s="125">
        <v>36</v>
      </c>
      <c r="AC93" s="126">
        <v>0</v>
      </c>
      <c r="AD93" s="126">
        <v>18</v>
      </c>
      <c r="AE93" s="106"/>
      <c r="AF93" s="106"/>
    </row>
    <row r="94">
      <c r="A94" s="152"/>
      <c r="B94" s="132" t="s">
        <v>99</v>
      </c>
      <c r="C94" s="132"/>
      <c r="D94" s="132">
        <f>SUM(D93)</f>
      </c>
      <c r="E94" s="132">
        <f>SUM(E93)</f>
      </c>
      <c r="F94" s="132">
        <f>SUM(F93)</f>
      </c>
      <c r="G94" s="132">
        <f>SUM(G93)</f>
      </c>
      <c r="H94" s="132">
        <f>SUM(H93)</f>
      </c>
      <c r="I94" s="134">
        <f t="shared" si="8"/>
      </c>
      <c r="J94" s="155">
        <f t="shared" si="203"/>
      </c>
      <c r="K94" s="136">
        <f t="shared" si="141"/>
      </c>
      <c r="L94" s="135">
        <f t="shared" si="223"/>
      </c>
      <c r="M94" s="135">
        <f t="shared" si="101"/>
      </c>
      <c r="N94" s="136">
        <f t="shared" si="28"/>
      </c>
      <c r="O94" s="135">
        <f t="shared" si="243"/>
      </c>
      <c r="P94" s="135">
        <f t="shared" si="161"/>
      </c>
      <c r="Q94" s="136">
        <f t="shared" si="121"/>
      </c>
      <c r="R94" s="137">
        <f t="shared" si="48"/>
      </c>
      <c r="S94" s="136">
        <f t="shared" si="263"/>
      </c>
      <c r="T94" s="138">
        <f t="shared" si="181"/>
      </c>
      <c r="U94" s="138"/>
      <c r="V94" s="138"/>
      <c r="W94" s="132">
        <f>SUM(W93)</f>
      </c>
      <c r="X94" s="132">
        <f>SUM(X93)</f>
      </c>
      <c r="Y94" s="132">
        <f>SUM(Y93)</f>
      </c>
      <c r="Z94" s="132">
        <f>SUM(Z93)</f>
      </c>
      <c r="AA94" s="132">
        <f>SUM(AA93)</f>
      </c>
      <c r="AB94" s="132">
        <f>SUM(AB93)</f>
      </c>
      <c r="AC94" s="132">
        <f>SUM(AC93)</f>
      </c>
      <c r="AD94" s="132">
        <f>SUM(AD93)</f>
      </c>
      <c r="AE94" s="106"/>
      <c r="AF94" s="106"/>
    </row>
    <row r="95">
      <c r="A95" s="152"/>
      <c r="B95" s="139" t="s">
        <v>100</v>
      </c>
      <c r="C95" s="139"/>
      <c r="D95" s="140">
        <f>D94</f>
      </c>
      <c r="E95" s="140">
        <f>E94</f>
      </c>
      <c r="F95" s="140">
        <f>F94</f>
      </c>
      <c r="G95" s="140">
        <f>G94</f>
      </c>
      <c r="H95" s="140">
        <f>H94</f>
      </c>
      <c r="I95" s="140">
        <f t="shared" si="8"/>
      </c>
      <c r="J95" s="156">
        <f t="shared" si="203"/>
      </c>
      <c r="K95" s="140">
        <f t="shared" si="141"/>
      </c>
      <c r="L95" s="142">
        <f t="shared" si="223"/>
      </c>
      <c r="M95" s="142">
        <f t="shared" si="101"/>
      </c>
      <c r="N95" s="140">
        <f t="shared" si="28"/>
      </c>
      <c r="O95" s="142">
        <f t="shared" si="243"/>
      </c>
      <c r="P95" s="142">
        <f t="shared" si="161"/>
      </c>
      <c r="Q95" s="140">
        <f t="shared" si="121"/>
      </c>
      <c r="R95" s="143">
        <f t="shared" si="48"/>
      </c>
      <c r="S95" s="140">
        <f t="shared" si="263"/>
      </c>
      <c r="T95" s="144">
        <f t="shared" si="181"/>
      </c>
      <c r="U95" s="144"/>
      <c r="V95" s="144"/>
      <c r="W95" s="145">
        <f>W94</f>
      </c>
      <c r="X95" s="145">
        <f>X94</f>
      </c>
      <c r="Y95" s="145">
        <f>Y94</f>
      </c>
      <c r="Z95" s="145">
        <f>Z94</f>
      </c>
      <c r="AA95" s="145">
        <f>AA94</f>
      </c>
      <c r="AB95" s="145">
        <f>AB94</f>
      </c>
      <c r="AC95" s="145">
        <f>AC94</f>
      </c>
      <c r="AD95" s="145">
        <f>AD94</f>
      </c>
      <c r="AE95" s="106"/>
      <c r="AF95" s="106"/>
    </row>
    <row r="96">
      <c r="A96" s="97" t="s">
        <v>59</v>
      </c>
      <c r="B96" s="97"/>
      <c r="C96" s="97"/>
      <c r="D96" s="101" t="s">
        <v>60</v>
      </c>
      <c r="E96" s="101"/>
      <c r="F96" s="101"/>
      <c r="G96" s="101"/>
      <c r="H96" s="101"/>
      <c r="I96" s="101"/>
      <c r="J96" s="151" t="s">
        <v>61</v>
      </c>
      <c r="K96" s="151"/>
      <c r="L96" s="151"/>
      <c r="M96" s="151"/>
      <c r="N96" s="151"/>
      <c r="O96" s="151"/>
      <c r="P96" s="151"/>
      <c r="Q96" s="151"/>
      <c r="R96" s="151"/>
      <c r="S96" s="151"/>
      <c r="T96" s="103"/>
      <c r="U96" s="103"/>
      <c r="V96" s="103"/>
      <c r="W96" s="104"/>
      <c r="X96" s="104"/>
      <c r="Y96" s="104"/>
      <c r="Z96" s="104"/>
      <c r="AA96" s="104"/>
      <c r="AB96" s="104"/>
      <c r="AC96" s="104"/>
      <c r="AD96" s="105" t="s">
        <v>62</v>
      </c>
      <c r="AE96" s="106"/>
      <c r="AF96" s="106"/>
    </row>
    <row r="97">
      <c r="A97" s="97" t="s">
        <v>63</v>
      </c>
      <c r="B97" s="97" t="s">
        <v>64</v>
      </c>
      <c r="C97" s="97" t="s">
        <v>65</v>
      </c>
      <c r="D97" s="101" t="s">
        <v>66</v>
      </c>
      <c r="E97" s="108" t="s">
        <v>67</v>
      </c>
      <c r="F97" s="108" t="s">
        <v>68</v>
      </c>
      <c r="G97" s="100" t="s">
        <v>69</v>
      </c>
      <c r="H97" s="101" t="s">
        <v>70</v>
      </c>
      <c r="I97" s="108" t="s">
        <v>71</v>
      </c>
      <c r="J97" s="151" t="s">
        <v>72</v>
      </c>
      <c r="K97" s="102" t="s">
        <v>73</v>
      </c>
      <c r="L97" s="110" t="s">
        <v>74</v>
      </c>
      <c r="M97" s="110" t="s">
        <v>75</v>
      </c>
      <c r="N97" s="102" t="s">
        <v>76</v>
      </c>
      <c r="O97" s="110" t="s">
        <v>77</v>
      </c>
      <c r="P97" s="110" t="s">
        <v>78</v>
      </c>
      <c r="Q97" s="102" t="s">
        <v>79</v>
      </c>
      <c r="R97" s="110" t="s">
        <v>80</v>
      </c>
      <c r="S97" s="102" t="s">
        <v>81</v>
      </c>
      <c r="T97" s="111" t="s">
        <v>82</v>
      </c>
      <c r="U97" s="111" t="s">
        <v>83</v>
      </c>
      <c r="V97" s="111" t="s">
        <v>84</v>
      </c>
      <c r="W97" s="112" t="s">
        <v>85</v>
      </c>
      <c r="X97" s="113" t="s">
        <v>86</v>
      </c>
      <c r="Y97" s="113" t="s">
        <v>87</v>
      </c>
      <c r="Z97" s="113" t="s">
        <v>88</v>
      </c>
      <c r="AA97" s="113" t="s">
        <v>89</v>
      </c>
      <c r="AB97" s="113" t="s">
        <v>90</v>
      </c>
      <c r="AC97" s="113" t="s">
        <v>91</v>
      </c>
      <c r="AD97" s="105"/>
      <c r="AE97" s="106"/>
      <c r="AF97" s="106"/>
    </row>
    <row r="98">
      <c r="A98" s="152">
        <v>46285</v>
      </c>
      <c r="B98" s="157" t="s">
        <v>103</v>
      </c>
      <c r="C98" s="116" t="s">
        <v>110</v>
      </c>
      <c r="D98" s="115">
        <f t="shared" ref="D98:D101" si="73">E98+F98</f>
      </c>
      <c r="E98" s="115">
        <v>1011.23</v>
      </c>
      <c r="F98" s="115">
        <v>294.55</v>
      </c>
      <c r="G98" s="131">
        <v>0</v>
      </c>
      <c r="H98" s="116">
        <v>0</v>
      </c>
      <c r="I98" s="118">
        <f t="shared" ref="I98:I108" si="9">H98/D98</f>
      </c>
      <c r="J98" s="154">
        <f t="shared" ref="J98:J108" si="204">Y98/X98</f>
      </c>
      <c r="K98" s="120">
        <f t="shared" ref="K98:K108" si="142">D98/Z98</f>
      </c>
      <c r="L98" s="119">
        <f t="shared" ref="L98:L108" si="224">AA98/Z98</f>
      </c>
      <c r="M98" s="119">
        <f t="shared" ref="M98:M108" si="102">AB98/Z98</f>
      </c>
      <c r="N98" s="120">
        <f t="shared" ref="N98:N108" si="29">D98/AB98</f>
      </c>
      <c r="O98" s="119">
        <f t="shared" ref="O98:O108" si="244">AC98/AB98</f>
      </c>
      <c r="P98" s="119">
        <f t="shared" ref="P98:P108" si="162">G98/AC98</f>
      </c>
      <c r="Q98" s="120">
        <f t="shared" ref="Q98:Q108" si="122">D98/G98</f>
      </c>
      <c r="R98" s="121">
        <f t="shared" ref="R98:R108" si="49">H98/G98</f>
      </c>
      <c r="S98" s="120">
        <f t="shared" ref="S98:S108" si="264">D98/W98</f>
      </c>
      <c r="T98" s="122">
        <f t="shared" ref="T98:T108" si="182">AD98*1000/D98</f>
      </c>
      <c r="U98" s="123" t="s">
        <v>94</v>
      </c>
      <c r="V98" s="124" t="s">
        <v>109</v>
      </c>
      <c r="W98" s="125">
        <v>0</v>
      </c>
      <c r="X98" s="125">
        <v>3582</v>
      </c>
      <c r="Y98" s="125">
        <v>435</v>
      </c>
      <c r="Z98" s="125">
        <v>553</v>
      </c>
      <c r="AA98" s="125">
        <v>160</v>
      </c>
      <c r="AB98" s="125">
        <v>14</v>
      </c>
      <c r="AC98" s="126">
        <v>0</v>
      </c>
      <c r="AD98" s="126">
        <v>17</v>
      </c>
      <c r="AE98" s="106"/>
      <c r="AF98" s="106"/>
    </row>
    <row r="99">
      <c r="A99" s="152"/>
      <c r="B99" s="158" t="s">
        <v>104</v>
      </c>
      <c r="C99" s="116" t="s">
        <v>110</v>
      </c>
      <c r="D99" s="115">
        <f t="shared" si="73"/>
      </c>
      <c r="E99" s="115">
        <v>1261.92</v>
      </c>
      <c r="F99" s="115">
        <v>217.88</v>
      </c>
      <c r="G99" s="131">
        <v>0</v>
      </c>
      <c r="H99" s="116">
        <v>0</v>
      </c>
      <c r="I99" s="118">
        <f t="shared" si="9"/>
      </c>
      <c r="J99" s="154">
        <f t="shared" si="204"/>
      </c>
      <c r="K99" s="120">
        <f t="shared" si="142"/>
      </c>
      <c r="L99" s="119">
        <f t="shared" si="224"/>
      </c>
      <c r="M99" s="119">
        <f t="shared" si="102"/>
      </c>
      <c r="N99" s="120">
        <f t="shared" si="29"/>
      </c>
      <c r="O99" s="119">
        <f t="shared" si="244"/>
      </c>
      <c r="P99" s="119">
        <f t="shared" si="162"/>
      </c>
      <c r="Q99" s="120">
        <f t="shared" si="122"/>
      </c>
      <c r="R99" s="121">
        <f t="shared" si="49"/>
      </c>
      <c r="S99" s="120">
        <f t="shared" si="264"/>
      </c>
      <c r="T99" s="122">
        <f t="shared" si="182"/>
      </c>
      <c r="U99" s="123" t="s">
        <v>94</v>
      </c>
      <c r="V99" s="124" t="s">
        <v>109</v>
      </c>
      <c r="W99" s="125">
        <v>0</v>
      </c>
      <c r="X99" s="125">
        <v>2994</v>
      </c>
      <c r="Y99" s="125">
        <v>259</v>
      </c>
      <c r="Z99" s="125">
        <v>323</v>
      </c>
      <c r="AA99" s="125">
        <v>98</v>
      </c>
      <c r="AB99" s="125">
        <v>29</v>
      </c>
      <c r="AC99" s="126">
        <v>2</v>
      </c>
      <c r="AD99" s="126">
        <v>8</v>
      </c>
      <c r="AE99" s="106"/>
      <c r="AF99" s="106"/>
    </row>
    <row r="100">
      <c r="A100" s="152"/>
      <c r="B100" s="158" t="s">
        <v>105</v>
      </c>
      <c r="C100" s="116" t="s">
        <v>110</v>
      </c>
      <c r="D100" s="115">
        <f t="shared" si="73"/>
      </c>
      <c r="E100" s="115">
        <v>686.0799999999999</v>
      </c>
      <c r="F100" s="115">
        <v>151.02</v>
      </c>
      <c r="G100" s="131">
        <v>0</v>
      </c>
      <c r="H100" s="116">
        <v>0</v>
      </c>
      <c r="I100" s="118">
        <f t="shared" si="9"/>
      </c>
      <c r="J100" s="154">
        <f t="shared" si="204"/>
      </c>
      <c r="K100" s="120">
        <f t="shared" si="142"/>
      </c>
      <c r="L100" s="119">
        <f t="shared" si="224"/>
      </c>
      <c r="M100" s="119">
        <f t="shared" si="102"/>
      </c>
      <c r="N100" s="120">
        <f t="shared" si="29"/>
      </c>
      <c r="O100" s="119">
        <f t="shared" si="244"/>
      </c>
      <c r="P100" s="119">
        <f t="shared" si="162"/>
      </c>
      <c r="Q100" s="120">
        <f t="shared" si="122"/>
      </c>
      <c r="R100" s="121">
        <f t="shared" si="49"/>
      </c>
      <c r="S100" s="120">
        <f t="shared" si="264"/>
      </c>
      <c r="T100" s="122">
        <f t="shared" si="182"/>
      </c>
      <c r="U100" s="123" t="s">
        <v>94</v>
      </c>
      <c r="V100" s="124" t="s">
        <v>109</v>
      </c>
      <c r="W100" s="125">
        <v>0</v>
      </c>
      <c r="X100" s="125">
        <v>2198</v>
      </c>
      <c r="Y100" s="125">
        <v>261</v>
      </c>
      <c r="Z100" s="125">
        <v>322</v>
      </c>
      <c r="AA100" s="125">
        <v>109</v>
      </c>
      <c r="AB100" s="125">
        <v>18</v>
      </c>
      <c r="AC100" s="126">
        <v>0</v>
      </c>
      <c r="AD100" s="126">
        <v>6</v>
      </c>
      <c r="AE100" s="106"/>
      <c r="AF100" s="106"/>
    </row>
    <row r="101">
      <c r="A101" s="152"/>
      <c r="B101" s="158" t="s">
        <v>92</v>
      </c>
      <c r="C101" s="116" t="s">
        <v>110</v>
      </c>
      <c r="D101" s="115">
        <f t="shared" si="73"/>
      </c>
      <c r="E101" s="115">
        <v>814.65</v>
      </c>
      <c r="F101" s="115">
        <v>183.96</v>
      </c>
      <c r="G101" s="131">
        <v>0</v>
      </c>
      <c r="H101" s="116">
        <v>0</v>
      </c>
      <c r="I101" s="118">
        <f t="shared" si="9"/>
      </c>
      <c r="J101" s="154">
        <f t="shared" si="204"/>
      </c>
      <c r="K101" s="120">
        <f t="shared" si="142"/>
      </c>
      <c r="L101" s="119">
        <f t="shared" si="224"/>
      </c>
      <c r="M101" s="119">
        <f t="shared" si="102"/>
      </c>
      <c r="N101" s="120">
        <f t="shared" si="29"/>
      </c>
      <c r="O101" s="119">
        <f t="shared" si="244"/>
      </c>
      <c r="P101" s="119">
        <f t="shared" si="162"/>
      </c>
      <c r="Q101" s="120">
        <f t="shared" si="122"/>
      </c>
      <c r="R101" s="121">
        <f t="shared" si="49"/>
      </c>
      <c r="S101" s="120">
        <f t="shared" si="264"/>
      </c>
      <c r="T101" s="122">
        <f t="shared" si="182"/>
      </c>
      <c r="U101" s="123" t="s">
        <v>94</v>
      </c>
      <c r="V101" s="124" t="s">
        <v>109</v>
      </c>
      <c r="W101" s="125">
        <v>0</v>
      </c>
      <c r="X101" s="125">
        <v>3542</v>
      </c>
      <c r="Y101" s="125">
        <v>295</v>
      </c>
      <c r="Z101" s="125">
        <v>419</v>
      </c>
      <c r="AA101" s="125">
        <v>99</v>
      </c>
      <c r="AB101" s="125">
        <v>26</v>
      </c>
      <c r="AC101" s="126">
        <v>1</v>
      </c>
      <c r="AD101" s="126">
        <v>8</v>
      </c>
      <c r="AE101" s="106"/>
      <c r="AF101" s="106"/>
    </row>
    <row r="102">
      <c r="A102" s="152"/>
      <c r="B102" s="132" t="s">
        <v>99</v>
      </c>
      <c r="C102" s="132"/>
      <c r="D102" s="132">
        <f>SUM(D98:D101)</f>
      </c>
      <c r="E102" s="132">
        <f>SUM(E98:E101)</f>
      </c>
      <c r="F102" s="132">
        <f>SUM(F98:F101)</f>
      </c>
      <c r="G102" s="132">
        <f>SUM(G98:G101)</f>
      </c>
      <c r="H102" s="132">
        <f>SUM(H98:H101)</f>
      </c>
      <c r="I102" s="134">
        <f t="shared" si="9"/>
      </c>
      <c r="J102" s="155">
        <f t="shared" si="204"/>
      </c>
      <c r="K102" s="136">
        <f t="shared" si="142"/>
      </c>
      <c r="L102" s="135">
        <f t="shared" si="224"/>
      </c>
      <c r="M102" s="135">
        <f t="shared" si="102"/>
      </c>
      <c r="N102" s="136">
        <f t="shared" si="29"/>
      </c>
      <c r="O102" s="135">
        <f t="shared" si="244"/>
      </c>
      <c r="P102" s="135">
        <f t="shared" si="162"/>
      </c>
      <c r="Q102" s="136">
        <f t="shared" si="122"/>
      </c>
      <c r="R102" s="137">
        <f t="shared" si="49"/>
      </c>
      <c r="S102" s="136">
        <f t="shared" si="264"/>
      </c>
      <c r="T102" s="138">
        <f t="shared" si="182"/>
      </c>
      <c r="U102" s="138"/>
      <c r="V102" s="138"/>
      <c r="W102" s="132">
        <f>SUM(W98:W101)</f>
      </c>
      <c r="X102" s="132">
        <f>SUM(X98:X101)</f>
      </c>
      <c r="Y102" s="132">
        <f>SUM(Y98:Y101)</f>
      </c>
      <c r="Z102" s="132">
        <f>SUM(Z98:Z101)</f>
      </c>
      <c r="AA102" s="132">
        <f>SUM(AA98:AA101)</f>
      </c>
      <c r="AB102" s="132">
        <f>SUM(AB98:AB101)</f>
      </c>
      <c r="AC102" s="132">
        <f>SUM(AC98:AC101)</f>
      </c>
      <c r="AD102" s="132">
        <f>SUM(AD98:AD101)</f>
      </c>
      <c r="AE102" s="106"/>
      <c r="AF102" s="106"/>
    </row>
    <row r="103">
      <c r="A103" s="152"/>
      <c r="B103" s="116" t="s">
        <v>96</v>
      </c>
      <c r="C103" s="116" t="s">
        <v>108</v>
      </c>
      <c r="D103" s="115">
        <f t="shared" ref="D103:D106" si="74">E103+F103</f>
      </c>
      <c r="E103" s="115">
        <v>621.74</v>
      </c>
      <c r="F103" s="115">
        <v>338.49</v>
      </c>
      <c r="G103" s="131">
        <v>0</v>
      </c>
      <c r="H103" s="116">
        <v>0</v>
      </c>
      <c r="I103" s="118">
        <f t="shared" si="9"/>
      </c>
      <c r="J103" s="154">
        <f t="shared" si="204"/>
      </c>
      <c r="K103" s="120">
        <f t="shared" si="142"/>
      </c>
      <c r="L103" s="119">
        <f t="shared" si="224"/>
      </c>
      <c r="M103" s="119">
        <f t="shared" si="102"/>
      </c>
      <c r="N103" s="120">
        <f t="shared" si="29"/>
      </c>
      <c r="O103" s="119">
        <f t="shared" si="244"/>
      </c>
      <c r="P103" s="119">
        <f t="shared" si="162"/>
      </c>
      <c r="Q103" s="120">
        <f t="shared" si="122"/>
      </c>
      <c r="R103" s="121">
        <f t="shared" si="49"/>
      </c>
      <c r="S103" s="120">
        <f t="shared" si="264"/>
      </c>
      <c r="T103" s="122">
        <f t="shared" si="182"/>
      </c>
      <c r="U103" s="123" t="s">
        <v>94</v>
      </c>
      <c r="V103" s="124" t="s">
        <v>109</v>
      </c>
      <c r="W103" s="125">
        <v>0</v>
      </c>
      <c r="X103" s="125">
        <v>2204</v>
      </c>
      <c r="Y103" s="125">
        <v>217</v>
      </c>
      <c r="Z103" s="125">
        <v>336</v>
      </c>
      <c r="AA103" s="125">
        <v>98</v>
      </c>
      <c r="AB103" s="125">
        <v>10</v>
      </c>
      <c r="AC103" s="126">
        <v>0</v>
      </c>
      <c r="AD103" s="126">
        <v>10</v>
      </c>
      <c r="AE103" s="106"/>
      <c r="AF103" s="106"/>
    </row>
    <row r="104">
      <c r="A104" s="152"/>
      <c r="B104" s="115" t="s">
        <v>97</v>
      </c>
      <c r="C104" s="116" t="s">
        <v>108</v>
      </c>
      <c r="D104" s="115">
        <f t="shared" si="74"/>
      </c>
      <c r="E104" s="115">
        <v>1293.04</v>
      </c>
      <c r="F104" s="115">
        <v>605.29</v>
      </c>
      <c r="G104" s="131">
        <v>1</v>
      </c>
      <c r="H104" s="116">
        <v>1216.08</v>
      </c>
      <c r="I104" s="118">
        <f t="shared" si="9"/>
      </c>
      <c r="J104" s="154">
        <f t="shared" si="204"/>
      </c>
      <c r="K104" s="120">
        <f t="shared" si="142"/>
      </c>
      <c r="L104" s="119">
        <f t="shared" si="224"/>
      </c>
      <c r="M104" s="119">
        <f t="shared" si="102"/>
      </c>
      <c r="N104" s="120">
        <f t="shared" si="29"/>
      </c>
      <c r="O104" s="119">
        <f t="shared" si="244"/>
      </c>
      <c r="P104" s="119">
        <f t="shared" si="162"/>
      </c>
      <c r="Q104" s="120">
        <f t="shared" si="122"/>
      </c>
      <c r="R104" s="121">
        <f t="shared" si="49"/>
      </c>
      <c r="S104" s="120">
        <f t="shared" si="264"/>
      </c>
      <c r="T104" s="122">
        <f t="shared" si="182"/>
      </c>
      <c r="U104" s="123" t="s">
        <v>94</v>
      </c>
      <c r="V104" s="124" t="s">
        <v>109</v>
      </c>
      <c r="W104" s="125">
        <v>1</v>
      </c>
      <c r="X104" s="125">
        <v>4969</v>
      </c>
      <c r="Y104" s="125">
        <v>441</v>
      </c>
      <c r="Z104" s="125">
        <v>638</v>
      </c>
      <c r="AA104" s="125">
        <v>177</v>
      </c>
      <c r="AB104" s="125">
        <v>21</v>
      </c>
      <c r="AC104" s="126">
        <v>1</v>
      </c>
      <c r="AD104" s="126">
        <v>13</v>
      </c>
      <c r="AE104" s="106"/>
      <c r="AF104" s="106"/>
    </row>
    <row r="105">
      <c r="A105" s="152"/>
      <c r="B105" s="115" t="s">
        <v>98</v>
      </c>
      <c r="C105" s="116" t="s">
        <v>108</v>
      </c>
      <c r="D105" s="115">
        <f t="shared" si="74"/>
      </c>
      <c r="E105" s="115">
        <v>1461.3799999999999</v>
      </c>
      <c r="F105" s="115">
        <v>488.94</v>
      </c>
      <c r="G105" s="131">
        <v>2</v>
      </c>
      <c r="H105" s="116">
        <v>2956.08</v>
      </c>
      <c r="I105" s="118">
        <f t="shared" si="9"/>
      </c>
      <c r="J105" s="154">
        <f t="shared" si="204"/>
      </c>
      <c r="K105" s="120">
        <f t="shared" si="142"/>
      </c>
      <c r="L105" s="119">
        <f t="shared" si="224"/>
      </c>
      <c r="M105" s="119">
        <f t="shared" si="102"/>
      </c>
      <c r="N105" s="120">
        <f t="shared" si="29"/>
      </c>
      <c r="O105" s="119">
        <f t="shared" si="244"/>
      </c>
      <c r="P105" s="119">
        <f t="shared" si="162"/>
      </c>
      <c r="Q105" s="120">
        <f t="shared" si="122"/>
      </c>
      <c r="R105" s="121">
        <f t="shared" si="49"/>
      </c>
      <c r="S105" s="120">
        <f t="shared" si="264"/>
      </c>
      <c r="T105" s="122">
        <f t="shared" si="182"/>
      </c>
      <c r="U105" s="123" t="s">
        <v>94</v>
      </c>
      <c r="V105" s="124" t="s">
        <v>109</v>
      </c>
      <c r="W105" s="125">
        <v>1</v>
      </c>
      <c r="X105" s="125">
        <v>7066</v>
      </c>
      <c r="Y105" s="125">
        <v>535</v>
      </c>
      <c r="Z105" s="125">
        <v>753</v>
      </c>
      <c r="AA105" s="125">
        <v>185</v>
      </c>
      <c r="AB105" s="125">
        <v>27</v>
      </c>
      <c r="AC105" s="126">
        <v>2</v>
      </c>
      <c r="AD105" s="126">
        <v>24</v>
      </c>
      <c r="AE105" s="106"/>
      <c r="AF105" s="106"/>
    </row>
    <row r="106">
      <c r="A106" s="152"/>
      <c r="B106" s="115" t="s">
        <v>102</v>
      </c>
      <c r="C106" s="116" t="s">
        <v>108</v>
      </c>
      <c r="D106" s="115">
        <f t="shared" si="74"/>
      </c>
      <c r="E106" s="115">
        <v>570.1700000000001</v>
      </c>
      <c r="F106" s="115">
        <v>294.67</v>
      </c>
      <c r="G106" s="131">
        <v>1</v>
      </c>
      <c r="H106" s="116">
        <v>3103.08</v>
      </c>
      <c r="I106" s="118">
        <f t="shared" si="9"/>
      </c>
      <c r="J106" s="154">
        <f t="shared" si="204"/>
      </c>
      <c r="K106" s="120">
        <f t="shared" si="142"/>
      </c>
      <c r="L106" s="119">
        <f t="shared" si="224"/>
      </c>
      <c r="M106" s="119">
        <f t="shared" si="102"/>
      </c>
      <c r="N106" s="120">
        <f t="shared" si="29"/>
      </c>
      <c r="O106" s="119">
        <f t="shared" si="244"/>
      </c>
      <c r="P106" s="119">
        <f t="shared" si="162"/>
      </c>
      <c r="Q106" s="120">
        <f t="shared" si="122"/>
      </c>
      <c r="R106" s="121">
        <f t="shared" si="49"/>
      </c>
      <c r="S106" s="120">
        <f t="shared" si="264"/>
      </c>
      <c r="T106" s="122">
        <f t="shared" si="182"/>
      </c>
      <c r="U106" s="123" t="s">
        <v>94</v>
      </c>
      <c r="V106" s="124" t="s">
        <v>109</v>
      </c>
      <c r="W106" s="125">
        <v>0</v>
      </c>
      <c r="X106" s="125">
        <v>2638</v>
      </c>
      <c r="Y106" s="125">
        <v>182</v>
      </c>
      <c r="Z106" s="125">
        <v>289</v>
      </c>
      <c r="AA106" s="125">
        <v>74</v>
      </c>
      <c r="AB106" s="125">
        <v>14</v>
      </c>
      <c r="AC106" s="126">
        <v>1</v>
      </c>
      <c r="AD106" s="126">
        <v>11</v>
      </c>
      <c r="AE106" s="106"/>
      <c r="AF106" s="106"/>
    </row>
    <row r="107">
      <c r="A107" s="152"/>
      <c r="B107" s="132" t="s">
        <v>99</v>
      </c>
      <c r="C107" s="132"/>
      <c r="D107" s="132">
        <f>SUM(D103:D106)</f>
      </c>
      <c r="E107" s="132">
        <f>SUM(E103:E106)</f>
      </c>
      <c r="F107" s="132">
        <f>SUM(F103:F106)</f>
      </c>
      <c r="G107" s="132">
        <f>SUM(G103:G106)</f>
      </c>
      <c r="H107" s="132">
        <f>SUM(H103:H106)</f>
      </c>
      <c r="I107" s="134">
        <f t="shared" si="9"/>
      </c>
      <c r="J107" s="155">
        <f t="shared" si="204"/>
      </c>
      <c r="K107" s="136">
        <f t="shared" si="142"/>
      </c>
      <c r="L107" s="135">
        <f t="shared" si="224"/>
      </c>
      <c r="M107" s="135">
        <f t="shared" si="102"/>
      </c>
      <c r="N107" s="136">
        <f t="shared" si="29"/>
      </c>
      <c r="O107" s="135">
        <f t="shared" si="244"/>
      </c>
      <c r="P107" s="135">
        <f t="shared" si="162"/>
      </c>
      <c r="Q107" s="136">
        <f t="shared" si="122"/>
      </c>
      <c r="R107" s="137">
        <f t="shared" si="49"/>
      </c>
      <c r="S107" s="136">
        <f t="shared" si="264"/>
      </c>
      <c r="T107" s="138">
        <f t="shared" si="182"/>
      </c>
      <c r="U107" s="138"/>
      <c r="V107" s="138"/>
      <c r="W107" s="132">
        <f>SUM(W103:W106)</f>
      </c>
      <c r="X107" s="132">
        <f>SUM(X103:X106)</f>
      </c>
      <c r="Y107" s="132">
        <f>SUM(Y103:Y106)</f>
      </c>
      <c r="Z107" s="132">
        <f>SUM(Z103:Z106)</f>
      </c>
      <c r="AA107" s="132">
        <f>SUM(AA103:AA106)</f>
      </c>
      <c r="AB107" s="132">
        <f>SUM(AB103:AB106)</f>
      </c>
      <c r="AC107" s="132">
        <f>SUM(AC103:AC106)</f>
      </c>
      <c r="AD107" s="132">
        <f>SUM(AD103:AD106)</f>
      </c>
      <c r="AE107" s="106"/>
      <c r="AF107" s="106"/>
    </row>
    <row r="108">
      <c r="A108" s="152"/>
      <c r="B108" s="139" t="s">
        <v>100</v>
      </c>
      <c r="C108" s="139"/>
      <c r="D108" s="140">
        <f>D102+D107</f>
      </c>
      <c r="E108" s="140">
        <f>E102+E107</f>
      </c>
      <c r="F108" s="140">
        <f>F102+F107</f>
      </c>
      <c r="G108" s="140">
        <f>G102+G107</f>
      </c>
      <c r="H108" s="140">
        <f>H102+H107</f>
      </c>
      <c r="I108" s="140">
        <f t="shared" si="9"/>
      </c>
      <c r="J108" s="156">
        <f t="shared" si="204"/>
      </c>
      <c r="K108" s="140">
        <f t="shared" si="142"/>
      </c>
      <c r="L108" s="142">
        <f t="shared" si="224"/>
      </c>
      <c r="M108" s="142">
        <f t="shared" si="102"/>
      </c>
      <c r="N108" s="140">
        <f t="shared" si="29"/>
      </c>
      <c r="O108" s="142">
        <f t="shared" si="244"/>
      </c>
      <c r="P108" s="142">
        <f t="shared" si="162"/>
      </c>
      <c r="Q108" s="140">
        <f t="shared" si="122"/>
      </c>
      <c r="R108" s="143">
        <f t="shared" si="49"/>
      </c>
      <c r="S108" s="140">
        <f t="shared" si="264"/>
      </c>
      <c r="T108" s="144">
        <f t="shared" si="182"/>
      </c>
      <c r="U108" s="144"/>
      <c r="V108" s="144"/>
      <c r="W108" s="145">
        <f>W102+W107</f>
      </c>
      <c r="X108" s="145">
        <f>X102+X107</f>
      </c>
      <c r="Y108" s="145">
        <f>Y102+Y107</f>
      </c>
      <c r="Z108" s="145">
        <f>Z102+Z107</f>
      </c>
      <c r="AA108" s="145">
        <f>AA102+AA107</f>
      </c>
      <c r="AB108" s="145">
        <f>AB102+AB107</f>
      </c>
      <c r="AC108" s="145">
        <f>AC102+AC107</f>
      </c>
      <c r="AD108" s="145">
        <f>AD102+AD107</f>
      </c>
      <c r="AE108" s="106"/>
      <c r="AF108" s="106"/>
    </row>
    <row r="109">
      <c r="A109" s="97" t="s">
        <v>59</v>
      </c>
      <c r="B109" s="97"/>
      <c r="C109" s="97"/>
      <c r="D109" s="101" t="s">
        <v>60</v>
      </c>
      <c r="E109" s="101"/>
      <c r="F109" s="101"/>
      <c r="G109" s="101"/>
      <c r="H109" s="101"/>
      <c r="I109" s="101"/>
      <c r="J109" s="151" t="s">
        <v>61</v>
      </c>
      <c r="K109" s="151"/>
      <c r="L109" s="151"/>
      <c r="M109" s="151"/>
      <c r="N109" s="151"/>
      <c r="O109" s="151"/>
      <c r="P109" s="151"/>
      <c r="Q109" s="151"/>
      <c r="R109" s="151"/>
      <c r="S109" s="151"/>
      <c r="T109" s="103"/>
      <c r="U109" s="103"/>
      <c r="V109" s="103"/>
      <c r="W109" s="104"/>
      <c r="X109" s="104"/>
      <c r="Y109" s="104"/>
      <c r="Z109" s="104"/>
      <c r="AA109" s="104"/>
      <c r="AB109" s="104"/>
      <c r="AC109" s="104"/>
      <c r="AD109" s="105" t="s">
        <v>62</v>
      </c>
      <c r="AE109" s="106"/>
      <c r="AF109" s="106"/>
    </row>
    <row r="110">
      <c r="A110" s="97" t="s">
        <v>63</v>
      </c>
      <c r="B110" s="97" t="s">
        <v>64</v>
      </c>
      <c r="C110" s="97" t="s">
        <v>65</v>
      </c>
      <c r="D110" s="101" t="s">
        <v>66</v>
      </c>
      <c r="E110" s="108" t="s">
        <v>67</v>
      </c>
      <c r="F110" s="108" t="s">
        <v>68</v>
      </c>
      <c r="G110" s="100" t="s">
        <v>69</v>
      </c>
      <c r="H110" s="101" t="s">
        <v>70</v>
      </c>
      <c r="I110" s="108" t="s">
        <v>71</v>
      </c>
      <c r="J110" s="151" t="s">
        <v>72</v>
      </c>
      <c r="K110" s="102" t="s">
        <v>73</v>
      </c>
      <c r="L110" s="110" t="s">
        <v>74</v>
      </c>
      <c r="M110" s="110" t="s">
        <v>75</v>
      </c>
      <c r="N110" s="102" t="s">
        <v>76</v>
      </c>
      <c r="O110" s="110" t="s">
        <v>77</v>
      </c>
      <c r="P110" s="110" t="s">
        <v>78</v>
      </c>
      <c r="Q110" s="102" t="s">
        <v>79</v>
      </c>
      <c r="R110" s="110" t="s">
        <v>80</v>
      </c>
      <c r="S110" s="102" t="s">
        <v>81</v>
      </c>
      <c r="T110" s="111" t="s">
        <v>82</v>
      </c>
      <c r="U110" s="111" t="s">
        <v>83</v>
      </c>
      <c r="V110" s="111" t="s">
        <v>84</v>
      </c>
      <c r="W110" s="112" t="s">
        <v>85</v>
      </c>
      <c r="X110" s="113" t="s">
        <v>86</v>
      </c>
      <c r="Y110" s="113" t="s">
        <v>87</v>
      </c>
      <c r="Z110" s="113" t="s">
        <v>88</v>
      </c>
      <c r="AA110" s="113" t="s">
        <v>89</v>
      </c>
      <c r="AB110" s="113" t="s">
        <v>90</v>
      </c>
      <c r="AC110" s="113" t="s">
        <v>91</v>
      </c>
      <c r="AD110" s="105"/>
      <c r="AE110" s="106"/>
      <c r="AF110" s="106"/>
    </row>
    <row r="111">
      <c r="A111" s="152">
        <v>46286</v>
      </c>
      <c r="B111" s="157" t="s">
        <v>103</v>
      </c>
      <c r="C111" s="116" t="s">
        <v>93</v>
      </c>
      <c r="D111" s="115">
        <v>1347.66</v>
      </c>
      <c r="E111" s="115">
        <f t="shared" ref="E111:E115" si="193">D111-F111</f>
      </c>
      <c r="F111" s="115">
        <v>261.34</v>
      </c>
      <c r="G111" s="131">
        <v>0</v>
      </c>
      <c r="H111" s="116">
        <v>0</v>
      </c>
      <c r="I111" s="118">
        <f t="shared" ref="I111:I121" si="10">H111/D111</f>
      </c>
      <c r="J111" s="154">
        <f t="shared" ref="J111:J121" si="205">Y111/X111</f>
      </c>
      <c r="K111" s="120">
        <f t="shared" ref="K111:K121" si="143">D111/Z111</f>
      </c>
      <c r="L111" s="119">
        <f t="shared" ref="L111:L121" si="225">AA111/Z111</f>
      </c>
      <c r="M111" s="119">
        <f t="shared" ref="M111:M121" si="103">AB111/Z111</f>
      </c>
      <c r="N111" s="120">
        <f t="shared" ref="N111:N121" si="30">D111/AB111</f>
      </c>
      <c r="O111" s="119">
        <f t="shared" ref="O111:O121" si="245">AC111/AB111</f>
      </c>
      <c r="P111" s="119">
        <f t="shared" ref="P111:P121" si="163">G111/AC111</f>
      </c>
      <c r="Q111" s="120">
        <f t="shared" ref="Q111:Q121" si="123">D111/G111</f>
      </c>
      <c r="R111" s="121">
        <f t="shared" ref="R111:R121" si="50">H111/G111</f>
      </c>
      <c r="S111" s="120">
        <f t="shared" ref="S111:S121" si="265">D111/W111</f>
      </c>
      <c r="T111" s="122">
        <f t="shared" ref="T111:T121" si="183">AD111*1000/D111</f>
      </c>
      <c r="U111" s="123" t="s">
        <v>94</v>
      </c>
      <c r="V111" s="124" t="s">
        <v>111</v>
      </c>
      <c r="W111" s="126">
        <v>0</v>
      </c>
      <c r="X111" s="125">
        <v>3049</v>
      </c>
      <c r="Y111" s="125">
        <v>385</v>
      </c>
      <c r="Z111" s="125">
        <v>488</v>
      </c>
      <c r="AA111" s="125">
        <v>167</v>
      </c>
      <c r="AB111" s="125">
        <v>16</v>
      </c>
      <c r="AC111" s="126">
        <v>3</v>
      </c>
      <c r="AD111" s="126">
        <v>7</v>
      </c>
      <c r="AE111" s="106"/>
      <c r="AF111" s="106"/>
    </row>
    <row r="112">
      <c r="A112" s="152"/>
      <c r="B112" s="158" t="s">
        <v>104</v>
      </c>
      <c r="C112" s="116" t="s">
        <v>93</v>
      </c>
      <c r="D112" s="115">
        <v>1669.14</v>
      </c>
      <c r="E112" s="115">
        <f t="shared" si="193"/>
      </c>
      <c r="F112" s="115">
        <v>511.02</v>
      </c>
      <c r="G112" s="131">
        <v>0</v>
      </c>
      <c r="H112" s="116">
        <v>0</v>
      </c>
      <c r="I112" s="118">
        <f t="shared" si="10"/>
      </c>
      <c r="J112" s="154">
        <f t="shared" si="205"/>
      </c>
      <c r="K112" s="120">
        <f t="shared" si="143"/>
      </c>
      <c r="L112" s="119">
        <f t="shared" si="225"/>
      </c>
      <c r="M112" s="119">
        <f t="shared" si="103"/>
      </c>
      <c r="N112" s="120">
        <f t="shared" si="30"/>
      </c>
      <c r="O112" s="119">
        <f t="shared" si="245"/>
      </c>
      <c r="P112" s="119">
        <f t="shared" si="163"/>
      </c>
      <c r="Q112" s="120">
        <f t="shared" si="123"/>
      </c>
      <c r="R112" s="121">
        <f t="shared" si="50"/>
      </c>
      <c r="S112" s="120">
        <f t="shared" si="265"/>
      </c>
      <c r="T112" s="122">
        <f t="shared" si="183"/>
      </c>
      <c r="U112" s="123" t="s">
        <v>94</v>
      </c>
      <c r="V112" s="124" t="s">
        <v>111</v>
      </c>
      <c r="W112" s="126">
        <v>0</v>
      </c>
      <c r="X112" s="125">
        <v>3926</v>
      </c>
      <c r="Y112" s="125">
        <v>362</v>
      </c>
      <c r="Z112" s="125">
        <v>463</v>
      </c>
      <c r="AA112" s="125">
        <v>148</v>
      </c>
      <c r="AB112" s="125">
        <v>35</v>
      </c>
      <c r="AC112" s="126">
        <v>2</v>
      </c>
      <c r="AD112" s="126">
        <v>18</v>
      </c>
      <c r="AE112" s="106"/>
      <c r="AF112" s="106"/>
    </row>
    <row r="113">
      <c r="A113" s="152"/>
      <c r="B113" s="158" t="s">
        <v>105</v>
      </c>
      <c r="C113" s="116" t="s">
        <v>93</v>
      </c>
      <c r="D113" s="115">
        <v>1473.31</v>
      </c>
      <c r="E113" s="115">
        <f t="shared" si="193"/>
      </c>
      <c r="F113" s="115">
        <v>481.48</v>
      </c>
      <c r="G113" s="131">
        <v>0</v>
      </c>
      <c r="H113" s="116">
        <v>0</v>
      </c>
      <c r="I113" s="118">
        <f t="shared" si="10"/>
      </c>
      <c r="J113" s="154">
        <f t="shared" si="205"/>
      </c>
      <c r="K113" s="120">
        <f t="shared" si="143"/>
      </c>
      <c r="L113" s="119">
        <f t="shared" si="225"/>
      </c>
      <c r="M113" s="119">
        <f t="shared" si="103"/>
      </c>
      <c r="N113" s="120">
        <f t="shared" si="30"/>
      </c>
      <c r="O113" s="119">
        <f t="shared" si="245"/>
      </c>
      <c r="P113" s="119">
        <f t="shared" si="163"/>
      </c>
      <c r="Q113" s="120">
        <f t="shared" si="123"/>
      </c>
      <c r="R113" s="121">
        <f t="shared" si="50"/>
      </c>
      <c r="S113" s="120">
        <f t="shared" si="265"/>
      </c>
      <c r="T113" s="122">
        <f t="shared" si="183"/>
      </c>
      <c r="U113" s="123" t="s">
        <v>94</v>
      </c>
      <c r="V113" s="124" t="s">
        <v>111</v>
      </c>
      <c r="W113" s="126">
        <v>0</v>
      </c>
      <c r="X113" s="125">
        <v>3283</v>
      </c>
      <c r="Y113" s="125">
        <v>345</v>
      </c>
      <c r="Z113" s="125">
        <v>463</v>
      </c>
      <c r="AA113" s="125">
        <v>130</v>
      </c>
      <c r="AB113" s="125">
        <v>29</v>
      </c>
      <c r="AC113" s="126">
        <v>5</v>
      </c>
      <c r="AD113" s="126">
        <v>10</v>
      </c>
      <c r="AE113" s="106"/>
      <c r="AF113" s="106"/>
    </row>
    <row customHeight="true" ht="18.452380952380953" r="114">
      <c r="A114" s="152"/>
      <c r="B114" s="158" t="s">
        <v>92</v>
      </c>
      <c r="C114" s="116" t="s">
        <v>93</v>
      </c>
      <c r="D114" s="115">
        <v>1967.39</v>
      </c>
      <c r="E114" s="115">
        <f t="shared" si="193"/>
      </c>
      <c r="F114" s="115">
        <v>603.75</v>
      </c>
      <c r="G114" s="131">
        <v>1</v>
      </c>
      <c r="H114" s="116">
        <v>2506.68</v>
      </c>
      <c r="I114" s="118">
        <f t="shared" si="10"/>
      </c>
      <c r="J114" s="154">
        <f t="shared" si="205"/>
      </c>
      <c r="K114" s="120">
        <f t="shared" si="143"/>
      </c>
      <c r="L114" s="119">
        <f t="shared" si="225"/>
      </c>
      <c r="M114" s="119">
        <f t="shared" si="103"/>
      </c>
      <c r="N114" s="120">
        <f t="shared" si="30"/>
      </c>
      <c r="O114" s="119">
        <f t="shared" si="245"/>
      </c>
      <c r="P114" s="119">
        <f t="shared" si="163"/>
      </c>
      <c r="Q114" s="120">
        <f t="shared" si="123"/>
      </c>
      <c r="R114" s="121">
        <f t="shared" si="50"/>
      </c>
      <c r="S114" s="120">
        <f t="shared" si="265"/>
      </c>
      <c r="T114" s="122">
        <f t="shared" si="183"/>
      </c>
      <c r="U114" s="123" t="s">
        <v>94</v>
      </c>
      <c r="V114" s="124" t="s">
        <v>111</v>
      </c>
      <c r="W114" s="126">
        <v>1</v>
      </c>
      <c r="X114" s="125">
        <v>4933</v>
      </c>
      <c r="Y114" s="125">
        <v>364</v>
      </c>
      <c r="Z114" s="125">
        <v>502</v>
      </c>
      <c r="AA114" s="125">
        <v>117</v>
      </c>
      <c r="AB114" s="125">
        <v>36</v>
      </c>
      <c r="AC114" s="126">
        <v>3</v>
      </c>
      <c r="AD114" s="126">
        <v>19</v>
      </c>
      <c r="AE114" s="106"/>
      <c r="AF114" s="106"/>
    </row>
    <row r="115">
      <c r="A115" s="152"/>
      <c r="B115" s="116" t="s">
        <v>96</v>
      </c>
      <c r="C115" s="116" t="s">
        <v>93</v>
      </c>
      <c r="D115" s="115">
        <v>2392.09</v>
      </c>
      <c r="E115" s="115">
        <f t="shared" si="193"/>
      </c>
      <c r="F115" s="115">
        <v>1050.01</v>
      </c>
      <c r="G115" s="131">
        <v>2</v>
      </c>
      <c r="H115" s="116">
        <v>11577.84</v>
      </c>
      <c r="I115" s="118">
        <f t="shared" si="10"/>
      </c>
      <c r="J115" s="154">
        <f t="shared" si="205"/>
      </c>
      <c r="K115" s="120">
        <f t="shared" si="143"/>
      </c>
      <c r="L115" s="119">
        <f t="shared" si="225"/>
      </c>
      <c r="M115" s="119">
        <f t="shared" si="103"/>
      </c>
      <c r="N115" s="120">
        <f t="shared" si="30"/>
      </c>
      <c r="O115" s="119">
        <f t="shared" si="245"/>
      </c>
      <c r="P115" s="119">
        <f t="shared" si="163"/>
      </c>
      <c r="Q115" s="120">
        <f t="shared" si="123"/>
      </c>
      <c r="R115" s="121">
        <f t="shared" si="50"/>
      </c>
      <c r="S115" s="120">
        <f t="shared" si="265"/>
      </c>
      <c r="T115" s="122">
        <f t="shared" si="183"/>
      </c>
      <c r="U115" s="123" t="s">
        <v>94</v>
      </c>
      <c r="V115" s="124" t="s">
        <v>111</v>
      </c>
      <c r="W115" s="126">
        <v>2</v>
      </c>
      <c r="X115" s="125">
        <v>5218</v>
      </c>
      <c r="Y115" s="125">
        <v>438</v>
      </c>
      <c r="Z115" s="125">
        <v>648</v>
      </c>
      <c r="AA115" s="125">
        <v>179</v>
      </c>
      <c r="AB115" s="125">
        <v>39</v>
      </c>
      <c r="AC115" s="126">
        <v>4</v>
      </c>
      <c r="AD115" s="126">
        <v>11</v>
      </c>
      <c r="AE115" s="106"/>
      <c r="AF115" s="106"/>
    </row>
    <row r="116">
      <c r="A116" s="152"/>
      <c r="B116" s="132" t="s">
        <v>99</v>
      </c>
      <c r="C116" s="132"/>
      <c r="D116" s="132">
        <f>SUM(D111:D115)</f>
      </c>
      <c r="E116" s="132">
        <f>SUM(E111:E115)</f>
      </c>
      <c r="F116" s="132">
        <f>SUM(F111:F115)</f>
      </c>
      <c r="G116" s="132">
        <f>SUM(G111:G115)</f>
      </c>
      <c r="H116" s="132">
        <f>SUM(H111:H115)</f>
      </c>
      <c r="I116" s="134">
        <f t="shared" si="10"/>
      </c>
      <c r="J116" s="155">
        <f t="shared" si="205"/>
      </c>
      <c r="K116" s="136">
        <f t="shared" si="143"/>
      </c>
      <c r="L116" s="135">
        <f t="shared" si="225"/>
      </c>
      <c r="M116" s="135">
        <f t="shared" si="103"/>
      </c>
      <c r="N116" s="136">
        <f t="shared" si="30"/>
      </c>
      <c r="O116" s="135">
        <f t="shared" si="245"/>
      </c>
      <c r="P116" s="135">
        <f t="shared" si="163"/>
      </c>
      <c r="Q116" s="136">
        <f t="shared" si="123"/>
      </c>
      <c r="R116" s="137">
        <f t="shared" si="50"/>
      </c>
      <c r="S116" s="136">
        <f t="shared" si="265"/>
      </c>
      <c r="T116" s="138">
        <f t="shared" si="183"/>
      </c>
      <c r="U116" s="138"/>
      <c r="V116" s="138"/>
      <c r="W116" s="132">
        <f>SUM(W111:W115)</f>
      </c>
      <c r="X116" s="132">
        <f>SUM(X111:X115)</f>
      </c>
      <c r="Y116" s="132">
        <f>SUM(Y111:Y115)</f>
      </c>
      <c r="Z116" s="132">
        <f>SUM(Z111:Z115)</f>
      </c>
      <c r="AA116" s="132">
        <f>SUM(AA111:AA115)</f>
      </c>
      <c r="AB116" s="132">
        <f>SUM(AB111:AB115)</f>
      </c>
      <c r="AC116" s="132">
        <f>SUM(AC111:AC115)</f>
      </c>
      <c r="AD116" s="132">
        <f>SUM(AD111:AD115)</f>
      </c>
      <c r="AE116" s="106"/>
      <c r="AF116" s="106"/>
    </row>
    <row r="117">
      <c r="A117" s="152"/>
      <c r="B117" s="115" t="s">
        <v>97</v>
      </c>
      <c r="C117" s="116" t="s">
        <v>110</v>
      </c>
      <c r="D117" s="115">
        <v>3039.49</v>
      </c>
      <c r="E117" s="158">
        <f t="shared" ref="E117:E119" si="194">D117-F117</f>
      </c>
      <c r="F117" s="115">
        <v>605.29</v>
      </c>
      <c r="G117" s="131">
        <v>3</v>
      </c>
      <c r="H117" s="116">
        <v>4754.16</v>
      </c>
      <c r="I117" s="118">
        <f t="shared" si="10"/>
      </c>
      <c r="J117" s="154">
        <f t="shared" si="205"/>
      </c>
      <c r="K117" s="120">
        <f t="shared" si="143"/>
      </c>
      <c r="L117" s="119">
        <f t="shared" si="225"/>
      </c>
      <c r="M117" s="119">
        <f t="shared" si="103"/>
      </c>
      <c r="N117" s="120">
        <f t="shared" si="30"/>
      </c>
      <c r="O117" s="119">
        <f t="shared" si="245"/>
      </c>
      <c r="P117" s="119">
        <f t="shared" si="163"/>
      </c>
      <c r="Q117" s="120">
        <f t="shared" si="123"/>
      </c>
      <c r="R117" s="121">
        <f t="shared" si="50"/>
      </c>
      <c r="S117" s="120">
        <f t="shared" si="265"/>
      </c>
      <c r="T117" s="122">
        <f t="shared" si="183"/>
      </c>
      <c r="U117" s="123" t="s">
        <v>94</v>
      </c>
      <c r="V117" s="124" t="s">
        <v>111</v>
      </c>
      <c r="W117" s="126">
        <v>2</v>
      </c>
      <c r="X117" s="125">
        <v>9957</v>
      </c>
      <c r="Y117" s="125">
        <v>458</v>
      </c>
      <c r="Z117" s="125">
        <v>666</v>
      </c>
      <c r="AA117" s="125">
        <v>188</v>
      </c>
      <c r="AB117" s="125">
        <v>71</v>
      </c>
      <c r="AC117" s="126">
        <v>5</v>
      </c>
      <c r="AD117" s="126">
        <v>25</v>
      </c>
      <c r="AE117" s="106"/>
      <c r="AF117" s="106"/>
    </row>
    <row r="118">
      <c r="A118" s="152"/>
      <c r="B118" s="115" t="s">
        <v>98</v>
      </c>
      <c r="C118" s="116" t="s">
        <v>110</v>
      </c>
      <c r="D118" s="115">
        <v>3581.59</v>
      </c>
      <c r="E118" s="158">
        <f t="shared" si="194"/>
      </c>
      <c r="F118" s="115">
        <v>489.02</v>
      </c>
      <c r="G118" s="131">
        <v>1</v>
      </c>
      <c r="H118" s="116">
        <v>2811.3600000000006</v>
      </c>
      <c r="I118" s="118">
        <f t="shared" si="10"/>
      </c>
      <c r="J118" s="154">
        <f t="shared" si="205"/>
      </c>
      <c r="K118" s="120">
        <f t="shared" si="143"/>
      </c>
      <c r="L118" s="119">
        <f t="shared" si="225"/>
      </c>
      <c r="M118" s="119">
        <f t="shared" si="103"/>
      </c>
      <c r="N118" s="120">
        <f t="shared" si="30"/>
      </c>
      <c r="O118" s="119">
        <f t="shared" si="245"/>
      </c>
      <c r="P118" s="119">
        <f t="shared" si="163"/>
      </c>
      <c r="Q118" s="120">
        <f t="shared" si="123"/>
      </c>
      <c r="R118" s="121">
        <f t="shared" si="50"/>
      </c>
      <c r="S118" s="120">
        <f t="shared" si="265"/>
      </c>
      <c r="T118" s="122">
        <f t="shared" si="183"/>
      </c>
      <c r="U118" s="123" t="s">
        <v>94</v>
      </c>
      <c r="V118" s="124" t="s">
        <v>111</v>
      </c>
      <c r="W118" s="126">
        <v>0</v>
      </c>
      <c r="X118" s="125">
        <v>11390</v>
      </c>
      <c r="Y118" s="125">
        <v>464</v>
      </c>
      <c r="Z118" s="125">
        <v>555</v>
      </c>
      <c r="AA118" s="125">
        <v>159</v>
      </c>
      <c r="AB118" s="125">
        <v>88</v>
      </c>
      <c r="AC118" s="126">
        <v>5</v>
      </c>
      <c r="AD118" s="126">
        <v>21</v>
      </c>
      <c r="AE118" s="106"/>
      <c r="AF118" s="106"/>
    </row>
    <row r="119">
      <c r="A119" s="152"/>
      <c r="B119" s="115" t="s">
        <v>102</v>
      </c>
      <c r="C119" s="116" t="s">
        <v>110</v>
      </c>
      <c r="D119" s="116">
        <v>1414.98</v>
      </c>
      <c r="E119" s="158">
        <f t="shared" si="194"/>
      </c>
      <c r="F119" s="115">
        <v>249.22</v>
      </c>
      <c r="G119" s="131">
        <v>0</v>
      </c>
      <c r="H119" s="116">
        <v>0</v>
      </c>
      <c r="I119" s="118">
        <f t="shared" si="10"/>
      </c>
      <c r="J119" s="154">
        <f t="shared" si="205"/>
      </c>
      <c r="K119" s="120">
        <f t="shared" si="143"/>
      </c>
      <c r="L119" s="119">
        <f t="shared" si="225"/>
      </c>
      <c r="M119" s="119">
        <f t="shared" si="103"/>
      </c>
      <c r="N119" s="120">
        <f t="shared" si="30"/>
      </c>
      <c r="O119" s="119">
        <f t="shared" si="245"/>
      </c>
      <c r="P119" s="119">
        <f t="shared" si="163"/>
      </c>
      <c r="Q119" s="120">
        <f t="shared" si="123"/>
      </c>
      <c r="R119" s="121">
        <f t="shared" si="50"/>
      </c>
      <c r="S119" s="120">
        <f t="shared" si="265"/>
      </c>
      <c r="T119" s="122">
        <f t="shared" si="183"/>
      </c>
      <c r="U119" s="123" t="s">
        <v>94</v>
      </c>
      <c r="V119" s="124" t="s">
        <v>111</v>
      </c>
      <c r="W119" s="126">
        <v>0</v>
      </c>
      <c r="X119" s="125">
        <v>6095</v>
      </c>
      <c r="Y119" s="125">
        <v>256</v>
      </c>
      <c r="Z119" s="125">
        <v>354</v>
      </c>
      <c r="AA119" s="125">
        <v>92</v>
      </c>
      <c r="AB119" s="125">
        <v>50</v>
      </c>
      <c r="AC119" s="126">
        <v>4</v>
      </c>
      <c r="AD119" s="126">
        <v>10</v>
      </c>
      <c r="AE119" s="106"/>
      <c r="AF119" s="106"/>
    </row>
    <row r="120">
      <c r="A120" s="152"/>
      <c r="B120" s="132" t="s">
        <v>99</v>
      </c>
      <c r="C120" s="132"/>
      <c r="D120" s="132">
        <f>SUM(D117:D119)</f>
      </c>
      <c r="E120" s="132">
        <f>SUM(E117:E119)</f>
      </c>
      <c r="F120" s="132">
        <f>SUM(F117:F119)</f>
      </c>
      <c r="G120" s="132">
        <f>SUM(G117:G119)</f>
      </c>
      <c r="H120" s="132">
        <f>SUM(H117:H119)</f>
      </c>
      <c r="I120" s="134">
        <f t="shared" si="10"/>
      </c>
      <c r="J120" s="155">
        <f t="shared" si="205"/>
      </c>
      <c r="K120" s="136">
        <f t="shared" si="143"/>
      </c>
      <c r="L120" s="135">
        <f t="shared" si="225"/>
      </c>
      <c r="M120" s="135">
        <f t="shared" si="103"/>
      </c>
      <c r="N120" s="136">
        <f t="shared" si="30"/>
      </c>
      <c r="O120" s="135">
        <f t="shared" si="245"/>
      </c>
      <c r="P120" s="135">
        <f t="shared" si="163"/>
      </c>
      <c r="Q120" s="136">
        <f t="shared" si="123"/>
      </c>
      <c r="R120" s="137">
        <f t="shared" si="50"/>
      </c>
      <c r="S120" s="136">
        <f t="shared" si="265"/>
      </c>
      <c r="T120" s="138">
        <f t="shared" si="183"/>
      </c>
      <c r="U120" s="138"/>
      <c r="V120" s="138"/>
      <c r="W120" s="132">
        <f>SUM(W117:W119)</f>
      </c>
      <c r="X120" s="132">
        <f>SUM(X117:X119)</f>
      </c>
      <c r="Y120" s="132">
        <f>SUM(Y117:Y119)</f>
      </c>
      <c r="Z120" s="132">
        <f>SUM(Z117:Z119)</f>
      </c>
      <c r="AA120" s="132">
        <f>SUM(AA117:AA119)</f>
      </c>
      <c r="AB120" s="132">
        <f>SUM(AB117:AB119)</f>
      </c>
      <c r="AC120" s="132">
        <f>SUM(AC117:AC119)</f>
      </c>
      <c r="AD120" s="132">
        <f>SUM(AD117:AD119)</f>
      </c>
      <c r="AE120" s="106"/>
      <c r="AF120" s="106"/>
    </row>
    <row customHeight="true" ht="20.634956376681572" r="121">
      <c r="A121" s="152"/>
      <c r="B121" s="139" t="s">
        <v>100</v>
      </c>
      <c r="C121" s="139"/>
      <c r="D121" s="140">
        <f>D116+D120</f>
      </c>
      <c r="E121" s="140">
        <f>E116+E120</f>
      </c>
      <c r="F121" s="140">
        <f>F116+F120</f>
      </c>
      <c r="G121" s="140">
        <f>G116+G120</f>
      </c>
      <c r="H121" s="140">
        <f>H116+H120</f>
      </c>
      <c r="I121" s="140">
        <f t="shared" si="10"/>
      </c>
      <c r="J121" s="156">
        <f t="shared" si="205"/>
      </c>
      <c r="K121" s="140">
        <f t="shared" si="143"/>
      </c>
      <c r="L121" s="142">
        <f t="shared" si="225"/>
      </c>
      <c r="M121" s="142">
        <f t="shared" si="103"/>
      </c>
      <c r="N121" s="140">
        <f t="shared" si="30"/>
      </c>
      <c r="O121" s="142">
        <f t="shared" si="245"/>
      </c>
      <c r="P121" s="142">
        <f t="shared" si="163"/>
      </c>
      <c r="Q121" s="140">
        <f t="shared" si="123"/>
      </c>
      <c r="R121" s="143">
        <f t="shared" si="50"/>
      </c>
      <c r="S121" s="140">
        <f t="shared" si="265"/>
      </c>
      <c r="T121" s="144">
        <f t="shared" si="183"/>
      </c>
      <c r="U121" s="144"/>
      <c r="V121" s="144"/>
      <c r="W121" s="145">
        <f>W116+W120</f>
      </c>
      <c r="X121" s="145">
        <f>X116+X120</f>
      </c>
      <c r="Y121" s="145">
        <f>Y116+Y120</f>
      </c>
      <c r="Z121" s="145">
        <f>Z116+Z120</f>
      </c>
      <c r="AA121" s="145">
        <f>AA116+AA120</f>
      </c>
      <c r="AB121" s="145">
        <f>AB116+AB120</f>
      </c>
      <c r="AC121" s="145">
        <f>AC116+AC120</f>
      </c>
      <c r="AD121" s="145">
        <f>AD116+AD120</f>
      </c>
      <c r="AE121" s="106"/>
      <c r="AF121" s="106"/>
    </row>
    <row r="122">
      <c r="A122" s="97" t="s">
        <v>59</v>
      </c>
      <c r="B122" s="97"/>
      <c r="C122" s="97"/>
      <c r="D122" s="101" t="s">
        <v>60</v>
      </c>
      <c r="E122" s="101"/>
      <c r="F122" s="101"/>
      <c r="G122" s="101"/>
      <c r="H122" s="101"/>
      <c r="I122" s="101"/>
      <c r="J122" s="151" t="s">
        <v>61</v>
      </c>
      <c r="K122" s="151"/>
      <c r="L122" s="151"/>
      <c r="M122" s="151"/>
      <c r="N122" s="151"/>
      <c r="O122" s="151"/>
      <c r="P122" s="151"/>
      <c r="Q122" s="151"/>
      <c r="R122" s="151"/>
      <c r="S122" s="151"/>
      <c r="T122" s="103"/>
      <c r="U122" s="103"/>
      <c r="V122" s="103"/>
      <c r="W122" s="104"/>
      <c r="X122" s="104"/>
      <c r="Y122" s="104"/>
      <c r="Z122" s="104"/>
      <c r="AA122" s="104"/>
      <c r="AB122" s="104"/>
      <c r="AC122" s="104"/>
      <c r="AD122" s="105" t="s">
        <v>62</v>
      </c>
      <c r="AE122" s="106"/>
      <c r="AF122" s="106"/>
    </row>
    <row r="123">
      <c r="A123" s="97" t="s">
        <v>63</v>
      </c>
      <c r="B123" s="97" t="s">
        <v>64</v>
      </c>
      <c r="C123" s="97" t="s">
        <v>65</v>
      </c>
      <c r="D123" s="101" t="s">
        <v>66</v>
      </c>
      <c r="E123" s="108" t="s">
        <v>67</v>
      </c>
      <c r="F123" s="108" t="s">
        <v>68</v>
      </c>
      <c r="G123" s="100" t="s">
        <v>69</v>
      </c>
      <c r="H123" s="101" t="s">
        <v>70</v>
      </c>
      <c r="I123" s="108" t="s">
        <v>71</v>
      </c>
      <c r="J123" s="151" t="s">
        <v>72</v>
      </c>
      <c r="K123" s="102" t="s">
        <v>73</v>
      </c>
      <c r="L123" s="110" t="s">
        <v>74</v>
      </c>
      <c r="M123" s="110" t="s">
        <v>75</v>
      </c>
      <c r="N123" s="102" t="s">
        <v>76</v>
      </c>
      <c r="O123" s="110" t="s">
        <v>77</v>
      </c>
      <c r="P123" s="110" t="s">
        <v>78</v>
      </c>
      <c r="Q123" s="102" t="s">
        <v>79</v>
      </c>
      <c r="R123" s="110" t="s">
        <v>80</v>
      </c>
      <c r="S123" s="102" t="s">
        <v>81</v>
      </c>
      <c r="T123" s="111" t="s">
        <v>82</v>
      </c>
      <c r="U123" s="111" t="s">
        <v>83</v>
      </c>
      <c r="V123" s="111" t="s">
        <v>84</v>
      </c>
      <c r="W123" s="112" t="s">
        <v>85</v>
      </c>
      <c r="X123" s="113" t="s">
        <v>86</v>
      </c>
      <c r="Y123" s="113" t="s">
        <v>87</v>
      </c>
      <c r="Z123" s="113" t="s">
        <v>88</v>
      </c>
      <c r="AA123" s="113" t="s">
        <v>89</v>
      </c>
      <c r="AB123" s="113" t="s">
        <v>90</v>
      </c>
      <c r="AC123" s="113" t="s">
        <v>91</v>
      </c>
      <c r="AD123" s="105"/>
      <c r="AE123" s="106"/>
      <c r="AF123" s="106"/>
    </row>
    <row r="124">
      <c r="A124" s="152">
        <v>46287</v>
      </c>
      <c r="B124" s="157" t="s">
        <v>103</v>
      </c>
      <c r="C124" s="116" t="s">
        <v>101</v>
      </c>
      <c r="D124" s="115">
        <f t="shared" ref="D124:D128" si="75">E124+F124</f>
      </c>
      <c r="E124" s="115">
        <v>700.87</v>
      </c>
      <c r="F124" s="115">
        <v>502.21</v>
      </c>
      <c r="G124" s="131">
        <v>0</v>
      </c>
      <c r="H124" s="116">
        <v>0</v>
      </c>
      <c r="I124" s="118">
        <f t="shared" ref="I124:I134" si="11">H124/D124</f>
      </c>
      <c r="J124" s="154">
        <f t="shared" ref="J124:J134" si="206">Y124/X124</f>
      </c>
      <c r="K124" s="120">
        <f t="shared" ref="K124:K134" si="144">D124/Z124</f>
      </c>
      <c r="L124" s="119">
        <f t="shared" ref="L124:L134" si="226">AA124/Z124</f>
      </c>
      <c r="M124" s="119">
        <f t="shared" ref="M124:M134" si="104">AB124/Z124</f>
      </c>
      <c r="N124" s="120">
        <f t="shared" ref="N124:N134" si="31">D124/AB124</f>
      </c>
      <c r="O124" s="119">
        <f t="shared" ref="O124:O134" si="246">AC124/AB124</f>
      </c>
      <c r="P124" s="119">
        <f t="shared" ref="P124:P134" si="164">G124/AC124</f>
      </c>
      <c r="Q124" s="120">
        <f t="shared" ref="Q124:Q134" si="124">D124/G124</f>
      </c>
      <c r="R124" s="121">
        <f t="shared" ref="R124:R134" si="51">H124/G124</f>
      </c>
      <c r="S124" s="120">
        <f t="shared" ref="S124:S134" si="266">D124/W124</f>
      </c>
      <c r="T124" s="122">
        <f t="shared" ref="T124:T134" si="184">AD124*1000/D124</f>
      </c>
      <c r="U124" s="123" t="s">
        <v>94</v>
      </c>
      <c r="V124" s="124" t="s">
        <v>109</v>
      </c>
      <c r="W124" s="125">
        <v>0</v>
      </c>
      <c r="X124" s="125">
        <v>3121</v>
      </c>
      <c r="Y124" s="125">
        <v>258</v>
      </c>
      <c r="Z124" s="125">
        <v>372</v>
      </c>
      <c r="AA124" s="125">
        <v>114</v>
      </c>
      <c r="AB124" s="125">
        <v>16</v>
      </c>
      <c r="AC124" s="126">
        <v>0</v>
      </c>
      <c r="AD124" s="126">
        <v>6</v>
      </c>
      <c r="AE124" s="106"/>
      <c r="AF124" s="106"/>
    </row>
    <row r="125">
      <c r="A125" s="152"/>
      <c r="B125" s="158" t="s">
        <v>104</v>
      </c>
      <c r="C125" s="116" t="s">
        <v>101</v>
      </c>
      <c r="D125" s="115">
        <f t="shared" si="75"/>
      </c>
      <c r="E125" s="115">
        <v>281.85</v>
      </c>
      <c r="F125" s="115">
        <v>416.68</v>
      </c>
      <c r="G125" s="131">
        <v>2</v>
      </c>
      <c r="H125" s="116">
        <v>8501.16</v>
      </c>
      <c r="I125" s="118">
        <f t="shared" si="11"/>
      </c>
      <c r="J125" s="154">
        <f t="shared" si="206"/>
      </c>
      <c r="K125" s="120">
        <f t="shared" si="144"/>
      </c>
      <c r="L125" s="119">
        <f t="shared" si="226"/>
      </c>
      <c r="M125" s="119">
        <f t="shared" si="104"/>
      </c>
      <c r="N125" s="120">
        <f t="shared" si="31"/>
      </c>
      <c r="O125" s="119">
        <f t="shared" si="246"/>
      </c>
      <c r="P125" s="119">
        <f t="shared" si="164"/>
      </c>
      <c r="Q125" s="120">
        <f t="shared" si="124"/>
      </c>
      <c r="R125" s="121">
        <f t="shared" si="51"/>
      </c>
      <c r="S125" s="120">
        <f t="shared" si="266"/>
      </c>
      <c r="T125" s="122">
        <f t="shared" si="184"/>
      </c>
      <c r="U125" s="123" t="s">
        <v>94</v>
      </c>
      <c r="V125" s="124" t="s">
        <v>109</v>
      </c>
      <c r="W125" s="125">
        <v>1</v>
      </c>
      <c r="X125" s="125">
        <v>1073</v>
      </c>
      <c r="Y125" s="125">
        <v>139</v>
      </c>
      <c r="Z125" s="125">
        <v>198</v>
      </c>
      <c r="AA125" s="125">
        <v>48</v>
      </c>
      <c r="AB125" s="125">
        <v>9</v>
      </c>
      <c r="AC125" s="126">
        <v>2</v>
      </c>
      <c r="AD125" s="126">
        <v>8</v>
      </c>
      <c r="AE125" s="106"/>
      <c r="AF125" s="106"/>
    </row>
    <row r="126">
      <c r="A126" s="152"/>
      <c r="B126" s="158" t="s">
        <v>105</v>
      </c>
      <c r="C126" s="116" t="s">
        <v>101</v>
      </c>
      <c r="D126" s="115">
        <f t="shared" si="75"/>
      </c>
      <c r="E126" s="115">
        <v>644.78</v>
      </c>
      <c r="F126" s="115">
        <v>619.02</v>
      </c>
      <c r="G126" s="131">
        <v>2</v>
      </c>
      <c r="H126" s="116">
        <v>5394.120000000001</v>
      </c>
      <c r="I126" s="118">
        <f t="shared" si="11"/>
      </c>
      <c r="J126" s="154">
        <f t="shared" si="206"/>
      </c>
      <c r="K126" s="120">
        <f t="shared" si="144"/>
      </c>
      <c r="L126" s="119">
        <f t="shared" si="226"/>
      </c>
      <c r="M126" s="119">
        <f t="shared" si="104"/>
      </c>
      <c r="N126" s="120">
        <f t="shared" si="31"/>
      </c>
      <c r="O126" s="119">
        <f t="shared" si="246"/>
      </c>
      <c r="P126" s="119">
        <f t="shared" si="164"/>
      </c>
      <c r="Q126" s="120">
        <f t="shared" si="124"/>
      </c>
      <c r="R126" s="121">
        <f t="shared" si="51"/>
      </c>
      <c r="S126" s="120">
        <f t="shared" si="266"/>
      </c>
      <c r="T126" s="122">
        <f t="shared" si="184"/>
      </c>
      <c r="U126" s="123" t="s">
        <v>94</v>
      </c>
      <c r="V126" s="124" t="s">
        <v>109</v>
      </c>
      <c r="W126" s="126">
        <v>3</v>
      </c>
      <c r="X126" s="125">
        <v>2819</v>
      </c>
      <c r="Y126" s="125">
        <v>376</v>
      </c>
      <c r="Z126" s="125">
        <v>528</v>
      </c>
      <c r="AA126" s="125">
        <v>169</v>
      </c>
      <c r="AB126" s="125">
        <v>25</v>
      </c>
      <c r="AC126" s="126">
        <v>3</v>
      </c>
      <c r="AD126" s="126">
        <v>8</v>
      </c>
      <c r="AE126" s="106"/>
      <c r="AF126" s="106"/>
    </row>
    <row r="127">
      <c r="A127" s="152"/>
      <c r="B127" s="158" t="s">
        <v>92</v>
      </c>
      <c r="C127" s="116" t="s">
        <v>101</v>
      </c>
      <c r="D127" s="115">
        <f t="shared" si="75"/>
      </c>
      <c r="E127" s="115">
        <v>1960.04</v>
      </c>
      <c r="F127" s="115">
        <v>767.08</v>
      </c>
      <c r="G127" s="131">
        <v>1</v>
      </c>
      <c r="H127" s="116">
        <v>1746.7199999999993</v>
      </c>
      <c r="I127" s="118">
        <f t="shared" si="11"/>
      </c>
      <c r="J127" s="154">
        <f t="shared" si="206"/>
      </c>
      <c r="K127" s="120">
        <f t="shared" si="144"/>
      </c>
      <c r="L127" s="119">
        <f t="shared" si="226"/>
      </c>
      <c r="M127" s="119">
        <f t="shared" si="104"/>
      </c>
      <c r="N127" s="120">
        <f t="shared" si="31"/>
      </c>
      <c r="O127" s="119">
        <f t="shared" si="246"/>
      </c>
      <c r="P127" s="119">
        <f t="shared" si="164"/>
      </c>
      <c r="Q127" s="120">
        <f t="shared" si="124"/>
      </c>
      <c r="R127" s="121">
        <f t="shared" si="51"/>
      </c>
      <c r="S127" s="120">
        <f t="shared" si="266"/>
      </c>
      <c r="T127" s="122">
        <f t="shared" si="184"/>
      </c>
      <c r="U127" s="123" t="s">
        <v>94</v>
      </c>
      <c r="V127" s="124" t="s">
        <v>109</v>
      </c>
      <c r="W127" s="126">
        <v>1</v>
      </c>
      <c r="X127" s="125">
        <v>6352</v>
      </c>
      <c r="Y127" s="125">
        <v>446</v>
      </c>
      <c r="Z127" s="125">
        <v>686</v>
      </c>
      <c r="AA127" s="125">
        <v>213</v>
      </c>
      <c r="AB127" s="125">
        <v>44</v>
      </c>
      <c r="AC127" s="126">
        <v>1</v>
      </c>
      <c r="AD127" s="126">
        <v>16</v>
      </c>
      <c r="AE127" s="106"/>
      <c r="AF127" s="106"/>
    </row>
    <row r="128">
      <c r="A128" s="152"/>
      <c r="B128" s="116" t="s">
        <v>96</v>
      </c>
      <c r="C128" s="116" t="s">
        <v>101</v>
      </c>
      <c r="D128" s="115">
        <f t="shared" si="75"/>
      </c>
      <c r="E128" s="115">
        <v>2953.1</v>
      </c>
      <c r="F128" s="115">
        <v>1014.48</v>
      </c>
      <c r="G128" s="131">
        <v>4</v>
      </c>
      <c r="H128" s="116">
        <v>9352.079999999998</v>
      </c>
      <c r="I128" s="118">
        <f t="shared" si="11"/>
      </c>
      <c r="J128" s="154">
        <f t="shared" si="206"/>
      </c>
      <c r="K128" s="120">
        <f t="shared" si="144"/>
      </c>
      <c r="L128" s="119">
        <f t="shared" si="226"/>
      </c>
      <c r="M128" s="119">
        <f t="shared" si="104"/>
      </c>
      <c r="N128" s="120">
        <f t="shared" si="31"/>
      </c>
      <c r="O128" s="119">
        <f t="shared" si="246"/>
      </c>
      <c r="P128" s="119">
        <f t="shared" si="164"/>
      </c>
      <c r="Q128" s="120">
        <f t="shared" si="124"/>
      </c>
      <c r="R128" s="121">
        <f t="shared" si="51"/>
      </c>
      <c r="S128" s="120">
        <f t="shared" si="266"/>
      </c>
      <c r="T128" s="122">
        <f t="shared" si="184"/>
      </c>
      <c r="U128" s="123" t="s">
        <v>94</v>
      </c>
      <c r="V128" s="124" t="s">
        <v>109</v>
      </c>
      <c r="W128" s="125">
        <v>4</v>
      </c>
      <c r="X128" s="125">
        <v>10319</v>
      </c>
      <c r="Y128" s="125">
        <v>738</v>
      </c>
      <c r="Z128" s="125">
        <v>1106</v>
      </c>
      <c r="AA128" s="125">
        <v>334</v>
      </c>
      <c r="AB128" s="125">
        <v>68</v>
      </c>
      <c r="AC128" s="126">
        <v>5</v>
      </c>
      <c r="AD128" s="126">
        <v>26</v>
      </c>
      <c r="AE128" s="106"/>
      <c r="AF128" s="106"/>
    </row>
    <row r="129">
      <c r="A129" s="152"/>
      <c r="B129" s="132" t="s">
        <v>99</v>
      </c>
      <c r="C129" s="132"/>
      <c r="D129" s="132">
        <f>SUM(D124:D128)</f>
      </c>
      <c r="E129" s="132">
        <f>SUM(E124:E128)</f>
      </c>
      <c r="F129" s="132">
        <f>SUM(F124:F128)</f>
      </c>
      <c r="G129" s="132">
        <f>SUM(G124:G128)</f>
      </c>
      <c r="H129" s="132">
        <f>SUM(H124:H128)</f>
      </c>
      <c r="I129" s="134">
        <f t="shared" si="11"/>
      </c>
      <c r="J129" s="155">
        <f t="shared" si="206"/>
      </c>
      <c r="K129" s="136">
        <f t="shared" si="144"/>
      </c>
      <c r="L129" s="135">
        <f t="shared" si="226"/>
      </c>
      <c r="M129" s="135">
        <f t="shared" si="104"/>
      </c>
      <c r="N129" s="136">
        <f t="shared" si="31"/>
      </c>
      <c r="O129" s="135">
        <f t="shared" si="246"/>
      </c>
      <c r="P129" s="135">
        <f t="shared" si="164"/>
      </c>
      <c r="Q129" s="136">
        <f t="shared" si="124"/>
      </c>
      <c r="R129" s="137">
        <f t="shared" si="51"/>
      </c>
      <c r="S129" s="136">
        <f t="shared" si="266"/>
      </c>
      <c r="T129" s="138">
        <f t="shared" si="184"/>
      </c>
      <c r="U129" s="138"/>
      <c r="V129" s="138"/>
      <c r="W129" s="132">
        <f>SUM(W124:W128)</f>
      </c>
      <c r="X129" s="132">
        <f>SUM(X124:X128)</f>
      </c>
      <c r="Y129" s="132">
        <f>SUM(Y124:Y128)</f>
      </c>
      <c r="Z129" s="132">
        <f>SUM(Z124:Z128)</f>
      </c>
      <c r="AA129" s="132">
        <f>SUM(AA124:AA128)</f>
      </c>
      <c r="AB129" s="132">
        <f>SUM(AB124:AB128)</f>
      </c>
      <c r="AC129" s="132">
        <f>SUM(AC124:AC128)</f>
      </c>
      <c r="AD129" s="132">
        <f>SUM(AD124:AD128)</f>
      </c>
      <c r="AE129" s="106"/>
      <c r="AF129" s="106"/>
    </row>
    <row r="130">
      <c r="A130" s="152"/>
      <c r="B130" s="115" t="s">
        <v>97</v>
      </c>
      <c r="C130" s="116" t="s">
        <v>110</v>
      </c>
      <c r="D130" s="115">
        <f t="shared" ref="D130:D132" si="76">E130+F130</f>
      </c>
      <c r="E130" s="115">
        <v>2567.01</v>
      </c>
      <c r="F130" s="115">
        <v>1350.48</v>
      </c>
      <c r="G130" s="131">
        <v>2</v>
      </c>
      <c r="H130" s="116">
        <v>6908.279999999999</v>
      </c>
      <c r="I130" s="118">
        <f t="shared" si="11"/>
      </c>
      <c r="J130" s="154">
        <f t="shared" si="206"/>
      </c>
      <c r="K130" s="120">
        <f t="shared" si="144"/>
      </c>
      <c r="L130" s="119">
        <f t="shared" si="226"/>
      </c>
      <c r="M130" s="119">
        <f t="shared" si="104"/>
      </c>
      <c r="N130" s="120">
        <f t="shared" si="31"/>
      </c>
      <c r="O130" s="119">
        <f t="shared" si="246"/>
      </c>
      <c r="P130" s="119">
        <f t="shared" si="164"/>
      </c>
      <c r="Q130" s="120">
        <f t="shared" si="124"/>
      </c>
      <c r="R130" s="121">
        <f t="shared" si="51"/>
      </c>
      <c r="S130" s="120">
        <f t="shared" si="266"/>
      </c>
      <c r="T130" s="122">
        <f t="shared" si="184"/>
      </c>
      <c r="U130" s="123" t="s">
        <v>94</v>
      </c>
      <c r="V130" s="124" t="s">
        <v>109</v>
      </c>
      <c r="W130" s="125">
        <v>2</v>
      </c>
      <c r="X130" s="125">
        <v>9906</v>
      </c>
      <c r="Y130" s="125">
        <v>933</v>
      </c>
      <c r="Z130" s="125">
        <v>1499</v>
      </c>
      <c r="AA130" s="125">
        <v>411</v>
      </c>
      <c r="AB130" s="125">
        <v>63</v>
      </c>
      <c r="AC130" s="126">
        <v>2</v>
      </c>
      <c r="AD130" s="126">
        <v>33</v>
      </c>
      <c r="AE130" s="106"/>
      <c r="AF130" s="106"/>
    </row>
    <row r="131">
      <c r="A131" s="152"/>
      <c r="B131" s="115" t="s">
        <v>98</v>
      </c>
      <c r="C131" s="116" t="s">
        <v>110</v>
      </c>
      <c r="D131" s="115">
        <f t="shared" si="76"/>
      </c>
      <c r="E131" s="115">
        <v>2370.8300000000004</v>
      </c>
      <c r="F131" s="115">
        <v>1919</v>
      </c>
      <c r="G131" s="131">
        <v>1</v>
      </c>
      <c r="H131" s="116">
        <v>1638.9600000000028</v>
      </c>
      <c r="I131" s="118">
        <f t="shared" si="11"/>
      </c>
      <c r="J131" s="154">
        <f t="shared" si="206"/>
      </c>
      <c r="K131" s="120">
        <f t="shared" si="144"/>
      </c>
      <c r="L131" s="119">
        <f t="shared" si="226"/>
      </c>
      <c r="M131" s="119">
        <f t="shared" si="104"/>
      </c>
      <c r="N131" s="120">
        <f t="shared" si="31"/>
      </c>
      <c r="O131" s="119">
        <f t="shared" si="246"/>
      </c>
      <c r="P131" s="119">
        <f t="shared" si="164"/>
      </c>
      <c r="Q131" s="120">
        <f t="shared" si="124"/>
      </c>
      <c r="R131" s="121">
        <f t="shared" si="51"/>
      </c>
      <c r="S131" s="120">
        <f t="shared" si="266"/>
      </c>
      <c r="T131" s="122">
        <f t="shared" si="184"/>
      </c>
      <c r="U131" s="123" t="s">
        <v>94</v>
      </c>
      <c r="V131" s="124" t="s">
        <v>109</v>
      </c>
      <c r="W131" s="125">
        <v>1</v>
      </c>
      <c r="X131" s="125">
        <v>8991</v>
      </c>
      <c r="Y131" s="125">
        <v>1099</v>
      </c>
      <c r="Z131" s="125">
        <v>1719</v>
      </c>
      <c r="AA131" s="125">
        <v>473</v>
      </c>
      <c r="AB131" s="125">
        <v>61</v>
      </c>
      <c r="AC131" s="126">
        <v>2</v>
      </c>
      <c r="AD131" s="126">
        <v>31</v>
      </c>
      <c r="AE131" s="106"/>
      <c r="AF131" s="106"/>
    </row>
    <row r="132">
      <c r="A132" s="152"/>
      <c r="B132" s="115" t="s">
        <v>102</v>
      </c>
      <c r="C132" s="116" t="s">
        <v>110</v>
      </c>
      <c r="D132" s="115">
        <f t="shared" si="76"/>
      </c>
      <c r="E132" s="115">
        <v>1106.44</v>
      </c>
      <c r="F132" s="115">
        <v>1006.44</v>
      </c>
      <c r="G132" s="131">
        <v>0</v>
      </c>
      <c r="H132" s="116">
        <v>0</v>
      </c>
      <c r="I132" s="118">
        <f t="shared" si="11"/>
      </c>
      <c r="J132" s="154">
        <f t="shared" si="206"/>
      </c>
      <c r="K132" s="120">
        <f t="shared" si="144"/>
      </c>
      <c r="L132" s="119">
        <f t="shared" si="226"/>
      </c>
      <c r="M132" s="119">
        <f t="shared" si="104"/>
      </c>
      <c r="N132" s="120">
        <f t="shared" si="31"/>
      </c>
      <c r="O132" s="119">
        <f t="shared" si="246"/>
      </c>
      <c r="P132" s="119">
        <f t="shared" si="164"/>
      </c>
      <c r="Q132" s="120">
        <f t="shared" si="124"/>
      </c>
      <c r="R132" s="121">
        <f t="shared" si="51"/>
      </c>
      <c r="S132" s="120">
        <f t="shared" si="266"/>
      </c>
      <c r="T132" s="122">
        <f t="shared" si="184"/>
      </c>
      <c r="U132" s="123" t="s">
        <v>94</v>
      </c>
      <c r="V132" s="124" t="s">
        <v>109</v>
      </c>
      <c r="W132" s="125">
        <v>0</v>
      </c>
      <c r="X132" s="125">
        <v>5166</v>
      </c>
      <c r="Y132" s="125">
        <v>506</v>
      </c>
      <c r="Z132" s="125">
        <v>794</v>
      </c>
      <c r="AA132" s="125">
        <v>163</v>
      </c>
      <c r="AB132" s="125">
        <v>27</v>
      </c>
      <c r="AC132" s="126">
        <v>1</v>
      </c>
      <c r="AD132" s="126">
        <v>18</v>
      </c>
      <c r="AE132" s="106"/>
      <c r="AF132" s="106"/>
    </row>
    <row r="133">
      <c r="A133" s="152"/>
      <c r="B133" s="132" t="s">
        <v>99</v>
      </c>
      <c r="C133" s="132"/>
      <c r="D133" s="132">
        <f>SUM(D130:D132)</f>
      </c>
      <c r="E133" s="132">
        <f>SUM(E130:E132)</f>
      </c>
      <c r="F133" s="132">
        <f>SUM(F130:F132)</f>
      </c>
      <c r="G133" s="132">
        <f>SUM(G130:G132)</f>
      </c>
      <c r="H133" s="132">
        <f>SUM(H130:H132)</f>
      </c>
      <c r="I133" s="134">
        <f t="shared" si="11"/>
      </c>
      <c r="J133" s="155">
        <f t="shared" si="206"/>
      </c>
      <c r="K133" s="136">
        <f t="shared" si="144"/>
      </c>
      <c r="L133" s="135">
        <f t="shared" si="226"/>
      </c>
      <c r="M133" s="135">
        <f t="shared" si="104"/>
      </c>
      <c r="N133" s="136">
        <f t="shared" si="31"/>
      </c>
      <c r="O133" s="135">
        <f t="shared" si="246"/>
      </c>
      <c r="P133" s="135">
        <f t="shared" si="164"/>
      </c>
      <c r="Q133" s="136">
        <f t="shared" si="124"/>
      </c>
      <c r="R133" s="137">
        <f t="shared" si="51"/>
      </c>
      <c r="S133" s="136">
        <f t="shared" si="266"/>
      </c>
      <c r="T133" s="138">
        <f t="shared" si="184"/>
      </c>
      <c r="U133" s="138"/>
      <c r="V133" s="138"/>
      <c r="W133" s="132">
        <f>SUM(W130:W132)</f>
      </c>
      <c r="X133" s="132">
        <f>SUM(X130:X132)</f>
      </c>
      <c r="Y133" s="132">
        <f>SUM(Y130:Y132)</f>
      </c>
      <c r="Z133" s="132">
        <f>SUM(Z130:Z132)</f>
      </c>
      <c r="AA133" s="132">
        <f>SUM(AA130:AA132)</f>
      </c>
      <c r="AB133" s="132">
        <f>SUM(AB130:AB132)</f>
      </c>
      <c r="AC133" s="132">
        <f>SUM(AC130:AC132)</f>
      </c>
      <c r="AD133" s="132">
        <f>SUM(AD130:AD132)</f>
      </c>
      <c r="AE133" s="106"/>
      <c r="AF133" s="106"/>
    </row>
    <row r="134">
      <c r="A134" s="152"/>
      <c r="B134" s="139" t="s">
        <v>100</v>
      </c>
      <c r="C134" s="139"/>
      <c r="D134" s="140">
        <f>D129+D133</f>
      </c>
      <c r="E134" s="140">
        <f>E129+E133</f>
      </c>
      <c r="F134" s="140">
        <f>F129+F133</f>
      </c>
      <c r="G134" s="140">
        <f>G129+G133</f>
      </c>
      <c r="H134" s="140">
        <f>H129+H133</f>
      </c>
      <c r="I134" s="140">
        <f t="shared" si="11"/>
      </c>
      <c r="J134" s="156">
        <f t="shared" si="206"/>
      </c>
      <c r="K134" s="140">
        <f t="shared" si="144"/>
      </c>
      <c r="L134" s="142">
        <f t="shared" si="226"/>
      </c>
      <c r="M134" s="142">
        <f t="shared" si="104"/>
      </c>
      <c r="N134" s="140">
        <f t="shared" si="31"/>
      </c>
      <c r="O134" s="142">
        <f t="shared" si="246"/>
      </c>
      <c r="P134" s="142">
        <f t="shared" si="164"/>
      </c>
      <c r="Q134" s="140">
        <f t="shared" si="124"/>
      </c>
      <c r="R134" s="143">
        <f t="shared" si="51"/>
      </c>
      <c r="S134" s="140">
        <f t="shared" si="266"/>
      </c>
      <c r="T134" s="144">
        <f t="shared" si="184"/>
      </c>
      <c r="U134" s="144"/>
      <c r="V134" s="144"/>
      <c r="W134" s="145">
        <f>W129+W133</f>
      </c>
      <c r="X134" s="145">
        <f>X129+X133</f>
      </c>
      <c r="Y134" s="145">
        <f>Y129+Y133</f>
      </c>
      <c r="Z134" s="145">
        <f>Z129+Z133</f>
      </c>
      <c r="AA134" s="145">
        <f>AA129+AA133</f>
      </c>
      <c r="AB134" s="145">
        <f>AB129+AB133</f>
      </c>
      <c r="AC134" s="145">
        <f>AC129+AC133</f>
      </c>
      <c r="AD134" s="145">
        <f>AD129+AD133</f>
      </c>
      <c r="AE134" s="106"/>
      <c r="AF134" s="106"/>
    </row>
    <row r="135">
      <c r="A135" s="97" t="s">
        <v>59</v>
      </c>
      <c r="B135" s="97"/>
      <c r="C135" s="97"/>
      <c r="D135" s="101" t="s">
        <v>60</v>
      </c>
      <c r="E135" s="101"/>
      <c r="F135" s="101"/>
      <c r="G135" s="101"/>
      <c r="H135" s="101"/>
      <c r="I135" s="101"/>
      <c r="J135" s="151" t="s">
        <v>61</v>
      </c>
      <c r="K135" s="151"/>
      <c r="L135" s="151"/>
      <c r="M135" s="151"/>
      <c r="N135" s="151"/>
      <c r="O135" s="151"/>
      <c r="P135" s="151"/>
      <c r="Q135" s="151"/>
      <c r="R135" s="151"/>
      <c r="S135" s="151"/>
      <c r="T135" s="103"/>
      <c r="U135" s="103"/>
      <c r="V135" s="103"/>
      <c r="W135" s="104"/>
      <c r="X135" s="104"/>
      <c r="Y135" s="104"/>
      <c r="Z135" s="104"/>
      <c r="AA135" s="104"/>
      <c r="AB135" s="104"/>
      <c r="AC135" s="104"/>
      <c r="AD135" s="105" t="s">
        <v>62</v>
      </c>
      <c r="AE135" s="106"/>
      <c r="AF135" s="106"/>
    </row>
    <row r="136">
      <c r="A136" s="97" t="s">
        <v>63</v>
      </c>
      <c r="B136" s="97" t="s">
        <v>64</v>
      </c>
      <c r="C136" s="97" t="s">
        <v>65</v>
      </c>
      <c r="D136" s="101" t="s">
        <v>66</v>
      </c>
      <c r="E136" s="108" t="s">
        <v>67</v>
      </c>
      <c r="F136" s="108" t="s">
        <v>68</v>
      </c>
      <c r="G136" s="100" t="s">
        <v>69</v>
      </c>
      <c r="H136" s="101" t="s">
        <v>70</v>
      </c>
      <c r="I136" s="108" t="s">
        <v>71</v>
      </c>
      <c r="J136" s="151" t="s">
        <v>72</v>
      </c>
      <c r="K136" s="102" t="s">
        <v>73</v>
      </c>
      <c r="L136" s="110" t="s">
        <v>74</v>
      </c>
      <c r="M136" s="110" t="s">
        <v>75</v>
      </c>
      <c r="N136" s="102" t="s">
        <v>76</v>
      </c>
      <c r="O136" s="110" t="s">
        <v>77</v>
      </c>
      <c r="P136" s="110" t="s">
        <v>78</v>
      </c>
      <c r="Q136" s="102" t="s">
        <v>79</v>
      </c>
      <c r="R136" s="110" t="s">
        <v>80</v>
      </c>
      <c r="S136" s="102" t="s">
        <v>81</v>
      </c>
      <c r="T136" s="111" t="s">
        <v>82</v>
      </c>
      <c r="U136" s="111" t="s">
        <v>83</v>
      </c>
      <c r="V136" s="111" t="s">
        <v>84</v>
      </c>
      <c r="W136" s="112" t="s">
        <v>85</v>
      </c>
      <c r="X136" s="113" t="s">
        <v>86</v>
      </c>
      <c r="Y136" s="113" t="s">
        <v>87</v>
      </c>
      <c r="Z136" s="113" t="s">
        <v>88</v>
      </c>
      <c r="AA136" s="113" t="s">
        <v>89</v>
      </c>
      <c r="AB136" s="113" t="s">
        <v>90</v>
      </c>
      <c r="AC136" s="113" t="s">
        <v>91</v>
      </c>
      <c r="AD136" s="105"/>
      <c r="AE136" s="106"/>
      <c r="AF136" s="106"/>
    </row>
    <row r="137">
      <c r="A137" s="152">
        <v>46288</v>
      </c>
      <c r="B137" s="157" t="s">
        <v>103</v>
      </c>
      <c r="C137" s="116" t="s">
        <v>101</v>
      </c>
      <c r="D137" s="115">
        <f t="shared" ref="D137:D141" si="77">E137+F137</f>
      </c>
      <c r="E137" s="115">
        <v>633.7900000000001</v>
      </c>
      <c r="F137" s="115">
        <v>629.2</v>
      </c>
      <c r="G137" s="131">
        <v>0</v>
      </c>
      <c r="H137" s="116">
        <v>0</v>
      </c>
      <c r="I137" s="118">
        <f t="shared" ref="I137:I147" si="12">H137/D137</f>
      </c>
      <c r="J137" s="154">
        <f t="shared" ref="J137:J147" si="207">Y137/X137</f>
      </c>
      <c r="K137" s="120">
        <f t="shared" ref="K137:K147" si="145">D137/Z137</f>
      </c>
      <c r="L137" s="119">
        <f t="shared" ref="L137:L147" si="227">AA137/Z137</f>
      </c>
      <c r="M137" s="119">
        <f t="shared" ref="M137:M147" si="105">AB137/Z137</f>
      </c>
      <c r="N137" s="120">
        <f t="shared" ref="N137:N147" si="32">D137/AB137</f>
      </c>
      <c r="O137" s="119">
        <f t="shared" ref="O137:O147" si="247">AC137/AB137</f>
      </c>
      <c r="P137" s="119">
        <f t="shared" ref="P137:P147" si="165">G137/AC137</f>
      </c>
      <c r="Q137" s="120">
        <f t="shared" ref="Q137:Q147" si="125">D137/G137</f>
      </c>
      <c r="R137" s="121">
        <f t="shared" ref="R137:R147" si="52">H137/G137</f>
      </c>
      <c r="S137" s="120">
        <f t="shared" ref="S137:S147" si="267">D137/W137</f>
      </c>
      <c r="T137" s="122">
        <f t="shared" ref="T137:T147" si="185">AD137*1000/D137</f>
      </c>
      <c r="U137" s="123" t="s">
        <v>94</v>
      </c>
      <c r="V137" s="124" t="s">
        <v>109</v>
      </c>
      <c r="W137" s="125">
        <v>0</v>
      </c>
      <c r="X137" s="125">
        <v>3156</v>
      </c>
      <c r="Y137" s="125">
        <v>389</v>
      </c>
      <c r="Z137" s="125">
        <v>601</v>
      </c>
      <c r="AA137" s="125">
        <v>175</v>
      </c>
      <c r="AB137" s="125">
        <v>7</v>
      </c>
      <c r="AC137" s="126">
        <v>1</v>
      </c>
      <c r="AD137" s="126">
        <v>10</v>
      </c>
      <c r="AE137" s="106"/>
      <c r="AF137" s="106"/>
    </row>
    <row r="138">
      <c r="A138" s="152"/>
      <c r="B138" s="158" t="s">
        <v>104</v>
      </c>
      <c r="C138" s="116" t="s">
        <v>101</v>
      </c>
      <c r="D138" s="115">
        <f t="shared" si="77"/>
      </c>
      <c r="E138" s="115">
        <v>346.33</v>
      </c>
      <c r="F138" s="115">
        <v>709.39</v>
      </c>
      <c r="G138" s="131">
        <v>0</v>
      </c>
      <c r="H138" s="116">
        <v>0</v>
      </c>
      <c r="I138" s="118">
        <f t="shared" si="12"/>
      </c>
      <c r="J138" s="154">
        <f t="shared" si="207"/>
      </c>
      <c r="K138" s="120">
        <f t="shared" si="145"/>
      </c>
      <c r="L138" s="119">
        <f t="shared" si="227"/>
      </c>
      <c r="M138" s="119">
        <f t="shared" si="105"/>
      </c>
      <c r="N138" s="120">
        <f t="shared" si="32"/>
      </c>
      <c r="O138" s="119">
        <f t="shared" si="247"/>
      </c>
      <c r="P138" s="119">
        <f t="shared" si="165"/>
      </c>
      <c r="Q138" s="120">
        <f t="shared" si="125"/>
      </c>
      <c r="R138" s="121">
        <f t="shared" si="52"/>
      </c>
      <c r="S138" s="120">
        <f t="shared" si="267"/>
      </c>
      <c r="T138" s="122">
        <f t="shared" si="185"/>
      </c>
      <c r="U138" s="123" t="s">
        <v>94</v>
      </c>
      <c r="V138" s="124" t="s">
        <v>109</v>
      </c>
      <c r="W138" s="125">
        <v>0</v>
      </c>
      <c r="X138" s="125">
        <v>1764</v>
      </c>
      <c r="Y138" s="125">
        <v>266</v>
      </c>
      <c r="Z138" s="125">
        <v>424</v>
      </c>
      <c r="AA138" s="125">
        <v>130</v>
      </c>
      <c r="AB138" s="125">
        <v>10</v>
      </c>
      <c r="AC138" s="126">
        <v>0</v>
      </c>
      <c r="AD138" s="126">
        <v>14</v>
      </c>
      <c r="AE138" s="106"/>
      <c r="AF138" s="106"/>
    </row>
    <row r="139">
      <c r="A139" s="152"/>
      <c r="B139" s="158" t="s">
        <v>105</v>
      </c>
      <c r="C139" s="116" t="s">
        <v>101</v>
      </c>
      <c r="D139" s="115">
        <f t="shared" si="77"/>
      </c>
      <c r="E139" s="115">
        <v>1599.49</v>
      </c>
      <c r="F139" s="115">
        <v>520.35</v>
      </c>
      <c r="G139" s="131">
        <v>1</v>
      </c>
      <c r="H139" s="116">
        <v>1013.04</v>
      </c>
      <c r="I139" s="118">
        <f t="shared" si="12"/>
      </c>
      <c r="J139" s="154">
        <f t="shared" si="207"/>
      </c>
      <c r="K139" s="120">
        <f t="shared" si="145"/>
      </c>
      <c r="L139" s="119">
        <f t="shared" si="227"/>
      </c>
      <c r="M139" s="119">
        <f t="shared" si="105"/>
      </c>
      <c r="N139" s="120">
        <f t="shared" si="32"/>
      </c>
      <c r="O139" s="119">
        <f t="shared" si="247"/>
      </c>
      <c r="P139" s="119">
        <f t="shared" si="165"/>
      </c>
      <c r="Q139" s="120">
        <f t="shared" si="125"/>
      </c>
      <c r="R139" s="121">
        <f t="shared" si="52"/>
      </c>
      <c r="S139" s="120">
        <f t="shared" si="267"/>
      </c>
      <c r="T139" s="122">
        <f t="shared" si="185"/>
      </c>
      <c r="U139" s="123" t="s">
        <v>94</v>
      </c>
      <c r="V139" s="124" t="s">
        <v>109</v>
      </c>
      <c r="W139" s="125">
        <v>1</v>
      </c>
      <c r="X139" s="125">
        <v>6572</v>
      </c>
      <c r="Y139" s="125">
        <v>361</v>
      </c>
      <c r="Z139" s="125">
        <v>476</v>
      </c>
      <c r="AA139" s="125">
        <v>165</v>
      </c>
      <c r="AB139" s="125">
        <v>61</v>
      </c>
      <c r="AC139" s="126">
        <v>2</v>
      </c>
      <c r="AD139" s="126">
        <v>20</v>
      </c>
      <c r="AE139" s="106"/>
      <c r="AF139" s="106"/>
    </row>
    <row r="140">
      <c r="A140" s="152"/>
      <c r="B140" s="158" t="s">
        <v>92</v>
      </c>
      <c r="C140" s="116" t="s">
        <v>101</v>
      </c>
      <c r="D140" s="115">
        <f t="shared" si="77"/>
      </c>
      <c r="E140" s="115">
        <v>2071.89</v>
      </c>
      <c r="F140" s="115">
        <v>348.81</v>
      </c>
      <c r="G140" s="131">
        <v>1</v>
      </c>
      <c r="H140" s="116">
        <v>956.7600000000002</v>
      </c>
      <c r="I140" s="118">
        <f t="shared" si="12"/>
      </c>
      <c r="J140" s="154">
        <f t="shared" si="207"/>
      </c>
      <c r="K140" s="120">
        <f t="shared" si="145"/>
      </c>
      <c r="L140" s="119">
        <f t="shared" si="227"/>
      </c>
      <c r="M140" s="119">
        <f t="shared" si="105"/>
      </c>
      <c r="N140" s="120">
        <f t="shared" si="32"/>
      </c>
      <c r="O140" s="119">
        <f t="shared" si="247"/>
      </c>
      <c r="P140" s="119">
        <f t="shared" si="165"/>
      </c>
      <c r="Q140" s="120">
        <f t="shared" si="125"/>
      </c>
      <c r="R140" s="121">
        <f t="shared" si="52"/>
      </c>
      <c r="S140" s="120">
        <f t="shared" si="267"/>
      </c>
      <c r="T140" s="122">
        <f t="shared" si="185"/>
      </c>
      <c r="U140" s="123" t="s">
        <v>94</v>
      </c>
      <c r="V140" s="124" t="s">
        <v>109</v>
      </c>
      <c r="W140" s="125">
        <v>1</v>
      </c>
      <c r="X140" s="125">
        <v>7411</v>
      </c>
      <c r="Y140" s="125">
        <v>360</v>
      </c>
      <c r="Z140" s="125">
        <v>450</v>
      </c>
      <c r="AA140" s="125">
        <v>156</v>
      </c>
      <c r="AB140" s="125">
        <v>67</v>
      </c>
      <c r="AC140" s="126">
        <v>1</v>
      </c>
      <c r="AD140" s="126">
        <v>22</v>
      </c>
      <c r="AE140" s="106"/>
      <c r="AF140" s="106"/>
    </row>
    <row r="141">
      <c r="A141" s="152"/>
      <c r="B141" s="116" t="s">
        <v>96</v>
      </c>
      <c r="C141" s="116" t="s">
        <v>101</v>
      </c>
      <c r="D141" s="115">
        <f t="shared" si="77"/>
      </c>
      <c r="E141" s="115">
        <v>1702.67</v>
      </c>
      <c r="F141" s="116">
        <v>358.51</v>
      </c>
      <c r="G141" s="131">
        <v>1</v>
      </c>
      <c r="H141" s="116">
        <v>1707.4799999999996</v>
      </c>
      <c r="I141" s="118">
        <f t="shared" si="12"/>
      </c>
      <c r="J141" s="154">
        <f t="shared" si="207"/>
      </c>
      <c r="K141" s="120">
        <f t="shared" si="145"/>
      </c>
      <c r="L141" s="119">
        <f t="shared" si="227"/>
      </c>
      <c r="M141" s="119">
        <f t="shared" si="105"/>
      </c>
      <c r="N141" s="120">
        <f t="shared" si="32"/>
      </c>
      <c r="O141" s="119">
        <f t="shared" si="247"/>
      </c>
      <c r="P141" s="119">
        <f t="shared" si="165"/>
      </c>
      <c r="Q141" s="120">
        <f t="shared" si="125"/>
      </c>
      <c r="R141" s="121">
        <f t="shared" si="52"/>
      </c>
      <c r="S141" s="120">
        <f t="shared" si="267"/>
      </c>
      <c r="T141" s="122">
        <f t="shared" si="185"/>
      </c>
      <c r="U141" s="123" t="s">
        <v>94</v>
      </c>
      <c r="V141" s="124" t="s">
        <v>109</v>
      </c>
      <c r="W141" s="125">
        <v>1</v>
      </c>
      <c r="X141" s="125">
        <v>4643</v>
      </c>
      <c r="Y141" s="125">
        <v>306</v>
      </c>
      <c r="Z141" s="125">
        <v>414</v>
      </c>
      <c r="AA141" s="125">
        <v>127</v>
      </c>
      <c r="AB141" s="125">
        <v>28</v>
      </c>
      <c r="AC141" s="126">
        <v>1</v>
      </c>
      <c r="AD141" s="126">
        <v>14</v>
      </c>
      <c r="AE141" s="106"/>
      <c r="AF141" s="106"/>
    </row>
    <row r="142">
      <c r="A142" s="152"/>
      <c r="B142" s="132" t="s">
        <v>99</v>
      </c>
      <c r="C142" s="132"/>
      <c r="D142" s="132">
        <f>SUM(D137:D141)</f>
      </c>
      <c r="E142" s="132">
        <f>SUM(E137:E141)</f>
      </c>
      <c r="F142" s="132">
        <f>SUM(F137:F141)</f>
      </c>
      <c r="G142" s="132">
        <f>SUM(G137:G141)</f>
      </c>
      <c r="H142" s="132">
        <f>SUM(H137:H141)</f>
      </c>
      <c r="I142" s="134">
        <f t="shared" si="12"/>
      </c>
      <c r="J142" s="155">
        <f t="shared" si="207"/>
      </c>
      <c r="K142" s="136">
        <f t="shared" si="145"/>
      </c>
      <c r="L142" s="135">
        <f t="shared" si="227"/>
      </c>
      <c r="M142" s="135">
        <f t="shared" si="105"/>
      </c>
      <c r="N142" s="136">
        <f t="shared" si="32"/>
      </c>
      <c r="O142" s="135">
        <f t="shared" si="247"/>
      </c>
      <c r="P142" s="135">
        <f t="shared" si="165"/>
      </c>
      <c r="Q142" s="136">
        <f t="shared" si="125"/>
      </c>
      <c r="R142" s="137">
        <f t="shared" si="52"/>
      </c>
      <c r="S142" s="136">
        <f t="shared" si="267"/>
      </c>
      <c r="T142" s="138">
        <f t="shared" si="185"/>
      </c>
      <c r="U142" s="138"/>
      <c r="V142" s="138"/>
      <c r="W142" s="132">
        <f>SUM(W137:W141)</f>
      </c>
      <c r="X142" s="132">
        <f>SUM(X137:X141)</f>
      </c>
      <c r="Y142" s="132">
        <f>SUM(Y137:Y141)</f>
      </c>
      <c r="Z142" s="132">
        <f>SUM(Z137:Z141)</f>
      </c>
      <c r="AA142" s="132">
        <f>SUM(AA137:AA141)</f>
      </c>
      <c r="AB142" s="132">
        <f>SUM(AB137:AB141)</f>
      </c>
      <c r="AC142" s="132">
        <f>SUM(AC137:AC141)</f>
      </c>
      <c r="AD142" s="132">
        <f>SUM(AD137:AD141)</f>
      </c>
      <c r="AE142" s="106"/>
      <c r="AF142" s="106"/>
    </row>
    <row r="143">
      <c r="A143" s="152"/>
      <c r="B143" s="115" t="s">
        <v>97</v>
      </c>
      <c r="C143" s="116" t="s">
        <v>112</v>
      </c>
      <c r="D143" s="115">
        <f t="shared" ref="D143:D145" si="78">E143+F143</f>
      </c>
      <c r="E143" s="115">
        <v>1917.5700000000002</v>
      </c>
      <c r="F143" s="115">
        <v>195.97</v>
      </c>
      <c r="G143" s="131">
        <v>1</v>
      </c>
      <c r="H143" s="116">
        <v>1687.08</v>
      </c>
      <c r="I143" s="118">
        <f t="shared" si="12"/>
      </c>
      <c r="J143" s="154">
        <f t="shared" si="207"/>
      </c>
      <c r="K143" s="120">
        <f t="shared" si="145"/>
      </c>
      <c r="L143" s="119">
        <f t="shared" si="227"/>
      </c>
      <c r="M143" s="119">
        <f t="shared" si="105"/>
      </c>
      <c r="N143" s="120">
        <f t="shared" si="32"/>
      </c>
      <c r="O143" s="119">
        <f t="shared" si="247"/>
      </c>
      <c r="P143" s="119">
        <f t="shared" si="165"/>
      </c>
      <c r="Q143" s="120">
        <f t="shared" si="125"/>
      </c>
      <c r="R143" s="121">
        <f t="shared" si="52"/>
      </c>
      <c r="S143" s="120">
        <f t="shared" si="267"/>
      </c>
      <c r="T143" s="122">
        <f t="shared" si="185"/>
      </c>
      <c r="U143" s="123" t="s">
        <v>94</v>
      </c>
      <c r="V143" s="124" t="s">
        <v>109</v>
      </c>
      <c r="W143" s="125">
        <v>1</v>
      </c>
      <c r="X143" s="125">
        <v>5228</v>
      </c>
      <c r="Y143" s="125">
        <v>472</v>
      </c>
      <c r="Z143" s="125">
        <v>594</v>
      </c>
      <c r="AA143" s="125">
        <v>177</v>
      </c>
      <c r="AB143" s="125">
        <v>14</v>
      </c>
      <c r="AC143" s="126">
        <v>1</v>
      </c>
      <c r="AD143" s="126">
        <v>4</v>
      </c>
      <c r="AE143" s="106"/>
      <c r="AF143" s="106"/>
    </row>
    <row r="144">
      <c r="A144" s="152"/>
      <c r="B144" s="115" t="s">
        <v>98</v>
      </c>
      <c r="C144" s="116" t="s">
        <v>112</v>
      </c>
      <c r="D144" s="115">
        <f t="shared" si="78"/>
      </c>
      <c r="E144" s="115">
        <v>1983.21</v>
      </c>
      <c r="F144" s="115">
        <v>342.93</v>
      </c>
      <c r="G144" s="131">
        <v>1</v>
      </c>
      <c r="H144" s="116">
        <v>1180.08</v>
      </c>
      <c r="I144" s="118">
        <f t="shared" si="12"/>
      </c>
      <c r="J144" s="154">
        <f t="shared" si="207"/>
      </c>
      <c r="K144" s="120">
        <f t="shared" si="145"/>
      </c>
      <c r="L144" s="119">
        <f t="shared" si="227"/>
      </c>
      <c r="M144" s="119">
        <f t="shared" si="105"/>
      </c>
      <c r="N144" s="120">
        <f t="shared" si="32"/>
      </c>
      <c r="O144" s="119">
        <f t="shared" si="247"/>
      </c>
      <c r="P144" s="119">
        <f t="shared" si="165"/>
      </c>
      <c r="Q144" s="120">
        <f t="shared" si="125"/>
      </c>
      <c r="R144" s="121">
        <f t="shared" si="52"/>
      </c>
      <c r="S144" s="120">
        <f t="shared" si="267"/>
      </c>
      <c r="T144" s="122">
        <f t="shared" si="185"/>
      </c>
      <c r="U144" s="123" t="s">
        <v>94</v>
      </c>
      <c r="V144" s="124" t="s">
        <v>109</v>
      </c>
      <c r="W144" s="125">
        <v>2</v>
      </c>
      <c r="X144" s="125">
        <v>5460</v>
      </c>
      <c r="Y144" s="125">
        <v>528</v>
      </c>
      <c r="Z144" s="125">
        <v>658</v>
      </c>
      <c r="AA144" s="125">
        <v>180</v>
      </c>
      <c r="AB144" s="125">
        <v>19</v>
      </c>
      <c r="AC144" s="126">
        <v>2</v>
      </c>
      <c r="AD144" s="126">
        <v>4</v>
      </c>
      <c r="AE144" s="106"/>
      <c r="AF144" s="106"/>
    </row>
    <row r="145">
      <c r="A145" s="152"/>
      <c r="B145" s="115" t="s">
        <v>102</v>
      </c>
      <c r="C145" s="116" t="s">
        <v>112</v>
      </c>
      <c r="D145" s="115">
        <f t="shared" si="78"/>
      </c>
      <c r="E145" s="116">
        <v>1214.43</v>
      </c>
      <c r="F145" s="116">
        <v>227.24</v>
      </c>
      <c r="G145" s="131">
        <v>1</v>
      </c>
      <c r="H145" s="116">
        <v>1481.88</v>
      </c>
      <c r="I145" s="118">
        <f t="shared" si="12"/>
      </c>
      <c r="J145" s="154">
        <f t="shared" si="207"/>
      </c>
      <c r="K145" s="120">
        <f t="shared" si="145"/>
      </c>
      <c r="L145" s="119">
        <f t="shared" si="227"/>
      </c>
      <c r="M145" s="119">
        <f t="shared" si="105"/>
      </c>
      <c r="N145" s="120">
        <f t="shared" si="32"/>
      </c>
      <c r="O145" s="119">
        <f t="shared" si="247"/>
      </c>
      <c r="P145" s="119">
        <f t="shared" si="165"/>
      </c>
      <c r="Q145" s="120">
        <f t="shared" si="125"/>
      </c>
      <c r="R145" s="121">
        <f t="shared" si="52"/>
      </c>
      <c r="S145" s="120">
        <f t="shared" si="267"/>
      </c>
      <c r="T145" s="122">
        <f t="shared" si="185"/>
      </c>
      <c r="U145" s="123" t="s">
        <v>94</v>
      </c>
      <c r="V145" s="124" t="s">
        <v>109</v>
      </c>
      <c r="W145" s="125">
        <v>0</v>
      </c>
      <c r="X145" s="125">
        <v>3251</v>
      </c>
      <c r="Y145" s="125">
        <v>268</v>
      </c>
      <c r="Z145" s="125">
        <v>337</v>
      </c>
      <c r="AA145" s="125">
        <v>102</v>
      </c>
      <c r="AB145" s="125">
        <v>35</v>
      </c>
      <c r="AC145" s="126">
        <v>1</v>
      </c>
      <c r="AD145" s="126">
        <v>12</v>
      </c>
      <c r="AE145" s="106"/>
      <c r="AF145" s="106"/>
    </row>
    <row r="146">
      <c r="A146" s="152"/>
      <c r="B146" s="132" t="s">
        <v>99</v>
      </c>
      <c r="C146" s="132"/>
      <c r="D146" s="132">
        <f>SUM(D143:D145)</f>
      </c>
      <c r="E146" s="132">
        <f>SUM(E143:E145)</f>
      </c>
      <c r="F146" s="132">
        <f>SUM(F143:F145)</f>
      </c>
      <c r="G146" s="132">
        <f>SUM(G143:G145)</f>
      </c>
      <c r="H146" s="132">
        <f>SUM(H143:H145)</f>
      </c>
      <c r="I146" s="134">
        <f t="shared" si="12"/>
      </c>
      <c r="J146" s="155">
        <f t="shared" si="207"/>
      </c>
      <c r="K146" s="136">
        <f t="shared" si="145"/>
      </c>
      <c r="L146" s="135">
        <f t="shared" si="227"/>
      </c>
      <c r="M146" s="135">
        <f t="shared" si="105"/>
      </c>
      <c r="N146" s="136">
        <f t="shared" si="32"/>
      </c>
      <c r="O146" s="135">
        <f t="shared" si="247"/>
      </c>
      <c r="P146" s="135">
        <f t="shared" si="165"/>
      </c>
      <c r="Q146" s="136">
        <f t="shared" si="125"/>
      </c>
      <c r="R146" s="137">
        <f t="shared" si="52"/>
      </c>
      <c r="S146" s="136">
        <f t="shared" si="267"/>
      </c>
      <c r="T146" s="138">
        <f t="shared" si="185"/>
      </c>
      <c r="U146" s="138"/>
      <c r="V146" s="138"/>
      <c r="W146" s="132">
        <f>SUM(W143:W145)</f>
      </c>
      <c r="X146" s="132">
        <f>SUM(X143:X145)</f>
      </c>
      <c r="Y146" s="132">
        <f>SUM(Y143:Y145)</f>
      </c>
      <c r="Z146" s="132">
        <f>SUM(Z143:Z145)</f>
      </c>
      <c r="AA146" s="132">
        <f>SUM(AA143:AA145)</f>
      </c>
      <c r="AB146" s="132">
        <f>SUM(AB143:AB145)</f>
      </c>
      <c r="AC146" s="132">
        <f>SUM(AC143:AC145)</f>
      </c>
      <c r="AD146" s="132">
        <f>SUM(AD143:AD145)</f>
      </c>
      <c r="AE146" s="106"/>
      <c r="AF146" s="106"/>
    </row>
    <row r="147">
      <c r="A147" s="152"/>
      <c r="B147" s="139" t="s">
        <v>100</v>
      </c>
      <c r="C147" s="139"/>
      <c r="D147" s="140">
        <f>D142+D146</f>
      </c>
      <c r="E147" s="140">
        <f>E142+E146</f>
      </c>
      <c r="F147" s="140">
        <f>F142+F146</f>
      </c>
      <c r="G147" s="140">
        <f>G142+G146</f>
      </c>
      <c r="H147" s="140">
        <f>H142+H146</f>
      </c>
      <c r="I147" s="140">
        <f t="shared" si="12"/>
      </c>
      <c r="J147" s="156">
        <f t="shared" si="207"/>
      </c>
      <c r="K147" s="140">
        <f t="shared" si="145"/>
      </c>
      <c r="L147" s="142">
        <f t="shared" si="227"/>
      </c>
      <c r="M147" s="142">
        <f t="shared" si="105"/>
      </c>
      <c r="N147" s="140">
        <f t="shared" si="32"/>
      </c>
      <c r="O147" s="142">
        <f t="shared" si="247"/>
      </c>
      <c r="P147" s="142">
        <f t="shared" si="165"/>
      </c>
      <c r="Q147" s="140">
        <f t="shared" si="125"/>
      </c>
      <c r="R147" s="143">
        <f t="shared" si="52"/>
      </c>
      <c r="S147" s="140">
        <f t="shared" si="267"/>
      </c>
      <c r="T147" s="144">
        <f t="shared" si="185"/>
      </c>
      <c r="U147" s="144"/>
      <c r="V147" s="144"/>
      <c r="W147" s="145">
        <f>W142+W146</f>
      </c>
      <c r="X147" s="145">
        <f>X142+X146</f>
      </c>
      <c r="Y147" s="145">
        <f>Y142+Y146</f>
      </c>
      <c r="Z147" s="145">
        <f>Z142+Z146</f>
      </c>
      <c r="AA147" s="145">
        <f>AA142+AA146</f>
      </c>
      <c r="AB147" s="145">
        <f>AB142+AB146</f>
      </c>
      <c r="AC147" s="145">
        <f>AC142+AC146</f>
      </c>
      <c r="AD147" s="145">
        <f>AD142+AD146</f>
      </c>
      <c r="AE147" s="106"/>
      <c r="AF147" s="106"/>
    </row>
    <row r="148">
      <c r="A148" s="97" t="s">
        <v>59</v>
      </c>
      <c r="B148" s="97"/>
      <c r="C148" s="97"/>
      <c r="D148" s="101" t="s">
        <v>60</v>
      </c>
      <c r="E148" s="101"/>
      <c r="F148" s="101"/>
      <c r="G148" s="101"/>
      <c r="H148" s="101"/>
      <c r="I148" s="101"/>
      <c r="J148" s="151" t="s">
        <v>61</v>
      </c>
      <c r="K148" s="151"/>
      <c r="L148" s="151"/>
      <c r="M148" s="151"/>
      <c r="N148" s="151"/>
      <c r="O148" s="151"/>
      <c r="P148" s="151"/>
      <c r="Q148" s="151"/>
      <c r="R148" s="151"/>
      <c r="S148" s="151"/>
      <c r="T148" s="103"/>
      <c r="U148" s="103"/>
      <c r="V148" s="103"/>
      <c r="W148" s="104"/>
      <c r="X148" s="104"/>
      <c r="Y148" s="104"/>
      <c r="Z148" s="104"/>
      <c r="AA148" s="104"/>
      <c r="AB148" s="104"/>
      <c r="AC148" s="104"/>
      <c r="AD148" s="105" t="s">
        <v>62</v>
      </c>
      <c r="AE148" s="106"/>
      <c r="AF148" s="106"/>
    </row>
    <row r="149">
      <c r="A149" s="97" t="s">
        <v>63</v>
      </c>
      <c r="B149" s="97" t="s">
        <v>64</v>
      </c>
      <c r="C149" s="97" t="s">
        <v>65</v>
      </c>
      <c r="D149" s="101" t="s">
        <v>66</v>
      </c>
      <c r="E149" s="108" t="s">
        <v>67</v>
      </c>
      <c r="F149" s="108" t="s">
        <v>68</v>
      </c>
      <c r="G149" s="100" t="s">
        <v>69</v>
      </c>
      <c r="H149" s="101" t="s">
        <v>70</v>
      </c>
      <c r="I149" s="108" t="s">
        <v>71</v>
      </c>
      <c r="J149" s="151" t="s">
        <v>72</v>
      </c>
      <c r="K149" s="102" t="s">
        <v>73</v>
      </c>
      <c r="L149" s="110" t="s">
        <v>74</v>
      </c>
      <c r="M149" s="110" t="s">
        <v>75</v>
      </c>
      <c r="N149" s="102" t="s">
        <v>76</v>
      </c>
      <c r="O149" s="110" t="s">
        <v>77</v>
      </c>
      <c r="P149" s="110" t="s">
        <v>78</v>
      </c>
      <c r="Q149" s="102" t="s">
        <v>79</v>
      </c>
      <c r="R149" s="110" t="s">
        <v>80</v>
      </c>
      <c r="S149" s="102" t="s">
        <v>81</v>
      </c>
      <c r="T149" s="111" t="s">
        <v>82</v>
      </c>
      <c r="U149" s="111" t="s">
        <v>83</v>
      </c>
      <c r="V149" s="111" t="s">
        <v>84</v>
      </c>
      <c r="W149" s="112" t="s">
        <v>85</v>
      </c>
      <c r="X149" s="113" t="s">
        <v>86</v>
      </c>
      <c r="Y149" s="113" t="s">
        <v>87</v>
      </c>
      <c r="Z149" s="113" t="s">
        <v>88</v>
      </c>
      <c r="AA149" s="113" t="s">
        <v>89</v>
      </c>
      <c r="AB149" s="113" t="s">
        <v>90</v>
      </c>
      <c r="AC149" s="113" t="s">
        <v>91</v>
      </c>
      <c r="AD149" s="105"/>
      <c r="AE149" s="106"/>
      <c r="AF149" s="106"/>
    </row>
    <row r="150">
      <c r="A150" s="152">
        <v>46289</v>
      </c>
      <c r="B150" s="157" t="s">
        <v>103</v>
      </c>
      <c r="C150" s="116" t="s">
        <v>113</v>
      </c>
      <c r="D150" s="115">
        <f t="shared" ref="D150:D154" si="79">E150+F150</f>
      </c>
      <c r="E150" s="116">
        <v>1974.59</v>
      </c>
      <c r="F150" s="115">
        <v>521.28</v>
      </c>
      <c r="G150" s="131">
        <v>0</v>
      </c>
      <c r="H150" s="116">
        <v>0</v>
      </c>
      <c r="I150" s="118">
        <f t="shared" ref="I150:I160" si="13">H150/D150</f>
      </c>
      <c r="J150" s="154">
        <f t="shared" ref="J150:J160" si="208">Y150/X150</f>
      </c>
      <c r="K150" s="120">
        <f t="shared" ref="K150:K160" si="146">D150/Z150</f>
      </c>
      <c r="L150" s="119">
        <f t="shared" ref="L150:L160" si="228">AA150/Z150</f>
      </c>
      <c r="M150" s="119">
        <f t="shared" ref="M150:M160" si="106">AB150/Z150</f>
      </c>
      <c r="N150" s="120">
        <f t="shared" ref="N150:N160" si="33">D150/AB150</f>
      </c>
      <c r="O150" s="119">
        <f t="shared" ref="O150:O160" si="248">AC150/AB150</f>
      </c>
      <c r="P150" s="119">
        <f t="shared" ref="P150:P160" si="166">G150/AC150</f>
      </c>
      <c r="Q150" s="120">
        <f t="shared" ref="Q150:Q160" si="126">D150/G150</f>
      </c>
      <c r="R150" s="121">
        <f t="shared" ref="R150:R160" si="53">H150/G150</f>
      </c>
      <c r="S150" s="120">
        <f t="shared" ref="S150:S160" si="268">D150/W150</f>
      </c>
      <c r="T150" s="122">
        <f t="shared" ref="T150:T160" si="186">AD150*1000/D150</f>
      </c>
      <c r="U150" s="123" t="s">
        <v>94</v>
      </c>
      <c r="V150" s="124" t="s">
        <v>109</v>
      </c>
      <c r="W150" s="125">
        <v>1</v>
      </c>
      <c r="X150" s="125">
        <v>5417</v>
      </c>
      <c r="Y150" s="125">
        <v>655</v>
      </c>
      <c r="Z150" s="125">
        <v>890</v>
      </c>
      <c r="AA150" s="125">
        <v>280</v>
      </c>
      <c r="AB150" s="125">
        <v>60</v>
      </c>
      <c r="AC150" s="126">
        <v>1</v>
      </c>
      <c r="AD150" s="126">
        <v>17</v>
      </c>
      <c r="AE150" s="106"/>
      <c r="AF150" s="106"/>
    </row>
    <row r="151">
      <c r="A151" s="152"/>
      <c r="B151" s="158" t="s">
        <v>104</v>
      </c>
      <c r="C151" s="116" t="s">
        <v>113</v>
      </c>
      <c r="D151" s="115">
        <f t="shared" si="79"/>
      </c>
      <c r="E151" s="115">
        <v>539.81</v>
      </c>
      <c r="F151" s="115">
        <v>535.77</v>
      </c>
      <c r="G151" s="131">
        <v>1</v>
      </c>
      <c r="H151" s="116">
        <v>915.36</v>
      </c>
      <c r="I151" s="118">
        <f t="shared" si="13"/>
      </c>
      <c r="J151" s="154">
        <f t="shared" si="208"/>
      </c>
      <c r="K151" s="120">
        <f t="shared" si="146"/>
      </c>
      <c r="L151" s="119">
        <f t="shared" si="228"/>
      </c>
      <c r="M151" s="119">
        <f t="shared" si="106"/>
      </c>
      <c r="N151" s="120">
        <f t="shared" si="33"/>
      </c>
      <c r="O151" s="119">
        <f t="shared" si="248"/>
      </c>
      <c r="P151" s="119">
        <f t="shared" si="166"/>
      </c>
      <c r="Q151" s="120">
        <f t="shared" si="126"/>
      </c>
      <c r="R151" s="121">
        <f t="shared" si="53"/>
      </c>
      <c r="S151" s="120">
        <f t="shared" si="268"/>
      </c>
      <c r="T151" s="122">
        <f t="shared" si="186"/>
      </c>
      <c r="U151" s="123" t="s">
        <v>94</v>
      </c>
      <c r="V151" s="124" t="s">
        <v>109</v>
      </c>
      <c r="W151" s="125">
        <v>0</v>
      </c>
      <c r="X151" s="125">
        <v>2307</v>
      </c>
      <c r="Y151" s="125">
        <v>425</v>
      </c>
      <c r="Z151" s="125">
        <v>697</v>
      </c>
      <c r="AA151" s="125">
        <v>200</v>
      </c>
      <c r="AB151" s="125">
        <v>11</v>
      </c>
      <c r="AC151" s="126">
        <v>2</v>
      </c>
      <c r="AD151" s="126">
        <v>6</v>
      </c>
      <c r="AE151" s="106"/>
      <c r="AF151" s="106"/>
    </row>
    <row r="152">
      <c r="A152" s="152"/>
      <c r="B152" s="158" t="s">
        <v>105</v>
      </c>
      <c r="C152" s="116" t="s">
        <v>113</v>
      </c>
      <c r="D152" s="115">
        <f t="shared" si="79"/>
      </c>
      <c r="E152" s="115">
        <v>443.33</v>
      </c>
      <c r="F152" s="115">
        <v>332.68</v>
      </c>
      <c r="G152" s="131">
        <v>0</v>
      </c>
      <c r="H152" s="116">
        <v>0</v>
      </c>
      <c r="I152" s="118">
        <f t="shared" si="13"/>
      </c>
      <c r="J152" s="154">
        <f t="shared" si="208"/>
      </c>
      <c r="K152" s="120">
        <f t="shared" si="146"/>
      </c>
      <c r="L152" s="119">
        <f t="shared" si="228"/>
      </c>
      <c r="M152" s="119">
        <f t="shared" si="106"/>
      </c>
      <c r="N152" s="120">
        <f t="shared" si="33"/>
      </c>
      <c r="O152" s="119">
        <f t="shared" si="248"/>
      </c>
      <c r="P152" s="119">
        <f t="shared" si="166"/>
      </c>
      <c r="Q152" s="120">
        <f t="shared" si="126"/>
      </c>
      <c r="R152" s="121">
        <f t="shared" si="53"/>
      </c>
      <c r="S152" s="120">
        <f t="shared" si="268"/>
      </c>
      <c r="T152" s="122">
        <f t="shared" si="186"/>
      </c>
      <c r="U152" s="123" t="s">
        <v>94</v>
      </c>
      <c r="V152" s="124" t="s">
        <v>109</v>
      </c>
      <c r="W152" s="125">
        <v>0</v>
      </c>
      <c r="X152" s="125">
        <v>1570</v>
      </c>
      <c r="Y152" s="125">
        <v>206</v>
      </c>
      <c r="Z152" s="125">
        <v>373</v>
      </c>
      <c r="AA152" s="125">
        <v>98</v>
      </c>
      <c r="AB152" s="125">
        <v>7</v>
      </c>
      <c r="AC152" s="126">
        <v>0</v>
      </c>
      <c r="AD152" s="126">
        <v>10</v>
      </c>
      <c r="AE152" s="106"/>
      <c r="AF152" s="106"/>
    </row>
    <row r="153">
      <c r="A153" s="152"/>
      <c r="B153" s="158" t="s">
        <v>92</v>
      </c>
      <c r="C153" s="116" t="s">
        <v>113</v>
      </c>
      <c r="D153" s="115">
        <f t="shared" si="79"/>
      </c>
      <c r="E153" s="115">
        <v>965.89</v>
      </c>
      <c r="F153" s="115">
        <v>424.84</v>
      </c>
      <c r="G153" s="131">
        <v>0</v>
      </c>
      <c r="H153" s="116">
        <v>0</v>
      </c>
      <c r="I153" s="118">
        <f t="shared" si="13"/>
      </c>
      <c r="J153" s="154">
        <f t="shared" si="208"/>
      </c>
      <c r="K153" s="120">
        <f t="shared" si="146"/>
      </c>
      <c r="L153" s="119">
        <f t="shared" si="228"/>
      </c>
      <c r="M153" s="119">
        <f t="shared" si="106"/>
      </c>
      <c r="N153" s="120">
        <f t="shared" si="33"/>
      </c>
      <c r="O153" s="119">
        <f t="shared" si="248"/>
      </c>
      <c r="P153" s="119">
        <f t="shared" si="166"/>
      </c>
      <c r="Q153" s="120">
        <f t="shared" si="126"/>
      </c>
      <c r="R153" s="121">
        <f t="shared" si="53"/>
      </c>
      <c r="S153" s="120">
        <f t="shared" si="268"/>
      </c>
      <c r="T153" s="122">
        <f t="shared" si="186"/>
      </c>
      <c r="U153" s="123" t="s">
        <v>94</v>
      </c>
      <c r="V153" s="124" t="s">
        <v>109</v>
      </c>
      <c r="W153" s="125">
        <v>0</v>
      </c>
      <c r="X153" s="125">
        <v>3224</v>
      </c>
      <c r="Y153" s="125">
        <v>374</v>
      </c>
      <c r="Z153" s="125">
        <v>574</v>
      </c>
      <c r="AA153" s="125">
        <v>148</v>
      </c>
      <c r="AB153" s="125">
        <v>10</v>
      </c>
      <c r="AC153" s="126">
        <v>0</v>
      </c>
      <c r="AD153" s="126">
        <v>10</v>
      </c>
      <c r="AE153" s="106"/>
      <c r="AF153" s="106"/>
    </row>
    <row r="154">
      <c r="A154" s="152"/>
      <c r="B154" s="116" t="s">
        <v>96</v>
      </c>
      <c r="C154" s="116" t="s">
        <v>113</v>
      </c>
      <c r="D154" s="115">
        <f t="shared" si="79"/>
      </c>
      <c r="E154" s="115">
        <v>716.0600000000001</v>
      </c>
      <c r="F154" s="115">
        <v>462.37</v>
      </c>
      <c r="G154" s="131">
        <v>0</v>
      </c>
      <c r="H154" s="116">
        <v>0</v>
      </c>
      <c r="I154" s="118">
        <f t="shared" si="13"/>
      </c>
      <c r="J154" s="154">
        <f t="shared" si="208"/>
      </c>
      <c r="K154" s="120">
        <f t="shared" si="146"/>
      </c>
      <c r="L154" s="119">
        <f t="shared" si="228"/>
      </c>
      <c r="M154" s="119">
        <f t="shared" si="106"/>
      </c>
      <c r="N154" s="120">
        <f t="shared" si="33"/>
      </c>
      <c r="O154" s="119">
        <f t="shared" si="248"/>
      </c>
      <c r="P154" s="119">
        <f t="shared" si="166"/>
      </c>
      <c r="Q154" s="120">
        <f t="shared" si="126"/>
      </c>
      <c r="R154" s="121">
        <f t="shared" si="53"/>
      </c>
      <c r="S154" s="120">
        <f t="shared" si="268"/>
      </c>
      <c r="T154" s="122">
        <f t="shared" si="186"/>
      </c>
      <c r="U154" s="123" t="s">
        <v>94</v>
      </c>
      <c r="V154" s="124" t="s">
        <v>109</v>
      </c>
      <c r="W154" s="125">
        <v>0</v>
      </c>
      <c r="X154" s="125">
        <v>3014</v>
      </c>
      <c r="Y154" s="125">
        <v>381</v>
      </c>
      <c r="Z154" s="125">
        <v>629</v>
      </c>
      <c r="AA154" s="125">
        <v>147</v>
      </c>
      <c r="AB154" s="125">
        <v>13</v>
      </c>
      <c r="AC154" s="126">
        <v>2</v>
      </c>
      <c r="AD154" s="126">
        <v>19</v>
      </c>
      <c r="AE154" s="106"/>
      <c r="AF154" s="106"/>
    </row>
    <row r="155">
      <c r="A155" s="152"/>
      <c r="B155" s="132" t="s">
        <v>99</v>
      </c>
      <c r="C155" s="132"/>
      <c r="D155" s="132">
        <f>SUM(D150:D154)</f>
      </c>
      <c r="E155" s="132">
        <f>SUM(E150:E154)</f>
      </c>
      <c r="F155" s="132">
        <f>SUM(F150:F154)</f>
      </c>
      <c r="G155" s="132">
        <f>SUM(G150:G154)</f>
      </c>
      <c r="H155" s="132">
        <f>SUM(H150:H154)</f>
      </c>
      <c r="I155" s="134">
        <f t="shared" si="13"/>
      </c>
      <c r="J155" s="155">
        <f t="shared" si="208"/>
      </c>
      <c r="K155" s="136">
        <f t="shared" si="146"/>
      </c>
      <c r="L155" s="135">
        <f t="shared" si="228"/>
      </c>
      <c r="M155" s="135">
        <f t="shared" si="106"/>
      </c>
      <c r="N155" s="136">
        <f t="shared" si="33"/>
      </c>
      <c r="O155" s="135">
        <f t="shared" si="248"/>
      </c>
      <c r="P155" s="135">
        <f t="shared" si="166"/>
      </c>
      <c r="Q155" s="136">
        <f t="shared" si="126"/>
      </c>
      <c r="R155" s="137">
        <f t="shared" si="53"/>
      </c>
      <c r="S155" s="136">
        <f t="shared" si="268"/>
      </c>
      <c r="T155" s="138">
        <f t="shared" si="186"/>
      </c>
      <c r="U155" s="138"/>
      <c r="V155" s="138"/>
      <c r="W155" s="132">
        <f>SUM(W150:W154)</f>
      </c>
      <c r="X155" s="132">
        <f>SUM(X150:X154)</f>
      </c>
      <c r="Y155" s="132">
        <f>SUM(Y150:Y154)</f>
      </c>
      <c r="Z155" s="132">
        <f>SUM(Z150:Z154)</f>
      </c>
      <c r="AA155" s="132">
        <f>SUM(AA150:AA154)</f>
      </c>
      <c r="AB155" s="132">
        <f>SUM(AB150:AB154)</f>
      </c>
      <c r="AC155" s="132">
        <f>SUM(AC150:AC154)</f>
      </c>
      <c r="AD155" s="132">
        <f>SUM(AD150:AD154)</f>
      </c>
      <c r="AE155" s="106"/>
      <c r="AF155" s="106"/>
    </row>
    <row r="156">
      <c r="A156" s="152"/>
      <c r="B156" s="115" t="s">
        <v>97</v>
      </c>
      <c r="C156" s="116" t="s">
        <v>114</v>
      </c>
      <c r="D156" s="115">
        <f t="shared" ref="D156:D158" si="80">E156+F156</f>
      </c>
      <c r="E156" s="115">
        <v>582.87</v>
      </c>
      <c r="F156" s="115">
        <v>406.22</v>
      </c>
      <c r="G156" s="131">
        <v>2</v>
      </c>
      <c r="H156" s="116">
        <v>3860.9999999999995</v>
      </c>
      <c r="I156" s="118">
        <f t="shared" si="13"/>
      </c>
      <c r="J156" s="154">
        <f t="shared" si="208"/>
      </c>
      <c r="K156" s="120">
        <f t="shared" si="146"/>
      </c>
      <c r="L156" s="119">
        <f t="shared" si="228"/>
      </c>
      <c r="M156" s="119">
        <f t="shared" si="106"/>
      </c>
      <c r="N156" s="120">
        <f t="shared" si="33"/>
      </c>
      <c r="O156" s="119">
        <f t="shared" si="248"/>
      </c>
      <c r="P156" s="119">
        <f t="shared" si="166"/>
      </c>
      <c r="Q156" s="120">
        <f t="shared" si="126"/>
      </c>
      <c r="R156" s="121">
        <f t="shared" si="53"/>
      </c>
      <c r="S156" s="120">
        <f t="shared" si="268"/>
      </c>
      <c r="T156" s="122">
        <f t="shared" si="186"/>
      </c>
      <c r="U156" s="123" t="s">
        <v>94</v>
      </c>
      <c r="V156" s="124" t="s">
        <v>109</v>
      </c>
      <c r="W156" s="125">
        <v>2</v>
      </c>
      <c r="X156" s="125">
        <v>2638</v>
      </c>
      <c r="Y156" s="125">
        <v>343</v>
      </c>
      <c r="Z156" s="125">
        <v>700</v>
      </c>
      <c r="AA156" s="125">
        <v>143</v>
      </c>
      <c r="AB156" s="125">
        <v>10</v>
      </c>
      <c r="AC156" s="126">
        <v>3</v>
      </c>
      <c r="AD156" s="126">
        <v>18</v>
      </c>
      <c r="AE156" s="106"/>
      <c r="AF156" s="106"/>
    </row>
    <row r="157">
      <c r="A157" s="152"/>
      <c r="B157" s="115" t="s">
        <v>98</v>
      </c>
      <c r="C157" s="116" t="s">
        <v>114</v>
      </c>
      <c r="D157" s="115">
        <f t="shared" si="80"/>
      </c>
      <c r="E157" s="115">
        <v>803.9100000000001</v>
      </c>
      <c r="F157" s="115">
        <v>645.1</v>
      </c>
      <c r="G157" s="131">
        <v>0</v>
      </c>
      <c r="H157" s="116">
        <v>0</v>
      </c>
      <c r="I157" s="118">
        <f t="shared" si="13"/>
      </c>
      <c r="J157" s="154">
        <f t="shared" si="208"/>
      </c>
      <c r="K157" s="120">
        <f t="shared" si="146"/>
      </c>
      <c r="L157" s="119">
        <f t="shared" si="228"/>
      </c>
      <c r="M157" s="119">
        <f t="shared" si="106"/>
      </c>
      <c r="N157" s="120">
        <f t="shared" si="33"/>
      </c>
      <c r="O157" s="119">
        <f t="shared" si="248"/>
      </c>
      <c r="P157" s="119">
        <f t="shared" si="166"/>
      </c>
      <c r="Q157" s="120">
        <f t="shared" si="126"/>
      </c>
      <c r="R157" s="121">
        <f t="shared" si="53"/>
      </c>
      <c r="S157" s="120">
        <f t="shared" si="268"/>
      </c>
      <c r="T157" s="122">
        <f t="shared" si="186"/>
      </c>
      <c r="U157" s="123" t="s">
        <v>94</v>
      </c>
      <c r="V157" s="124" t="s">
        <v>109</v>
      </c>
      <c r="W157" s="125">
        <v>0</v>
      </c>
      <c r="X157" s="125">
        <v>3485</v>
      </c>
      <c r="Y157" s="125">
        <v>440</v>
      </c>
      <c r="Z157" s="125">
        <v>775</v>
      </c>
      <c r="AA157" s="125">
        <v>161</v>
      </c>
      <c r="AB157" s="125">
        <v>24</v>
      </c>
      <c r="AC157" s="126">
        <v>0</v>
      </c>
      <c r="AD157" s="126">
        <v>17</v>
      </c>
      <c r="AE157" s="106"/>
      <c r="AF157" s="106"/>
    </row>
    <row r="158">
      <c r="A158" s="152"/>
      <c r="B158" s="115" t="s">
        <v>102</v>
      </c>
      <c r="C158" s="116" t="s">
        <v>114</v>
      </c>
      <c r="D158" s="115">
        <f t="shared" si="80"/>
      </c>
      <c r="E158" s="115">
        <v>336.34</v>
      </c>
      <c r="F158" s="115">
        <v>323.46</v>
      </c>
      <c r="G158" s="131">
        <v>0</v>
      </c>
      <c r="H158" s="116">
        <v>0</v>
      </c>
      <c r="I158" s="118">
        <f t="shared" si="13"/>
      </c>
      <c r="J158" s="154">
        <f t="shared" si="208"/>
      </c>
      <c r="K158" s="120">
        <f t="shared" si="146"/>
      </c>
      <c r="L158" s="119">
        <f t="shared" si="228"/>
      </c>
      <c r="M158" s="119">
        <f t="shared" si="106"/>
      </c>
      <c r="N158" s="120">
        <f t="shared" si="33"/>
      </c>
      <c r="O158" s="119">
        <f t="shared" si="248"/>
      </c>
      <c r="P158" s="119">
        <f t="shared" si="166"/>
      </c>
      <c r="Q158" s="120">
        <f t="shared" si="126"/>
      </c>
      <c r="R158" s="121">
        <f t="shared" si="53"/>
      </c>
      <c r="S158" s="120">
        <f t="shared" si="268"/>
      </c>
      <c r="T158" s="122">
        <f t="shared" si="186"/>
      </c>
      <c r="U158" s="123" t="s">
        <v>94</v>
      </c>
      <c r="V158" s="124" t="s">
        <v>109</v>
      </c>
      <c r="W158" s="125">
        <v>0</v>
      </c>
      <c r="X158" s="125">
        <v>1433</v>
      </c>
      <c r="Y158" s="125">
        <v>180</v>
      </c>
      <c r="Z158" s="125">
        <v>324</v>
      </c>
      <c r="AA158" s="125">
        <v>69</v>
      </c>
      <c r="AB158" s="125">
        <v>11</v>
      </c>
      <c r="AC158" s="126">
        <v>0</v>
      </c>
      <c r="AD158" s="126">
        <v>14</v>
      </c>
      <c r="AE158" s="106"/>
      <c r="AF158" s="106"/>
    </row>
    <row r="159">
      <c r="A159" s="152"/>
      <c r="B159" s="132" t="s">
        <v>99</v>
      </c>
      <c r="C159" s="132"/>
      <c r="D159" s="132">
        <f>SUM(D156:D158)</f>
      </c>
      <c r="E159" s="132">
        <f>SUM(E156:E158)</f>
      </c>
      <c r="F159" s="132">
        <f>SUM(F156:F158)</f>
      </c>
      <c r="G159" s="132">
        <f>SUM(G156:G158)</f>
      </c>
      <c r="H159" s="132">
        <f>SUM(H156:H158)</f>
      </c>
      <c r="I159" s="134">
        <f t="shared" si="13"/>
      </c>
      <c r="J159" s="155">
        <f t="shared" si="208"/>
      </c>
      <c r="K159" s="136">
        <f t="shared" si="146"/>
      </c>
      <c r="L159" s="135">
        <f t="shared" si="228"/>
      </c>
      <c r="M159" s="135">
        <f t="shared" si="106"/>
      </c>
      <c r="N159" s="136">
        <f t="shared" si="33"/>
      </c>
      <c r="O159" s="135">
        <f t="shared" si="248"/>
      </c>
      <c r="P159" s="135">
        <f t="shared" si="166"/>
      </c>
      <c r="Q159" s="136">
        <f t="shared" si="126"/>
      </c>
      <c r="R159" s="137">
        <f t="shared" si="53"/>
      </c>
      <c r="S159" s="136">
        <f t="shared" si="268"/>
      </c>
      <c r="T159" s="138">
        <f t="shared" si="186"/>
      </c>
      <c r="U159" s="138"/>
      <c r="V159" s="138"/>
      <c r="W159" s="132">
        <f>SUM(W156:W158)</f>
      </c>
      <c r="X159" s="132">
        <f>SUM(X156:X158)</f>
      </c>
      <c r="Y159" s="132">
        <f>SUM(Y156:Y158)</f>
      </c>
      <c r="Z159" s="132">
        <f>SUM(Z156:Z158)</f>
      </c>
      <c r="AA159" s="132">
        <f>SUM(AA156:AA158)</f>
      </c>
      <c r="AB159" s="132">
        <f>SUM(AB156:AB158)</f>
      </c>
      <c r="AC159" s="132">
        <f>SUM(AC156:AC158)</f>
      </c>
      <c r="AD159" s="132">
        <f>SUM(AD156:AD158)</f>
      </c>
      <c r="AE159" s="106"/>
      <c r="AF159" s="106"/>
    </row>
    <row r="160">
      <c r="A160" s="152"/>
      <c r="B160" s="139" t="s">
        <v>100</v>
      </c>
      <c r="C160" s="139"/>
      <c r="D160" s="140">
        <f>D155+D159</f>
      </c>
      <c r="E160" s="140">
        <f>E155+E159</f>
      </c>
      <c r="F160" s="140">
        <f>F155+F159</f>
      </c>
      <c r="G160" s="140">
        <f>G155+G159</f>
      </c>
      <c r="H160" s="140">
        <f>H155+H159</f>
      </c>
      <c r="I160" s="140">
        <f t="shared" si="13"/>
      </c>
      <c r="J160" s="156">
        <f t="shared" si="208"/>
      </c>
      <c r="K160" s="140">
        <f t="shared" si="146"/>
      </c>
      <c r="L160" s="142">
        <f t="shared" si="228"/>
      </c>
      <c r="M160" s="142">
        <f t="shared" si="106"/>
      </c>
      <c r="N160" s="140">
        <f t="shared" si="33"/>
      </c>
      <c r="O160" s="142">
        <f t="shared" si="248"/>
      </c>
      <c r="P160" s="142">
        <f t="shared" si="166"/>
      </c>
      <c r="Q160" s="140">
        <f t="shared" si="126"/>
      </c>
      <c r="R160" s="143">
        <f t="shared" si="53"/>
      </c>
      <c r="S160" s="140">
        <f t="shared" si="268"/>
      </c>
      <c r="T160" s="144">
        <f t="shared" si="186"/>
      </c>
      <c r="U160" s="144"/>
      <c r="V160" s="144"/>
      <c r="W160" s="145">
        <f>W155+W159</f>
      </c>
      <c r="X160" s="145">
        <f>X155+X159</f>
      </c>
      <c r="Y160" s="145">
        <f>Y155+Y159</f>
      </c>
      <c r="Z160" s="145">
        <f>Z155+Z159</f>
      </c>
      <c r="AA160" s="145">
        <f>AA155+AA159</f>
      </c>
      <c r="AB160" s="145">
        <f>AB155+AB159</f>
      </c>
      <c r="AC160" s="145">
        <f>AC155+AC159</f>
      </c>
      <c r="AD160" s="145">
        <f>AD155+AD159</f>
      </c>
      <c r="AE160" s="106"/>
      <c r="AF160" s="106"/>
    </row>
    <row r="161">
      <c r="A161" s="97" t="s">
        <v>59</v>
      </c>
      <c r="B161" s="97"/>
      <c r="C161" s="97"/>
      <c r="D161" s="101" t="s">
        <v>60</v>
      </c>
      <c r="E161" s="101"/>
      <c r="F161" s="101"/>
      <c r="G161" s="101"/>
      <c r="H161" s="101"/>
      <c r="I161" s="101"/>
      <c r="J161" s="151" t="s">
        <v>61</v>
      </c>
      <c r="K161" s="151"/>
      <c r="L161" s="151"/>
      <c r="M161" s="151"/>
      <c r="N161" s="151"/>
      <c r="O161" s="151"/>
      <c r="P161" s="151"/>
      <c r="Q161" s="151"/>
      <c r="R161" s="151"/>
      <c r="S161" s="151"/>
      <c r="T161" s="103"/>
      <c r="U161" s="103"/>
      <c r="V161" s="103"/>
      <c r="W161" s="104"/>
      <c r="X161" s="104"/>
      <c r="Y161" s="104"/>
      <c r="Z161" s="104"/>
      <c r="AA161" s="104"/>
      <c r="AB161" s="104"/>
      <c r="AC161" s="104"/>
      <c r="AD161" s="105" t="s">
        <v>62</v>
      </c>
    </row>
    <row r="162">
      <c r="A162" s="97" t="s">
        <v>63</v>
      </c>
      <c r="B162" s="97" t="s">
        <v>64</v>
      </c>
      <c r="C162" s="97" t="s">
        <v>65</v>
      </c>
      <c r="D162" s="101" t="s">
        <v>66</v>
      </c>
      <c r="E162" s="108" t="s">
        <v>67</v>
      </c>
      <c r="F162" s="108" t="s">
        <v>68</v>
      </c>
      <c r="G162" s="100" t="s">
        <v>69</v>
      </c>
      <c r="H162" s="101" t="s">
        <v>70</v>
      </c>
      <c r="I162" s="108" t="s">
        <v>71</v>
      </c>
      <c r="J162" s="151" t="s">
        <v>72</v>
      </c>
      <c r="K162" s="102" t="s">
        <v>73</v>
      </c>
      <c r="L162" s="110" t="s">
        <v>74</v>
      </c>
      <c r="M162" s="110" t="s">
        <v>75</v>
      </c>
      <c r="N162" s="102" t="s">
        <v>76</v>
      </c>
      <c r="O162" s="110" t="s">
        <v>77</v>
      </c>
      <c r="P162" s="110" t="s">
        <v>78</v>
      </c>
      <c r="Q162" s="102" t="s">
        <v>79</v>
      </c>
      <c r="R162" s="110" t="s">
        <v>80</v>
      </c>
      <c r="S162" s="102" t="s">
        <v>81</v>
      </c>
      <c r="T162" s="111" t="s">
        <v>82</v>
      </c>
      <c r="U162" s="111" t="s">
        <v>83</v>
      </c>
      <c r="V162" s="111" t="s">
        <v>84</v>
      </c>
      <c r="W162" s="112" t="s">
        <v>85</v>
      </c>
      <c r="X162" s="113" t="s">
        <v>86</v>
      </c>
      <c r="Y162" s="113" t="s">
        <v>87</v>
      </c>
      <c r="Z162" s="113" t="s">
        <v>88</v>
      </c>
      <c r="AA162" s="113" t="s">
        <v>89</v>
      </c>
      <c r="AB162" s="113" t="s">
        <v>90</v>
      </c>
      <c r="AC162" s="113" t="s">
        <v>91</v>
      </c>
      <c r="AD162" s="105"/>
    </row>
    <row r="163">
      <c r="A163" s="152">
        <v>46290</v>
      </c>
      <c r="B163" s="157" t="s">
        <v>103</v>
      </c>
      <c r="C163" s="116" t="s">
        <v>110</v>
      </c>
      <c r="D163" s="115">
        <f t="shared" ref="D163:D167" si="81">E163+F163</f>
      </c>
      <c r="E163" s="116">
        <v>1387.8500000000001</v>
      </c>
      <c r="F163" s="115">
        <v>399.2</v>
      </c>
      <c r="G163" s="131">
        <v>0</v>
      </c>
      <c r="H163" s="116">
        <v>0</v>
      </c>
      <c r="I163" s="118">
        <f t="shared" ref="I163:I173" si="14">H163/D163</f>
      </c>
      <c r="J163" s="154">
        <f t="shared" ref="J163:J173" si="209">Y163/X163</f>
      </c>
      <c r="K163" s="120">
        <f t="shared" ref="K163:K173" si="147">D163/Z163</f>
      </c>
      <c r="L163" s="119">
        <f t="shared" ref="L163:L173" si="229">AA163/Z163</f>
      </c>
      <c r="M163" s="119">
        <f t="shared" ref="M163:M173" si="107">AB163/Z163</f>
      </c>
      <c r="N163" s="120">
        <f t="shared" ref="N163:N173" si="34">D163/AB163</f>
      </c>
      <c r="O163" s="119">
        <f t="shared" ref="O163:O173" si="249">AC163/AB163</f>
      </c>
      <c r="P163" s="119">
        <f t="shared" ref="P163:P173" si="167">G163/AC163</f>
      </c>
      <c r="Q163" s="120">
        <f t="shared" ref="Q163:Q173" si="127">D163/G163</f>
      </c>
      <c r="R163" s="121">
        <f t="shared" ref="R163:R173" si="54">H163/G163</f>
      </c>
      <c r="S163" s="120">
        <f t="shared" ref="S163:S173" si="269">D163/W163</f>
      </c>
      <c r="T163" s="122">
        <f t="shared" ref="T163:T173" si="187">AD163*1000/D163</f>
      </c>
      <c r="U163" s="123" t="s">
        <v>94</v>
      </c>
      <c r="V163" s="124" t="s">
        <v>115</v>
      </c>
      <c r="W163" s="125">
        <v>0</v>
      </c>
      <c r="X163" s="125">
        <v>3830</v>
      </c>
      <c r="Y163" s="125">
        <v>447</v>
      </c>
      <c r="Z163" s="125">
        <v>659</v>
      </c>
      <c r="AA163" s="125">
        <v>195</v>
      </c>
      <c r="AB163" s="125">
        <v>28</v>
      </c>
      <c r="AC163" s="126">
        <v>0</v>
      </c>
      <c r="AD163" s="126">
        <v>14</v>
      </c>
    </row>
    <row r="164">
      <c r="A164" s="152"/>
      <c r="B164" s="158" t="s">
        <v>104</v>
      </c>
      <c r="C164" s="116" t="s">
        <v>110</v>
      </c>
      <c r="D164" s="115">
        <f t="shared" si="81"/>
      </c>
      <c r="E164" s="115">
        <v>794.18</v>
      </c>
      <c r="F164" s="115">
        <v>449.41</v>
      </c>
      <c r="G164" s="131">
        <v>0</v>
      </c>
      <c r="H164" s="116">
        <v>0</v>
      </c>
      <c r="I164" s="118">
        <f t="shared" si="14"/>
      </c>
      <c r="J164" s="154">
        <f t="shared" si="209"/>
      </c>
      <c r="K164" s="120">
        <f t="shared" si="147"/>
      </c>
      <c r="L164" s="119">
        <f t="shared" si="229"/>
      </c>
      <c r="M164" s="119">
        <f t="shared" si="107"/>
      </c>
      <c r="N164" s="120">
        <f t="shared" si="34"/>
      </c>
      <c r="O164" s="119">
        <f t="shared" si="249"/>
      </c>
      <c r="P164" s="119">
        <f t="shared" si="167"/>
      </c>
      <c r="Q164" s="120">
        <f t="shared" si="127"/>
      </c>
      <c r="R164" s="121">
        <f t="shared" si="54"/>
      </c>
      <c r="S164" s="120">
        <f t="shared" si="269"/>
      </c>
      <c r="T164" s="122">
        <f t="shared" si="187"/>
      </c>
      <c r="U164" s="123" t="s">
        <v>94</v>
      </c>
      <c r="V164" s="124" t="s">
        <v>115</v>
      </c>
      <c r="W164" s="125">
        <v>0</v>
      </c>
      <c r="X164" s="125">
        <v>1897</v>
      </c>
      <c r="Y164" s="125">
        <v>352</v>
      </c>
      <c r="Z164" s="125">
        <v>505</v>
      </c>
      <c r="AA164" s="125">
        <v>160</v>
      </c>
      <c r="AB164" s="125">
        <v>15</v>
      </c>
      <c r="AC164" s="126">
        <v>0</v>
      </c>
      <c r="AD164" s="126">
        <v>11</v>
      </c>
    </row>
    <row r="165">
      <c r="A165" s="152"/>
      <c r="B165" s="158" t="s">
        <v>105</v>
      </c>
      <c r="C165" s="116" t="s">
        <v>110</v>
      </c>
      <c r="D165" s="115">
        <f t="shared" si="81"/>
      </c>
      <c r="E165" s="115">
        <v>697.51</v>
      </c>
      <c r="F165" s="115">
        <v>245.9</v>
      </c>
      <c r="G165" s="131">
        <v>0</v>
      </c>
      <c r="H165" s="116">
        <v>0</v>
      </c>
      <c r="I165" s="118">
        <f t="shared" si="14"/>
      </c>
      <c r="J165" s="154">
        <f t="shared" si="209"/>
      </c>
      <c r="K165" s="120">
        <f t="shared" si="147"/>
      </c>
      <c r="L165" s="119">
        <f t="shared" si="229"/>
      </c>
      <c r="M165" s="119">
        <f t="shared" si="107"/>
      </c>
      <c r="N165" s="120">
        <f t="shared" si="34"/>
      </c>
      <c r="O165" s="119">
        <f t="shared" si="249"/>
      </c>
      <c r="P165" s="119">
        <f t="shared" si="167"/>
      </c>
      <c r="Q165" s="120">
        <f t="shared" si="127"/>
      </c>
      <c r="R165" s="121">
        <f t="shared" si="54"/>
      </c>
      <c r="S165" s="120">
        <f t="shared" si="269"/>
      </c>
      <c r="T165" s="122">
        <f t="shared" si="187"/>
      </c>
      <c r="U165" s="123" t="s">
        <v>94</v>
      </c>
      <c r="V165" s="124" t="s">
        <v>115</v>
      </c>
      <c r="W165" s="125">
        <v>0</v>
      </c>
      <c r="X165" s="125">
        <v>1699</v>
      </c>
      <c r="Y165" s="125">
        <v>239</v>
      </c>
      <c r="Z165" s="125">
        <v>354</v>
      </c>
      <c r="AA165" s="125">
        <v>106</v>
      </c>
      <c r="AB165" s="125">
        <v>11</v>
      </c>
      <c r="AC165" s="126">
        <v>0</v>
      </c>
      <c r="AD165" s="126">
        <v>10</v>
      </c>
    </row>
    <row r="166">
      <c r="A166" s="152"/>
      <c r="B166" s="158" t="s">
        <v>92</v>
      </c>
      <c r="C166" s="116" t="s">
        <v>110</v>
      </c>
      <c r="D166" s="115">
        <f t="shared" si="81"/>
      </c>
      <c r="E166" s="115">
        <v>745.48</v>
      </c>
      <c r="F166" s="115">
        <v>405.66</v>
      </c>
      <c r="G166" s="131">
        <v>1</v>
      </c>
      <c r="H166" s="116">
        <v>1426.56</v>
      </c>
      <c r="I166" s="118">
        <f t="shared" si="14"/>
      </c>
      <c r="J166" s="154">
        <f t="shared" si="209"/>
      </c>
      <c r="K166" s="120">
        <f t="shared" si="147"/>
      </c>
      <c r="L166" s="119">
        <f t="shared" si="229"/>
      </c>
      <c r="M166" s="119">
        <f t="shared" si="107"/>
      </c>
      <c r="N166" s="120">
        <f t="shared" si="34"/>
      </c>
      <c r="O166" s="119">
        <f t="shared" si="249"/>
      </c>
      <c r="P166" s="119">
        <f t="shared" si="167"/>
      </c>
      <c r="Q166" s="120">
        <f t="shared" si="127"/>
      </c>
      <c r="R166" s="121">
        <f t="shared" si="54"/>
      </c>
      <c r="S166" s="120">
        <f t="shared" si="269"/>
      </c>
      <c r="T166" s="122">
        <f t="shared" si="187"/>
      </c>
      <c r="U166" s="123" t="s">
        <v>94</v>
      </c>
      <c r="V166" s="124" t="s">
        <v>115</v>
      </c>
      <c r="W166" s="125">
        <v>1</v>
      </c>
      <c r="X166" s="125">
        <v>2105</v>
      </c>
      <c r="Y166" s="125">
        <v>311</v>
      </c>
      <c r="Z166" s="125">
        <v>458</v>
      </c>
      <c r="AA166" s="125">
        <v>121</v>
      </c>
      <c r="AB166" s="125">
        <v>10</v>
      </c>
      <c r="AC166" s="126">
        <v>1</v>
      </c>
      <c r="AD166" s="126">
        <v>8</v>
      </c>
    </row>
    <row r="167">
      <c r="A167" s="152"/>
      <c r="B167" s="116" t="s">
        <v>96</v>
      </c>
      <c r="C167" s="116" t="s">
        <v>110</v>
      </c>
      <c r="D167" s="115">
        <f t="shared" si="81"/>
      </c>
      <c r="E167" s="115">
        <v>627.0600000000001</v>
      </c>
      <c r="F167" s="115">
        <v>604.79</v>
      </c>
      <c r="G167" s="131">
        <v>0</v>
      </c>
      <c r="H167" s="116">
        <v>0</v>
      </c>
      <c r="I167" s="118">
        <f t="shared" si="14"/>
      </c>
      <c r="J167" s="154">
        <f t="shared" si="209"/>
      </c>
      <c r="K167" s="120">
        <f t="shared" si="147"/>
      </c>
      <c r="L167" s="119">
        <f t="shared" si="229"/>
      </c>
      <c r="M167" s="119">
        <f t="shared" si="107"/>
      </c>
      <c r="N167" s="120">
        <f t="shared" si="34"/>
      </c>
      <c r="O167" s="119">
        <f t="shared" si="249"/>
      </c>
      <c r="P167" s="119">
        <f t="shared" si="167"/>
      </c>
      <c r="Q167" s="120">
        <f t="shared" si="127"/>
      </c>
      <c r="R167" s="121">
        <f t="shared" si="54"/>
      </c>
      <c r="S167" s="120">
        <f t="shared" si="269"/>
      </c>
      <c r="T167" s="122">
        <f t="shared" si="187"/>
      </c>
      <c r="U167" s="123" t="s">
        <v>94</v>
      </c>
      <c r="V167" s="124" t="s">
        <v>115</v>
      </c>
      <c r="W167" s="125">
        <v>0</v>
      </c>
      <c r="X167" s="125">
        <v>2593</v>
      </c>
      <c r="Y167" s="125">
        <v>343</v>
      </c>
      <c r="Z167" s="125">
        <v>498</v>
      </c>
      <c r="AA167" s="125">
        <v>148</v>
      </c>
      <c r="AB167" s="125">
        <v>22</v>
      </c>
      <c r="AC167" s="126">
        <v>4</v>
      </c>
      <c r="AD167" s="126">
        <v>12</v>
      </c>
    </row>
    <row r="168">
      <c r="A168" s="152"/>
      <c r="B168" s="132" t="s">
        <v>99</v>
      </c>
      <c r="C168" s="132"/>
      <c r="D168" s="132">
        <f>SUM(D163:D167)</f>
      </c>
      <c r="E168" s="132">
        <f>SUM(E163:E167)</f>
      </c>
      <c r="F168" s="132">
        <f>SUM(F163:F167)</f>
      </c>
      <c r="G168" s="132">
        <f>SUM(G163:G167)</f>
      </c>
      <c r="H168" s="132">
        <f>SUM(H163:H167)</f>
      </c>
      <c r="I168" s="134">
        <f t="shared" si="14"/>
      </c>
      <c r="J168" s="155">
        <f t="shared" si="209"/>
      </c>
      <c r="K168" s="136">
        <f t="shared" si="147"/>
      </c>
      <c r="L168" s="135">
        <f t="shared" si="229"/>
      </c>
      <c r="M168" s="135">
        <f t="shared" si="107"/>
      </c>
      <c r="N168" s="136">
        <f t="shared" si="34"/>
      </c>
      <c r="O168" s="135">
        <f t="shared" si="249"/>
      </c>
      <c r="P168" s="135">
        <f t="shared" si="167"/>
      </c>
      <c r="Q168" s="136">
        <f t="shared" si="127"/>
      </c>
      <c r="R168" s="137">
        <f t="shared" si="54"/>
      </c>
      <c r="S168" s="136">
        <f t="shared" si="269"/>
      </c>
      <c r="T168" s="138">
        <f t="shared" si="187"/>
      </c>
      <c r="U168" s="138"/>
      <c r="V168" s="138"/>
      <c r="W168" s="132">
        <f>SUM(W163:W167)</f>
      </c>
      <c r="X168" s="132">
        <f>SUM(X163:X167)</f>
      </c>
      <c r="Y168" s="132">
        <f>SUM(Y163:Y167)</f>
      </c>
      <c r="Z168" s="132">
        <f>SUM(Z163:Z167)</f>
      </c>
      <c r="AA168" s="132">
        <f>SUM(AA163:AA167)</f>
      </c>
      <c r="AB168" s="132">
        <f>SUM(AB163:AB167)</f>
      </c>
      <c r="AC168" s="132">
        <f>SUM(AC163:AC167)</f>
      </c>
      <c r="AD168" s="132">
        <f>SUM(AD163:AD167)</f>
      </c>
    </row>
    <row r="169">
      <c r="A169" s="152"/>
      <c r="B169" s="115" t="s">
        <v>97</v>
      </c>
      <c r="C169" s="116" t="s">
        <v>114</v>
      </c>
      <c r="D169" s="115">
        <f t="shared" ref="D169:D171" si="82">E169+F169</f>
      </c>
      <c r="E169" s="115">
        <v>380.99</v>
      </c>
      <c r="F169" s="115">
        <v>717.78</v>
      </c>
      <c r="G169" s="131">
        <v>1</v>
      </c>
      <c r="H169" s="116">
        <v>865.32</v>
      </c>
      <c r="I169" s="118">
        <f t="shared" si="14"/>
      </c>
      <c r="J169" s="154">
        <f t="shared" si="209"/>
      </c>
      <c r="K169" s="120">
        <f t="shared" si="147"/>
      </c>
      <c r="L169" s="119">
        <f t="shared" si="229"/>
      </c>
      <c r="M169" s="119">
        <f t="shared" si="107"/>
      </c>
      <c r="N169" s="120">
        <f t="shared" si="34"/>
      </c>
      <c r="O169" s="119">
        <f t="shared" si="249"/>
      </c>
      <c r="P169" s="119">
        <f t="shared" si="167"/>
      </c>
      <c r="Q169" s="120">
        <f t="shared" si="127"/>
      </c>
      <c r="R169" s="121">
        <f t="shared" si="54"/>
      </c>
      <c r="S169" s="120">
        <f t="shared" si="269"/>
      </c>
      <c r="T169" s="122">
        <f t="shared" si="187"/>
      </c>
      <c r="U169" s="123" t="s">
        <v>94</v>
      </c>
      <c r="V169" s="124" t="s">
        <v>115</v>
      </c>
      <c r="W169" s="125">
        <v>1</v>
      </c>
      <c r="X169" s="125">
        <v>2441</v>
      </c>
      <c r="Y169" s="125">
        <v>355</v>
      </c>
      <c r="Z169" s="125">
        <v>574</v>
      </c>
      <c r="AA169" s="125">
        <v>154</v>
      </c>
      <c r="AB169" s="125">
        <v>17</v>
      </c>
      <c r="AC169" s="126">
        <v>1</v>
      </c>
      <c r="AD169" s="126">
        <v>10</v>
      </c>
    </row>
    <row r="170">
      <c r="A170" s="152"/>
      <c r="B170" s="115" t="s">
        <v>98</v>
      </c>
      <c r="C170" s="116" t="s">
        <v>114</v>
      </c>
      <c r="D170" s="115">
        <f t="shared" si="82"/>
      </c>
      <c r="E170" s="115">
        <v>555.41</v>
      </c>
      <c r="F170" s="115">
        <v>813.77</v>
      </c>
      <c r="G170" s="131">
        <v>0</v>
      </c>
      <c r="H170" s="116">
        <v>0</v>
      </c>
      <c r="I170" s="118">
        <f t="shared" si="14"/>
      </c>
      <c r="J170" s="154">
        <f t="shared" si="209"/>
      </c>
      <c r="K170" s="120">
        <f t="shared" si="147"/>
      </c>
      <c r="L170" s="119">
        <f t="shared" si="229"/>
      </c>
      <c r="M170" s="119">
        <f t="shared" si="107"/>
      </c>
      <c r="N170" s="120">
        <f t="shared" si="34"/>
      </c>
      <c r="O170" s="119">
        <f t="shared" si="249"/>
      </c>
      <c r="P170" s="119">
        <f t="shared" si="167"/>
      </c>
      <c r="Q170" s="120">
        <f t="shared" si="127"/>
      </c>
      <c r="R170" s="121">
        <f t="shared" si="54"/>
      </c>
      <c r="S170" s="120">
        <f t="shared" si="269"/>
      </c>
      <c r="T170" s="122">
        <f t="shared" si="187"/>
      </c>
      <c r="U170" s="123" t="s">
        <v>94</v>
      </c>
      <c r="V170" s="124" t="s">
        <v>115</v>
      </c>
      <c r="W170" s="125">
        <v>0</v>
      </c>
      <c r="X170" s="125">
        <v>3236</v>
      </c>
      <c r="Y170" s="125">
        <v>500</v>
      </c>
      <c r="Z170" s="125">
        <v>810</v>
      </c>
      <c r="AA170" s="125">
        <v>205</v>
      </c>
      <c r="AB170" s="125">
        <v>16</v>
      </c>
      <c r="AC170" s="126">
        <v>2</v>
      </c>
      <c r="AD170" s="126">
        <v>13</v>
      </c>
    </row>
    <row r="171">
      <c r="A171" s="152"/>
      <c r="B171" s="115" t="s">
        <v>102</v>
      </c>
      <c r="C171" s="116" t="s">
        <v>114</v>
      </c>
      <c r="D171" s="115">
        <f t="shared" si="82"/>
      </c>
      <c r="E171" s="115">
        <v>491.74</v>
      </c>
      <c r="F171" s="115">
        <v>632.34</v>
      </c>
      <c r="G171" s="131">
        <v>0</v>
      </c>
      <c r="H171" s="116">
        <v>0</v>
      </c>
      <c r="I171" s="118">
        <f t="shared" si="14"/>
      </c>
      <c r="J171" s="154">
        <f t="shared" si="209"/>
      </c>
      <c r="K171" s="120">
        <f t="shared" si="147"/>
      </c>
      <c r="L171" s="119">
        <f t="shared" si="229"/>
      </c>
      <c r="M171" s="119">
        <f t="shared" si="107"/>
      </c>
      <c r="N171" s="120">
        <f t="shared" si="34"/>
      </c>
      <c r="O171" s="119">
        <f t="shared" si="249"/>
      </c>
      <c r="P171" s="119">
        <f t="shared" si="167"/>
      </c>
      <c r="Q171" s="120">
        <f t="shared" si="127"/>
      </c>
      <c r="R171" s="121">
        <f t="shared" si="54"/>
      </c>
      <c r="S171" s="120">
        <f t="shared" si="269"/>
      </c>
      <c r="T171" s="122">
        <f t="shared" si="187"/>
      </c>
      <c r="U171" s="123" t="s">
        <v>94</v>
      </c>
      <c r="V171" s="124" t="s">
        <v>115</v>
      </c>
      <c r="W171" s="125">
        <v>0</v>
      </c>
      <c r="X171" s="125">
        <v>1757</v>
      </c>
      <c r="Y171" s="125">
        <v>246</v>
      </c>
      <c r="Z171" s="125">
        <v>384</v>
      </c>
      <c r="AA171" s="125">
        <v>87</v>
      </c>
      <c r="AB171" s="125">
        <v>9</v>
      </c>
      <c r="AC171" s="126">
        <v>0</v>
      </c>
      <c r="AD171" s="126">
        <v>12</v>
      </c>
    </row>
    <row r="172">
      <c r="A172" s="152"/>
      <c r="B172" s="132" t="s">
        <v>99</v>
      </c>
      <c r="C172" s="132"/>
      <c r="D172" s="132">
        <f>SUM(D169:D171)</f>
      </c>
      <c r="E172" s="132">
        <f>SUM(E169:E171)</f>
      </c>
      <c r="F172" s="132">
        <f>SUM(F169:F171)</f>
      </c>
      <c r="G172" s="132">
        <f>SUM(G169:G171)</f>
      </c>
      <c r="H172" s="132">
        <f>SUM(H169:H171)</f>
      </c>
      <c r="I172" s="134">
        <f t="shared" si="14"/>
      </c>
      <c r="J172" s="155">
        <f t="shared" si="209"/>
      </c>
      <c r="K172" s="136">
        <f t="shared" si="147"/>
      </c>
      <c r="L172" s="135">
        <f t="shared" si="229"/>
      </c>
      <c r="M172" s="135">
        <f t="shared" si="107"/>
      </c>
      <c r="N172" s="136">
        <f t="shared" si="34"/>
      </c>
      <c r="O172" s="135">
        <f t="shared" si="249"/>
      </c>
      <c r="P172" s="135">
        <f t="shared" si="167"/>
      </c>
      <c r="Q172" s="136">
        <f t="shared" si="127"/>
      </c>
      <c r="R172" s="137">
        <f t="shared" si="54"/>
      </c>
      <c r="S172" s="136">
        <f t="shared" si="269"/>
      </c>
      <c r="T172" s="138">
        <f t="shared" si="187"/>
      </c>
      <c r="U172" s="138"/>
      <c r="V172" s="138"/>
      <c r="W172" s="132">
        <f>SUM(W169:W171)</f>
      </c>
      <c r="X172" s="132">
        <f>SUM(X169:X171)</f>
      </c>
      <c r="Y172" s="132">
        <f>SUM(Y169:Y171)</f>
      </c>
      <c r="Z172" s="132">
        <f>SUM(Z169:Z171)</f>
      </c>
      <c r="AA172" s="132">
        <f>SUM(AA169:AA171)</f>
      </c>
      <c r="AB172" s="132">
        <f>SUM(AB169:AB171)</f>
      </c>
      <c r="AC172" s="132">
        <f>SUM(AC169:AC171)</f>
      </c>
      <c r="AD172" s="132">
        <f>SUM(AD169:AD171)</f>
      </c>
    </row>
    <row r="173">
      <c r="A173" s="152"/>
      <c r="B173" s="139" t="s">
        <v>100</v>
      </c>
      <c r="C173" s="139"/>
      <c r="D173" s="140">
        <f>D168+D172</f>
      </c>
      <c r="E173" s="140">
        <f>E168+E172</f>
      </c>
      <c r="F173" s="140">
        <f>F168+F172</f>
      </c>
      <c r="G173" s="140">
        <f>G168+G172</f>
      </c>
      <c r="H173" s="140">
        <f>H168+H172</f>
      </c>
      <c r="I173" s="140">
        <f t="shared" si="14"/>
      </c>
      <c r="J173" s="156">
        <f t="shared" si="209"/>
      </c>
      <c r="K173" s="140">
        <f t="shared" si="147"/>
      </c>
      <c r="L173" s="142">
        <f t="shared" si="229"/>
      </c>
      <c r="M173" s="142">
        <f t="shared" si="107"/>
      </c>
      <c r="N173" s="140">
        <f t="shared" si="34"/>
      </c>
      <c r="O173" s="142">
        <f t="shared" si="249"/>
      </c>
      <c r="P173" s="142">
        <f t="shared" si="167"/>
      </c>
      <c r="Q173" s="140">
        <f t="shared" si="127"/>
      </c>
      <c r="R173" s="143">
        <f t="shared" si="54"/>
      </c>
      <c r="S173" s="140">
        <f t="shared" si="269"/>
      </c>
      <c r="T173" s="144">
        <f t="shared" si="187"/>
      </c>
      <c r="U173" s="144"/>
      <c r="V173" s="144"/>
      <c r="W173" s="145">
        <f>W168+W172</f>
      </c>
      <c r="X173" s="145">
        <f>X168+X172</f>
      </c>
      <c r="Y173" s="145">
        <f>Y168+Y172</f>
      </c>
      <c r="Z173" s="145">
        <f>Z168+Z172</f>
      </c>
      <c r="AA173" s="145">
        <f>AA168+AA172</f>
      </c>
      <c r="AB173" s="145">
        <f>AB168+AB172</f>
      </c>
      <c r="AC173" s="145">
        <f>AC168+AC172</f>
      </c>
      <c r="AD173" s="145">
        <f>AD168+AD172</f>
      </c>
    </row>
    <row r="174">
      <c r="A174" s="97" t="s">
        <v>59</v>
      </c>
      <c r="B174" s="97"/>
      <c r="C174" s="97"/>
      <c r="D174" s="101" t="s">
        <v>60</v>
      </c>
      <c r="E174" s="101"/>
      <c r="F174" s="101"/>
      <c r="G174" s="101"/>
      <c r="H174" s="101"/>
      <c r="I174" s="101"/>
      <c r="J174" s="151" t="s">
        <v>61</v>
      </c>
      <c r="K174" s="151"/>
      <c r="L174" s="151"/>
      <c r="M174" s="151"/>
      <c r="N174" s="151"/>
      <c r="O174" s="151"/>
      <c r="P174" s="151"/>
      <c r="Q174" s="151"/>
      <c r="R174" s="151"/>
      <c r="S174" s="151"/>
      <c r="T174" s="103"/>
      <c r="U174" s="103"/>
      <c r="V174" s="103"/>
      <c r="W174" s="104"/>
      <c r="X174" s="104"/>
      <c r="Y174" s="104"/>
      <c r="Z174" s="104"/>
      <c r="AA174" s="104"/>
      <c r="AB174" s="104"/>
      <c r="AC174" s="104"/>
      <c r="AD174" s="105" t="s">
        <v>62</v>
      </c>
      <c r="AE174" s="106"/>
      <c r="AF174" s="106"/>
    </row>
    <row r="175">
      <c r="A175" s="97" t="s">
        <v>63</v>
      </c>
      <c r="B175" s="97" t="s">
        <v>64</v>
      </c>
      <c r="C175" s="97" t="s">
        <v>65</v>
      </c>
      <c r="D175" s="101" t="s">
        <v>66</v>
      </c>
      <c r="E175" s="108" t="s">
        <v>67</v>
      </c>
      <c r="F175" s="108" t="s">
        <v>68</v>
      </c>
      <c r="G175" s="100" t="s">
        <v>69</v>
      </c>
      <c r="H175" s="101" t="s">
        <v>70</v>
      </c>
      <c r="I175" s="108" t="s">
        <v>71</v>
      </c>
      <c r="J175" s="151" t="s">
        <v>72</v>
      </c>
      <c r="K175" s="102" t="s">
        <v>73</v>
      </c>
      <c r="L175" s="110" t="s">
        <v>74</v>
      </c>
      <c r="M175" s="110" t="s">
        <v>75</v>
      </c>
      <c r="N175" s="102" t="s">
        <v>76</v>
      </c>
      <c r="O175" s="110" t="s">
        <v>77</v>
      </c>
      <c r="P175" s="110" t="s">
        <v>78</v>
      </c>
      <c r="Q175" s="102" t="s">
        <v>79</v>
      </c>
      <c r="R175" s="110" t="s">
        <v>80</v>
      </c>
      <c r="S175" s="102" t="s">
        <v>81</v>
      </c>
      <c r="T175" s="111" t="s">
        <v>82</v>
      </c>
      <c r="U175" s="111" t="s">
        <v>83</v>
      </c>
      <c r="V175" s="111" t="s">
        <v>84</v>
      </c>
      <c r="W175" s="112" t="s">
        <v>85</v>
      </c>
      <c r="X175" s="113" t="s">
        <v>86</v>
      </c>
      <c r="Y175" s="113" t="s">
        <v>87</v>
      </c>
      <c r="Z175" s="113" t="s">
        <v>88</v>
      </c>
      <c r="AA175" s="113" t="s">
        <v>89</v>
      </c>
      <c r="AB175" s="113" t="s">
        <v>90</v>
      </c>
      <c r="AC175" s="113" t="s">
        <v>91</v>
      </c>
      <c r="AD175" s="105"/>
      <c r="AE175" s="106"/>
      <c r="AF175" s="106"/>
    </row>
    <row r="176">
      <c r="A176" s="152">
        <v>46291</v>
      </c>
      <c r="B176" s="157" t="s">
        <v>103</v>
      </c>
      <c r="C176" s="116" t="s">
        <v>113</v>
      </c>
      <c r="D176" s="115">
        <f t="shared" ref="D176:D180" si="83">E176+F176</f>
      </c>
      <c r="E176" s="115">
        <v>1193</v>
      </c>
      <c r="F176" s="115">
        <v>419.15</v>
      </c>
      <c r="G176" s="131">
        <v>0</v>
      </c>
      <c r="H176" s="116">
        <v>0</v>
      </c>
      <c r="I176" s="118">
        <f t="shared" ref="I176:I186" si="15">H176/D176</f>
      </c>
      <c r="J176" s="154">
        <f t="shared" ref="J176:J186" si="210">Y176/X176</f>
      </c>
      <c r="K176" s="120">
        <f t="shared" ref="K176:K186" si="148">D176/Z176</f>
      </c>
      <c r="L176" s="119">
        <f t="shared" ref="L176:L186" si="230">AA176/Z176</f>
      </c>
      <c r="M176" s="119">
        <f t="shared" ref="M176:M186" si="108">AB176/Z176</f>
      </c>
      <c r="N176" s="120">
        <f t="shared" ref="N176:N186" si="35">D176/AB176</f>
      </c>
      <c r="O176" s="119">
        <f t="shared" ref="O176:O186" si="250">AC176/AB176</f>
      </c>
      <c r="P176" s="119">
        <f t="shared" ref="P176:P186" si="168">G176/AC176</f>
      </c>
      <c r="Q176" s="120">
        <f t="shared" ref="Q176:Q186" si="128">D176/G176</f>
      </c>
      <c r="R176" s="121">
        <f t="shared" ref="R176:R186" si="55">H176/G176</f>
      </c>
      <c r="S176" s="120">
        <f t="shared" ref="S176:S186" si="270">D176/W176</f>
      </c>
      <c r="T176" s="122">
        <f t="shared" ref="T176:T186" si="188">AD176*1000/D176</f>
      </c>
      <c r="U176" s="123" t="s">
        <v>94</v>
      </c>
      <c r="V176" s="124" t="s">
        <v>109</v>
      </c>
      <c r="W176" s="125">
        <v>0</v>
      </c>
      <c r="X176" s="125">
        <v>3650</v>
      </c>
      <c r="Y176" s="125">
        <v>513</v>
      </c>
      <c r="Z176" s="125">
        <v>733</v>
      </c>
      <c r="AA176" s="125">
        <v>225</v>
      </c>
      <c r="AB176" s="125">
        <v>29</v>
      </c>
      <c r="AC176" s="126">
        <v>1</v>
      </c>
      <c r="AD176" s="126">
        <v>9</v>
      </c>
      <c r="AE176" s="106"/>
      <c r="AF176" s="106"/>
    </row>
    <row r="177">
      <c r="A177" s="152"/>
      <c r="B177" s="158" t="s">
        <v>104</v>
      </c>
      <c r="C177" s="116" t="s">
        <v>113</v>
      </c>
      <c r="D177" s="115">
        <f t="shared" si="83"/>
      </c>
      <c r="E177" s="115">
        <v>813.11</v>
      </c>
      <c r="F177" s="115">
        <v>503.69</v>
      </c>
      <c r="G177" s="131">
        <v>0</v>
      </c>
      <c r="H177" s="116">
        <v>0</v>
      </c>
      <c r="I177" s="118">
        <f t="shared" si="15"/>
      </c>
      <c r="J177" s="154">
        <f t="shared" si="210"/>
      </c>
      <c r="K177" s="120">
        <f t="shared" si="148"/>
      </c>
      <c r="L177" s="119">
        <f t="shared" si="230"/>
      </c>
      <c r="M177" s="119">
        <f t="shared" si="108"/>
      </c>
      <c r="N177" s="120">
        <f t="shared" si="35"/>
      </c>
      <c r="O177" s="119">
        <f t="shared" si="250"/>
      </c>
      <c r="P177" s="119">
        <f t="shared" si="168"/>
      </c>
      <c r="Q177" s="120">
        <f t="shared" si="128"/>
      </c>
      <c r="R177" s="121">
        <f t="shared" si="55"/>
      </c>
      <c r="S177" s="120">
        <f t="shared" si="270"/>
      </c>
      <c r="T177" s="122">
        <f t="shared" si="188"/>
      </c>
      <c r="U177" s="123" t="s">
        <v>94</v>
      </c>
      <c r="V177" s="124" t="s">
        <v>109</v>
      </c>
      <c r="W177" s="125">
        <v>0</v>
      </c>
      <c r="X177" s="125">
        <v>2825</v>
      </c>
      <c r="Y177" s="125">
        <v>530</v>
      </c>
      <c r="Z177" s="125">
        <v>853</v>
      </c>
      <c r="AA177" s="125">
        <v>260</v>
      </c>
      <c r="AB177" s="125">
        <v>10</v>
      </c>
      <c r="AC177" s="126">
        <v>1</v>
      </c>
      <c r="AD177" s="126">
        <v>22</v>
      </c>
      <c r="AE177" s="106"/>
      <c r="AF177" s="106"/>
    </row>
    <row r="178">
      <c r="A178" s="152"/>
      <c r="B178" s="158" t="s">
        <v>105</v>
      </c>
      <c r="C178" s="116" t="s">
        <v>113</v>
      </c>
      <c r="D178" s="115">
        <f t="shared" si="83"/>
      </c>
      <c r="E178" s="115">
        <v>511.08</v>
      </c>
      <c r="F178" s="115">
        <v>293.18</v>
      </c>
      <c r="G178" s="131">
        <v>0</v>
      </c>
      <c r="H178" s="116">
        <v>0</v>
      </c>
      <c r="I178" s="118">
        <f t="shared" si="15"/>
      </c>
      <c r="J178" s="154">
        <f t="shared" si="210"/>
      </c>
      <c r="K178" s="120">
        <f t="shared" si="148"/>
      </c>
      <c r="L178" s="119">
        <f t="shared" si="230"/>
      </c>
      <c r="M178" s="119">
        <f t="shared" si="108"/>
      </c>
      <c r="N178" s="120">
        <f t="shared" si="35"/>
      </c>
      <c r="O178" s="119">
        <f t="shared" si="250"/>
      </c>
      <c r="P178" s="119">
        <f t="shared" si="168"/>
      </c>
      <c r="Q178" s="120">
        <f t="shared" si="128"/>
      </c>
      <c r="R178" s="121">
        <f t="shared" si="55"/>
      </c>
      <c r="S178" s="120">
        <f t="shared" si="270"/>
      </c>
      <c r="T178" s="122">
        <f t="shared" si="188"/>
      </c>
      <c r="U178" s="123" t="s">
        <v>94</v>
      </c>
      <c r="V178" s="124" t="s">
        <v>109</v>
      </c>
      <c r="W178" s="125">
        <v>0</v>
      </c>
      <c r="X178" s="125">
        <v>1241</v>
      </c>
      <c r="Y178" s="125">
        <v>241</v>
      </c>
      <c r="Z178" s="125">
        <v>356</v>
      </c>
      <c r="AA178" s="125">
        <v>109</v>
      </c>
      <c r="AB178" s="125">
        <v>4</v>
      </c>
      <c r="AC178" s="126">
        <v>1</v>
      </c>
      <c r="AD178" s="126">
        <v>9</v>
      </c>
      <c r="AE178" s="106"/>
      <c r="AF178" s="106"/>
    </row>
    <row r="179">
      <c r="A179" s="152"/>
      <c r="B179" s="158" t="s">
        <v>92</v>
      </c>
      <c r="C179" s="116" t="s">
        <v>113</v>
      </c>
      <c r="D179" s="115">
        <f t="shared" si="83"/>
      </c>
      <c r="E179" s="115">
        <v>384.71000000000004</v>
      </c>
      <c r="F179" s="115">
        <v>321.81</v>
      </c>
      <c r="G179" s="131">
        <v>1</v>
      </c>
      <c r="H179" s="116">
        <v>3103.08</v>
      </c>
      <c r="I179" s="118">
        <f t="shared" si="15"/>
      </c>
      <c r="J179" s="154">
        <f t="shared" si="210"/>
      </c>
      <c r="K179" s="120">
        <f t="shared" si="148"/>
      </c>
      <c r="L179" s="119">
        <f t="shared" si="230"/>
      </c>
      <c r="M179" s="119">
        <f t="shared" si="108"/>
      </c>
      <c r="N179" s="120">
        <f t="shared" si="35"/>
      </c>
      <c r="O179" s="119">
        <f t="shared" si="250"/>
      </c>
      <c r="P179" s="119">
        <f t="shared" si="168"/>
      </c>
      <c r="Q179" s="120">
        <f t="shared" si="128"/>
      </c>
      <c r="R179" s="121">
        <f t="shared" si="55"/>
      </c>
      <c r="S179" s="120">
        <f t="shared" si="270"/>
      </c>
      <c r="T179" s="122">
        <f t="shared" si="188"/>
      </c>
      <c r="U179" s="123" t="s">
        <v>94</v>
      </c>
      <c r="V179" s="124" t="s">
        <v>109</v>
      </c>
      <c r="W179" s="125">
        <v>1</v>
      </c>
      <c r="X179" s="125">
        <v>1444</v>
      </c>
      <c r="Y179" s="125">
        <v>277</v>
      </c>
      <c r="Z179" s="125">
        <v>416</v>
      </c>
      <c r="AA179" s="125">
        <v>131</v>
      </c>
      <c r="AB179" s="125">
        <v>6</v>
      </c>
      <c r="AC179" s="126">
        <v>1</v>
      </c>
      <c r="AD179" s="126">
        <v>7</v>
      </c>
      <c r="AE179" s="106"/>
      <c r="AF179" s="106"/>
    </row>
    <row r="180">
      <c r="A180" s="152"/>
      <c r="B180" s="116" t="s">
        <v>96</v>
      </c>
      <c r="C180" s="116" t="s">
        <v>113</v>
      </c>
      <c r="D180" s="115">
        <f t="shared" si="83"/>
      </c>
      <c r="E180" s="115">
        <v>1241.33</v>
      </c>
      <c r="F180" s="115">
        <v>296.01</v>
      </c>
      <c r="G180" s="131">
        <v>2</v>
      </c>
      <c r="H180" s="116">
        <v>1780.199999999999</v>
      </c>
      <c r="I180" s="118">
        <f t="shared" si="15"/>
      </c>
      <c r="J180" s="154">
        <f t="shared" si="210"/>
      </c>
      <c r="K180" s="120">
        <f t="shared" si="148"/>
      </c>
      <c r="L180" s="119">
        <f t="shared" si="230"/>
      </c>
      <c r="M180" s="119">
        <f t="shared" si="108"/>
      </c>
      <c r="N180" s="120">
        <f t="shared" si="35"/>
      </c>
      <c r="O180" s="119">
        <f t="shared" si="250"/>
      </c>
      <c r="P180" s="119">
        <f t="shared" si="168"/>
      </c>
      <c r="Q180" s="120">
        <f t="shared" si="128"/>
      </c>
      <c r="R180" s="121">
        <f t="shared" si="55"/>
      </c>
      <c r="S180" s="120">
        <f t="shared" si="270"/>
      </c>
      <c r="T180" s="122">
        <f t="shared" si="188"/>
      </c>
      <c r="U180" s="123" t="s">
        <v>94</v>
      </c>
      <c r="V180" s="124" t="s">
        <v>109</v>
      </c>
      <c r="W180" s="125">
        <v>2</v>
      </c>
      <c r="X180" s="125">
        <v>3175</v>
      </c>
      <c r="Y180" s="125">
        <v>347</v>
      </c>
      <c r="Z180" s="125">
        <v>479</v>
      </c>
      <c r="AA180" s="125">
        <v>143</v>
      </c>
      <c r="AB180" s="125">
        <v>17</v>
      </c>
      <c r="AC180" s="126">
        <v>2</v>
      </c>
      <c r="AD180" s="126">
        <v>10</v>
      </c>
      <c r="AE180" s="106"/>
      <c r="AF180" s="106"/>
    </row>
    <row r="181">
      <c r="A181" s="152"/>
      <c r="B181" s="132" t="s">
        <v>99</v>
      </c>
      <c r="C181" s="132"/>
      <c r="D181" s="132">
        <f>SUM(D176:D180)</f>
      </c>
      <c r="E181" s="132">
        <f>SUM(E176:E180)</f>
      </c>
      <c r="F181" s="132">
        <f>SUM(F176:F180)</f>
      </c>
      <c r="G181" s="132">
        <f>SUM(G176:G180)</f>
      </c>
      <c r="H181" s="132">
        <f>SUM(H176:H180)</f>
      </c>
      <c r="I181" s="134">
        <f t="shared" si="15"/>
      </c>
      <c r="J181" s="155">
        <f t="shared" si="210"/>
      </c>
      <c r="K181" s="136">
        <f t="shared" si="148"/>
      </c>
      <c r="L181" s="135">
        <f t="shared" si="230"/>
      </c>
      <c r="M181" s="135">
        <f t="shared" si="108"/>
      </c>
      <c r="N181" s="136">
        <f t="shared" si="35"/>
      </c>
      <c r="O181" s="135">
        <f t="shared" si="250"/>
      </c>
      <c r="P181" s="135">
        <f t="shared" si="168"/>
      </c>
      <c r="Q181" s="136">
        <f t="shared" si="128"/>
      </c>
      <c r="R181" s="137">
        <f t="shared" si="55"/>
      </c>
      <c r="S181" s="136">
        <f t="shared" si="270"/>
      </c>
      <c r="T181" s="138">
        <f t="shared" si="188"/>
      </c>
      <c r="U181" s="138"/>
      <c r="V181" s="138"/>
      <c r="W181" s="132">
        <f>SUM(W176:W180)</f>
      </c>
      <c r="X181" s="132">
        <f>SUM(X176:X180)</f>
      </c>
      <c r="Y181" s="132">
        <f>SUM(Y176:Y180)</f>
      </c>
      <c r="Z181" s="132">
        <f>SUM(Z176:Z180)</f>
      </c>
      <c r="AA181" s="132">
        <f>SUM(AA176:AA180)</f>
      </c>
      <c r="AB181" s="132">
        <f>SUM(AB176:AB180)</f>
      </c>
      <c r="AC181" s="132">
        <f>SUM(AC176:AC180)</f>
      </c>
      <c r="AD181" s="132">
        <f>SUM(AD176:AD180)</f>
      </c>
      <c r="AE181" s="106"/>
      <c r="AF181" s="106"/>
    </row>
    <row r="182">
      <c r="A182" s="152"/>
      <c r="B182" s="115" t="s">
        <v>97</v>
      </c>
      <c r="C182" s="116" t="s">
        <v>116</v>
      </c>
      <c r="D182" s="115">
        <f t="shared" ref="D182:D184" si="84">E182+F182</f>
      </c>
      <c r="E182" s="115">
        <v>2296.83</v>
      </c>
      <c r="F182" s="115">
        <v>468.28</v>
      </c>
      <c r="G182" s="131">
        <v>1</v>
      </c>
      <c r="H182" s="116">
        <v>5131.5599999999995</v>
      </c>
      <c r="I182" s="118">
        <f t="shared" si="15"/>
      </c>
      <c r="J182" s="154">
        <f t="shared" si="210"/>
      </c>
      <c r="K182" s="120">
        <f t="shared" si="148"/>
      </c>
      <c r="L182" s="119">
        <f t="shared" si="230"/>
      </c>
      <c r="M182" s="119">
        <f t="shared" si="108"/>
      </c>
      <c r="N182" s="120">
        <f t="shared" si="35"/>
      </c>
      <c r="O182" s="119">
        <f t="shared" si="250"/>
      </c>
      <c r="P182" s="119">
        <f t="shared" si="168"/>
      </c>
      <c r="Q182" s="120">
        <f t="shared" si="128"/>
      </c>
      <c r="R182" s="121">
        <f t="shared" si="55"/>
      </c>
      <c r="S182" s="120">
        <f t="shared" si="270"/>
      </c>
      <c r="T182" s="122">
        <f t="shared" si="188"/>
      </c>
      <c r="U182" s="123" t="s">
        <v>94</v>
      </c>
      <c r="V182" s="124" t="s">
        <v>109</v>
      </c>
      <c r="W182" s="125">
        <v>0</v>
      </c>
      <c r="X182" s="125">
        <v>7098</v>
      </c>
      <c r="Y182" s="125">
        <v>619</v>
      </c>
      <c r="Z182" s="125">
        <v>975</v>
      </c>
      <c r="AA182" s="125">
        <v>259</v>
      </c>
      <c r="AB182" s="125">
        <v>27</v>
      </c>
      <c r="AC182" s="126">
        <v>1</v>
      </c>
      <c r="AD182" s="126">
        <v>19</v>
      </c>
      <c r="AE182" s="106"/>
      <c r="AF182" s="106"/>
    </row>
    <row r="183">
      <c r="A183" s="152"/>
      <c r="B183" s="115" t="s">
        <v>98</v>
      </c>
      <c r="C183" s="116" t="s">
        <v>116</v>
      </c>
      <c r="D183" s="115">
        <f t="shared" si="84"/>
      </c>
      <c r="E183" s="115">
        <v>1215.28</v>
      </c>
      <c r="F183" s="115">
        <v>883.71</v>
      </c>
      <c r="G183" s="131">
        <v>0</v>
      </c>
      <c r="H183" s="116">
        <v>0</v>
      </c>
      <c r="I183" s="118">
        <f t="shared" si="15"/>
      </c>
      <c r="J183" s="154">
        <f t="shared" si="210"/>
      </c>
      <c r="K183" s="120">
        <f t="shared" si="148"/>
      </c>
      <c r="L183" s="119">
        <f t="shared" si="230"/>
      </c>
      <c r="M183" s="119">
        <f t="shared" si="108"/>
      </c>
      <c r="N183" s="120">
        <f t="shared" si="35"/>
      </c>
      <c r="O183" s="119">
        <f t="shared" si="250"/>
      </c>
      <c r="P183" s="119">
        <f t="shared" si="168"/>
      </c>
      <c r="Q183" s="120">
        <f t="shared" si="128"/>
      </c>
      <c r="R183" s="121">
        <f t="shared" si="55"/>
      </c>
      <c r="S183" s="120">
        <f t="shared" si="270"/>
      </c>
      <c r="T183" s="122">
        <f t="shared" si="188"/>
      </c>
      <c r="U183" s="123" t="s">
        <v>94</v>
      </c>
      <c r="V183" s="124" t="s">
        <v>109</v>
      </c>
      <c r="W183" s="125">
        <v>0</v>
      </c>
      <c r="X183" s="125">
        <v>4195</v>
      </c>
      <c r="Y183" s="125">
        <v>450</v>
      </c>
      <c r="Z183" s="125">
        <v>735</v>
      </c>
      <c r="AA183" s="125">
        <v>181</v>
      </c>
      <c r="AB183" s="125">
        <v>23</v>
      </c>
      <c r="AC183" s="126">
        <v>1</v>
      </c>
      <c r="AD183" s="126">
        <v>20</v>
      </c>
      <c r="AE183" s="106"/>
      <c r="AF183" s="106"/>
    </row>
    <row r="184">
      <c r="A184" s="152"/>
      <c r="B184" s="115" t="s">
        <v>102</v>
      </c>
      <c r="C184" s="116" t="s">
        <v>116</v>
      </c>
      <c r="D184" s="115">
        <f t="shared" si="84"/>
      </c>
      <c r="E184" s="115">
        <v>363.65999999999997</v>
      </c>
      <c r="F184" s="115">
        <v>245.15</v>
      </c>
      <c r="G184" s="131">
        <v>0</v>
      </c>
      <c r="H184" s="116">
        <v>0</v>
      </c>
      <c r="I184" s="118">
        <f t="shared" si="15"/>
      </c>
      <c r="J184" s="154">
        <f t="shared" si="210"/>
      </c>
      <c r="K184" s="120">
        <f t="shared" si="148"/>
      </c>
      <c r="L184" s="119">
        <f t="shared" si="230"/>
      </c>
      <c r="M184" s="119">
        <f t="shared" si="108"/>
      </c>
      <c r="N184" s="120">
        <f t="shared" si="35"/>
      </c>
      <c r="O184" s="119">
        <f t="shared" si="250"/>
      </c>
      <c r="P184" s="119">
        <f t="shared" si="168"/>
      </c>
      <c r="Q184" s="120">
        <f t="shared" si="128"/>
      </c>
      <c r="R184" s="121">
        <f t="shared" si="55"/>
      </c>
      <c r="S184" s="120">
        <f t="shared" si="270"/>
      </c>
      <c r="T184" s="122">
        <f t="shared" si="188"/>
      </c>
      <c r="U184" s="123" t="s">
        <v>94</v>
      </c>
      <c r="V184" s="124" t="s">
        <v>109</v>
      </c>
      <c r="W184" s="125">
        <v>0</v>
      </c>
      <c r="X184" s="125">
        <v>1495</v>
      </c>
      <c r="Y184" s="125">
        <v>129</v>
      </c>
      <c r="Z184" s="125">
        <v>228</v>
      </c>
      <c r="AA184" s="125">
        <v>55</v>
      </c>
      <c r="AB184" s="125">
        <v>7</v>
      </c>
      <c r="AC184" s="126">
        <v>0</v>
      </c>
      <c r="AD184" s="126">
        <v>7</v>
      </c>
      <c r="AE184" s="106"/>
      <c r="AF184" s="106"/>
    </row>
    <row r="185">
      <c r="A185" s="152"/>
      <c r="B185" s="132" t="s">
        <v>99</v>
      </c>
      <c r="C185" s="132"/>
      <c r="D185" s="132">
        <f>SUM(D182:D184)</f>
      </c>
      <c r="E185" s="132">
        <f>SUM(E182:E184)</f>
      </c>
      <c r="F185" s="132">
        <f>SUM(F182:F184)</f>
      </c>
      <c r="G185" s="132">
        <f>SUM(G182:G184)</f>
      </c>
      <c r="H185" s="132">
        <f>SUM(H182:H184)</f>
      </c>
      <c r="I185" s="134">
        <f t="shared" si="15"/>
      </c>
      <c r="J185" s="155">
        <f t="shared" si="210"/>
      </c>
      <c r="K185" s="136">
        <f t="shared" si="148"/>
      </c>
      <c r="L185" s="135">
        <f t="shared" si="230"/>
      </c>
      <c r="M185" s="135">
        <f t="shared" si="108"/>
      </c>
      <c r="N185" s="136">
        <f t="shared" si="35"/>
      </c>
      <c r="O185" s="135">
        <f t="shared" si="250"/>
      </c>
      <c r="P185" s="135">
        <f t="shared" si="168"/>
      </c>
      <c r="Q185" s="136">
        <f t="shared" si="128"/>
      </c>
      <c r="R185" s="137">
        <f t="shared" si="55"/>
      </c>
      <c r="S185" s="136">
        <f t="shared" si="270"/>
      </c>
      <c r="T185" s="138">
        <f t="shared" si="188"/>
      </c>
      <c r="U185" s="138"/>
      <c r="V185" s="138"/>
      <c r="W185" s="132">
        <f>SUM(W182:W184)</f>
      </c>
      <c r="X185" s="132">
        <f>SUM(X182:X184)</f>
      </c>
      <c r="Y185" s="132">
        <f>SUM(Y182:Y184)</f>
      </c>
      <c r="Z185" s="132">
        <f>SUM(Z182:Z184)</f>
      </c>
      <c r="AA185" s="132">
        <f>SUM(AA182:AA184)</f>
      </c>
      <c r="AB185" s="132">
        <f>SUM(AB182:AB184)</f>
      </c>
      <c r="AC185" s="132">
        <f>SUM(AC182:AC184)</f>
      </c>
      <c r="AD185" s="132">
        <f>SUM(AD182:AD184)</f>
      </c>
      <c r="AE185" s="106"/>
      <c r="AF185" s="106"/>
    </row>
    <row r="186">
      <c r="A186" s="152"/>
      <c r="B186" s="139" t="s">
        <v>100</v>
      </c>
      <c r="C186" s="139"/>
      <c r="D186" s="140">
        <f>D181+D185</f>
      </c>
      <c r="E186" s="140">
        <f>E181+E185</f>
      </c>
      <c r="F186" s="140">
        <f>F181+F185</f>
      </c>
      <c r="G186" s="140">
        <f>G181+G185</f>
      </c>
      <c r="H186" s="140">
        <f>H181+H185</f>
      </c>
      <c r="I186" s="140">
        <f t="shared" si="15"/>
      </c>
      <c r="J186" s="156">
        <f t="shared" si="210"/>
      </c>
      <c r="K186" s="140">
        <f t="shared" si="148"/>
      </c>
      <c r="L186" s="142">
        <f t="shared" si="230"/>
      </c>
      <c r="M186" s="142">
        <f t="shared" si="108"/>
      </c>
      <c r="N186" s="140">
        <f t="shared" si="35"/>
      </c>
      <c r="O186" s="142">
        <f t="shared" si="250"/>
      </c>
      <c r="P186" s="142">
        <f t="shared" si="168"/>
      </c>
      <c r="Q186" s="140">
        <f t="shared" si="128"/>
      </c>
      <c r="R186" s="143">
        <f t="shared" si="55"/>
      </c>
      <c r="S186" s="140">
        <f t="shared" si="270"/>
      </c>
      <c r="T186" s="144">
        <f t="shared" si="188"/>
      </c>
      <c r="U186" s="144"/>
      <c r="V186" s="144"/>
      <c r="W186" s="145">
        <f>W181+W185</f>
      </c>
      <c r="X186" s="145">
        <f>X181+X185</f>
      </c>
      <c r="Y186" s="145">
        <f>Y181+Y185</f>
      </c>
      <c r="Z186" s="145">
        <f>Z181+Z185</f>
      </c>
      <c r="AA186" s="145">
        <f>AA181+AA185</f>
      </c>
      <c r="AB186" s="145">
        <f>AB181+AB185</f>
      </c>
      <c r="AC186" s="145">
        <f>AC181+AC185</f>
      </c>
      <c r="AD186" s="145">
        <f>AD181+AD185</f>
      </c>
      <c r="AE186" s="106"/>
      <c r="AF186" s="106"/>
    </row>
    <row r="187">
      <c r="A187" s="97" t="s">
        <v>59</v>
      </c>
      <c r="B187" s="97"/>
      <c r="C187" s="97"/>
      <c r="D187" s="101" t="s">
        <v>60</v>
      </c>
      <c r="E187" s="101"/>
      <c r="F187" s="101"/>
      <c r="G187" s="101"/>
      <c r="H187" s="101"/>
      <c r="I187" s="101"/>
      <c r="J187" s="151" t="s">
        <v>61</v>
      </c>
      <c r="K187" s="151"/>
      <c r="L187" s="151"/>
      <c r="M187" s="151"/>
      <c r="N187" s="151"/>
      <c r="O187" s="151"/>
      <c r="P187" s="151"/>
      <c r="Q187" s="151"/>
      <c r="R187" s="151"/>
      <c r="S187" s="151"/>
      <c r="T187" s="103"/>
      <c r="U187" s="103"/>
      <c r="V187" s="103"/>
      <c r="W187" s="104"/>
      <c r="X187" s="104"/>
      <c r="Y187" s="104"/>
      <c r="Z187" s="104"/>
      <c r="AA187" s="104"/>
      <c r="AB187" s="104"/>
      <c r="AC187" s="104"/>
      <c r="AD187" s="105" t="s">
        <v>62</v>
      </c>
      <c r="AE187" s="106"/>
      <c r="AF187" s="106"/>
    </row>
    <row r="188">
      <c r="A188" s="97" t="s">
        <v>63</v>
      </c>
      <c r="B188" s="97" t="s">
        <v>64</v>
      </c>
      <c r="C188" s="97" t="s">
        <v>65</v>
      </c>
      <c r="D188" s="101" t="s">
        <v>66</v>
      </c>
      <c r="E188" s="108" t="s">
        <v>67</v>
      </c>
      <c r="F188" s="108" t="s">
        <v>68</v>
      </c>
      <c r="G188" s="100" t="s">
        <v>69</v>
      </c>
      <c r="H188" s="101" t="s">
        <v>70</v>
      </c>
      <c r="I188" s="108" t="s">
        <v>71</v>
      </c>
      <c r="J188" s="151" t="s">
        <v>72</v>
      </c>
      <c r="K188" s="102" t="s">
        <v>73</v>
      </c>
      <c r="L188" s="110" t="s">
        <v>74</v>
      </c>
      <c r="M188" s="110" t="s">
        <v>75</v>
      </c>
      <c r="N188" s="102" t="s">
        <v>76</v>
      </c>
      <c r="O188" s="110" t="s">
        <v>77</v>
      </c>
      <c r="P188" s="110" t="s">
        <v>78</v>
      </c>
      <c r="Q188" s="102" t="s">
        <v>79</v>
      </c>
      <c r="R188" s="110" t="s">
        <v>80</v>
      </c>
      <c r="S188" s="102" t="s">
        <v>81</v>
      </c>
      <c r="T188" s="111" t="s">
        <v>82</v>
      </c>
      <c r="U188" s="111" t="s">
        <v>83</v>
      </c>
      <c r="V188" s="111" t="s">
        <v>84</v>
      </c>
      <c r="W188" s="112" t="s">
        <v>85</v>
      </c>
      <c r="X188" s="113" t="s">
        <v>86</v>
      </c>
      <c r="Y188" s="113" t="s">
        <v>87</v>
      </c>
      <c r="Z188" s="113" t="s">
        <v>88</v>
      </c>
      <c r="AA188" s="113" t="s">
        <v>89</v>
      </c>
      <c r="AB188" s="113" t="s">
        <v>90</v>
      </c>
      <c r="AC188" s="113" t="s">
        <v>91</v>
      </c>
      <c r="AD188" s="105"/>
      <c r="AE188" s="106"/>
      <c r="AF188" s="106"/>
    </row>
    <row r="189">
      <c r="A189" s="152">
        <v>46292</v>
      </c>
      <c r="B189" s="157" t="s">
        <v>103</v>
      </c>
      <c r="C189" s="116" t="s">
        <v>101</v>
      </c>
      <c r="D189" s="115">
        <f t="shared" ref="D189:D193" si="85">E189+F189</f>
      </c>
      <c r="E189" s="115">
        <v>1395.49</v>
      </c>
      <c r="F189" s="115">
        <v>635.32</v>
      </c>
      <c r="G189" s="131">
        <v>0</v>
      </c>
      <c r="H189" s="116">
        <v>0</v>
      </c>
      <c r="I189" s="118">
        <f t="shared" ref="I189:I199" si="16">H189/D189</f>
      </c>
      <c r="J189" s="154">
        <f t="shared" ref="J189:J199" si="211">Y189/X189</f>
      </c>
      <c r="K189" s="120">
        <f t="shared" ref="K189:K199" si="149">D189/Z189</f>
      </c>
      <c r="L189" s="119">
        <f t="shared" ref="L189:L199" si="231">AA189/Z189</f>
      </c>
      <c r="M189" s="119">
        <f t="shared" ref="M189:M199" si="109">AB189/Z189</f>
      </c>
      <c r="N189" s="120">
        <f t="shared" ref="N189:N199" si="36">D189/AB189</f>
      </c>
      <c r="O189" s="119">
        <f t="shared" ref="O189:O199" si="251">AC189/AB189</f>
      </c>
      <c r="P189" s="119">
        <f t="shared" ref="P189:P199" si="169">G189/AC189</f>
      </c>
      <c r="Q189" s="120">
        <f t="shared" ref="Q189:Q199" si="129">D189/G189</f>
      </c>
      <c r="R189" s="121">
        <f t="shared" ref="R189:R199" si="56">H189/G189</f>
      </c>
      <c r="S189" s="120">
        <f t="shared" ref="S189:S199" si="271">D189/W189</f>
      </c>
      <c r="T189" s="122">
        <f t="shared" ref="T189:T199" si="189">AD189*1000/D189</f>
      </c>
      <c r="U189" s="123" t="s">
        <v>94</v>
      </c>
      <c r="V189" s="124" t="s">
        <v>109</v>
      </c>
      <c r="W189" s="125">
        <v>0</v>
      </c>
      <c r="X189" s="125">
        <v>4647</v>
      </c>
      <c r="Y189" s="125">
        <v>731</v>
      </c>
      <c r="Z189" s="125">
        <v>1105</v>
      </c>
      <c r="AA189" s="125">
        <v>313</v>
      </c>
      <c r="AB189" s="125">
        <v>25</v>
      </c>
      <c r="AC189" s="126">
        <v>0</v>
      </c>
      <c r="AD189" s="126">
        <v>19</v>
      </c>
      <c r="AE189" s="106"/>
      <c r="AF189" s="106"/>
    </row>
    <row r="190">
      <c r="A190" s="152"/>
      <c r="B190" s="158" t="s">
        <v>104</v>
      </c>
      <c r="C190" s="116" t="s">
        <v>101</v>
      </c>
      <c r="D190" s="115">
        <f t="shared" si="85"/>
      </c>
      <c r="E190" s="115">
        <v>1197.47</v>
      </c>
      <c r="F190" s="115">
        <v>383.13</v>
      </c>
      <c r="G190" s="131">
        <v>1</v>
      </c>
      <c r="H190" s="116">
        <v>5712.96</v>
      </c>
      <c r="I190" s="118">
        <f t="shared" si="16"/>
      </c>
      <c r="J190" s="154">
        <f t="shared" si="211"/>
      </c>
      <c r="K190" s="120">
        <f t="shared" si="149"/>
      </c>
      <c r="L190" s="119">
        <f t="shared" si="231"/>
      </c>
      <c r="M190" s="119">
        <f t="shared" si="109"/>
      </c>
      <c r="N190" s="120">
        <f t="shared" si="36"/>
      </c>
      <c r="O190" s="119">
        <f t="shared" si="251"/>
      </c>
      <c r="P190" s="119">
        <f t="shared" si="169"/>
      </c>
      <c r="Q190" s="120">
        <f t="shared" si="129"/>
      </c>
      <c r="R190" s="121">
        <f t="shared" si="56"/>
      </c>
      <c r="S190" s="120">
        <f t="shared" si="271"/>
      </c>
      <c r="T190" s="122">
        <f t="shared" si="189"/>
      </c>
      <c r="U190" s="123" t="s">
        <v>94</v>
      </c>
      <c r="V190" s="124" t="s">
        <v>109</v>
      </c>
      <c r="W190" s="125">
        <v>1</v>
      </c>
      <c r="X190" s="125">
        <v>3514</v>
      </c>
      <c r="Y190" s="125">
        <v>508</v>
      </c>
      <c r="Z190" s="125">
        <v>749</v>
      </c>
      <c r="AA190" s="125">
        <v>228</v>
      </c>
      <c r="AB190" s="125">
        <v>11</v>
      </c>
      <c r="AC190" s="126">
        <v>2</v>
      </c>
      <c r="AD190" s="126">
        <v>16</v>
      </c>
      <c r="AE190" s="106"/>
      <c r="AF190" s="106"/>
    </row>
    <row r="191">
      <c r="A191" s="152"/>
      <c r="B191" s="158" t="s">
        <v>105</v>
      </c>
      <c r="C191" s="116" t="s">
        <v>101</v>
      </c>
      <c r="D191" s="115">
        <f t="shared" si="85"/>
      </c>
      <c r="E191" s="115">
        <v>1635.85</v>
      </c>
      <c r="F191" s="115">
        <v>461.29</v>
      </c>
      <c r="G191" s="131">
        <v>3</v>
      </c>
      <c r="H191" s="116">
        <v>6201.000000000001</v>
      </c>
      <c r="I191" s="118">
        <f t="shared" si="16"/>
      </c>
      <c r="J191" s="154">
        <f t="shared" si="211"/>
      </c>
      <c r="K191" s="120">
        <f t="shared" si="149"/>
      </c>
      <c r="L191" s="119">
        <f t="shared" si="231"/>
      </c>
      <c r="M191" s="119">
        <f t="shared" si="109"/>
      </c>
      <c r="N191" s="120">
        <f t="shared" si="36"/>
      </c>
      <c r="O191" s="119">
        <f t="shared" si="251"/>
      </c>
      <c r="P191" s="119">
        <f t="shared" si="169"/>
      </c>
      <c r="Q191" s="120">
        <f t="shared" si="129"/>
      </c>
      <c r="R191" s="121">
        <f t="shared" si="56"/>
      </c>
      <c r="S191" s="120">
        <f t="shared" si="271"/>
      </c>
      <c r="T191" s="122">
        <f t="shared" si="189"/>
      </c>
      <c r="U191" s="123" t="s">
        <v>94</v>
      </c>
      <c r="V191" s="124" t="s">
        <v>109</v>
      </c>
      <c r="W191" s="125">
        <v>3</v>
      </c>
      <c r="X191" s="125">
        <v>4517</v>
      </c>
      <c r="Y191" s="125">
        <v>595</v>
      </c>
      <c r="Z191" s="125">
        <v>904</v>
      </c>
      <c r="AA191" s="125">
        <v>262</v>
      </c>
      <c r="AB191" s="125">
        <v>10</v>
      </c>
      <c r="AC191" s="126">
        <v>4</v>
      </c>
      <c r="AD191" s="126">
        <v>15</v>
      </c>
      <c r="AE191" s="106"/>
      <c r="AF191" s="106"/>
    </row>
    <row r="192">
      <c r="A192" s="152"/>
      <c r="B192" s="158" t="s">
        <v>92</v>
      </c>
      <c r="C192" s="116" t="s">
        <v>101</v>
      </c>
      <c r="D192" s="115">
        <f t="shared" si="85"/>
      </c>
      <c r="E192" s="116">
        <v>1505.67</v>
      </c>
      <c r="F192" s="116">
        <v>1177.05</v>
      </c>
      <c r="G192" s="131">
        <v>0</v>
      </c>
      <c r="H192" s="116">
        <v>0</v>
      </c>
      <c r="I192" s="118">
        <f t="shared" si="16"/>
      </c>
      <c r="J192" s="154">
        <f t="shared" si="211"/>
      </c>
      <c r="K192" s="120">
        <f t="shared" si="149"/>
      </c>
      <c r="L192" s="119">
        <f t="shared" si="231"/>
      </c>
      <c r="M192" s="119">
        <f t="shared" si="109"/>
      </c>
      <c r="N192" s="120">
        <f t="shared" si="36"/>
      </c>
      <c r="O192" s="119">
        <f t="shared" si="251"/>
      </c>
      <c r="P192" s="119">
        <f t="shared" si="169"/>
      </c>
      <c r="Q192" s="120">
        <f t="shared" si="129"/>
      </c>
      <c r="R192" s="121">
        <f t="shared" si="56"/>
      </c>
      <c r="S192" s="120">
        <f t="shared" si="271"/>
      </c>
      <c r="T192" s="122">
        <f t="shared" si="189"/>
      </c>
      <c r="U192" s="123" t="s">
        <v>94</v>
      </c>
      <c r="V192" s="124" t="s">
        <v>109</v>
      </c>
      <c r="W192" s="125">
        <v>0</v>
      </c>
      <c r="X192" s="125">
        <v>4887</v>
      </c>
      <c r="Y192" s="125">
        <v>902</v>
      </c>
      <c r="Z192" s="125">
        <v>1413</v>
      </c>
      <c r="AA192" s="125">
        <v>400</v>
      </c>
      <c r="AB192" s="125">
        <v>15</v>
      </c>
      <c r="AC192" s="126">
        <v>2</v>
      </c>
      <c r="AD192" s="126">
        <v>26</v>
      </c>
      <c r="AE192" s="106"/>
      <c r="AF192" s="106"/>
    </row>
    <row r="193">
      <c r="A193" s="152"/>
      <c r="B193" s="116" t="s">
        <v>96</v>
      </c>
      <c r="C193" s="116" t="s">
        <v>101</v>
      </c>
      <c r="D193" s="115">
        <f t="shared" si="85"/>
      </c>
      <c r="E193" s="115">
        <v>753.94</v>
      </c>
      <c r="F193" s="115">
        <v>1854.2</v>
      </c>
      <c r="G193" s="131">
        <v>0</v>
      </c>
      <c r="H193" s="116">
        <v>0</v>
      </c>
      <c r="I193" s="118">
        <f t="shared" si="16"/>
      </c>
      <c r="J193" s="154">
        <f t="shared" si="211"/>
      </c>
      <c r="K193" s="120">
        <f t="shared" si="149"/>
      </c>
      <c r="L193" s="119">
        <f t="shared" si="231"/>
      </c>
      <c r="M193" s="119">
        <f t="shared" si="109"/>
      </c>
      <c r="N193" s="120">
        <f t="shared" si="36"/>
      </c>
      <c r="O193" s="119">
        <f t="shared" si="251"/>
      </c>
      <c r="P193" s="119">
        <f t="shared" si="169"/>
      </c>
      <c r="Q193" s="120">
        <f t="shared" si="129"/>
      </c>
      <c r="R193" s="121">
        <f t="shared" si="56"/>
      </c>
      <c r="S193" s="120">
        <f t="shared" si="271"/>
      </c>
      <c r="T193" s="122">
        <f t="shared" si="189"/>
      </c>
      <c r="U193" s="123" t="s">
        <v>94</v>
      </c>
      <c r="V193" s="124" t="s">
        <v>109</v>
      </c>
      <c r="W193" s="125">
        <v>0</v>
      </c>
      <c r="X193" s="125">
        <v>4606</v>
      </c>
      <c r="Y193" s="125">
        <v>1021</v>
      </c>
      <c r="Z193" s="125">
        <v>1807</v>
      </c>
      <c r="AA193" s="125">
        <v>489</v>
      </c>
      <c r="AB193" s="125">
        <v>11</v>
      </c>
      <c r="AC193" s="126">
        <v>0</v>
      </c>
      <c r="AD193" s="126">
        <v>28</v>
      </c>
      <c r="AE193" s="106"/>
      <c r="AF193" s="106"/>
    </row>
    <row r="194">
      <c r="A194" s="152"/>
      <c r="B194" s="132" t="s">
        <v>99</v>
      </c>
      <c r="C194" s="132"/>
      <c r="D194" s="132">
        <f>SUM(D189:D193)</f>
      </c>
      <c r="E194" s="132">
        <f>SUM(E189:E193)</f>
      </c>
      <c r="F194" s="132">
        <f>SUM(F189:F193)</f>
      </c>
      <c r="G194" s="132">
        <f>SUM(G189:G193)</f>
      </c>
      <c r="H194" s="132">
        <f>SUM(H189:H193)</f>
      </c>
      <c r="I194" s="134">
        <f t="shared" si="16"/>
      </c>
      <c r="J194" s="155">
        <f t="shared" si="211"/>
      </c>
      <c r="K194" s="136">
        <f t="shared" si="149"/>
      </c>
      <c r="L194" s="135">
        <f t="shared" si="231"/>
      </c>
      <c r="M194" s="135">
        <f t="shared" si="109"/>
      </c>
      <c r="N194" s="136">
        <f t="shared" si="36"/>
      </c>
      <c r="O194" s="135">
        <f t="shared" si="251"/>
      </c>
      <c r="P194" s="135">
        <f t="shared" si="169"/>
      </c>
      <c r="Q194" s="136">
        <f t="shared" si="129"/>
      </c>
      <c r="R194" s="137">
        <f t="shared" si="56"/>
      </c>
      <c r="S194" s="136">
        <f t="shared" si="271"/>
      </c>
      <c r="T194" s="138">
        <f t="shared" si="189"/>
      </c>
      <c r="U194" s="138"/>
      <c r="V194" s="138"/>
      <c r="W194" s="132">
        <f>SUM(W189:W193)</f>
      </c>
      <c r="X194" s="132">
        <f>SUM(X189:X193)</f>
      </c>
      <c r="Y194" s="132">
        <f>SUM(Y189:Y193)</f>
      </c>
      <c r="Z194" s="132">
        <f>SUM(Z189:Z193)</f>
      </c>
      <c r="AA194" s="132">
        <f>SUM(AA189:AA193)</f>
      </c>
      <c r="AB194" s="132">
        <f>SUM(AB189:AB193)</f>
      </c>
      <c r="AC194" s="132">
        <f>SUM(AC189:AC193)</f>
      </c>
      <c r="AD194" s="132">
        <f>SUM(AD189:AD193)</f>
      </c>
      <c r="AE194" s="106"/>
      <c r="AF194" s="106"/>
    </row>
    <row r="195">
      <c r="A195" s="152"/>
      <c r="B195" s="115" t="s">
        <v>97</v>
      </c>
      <c r="C195" s="116" t="s">
        <v>116</v>
      </c>
      <c r="D195" s="115">
        <f t="shared" ref="D195:D197" si="86">E195+F195</f>
      </c>
      <c r="E195" s="116">
        <v>848.98</v>
      </c>
      <c r="F195" s="116">
        <v>1359.91</v>
      </c>
      <c r="G195" s="131">
        <v>1</v>
      </c>
      <c r="H195" s="116">
        <v>4622.4</v>
      </c>
      <c r="I195" s="118">
        <f t="shared" si="16"/>
      </c>
      <c r="J195" s="154">
        <f t="shared" si="211"/>
      </c>
      <c r="K195" s="120">
        <f t="shared" si="149"/>
      </c>
      <c r="L195" s="119">
        <f t="shared" si="231"/>
      </c>
      <c r="M195" s="119">
        <f t="shared" si="109"/>
      </c>
      <c r="N195" s="120">
        <f t="shared" si="36"/>
      </c>
      <c r="O195" s="119">
        <f t="shared" si="251"/>
      </c>
      <c r="P195" s="119">
        <f t="shared" si="169"/>
      </c>
      <c r="Q195" s="120">
        <f t="shared" si="129"/>
      </c>
      <c r="R195" s="121">
        <f t="shared" si="56"/>
      </c>
      <c r="S195" s="120">
        <f t="shared" si="271"/>
      </c>
      <c r="T195" s="122">
        <f t="shared" si="189"/>
      </c>
      <c r="U195" s="123" t="s">
        <v>94</v>
      </c>
      <c r="V195" s="124" t="s">
        <v>109</v>
      </c>
      <c r="W195" s="125">
        <v>1</v>
      </c>
      <c r="X195" s="125">
        <v>4534</v>
      </c>
      <c r="Y195" s="125">
        <v>794</v>
      </c>
      <c r="Z195" s="125">
        <v>1463</v>
      </c>
      <c r="AA195" s="125">
        <v>374</v>
      </c>
      <c r="AB195" s="125">
        <v>29</v>
      </c>
      <c r="AC195" s="126">
        <v>1</v>
      </c>
      <c r="AD195" s="126">
        <v>22</v>
      </c>
      <c r="AE195" s="106"/>
      <c r="AF195" s="106"/>
    </row>
    <row r="196">
      <c r="A196" s="152"/>
      <c r="B196" s="115" t="s">
        <v>98</v>
      </c>
      <c r="C196" s="116" t="s">
        <v>116</v>
      </c>
      <c r="D196" s="115">
        <f t="shared" si="86"/>
      </c>
      <c r="E196" s="115">
        <v>1451.3</v>
      </c>
      <c r="F196" s="116">
        <v>778.98</v>
      </c>
      <c r="G196" s="131">
        <v>0</v>
      </c>
      <c r="H196" s="116">
        <v>0</v>
      </c>
      <c r="I196" s="118">
        <f t="shared" si="16"/>
      </c>
      <c r="J196" s="154">
        <f t="shared" si="211"/>
      </c>
      <c r="K196" s="120">
        <f t="shared" si="149"/>
      </c>
      <c r="L196" s="119">
        <f t="shared" si="231"/>
      </c>
      <c r="M196" s="119">
        <f t="shared" si="109"/>
      </c>
      <c r="N196" s="120">
        <f t="shared" si="36"/>
      </c>
      <c r="O196" s="119">
        <f t="shared" si="251"/>
      </c>
      <c r="P196" s="119">
        <f t="shared" si="169"/>
      </c>
      <c r="Q196" s="120">
        <f t="shared" si="129"/>
      </c>
      <c r="R196" s="121">
        <f t="shared" si="56"/>
      </c>
      <c r="S196" s="120">
        <f t="shared" si="271"/>
      </c>
      <c r="T196" s="122">
        <f t="shared" si="189"/>
      </c>
      <c r="U196" s="123" t="s">
        <v>94</v>
      </c>
      <c r="V196" s="124" t="s">
        <v>109</v>
      </c>
      <c r="W196" s="125">
        <v>0</v>
      </c>
      <c r="X196" s="125">
        <v>4079</v>
      </c>
      <c r="Y196" s="125">
        <v>552</v>
      </c>
      <c r="Z196" s="125">
        <v>945</v>
      </c>
      <c r="AA196" s="125">
        <v>264</v>
      </c>
      <c r="AB196" s="125">
        <v>32</v>
      </c>
      <c r="AC196" s="126">
        <v>1</v>
      </c>
      <c r="AD196" s="126">
        <v>12</v>
      </c>
      <c r="AE196" s="106"/>
      <c r="AF196" s="106"/>
    </row>
    <row r="197">
      <c r="A197" s="152"/>
      <c r="B197" s="115" t="s">
        <v>102</v>
      </c>
      <c r="C197" s="116" t="s">
        <v>116</v>
      </c>
      <c r="D197" s="115">
        <f t="shared" si="86"/>
      </c>
      <c r="E197" s="115">
        <v>404.06</v>
      </c>
      <c r="F197" s="115">
        <v>358.14</v>
      </c>
      <c r="G197" s="131">
        <v>1</v>
      </c>
      <c r="H197" s="116">
        <v>2459.279999999999</v>
      </c>
      <c r="I197" s="118">
        <f t="shared" si="16"/>
      </c>
      <c r="J197" s="154">
        <f t="shared" si="211"/>
      </c>
      <c r="K197" s="120">
        <f t="shared" si="149"/>
      </c>
      <c r="L197" s="119">
        <f t="shared" si="231"/>
      </c>
      <c r="M197" s="119">
        <f t="shared" si="109"/>
      </c>
      <c r="N197" s="120">
        <f t="shared" si="36"/>
      </c>
      <c r="O197" s="119">
        <f t="shared" si="251"/>
      </c>
      <c r="P197" s="119">
        <f t="shared" si="169"/>
      </c>
      <c r="Q197" s="120">
        <f t="shared" si="129"/>
      </c>
      <c r="R197" s="121">
        <f t="shared" si="56"/>
      </c>
      <c r="S197" s="120">
        <f t="shared" si="271"/>
      </c>
      <c r="T197" s="122">
        <f t="shared" si="189"/>
      </c>
      <c r="U197" s="123" t="s">
        <v>94</v>
      </c>
      <c r="V197" s="124" t="s">
        <v>109</v>
      </c>
      <c r="W197" s="125">
        <v>1</v>
      </c>
      <c r="X197" s="125">
        <v>1479</v>
      </c>
      <c r="Y197" s="125">
        <v>147</v>
      </c>
      <c r="Z197" s="125">
        <v>274</v>
      </c>
      <c r="AA197" s="125">
        <v>68</v>
      </c>
      <c r="AB197" s="125">
        <v>8</v>
      </c>
      <c r="AC197" s="126">
        <v>2</v>
      </c>
      <c r="AD197" s="126">
        <v>9</v>
      </c>
      <c r="AE197" s="106"/>
      <c r="AF197" s="106"/>
    </row>
    <row r="198">
      <c r="A198" s="152"/>
      <c r="B198" s="132" t="s">
        <v>99</v>
      </c>
      <c r="C198" s="132"/>
      <c r="D198" s="132">
        <f>SUM(D195:D197)</f>
      </c>
      <c r="E198" s="132">
        <f>SUM(E195:E197)</f>
      </c>
      <c r="F198" s="132">
        <f>SUM(F195:F197)</f>
      </c>
      <c r="G198" s="132">
        <f>SUM(G195:G197)</f>
      </c>
      <c r="H198" s="132">
        <f>SUM(H195:H197)</f>
      </c>
      <c r="I198" s="134">
        <f t="shared" si="16"/>
      </c>
      <c r="J198" s="155">
        <f t="shared" si="211"/>
      </c>
      <c r="K198" s="136">
        <f t="shared" si="149"/>
      </c>
      <c r="L198" s="135">
        <f t="shared" si="231"/>
      </c>
      <c r="M198" s="135">
        <f t="shared" si="109"/>
      </c>
      <c r="N198" s="136">
        <f t="shared" si="36"/>
      </c>
      <c r="O198" s="135">
        <f t="shared" si="251"/>
      </c>
      <c r="P198" s="135">
        <f t="shared" si="169"/>
      </c>
      <c r="Q198" s="136">
        <f t="shared" si="129"/>
      </c>
      <c r="R198" s="137">
        <f t="shared" si="56"/>
      </c>
      <c r="S198" s="136">
        <f t="shared" si="271"/>
      </c>
      <c r="T198" s="138">
        <f t="shared" si="189"/>
      </c>
      <c r="U198" s="138"/>
      <c r="V198" s="138"/>
      <c r="W198" s="132">
        <f>SUM(W195:W197)</f>
      </c>
      <c r="X198" s="132">
        <f>SUM(X195:X197)</f>
      </c>
      <c r="Y198" s="132">
        <f>SUM(Y195:Y197)</f>
      </c>
      <c r="Z198" s="132">
        <f>SUM(Z195:Z197)</f>
      </c>
      <c r="AA198" s="132">
        <f>SUM(AA195:AA197)</f>
      </c>
      <c r="AB198" s="132">
        <f>SUM(AB195:AB197)</f>
      </c>
      <c r="AC198" s="132">
        <f>SUM(AC195:AC197)</f>
      </c>
      <c r="AD198" s="132">
        <f>SUM(AD195:AD197)</f>
      </c>
      <c r="AE198" s="106"/>
      <c r="AF198" s="106"/>
    </row>
    <row r="199">
      <c r="A199" s="152"/>
      <c r="B199" s="139" t="s">
        <v>100</v>
      </c>
      <c r="C199" s="139"/>
      <c r="D199" s="140">
        <f>D194+D198</f>
      </c>
      <c r="E199" s="140">
        <f>E194+E198</f>
      </c>
      <c r="F199" s="140">
        <f>F194+F198</f>
      </c>
      <c r="G199" s="140">
        <f>G194+G198</f>
      </c>
      <c r="H199" s="140">
        <f>H194+H198</f>
      </c>
      <c r="I199" s="140">
        <f t="shared" si="16"/>
      </c>
      <c r="J199" s="156">
        <f t="shared" si="211"/>
      </c>
      <c r="K199" s="140">
        <f t="shared" si="149"/>
      </c>
      <c r="L199" s="142">
        <f t="shared" si="231"/>
      </c>
      <c r="M199" s="142">
        <f t="shared" si="109"/>
      </c>
      <c r="N199" s="140">
        <f t="shared" si="36"/>
      </c>
      <c r="O199" s="142">
        <f t="shared" si="251"/>
      </c>
      <c r="P199" s="142">
        <f t="shared" si="169"/>
      </c>
      <c r="Q199" s="140">
        <f t="shared" si="129"/>
      </c>
      <c r="R199" s="143">
        <f t="shared" si="56"/>
      </c>
      <c r="S199" s="140">
        <f t="shared" si="271"/>
      </c>
      <c r="T199" s="144">
        <f t="shared" si="189"/>
      </c>
      <c r="U199" s="144"/>
      <c r="V199" s="144"/>
      <c r="W199" s="145">
        <f>W194+W198</f>
      </c>
      <c r="X199" s="145">
        <f>X194+X198</f>
      </c>
      <c r="Y199" s="145">
        <f>Y194+Y198</f>
      </c>
      <c r="Z199" s="145">
        <f>Z194+Z198</f>
      </c>
      <c r="AA199" s="145">
        <f>AA194+AA198</f>
      </c>
      <c r="AB199" s="145">
        <f>AB194+AB198</f>
      </c>
      <c r="AC199" s="145">
        <f>AC194+AC198</f>
      </c>
      <c r="AD199" s="145">
        <f>AD194+AD198</f>
      </c>
      <c r="AE199" s="106"/>
      <c r="AF199" s="106"/>
    </row>
    <row r="200">
      <c r="A200" s="97" t="s">
        <v>59</v>
      </c>
      <c r="B200" s="97"/>
      <c r="C200" s="97"/>
      <c r="D200" s="101" t="s">
        <v>60</v>
      </c>
      <c r="E200" s="101"/>
      <c r="F200" s="101"/>
      <c r="G200" s="101"/>
      <c r="H200" s="101"/>
      <c r="I200" s="101"/>
      <c r="J200" s="151" t="s">
        <v>61</v>
      </c>
      <c r="K200" s="151"/>
      <c r="L200" s="151"/>
      <c r="M200" s="151"/>
      <c r="N200" s="151"/>
      <c r="O200" s="151"/>
      <c r="P200" s="151"/>
      <c r="Q200" s="151"/>
      <c r="R200" s="151"/>
      <c r="S200" s="151"/>
      <c r="T200" s="103"/>
      <c r="U200" s="103"/>
      <c r="V200" s="103"/>
      <c r="W200" s="104"/>
      <c r="X200" s="104"/>
      <c r="Y200" s="104"/>
      <c r="Z200" s="104"/>
      <c r="AA200" s="104"/>
      <c r="AB200" s="104"/>
      <c r="AC200" s="104"/>
      <c r="AD200" s="105" t="s">
        <v>62</v>
      </c>
    </row>
    <row r="201">
      <c r="A201" s="97" t="s">
        <v>63</v>
      </c>
      <c r="B201" s="97" t="s">
        <v>64</v>
      </c>
      <c r="C201" s="97" t="s">
        <v>65</v>
      </c>
      <c r="D201" s="101" t="s">
        <v>66</v>
      </c>
      <c r="E201" s="108" t="s">
        <v>67</v>
      </c>
      <c r="F201" s="108" t="s">
        <v>68</v>
      </c>
      <c r="G201" s="100" t="s">
        <v>69</v>
      </c>
      <c r="H201" s="101" t="s">
        <v>70</v>
      </c>
      <c r="I201" s="108" t="s">
        <v>71</v>
      </c>
      <c r="J201" s="151" t="s">
        <v>72</v>
      </c>
      <c r="K201" s="102" t="s">
        <v>73</v>
      </c>
      <c r="L201" s="110" t="s">
        <v>74</v>
      </c>
      <c r="M201" s="110" t="s">
        <v>75</v>
      </c>
      <c r="N201" s="102" t="s">
        <v>76</v>
      </c>
      <c r="O201" s="110" t="s">
        <v>77</v>
      </c>
      <c r="P201" s="110" t="s">
        <v>78</v>
      </c>
      <c r="Q201" s="102" t="s">
        <v>79</v>
      </c>
      <c r="R201" s="110" t="s">
        <v>80</v>
      </c>
      <c r="S201" s="102" t="s">
        <v>81</v>
      </c>
      <c r="T201" s="111" t="s">
        <v>82</v>
      </c>
      <c r="U201" s="111" t="s">
        <v>83</v>
      </c>
      <c r="V201" s="111" t="s">
        <v>84</v>
      </c>
      <c r="W201" s="112" t="s">
        <v>85</v>
      </c>
      <c r="X201" s="113" t="s">
        <v>86</v>
      </c>
      <c r="Y201" s="113" t="s">
        <v>87</v>
      </c>
      <c r="Z201" s="113" t="s">
        <v>88</v>
      </c>
      <c r="AA201" s="113" t="s">
        <v>89</v>
      </c>
      <c r="AB201" s="113" t="s">
        <v>90</v>
      </c>
      <c r="AC201" s="113" t="s">
        <v>91</v>
      </c>
      <c r="AD201" s="105"/>
    </row>
    <row r="202">
      <c r="A202" s="152">
        <v>46293</v>
      </c>
      <c r="B202" s="157" t="s">
        <v>103</v>
      </c>
      <c r="C202" s="116" t="s">
        <v>101</v>
      </c>
      <c r="D202" s="115">
        <f t="shared" ref="D202:D205" si="87">E202+F202</f>
      </c>
      <c r="E202" s="115">
        <v>2457.35</v>
      </c>
      <c r="F202" s="115">
        <v>635.53</v>
      </c>
      <c r="G202" s="131">
        <v>1</v>
      </c>
      <c r="H202" s="116">
        <v>1136.76</v>
      </c>
      <c r="I202" s="118">
        <f t="shared" ref="I202:I212" si="17">H202/D202</f>
      </c>
      <c r="J202" s="154">
        <f t="shared" ref="J202:J212" si="212">Y202/X202</f>
      </c>
      <c r="K202" s="120">
        <f t="shared" ref="K202:K212" si="150">D202/Z202</f>
      </c>
      <c r="L202" s="119">
        <f t="shared" ref="L202:L212" si="232">AA202/Z202</f>
      </c>
      <c r="M202" s="119">
        <f t="shared" ref="M202:M212" si="110">AB202/Z202</f>
      </c>
      <c r="N202" s="120">
        <f t="shared" ref="N202:N212" si="37">D202/AB202</f>
      </c>
      <c r="O202" s="119">
        <f t="shared" ref="O202:O212" si="252">AC202/AB202</f>
      </c>
      <c r="P202" s="119">
        <f t="shared" ref="P202:P212" si="170">G202/AC202</f>
      </c>
      <c r="Q202" s="120">
        <f t="shared" ref="Q202:Q212" si="130">D202/G202</f>
      </c>
      <c r="R202" s="121">
        <f t="shared" ref="R202:R212" si="57">H202/G202</f>
      </c>
      <c r="S202" s="120">
        <f t="shared" ref="S202:S212" si="272">D202/W202</f>
      </c>
      <c r="T202" s="122">
        <f t="shared" ref="T202:T212" si="190">AD202*1000/D202</f>
      </c>
      <c r="U202" s="123" t="s">
        <v>94</v>
      </c>
      <c r="V202" s="124" t="s">
        <v>115</v>
      </c>
      <c r="W202" s="125">
        <v>1</v>
      </c>
      <c r="X202" s="125">
        <v>5698</v>
      </c>
      <c r="Y202" s="125">
        <v>677</v>
      </c>
      <c r="Z202" s="125">
        <v>934</v>
      </c>
      <c r="AA202" s="125">
        <v>292</v>
      </c>
      <c r="AB202" s="125">
        <v>29</v>
      </c>
      <c r="AC202" s="126">
        <v>1</v>
      </c>
      <c r="AD202" s="126">
        <v>23</v>
      </c>
    </row>
    <row r="203">
      <c r="A203" s="152"/>
      <c r="B203" s="158" t="s">
        <v>104</v>
      </c>
      <c r="C203" s="116" t="s">
        <v>101</v>
      </c>
      <c r="D203" s="115">
        <f t="shared" si="87"/>
      </c>
      <c r="E203" s="115">
        <v>1850.76</v>
      </c>
      <c r="F203" s="115">
        <v>448.24</v>
      </c>
      <c r="G203" s="131">
        <v>0</v>
      </c>
      <c r="H203" s="116">
        <v>0</v>
      </c>
      <c r="I203" s="118">
        <f t="shared" si="17"/>
      </c>
      <c r="J203" s="154">
        <f t="shared" si="212"/>
      </c>
      <c r="K203" s="120">
        <f t="shared" si="150"/>
      </c>
      <c r="L203" s="119">
        <f t="shared" si="232"/>
      </c>
      <c r="M203" s="119">
        <f t="shared" si="110"/>
      </c>
      <c r="N203" s="120">
        <f t="shared" si="37"/>
      </c>
      <c r="O203" s="119">
        <f t="shared" si="252"/>
      </c>
      <c r="P203" s="119">
        <f t="shared" si="170"/>
      </c>
      <c r="Q203" s="120">
        <f t="shared" si="130"/>
      </c>
      <c r="R203" s="121">
        <f t="shared" si="57"/>
      </c>
      <c r="S203" s="120">
        <f t="shared" si="272"/>
      </c>
      <c r="T203" s="122">
        <f t="shared" si="190"/>
      </c>
      <c r="U203" s="123" t="s">
        <v>94</v>
      </c>
      <c r="V203" s="124" t="s">
        <v>115</v>
      </c>
      <c r="W203" s="125">
        <v>0</v>
      </c>
      <c r="X203" s="125">
        <v>5264</v>
      </c>
      <c r="Y203" s="125">
        <v>603</v>
      </c>
      <c r="Z203" s="125">
        <v>862</v>
      </c>
      <c r="AA203" s="125">
        <v>268</v>
      </c>
      <c r="AB203" s="125">
        <v>14</v>
      </c>
      <c r="AC203" s="126">
        <v>2</v>
      </c>
      <c r="AD203" s="126">
        <v>18</v>
      </c>
    </row>
    <row r="204">
      <c r="A204" s="152"/>
      <c r="B204" s="158" t="s">
        <v>105</v>
      </c>
      <c r="C204" s="116" t="s">
        <v>101</v>
      </c>
      <c r="D204" s="115">
        <f t="shared" si="87"/>
      </c>
      <c r="E204" s="116">
        <v>1349.78</v>
      </c>
      <c r="F204" s="116">
        <v>194.99</v>
      </c>
      <c r="G204" s="131">
        <v>1</v>
      </c>
      <c r="H204" s="116">
        <v>3126.3599999999997</v>
      </c>
      <c r="I204" s="118">
        <f t="shared" si="17"/>
      </c>
      <c r="J204" s="154">
        <f t="shared" si="212"/>
      </c>
      <c r="K204" s="120">
        <f t="shared" si="150"/>
      </c>
      <c r="L204" s="119">
        <f t="shared" si="232"/>
      </c>
      <c r="M204" s="119">
        <f t="shared" si="110"/>
      </c>
      <c r="N204" s="120">
        <f t="shared" si="37"/>
      </c>
      <c r="O204" s="119">
        <f t="shared" si="252"/>
      </c>
      <c r="P204" s="119">
        <f t="shared" si="170"/>
      </c>
      <c r="Q204" s="120">
        <f t="shared" si="130"/>
      </c>
      <c r="R204" s="121">
        <f t="shared" si="57"/>
      </c>
      <c r="S204" s="120">
        <f t="shared" si="272"/>
      </c>
      <c r="T204" s="122">
        <f t="shared" si="190"/>
      </c>
      <c r="U204" s="123" t="s">
        <v>94</v>
      </c>
      <c r="V204" s="124" t="s">
        <v>115</v>
      </c>
      <c r="W204" s="125">
        <v>1</v>
      </c>
      <c r="X204" s="125">
        <v>3928</v>
      </c>
      <c r="Y204" s="125">
        <v>442</v>
      </c>
      <c r="Z204" s="125">
        <v>677</v>
      </c>
      <c r="AA204" s="125">
        <v>207</v>
      </c>
      <c r="AB204" s="125">
        <v>18</v>
      </c>
      <c r="AC204" s="126">
        <v>1</v>
      </c>
      <c r="AD204" s="126">
        <v>15</v>
      </c>
    </row>
    <row r="205">
      <c r="A205" s="152"/>
      <c r="B205" s="116" t="s">
        <v>92</v>
      </c>
      <c r="C205" s="116" t="s">
        <v>101</v>
      </c>
      <c r="D205" s="115">
        <f t="shared" si="87"/>
      </c>
      <c r="E205" s="115">
        <v>1777.03</v>
      </c>
      <c r="F205" s="115">
        <v>340.31</v>
      </c>
      <c r="G205" s="131">
        <v>2</v>
      </c>
      <c r="H205" s="116">
        <v>4986.839999999999</v>
      </c>
      <c r="I205" s="118">
        <f t="shared" si="17"/>
      </c>
      <c r="J205" s="154">
        <f t="shared" si="212"/>
      </c>
      <c r="K205" s="120">
        <f t="shared" si="150"/>
      </c>
      <c r="L205" s="119">
        <f t="shared" si="232"/>
      </c>
      <c r="M205" s="119">
        <f t="shared" si="110"/>
      </c>
      <c r="N205" s="120">
        <f t="shared" si="37"/>
      </c>
      <c r="O205" s="119">
        <f t="shared" si="252"/>
      </c>
      <c r="P205" s="119">
        <f t="shared" si="170"/>
      </c>
      <c r="Q205" s="120">
        <f t="shared" si="130"/>
      </c>
      <c r="R205" s="121">
        <f t="shared" si="57"/>
      </c>
      <c r="S205" s="120">
        <f t="shared" si="272"/>
      </c>
      <c r="T205" s="122">
        <f t="shared" si="190"/>
      </c>
      <c r="U205" s="123" t="s">
        <v>94</v>
      </c>
      <c r="V205" s="124" t="s">
        <v>115</v>
      </c>
      <c r="W205" s="125">
        <v>2</v>
      </c>
      <c r="X205" s="125">
        <v>5877</v>
      </c>
      <c r="Y205" s="125">
        <v>412</v>
      </c>
      <c r="Z205" s="125">
        <v>610</v>
      </c>
      <c r="AA205" s="125">
        <v>176</v>
      </c>
      <c r="AB205" s="125">
        <v>52</v>
      </c>
      <c r="AC205" s="126">
        <v>3</v>
      </c>
      <c r="AD205" s="126">
        <v>20</v>
      </c>
    </row>
    <row r="206">
      <c r="A206" s="152"/>
      <c r="B206" s="132" t="s">
        <v>99</v>
      </c>
      <c r="C206" s="132"/>
      <c r="D206" s="132">
        <f>SUM(D202:D205)</f>
      </c>
      <c r="E206" s="132">
        <f>SUM(E202:E205)</f>
      </c>
      <c r="F206" s="132">
        <f>SUM(F202:F205)</f>
      </c>
      <c r="G206" s="132">
        <f>SUM(G202:G205)</f>
      </c>
      <c r="H206" s="132">
        <f>SUM(H202:H205)</f>
      </c>
      <c r="I206" s="134">
        <f t="shared" si="17"/>
      </c>
      <c r="J206" s="155">
        <f t="shared" si="212"/>
      </c>
      <c r="K206" s="136">
        <f t="shared" si="150"/>
      </c>
      <c r="L206" s="135">
        <f t="shared" si="232"/>
      </c>
      <c r="M206" s="135">
        <f t="shared" si="110"/>
      </c>
      <c r="N206" s="136">
        <f t="shared" si="37"/>
      </c>
      <c r="O206" s="135">
        <f t="shared" si="252"/>
      </c>
      <c r="P206" s="135">
        <f t="shared" si="170"/>
      </c>
      <c r="Q206" s="136">
        <f t="shared" si="130"/>
      </c>
      <c r="R206" s="137">
        <f t="shared" si="57"/>
      </c>
      <c r="S206" s="136">
        <f t="shared" si="272"/>
      </c>
      <c r="T206" s="138">
        <f t="shared" si="190"/>
      </c>
      <c r="U206" s="138"/>
      <c r="V206" s="138"/>
      <c r="W206" s="132">
        <f>SUM(W202:W205)</f>
      </c>
      <c r="X206" s="132">
        <f>SUM(X202:X205)</f>
      </c>
      <c r="Y206" s="132">
        <f>SUM(Y202:Y205)</f>
      </c>
      <c r="Z206" s="132">
        <f>SUM(Z202:Z205)</f>
      </c>
      <c r="AA206" s="132">
        <f>SUM(AA202:AA205)</f>
      </c>
      <c r="AB206" s="132">
        <f>SUM(AB202:AB205)</f>
      </c>
      <c r="AC206" s="132">
        <f>SUM(AC202:AC205)</f>
      </c>
      <c r="AD206" s="132">
        <f>SUM(AD202:AD205)</f>
      </c>
    </row>
    <row r="207">
      <c r="A207" s="152"/>
      <c r="B207" s="115" t="s">
        <v>96</v>
      </c>
      <c r="C207" s="116" t="s">
        <v>110</v>
      </c>
      <c r="D207" s="115">
        <f t="shared" ref="D207:D210" si="88">E207+F207</f>
      </c>
      <c r="E207" s="116">
        <v>2714.08</v>
      </c>
      <c r="F207" s="116">
        <v>393.76</v>
      </c>
      <c r="G207" s="131">
        <v>2</v>
      </c>
      <c r="H207" s="116">
        <v>1719.2399999999998</v>
      </c>
      <c r="I207" s="118">
        <f t="shared" si="17"/>
      </c>
      <c r="J207" s="154">
        <f t="shared" si="212"/>
      </c>
      <c r="K207" s="120">
        <f t="shared" si="150"/>
      </c>
      <c r="L207" s="119">
        <f t="shared" si="232"/>
      </c>
      <c r="M207" s="119">
        <f t="shared" si="110"/>
      </c>
      <c r="N207" s="120">
        <f t="shared" si="37"/>
      </c>
      <c r="O207" s="119">
        <f t="shared" si="252"/>
      </c>
      <c r="P207" s="119">
        <f t="shared" si="170"/>
      </c>
      <c r="Q207" s="120">
        <f t="shared" si="130"/>
      </c>
      <c r="R207" s="121">
        <f t="shared" si="57"/>
      </c>
      <c r="S207" s="120">
        <f t="shared" si="272"/>
      </c>
      <c r="T207" s="122">
        <f t="shared" si="190"/>
      </c>
      <c r="U207" s="123" t="s">
        <v>94</v>
      </c>
      <c r="V207" s="124" t="s">
        <v>115</v>
      </c>
      <c r="W207" s="125">
        <v>2</v>
      </c>
      <c r="X207" s="125">
        <v>7247</v>
      </c>
      <c r="Y207" s="125">
        <v>509</v>
      </c>
      <c r="Z207" s="125">
        <v>637</v>
      </c>
      <c r="AA207" s="125">
        <v>223</v>
      </c>
      <c r="AB207" s="125">
        <v>70</v>
      </c>
      <c r="AC207" s="126">
        <v>4</v>
      </c>
      <c r="AD207" s="126">
        <v>30</v>
      </c>
    </row>
    <row r="208">
      <c r="A208" s="152"/>
      <c r="B208" s="115" t="s">
        <v>97</v>
      </c>
      <c r="C208" s="116" t="s">
        <v>110</v>
      </c>
      <c r="D208" s="115">
        <f t="shared" si="88"/>
      </c>
      <c r="E208" s="115">
        <v>2416.18</v>
      </c>
      <c r="F208" s="116">
        <v>396.83</v>
      </c>
      <c r="G208" s="131">
        <v>0</v>
      </c>
      <c r="H208" s="116">
        <v>0</v>
      </c>
      <c r="I208" s="118">
        <f t="shared" si="17"/>
      </c>
      <c r="J208" s="154">
        <f t="shared" si="212"/>
      </c>
      <c r="K208" s="120">
        <f t="shared" si="150"/>
      </c>
      <c r="L208" s="119">
        <f t="shared" si="232"/>
      </c>
      <c r="M208" s="119">
        <f t="shared" si="110"/>
      </c>
      <c r="N208" s="120">
        <f t="shared" si="37"/>
      </c>
      <c r="O208" s="119">
        <f t="shared" si="252"/>
      </c>
      <c r="P208" s="119">
        <f t="shared" si="170"/>
      </c>
      <c r="Q208" s="120">
        <f t="shared" si="130"/>
      </c>
      <c r="R208" s="121">
        <f t="shared" si="57"/>
      </c>
      <c r="S208" s="120">
        <f t="shared" si="272"/>
      </c>
      <c r="T208" s="122">
        <f t="shared" si="190"/>
      </c>
      <c r="U208" s="123" t="s">
        <v>94</v>
      </c>
      <c r="V208" s="124" t="s">
        <v>115</v>
      </c>
      <c r="W208" s="125">
        <v>0</v>
      </c>
      <c r="X208" s="125">
        <v>6492</v>
      </c>
      <c r="Y208" s="125">
        <v>492</v>
      </c>
      <c r="Z208" s="125">
        <v>629</v>
      </c>
      <c r="AA208" s="125">
        <v>228</v>
      </c>
      <c r="AB208" s="125">
        <v>48</v>
      </c>
      <c r="AC208" s="126">
        <v>1</v>
      </c>
      <c r="AD208" s="126">
        <v>14</v>
      </c>
    </row>
    <row customHeight="true" ht="18.452380952380953" r="209">
      <c r="A209" s="152"/>
      <c r="B209" s="115" t="s">
        <v>98</v>
      </c>
      <c r="C209" s="116" t="s">
        <v>110</v>
      </c>
      <c r="D209" s="115">
        <f t="shared" si="88"/>
      </c>
      <c r="E209" s="115">
        <v>1251.52</v>
      </c>
      <c r="F209" s="116">
        <v>397.07</v>
      </c>
      <c r="G209" s="131">
        <v>1</v>
      </c>
      <c r="H209" s="116">
        <v>1185.960000000001</v>
      </c>
      <c r="I209" s="118">
        <f t="shared" si="17"/>
      </c>
      <c r="J209" s="154">
        <f t="shared" si="212"/>
      </c>
      <c r="K209" s="120">
        <f t="shared" si="150"/>
      </c>
      <c r="L209" s="119">
        <f t="shared" si="232"/>
      </c>
      <c r="M209" s="119">
        <f t="shared" si="110"/>
      </c>
      <c r="N209" s="120">
        <f t="shared" si="37"/>
      </c>
      <c r="O209" s="119">
        <f t="shared" si="252"/>
      </c>
      <c r="P209" s="119">
        <f t="shared" si="170"/>
      </c>
      <c r="Q209" s="120">
        <f t="shared" si="130"/>
      </c>
      <c r="R209" s="121">
        <f t="shared" si="57"/>
      </c>
      <c r="S209" s="120">
        <f t="shared" si="272"/>
      </c>
      <c r="T209" s="122">
        <f t="shared" si="190"/>
      </c>
      <c r="U209" s="123" t="s">
        <v>94</v>
      </c>
      <c r="V209" s="124" t="s">
        <v>115</v>
      </c>
      <c r="W209" s="125">
        <v>1</v>
      </c>
      <c r="X209" s="125">
        <v>4530</v>
      </c>
      <c r="Y209" s="125">
        <v>235</v>
      </c>
      <c r="Z209" s="125">
        <v>367</v>
      </c>
      <c r="AA209" s="125">
        <v>105</v>
      </c>
      <c r="AB209" s="125">
        <v>39</v>
      </c>
      <c r="AC209" s="126">
        <v>2</v>
      </c>
      <c r="AD209" s="126">
        <v>13</v>
      </c>
    </row>
    <row r="210">
      <c r="A210" s="152"/>
      <c r="B210" s="115" t="s">
        <v>102</v>
      </c>
      <c r="C210" s="116" t="s">
        <v>110</v>
      </c>
      <c r="D210" s="115">
        <f t="shared" si="88"/>
      </c>
      <c r="E210" s="115">
        <v>1341.44</v>
      </c>
      <c r="F210" s="115">
        <v>240.36</v>
      </c>
      <c r="G210" s="131">
        <v>1</v>
      </c>
      <c r="H210" s="116">
        <v>1216.08</v>
      </c>
      <c r="I210" s="118">
        <f t="shared" si="17"/>
      </c>
      <c r="J210" s="154">
        <f t="shared" si="212"/>
      </c>
      <c r="K210" s="120">
        <f t="shared" si="150"/>
      </c>
      <c r="L210" s="119">
        <f t="shared" si="232"/>
      </c>
      <c r="M210" s="119">
        <f t="shared" si="110"/>
      </c>
      <c r="N210" s="120">
        <f t="shared" si="37"/>
      </c>
      <c r="O210" s="119">
        <f t="shared" si="252"/>
      </c>
      <c r="P210" s="119">
        <f t="shared" si="170"/>
      </c>
      <c r="Q210" s="120">
        <f t="shared" si="130"/>
      </c>
      <c r="R210" s="121">
        <f t="shared" si="57"/>
      </c>
      <c r="S210" s="120">
        <f t="shared" si="272"/>
      </c>
      <c r="T210" s="122">
        <f t="shared" si="190"/>
      </c>
      <c r="U210" s="123" t="s">
        <v>94</v>
      </c>
      <c r="V210" s="124" t="s">
        <v>115</v>
      </c>
      <c r="W210" s="126">
        <v>0</v>
      </c>
      <c r="X210" s="125">
        <v>4393</v>
      </c>
      <c r="Y210" s="125">
        <v>260</v>
      </c>
      <c r="Z210" s="125">
        <v>385</v>
      </c>
      <c r="AA210" s="125">
        <v>80</v>
      </c>
      <c r="AB210" s="125">
        <v>34</v>
      </c>
      <c r="AC210" s="126">
        <v>1</v>
      </c>
      <c r="AD210" s="126">
        <v>17</v>
      </c>
    </row>
    <row r="211">
      <c r="A211" s="152"/>
      <c r="B211" s="132" t="s">
        <v>99</v>
      </c>
      <c r="C211" s="132"/>
      <c r="D211" s="132">
        <f>SUM(D207:D210)</f>
      </c>
      <c r="E211" s="132">
        <f>SUM(E207:E210)</f>
      </c>
      <c r="F211" s="132">
        <f>SUM(F207:F210)</f>
      </c>
      <c r="G211" s="132">
        <f>SUM(G207:G210)</f>
      </c>
      <c r="H211" s="132">
        <f>SUM(H207:H210)</f>
      </c>
      <c r="I211" s="134">
        <f t="shared" si="17"/>
      </c>
      <c r="J211" s="155">
        <f t="shared" si="212"/>
      </c>
      <c r="K211" s="136">
        <f t="shared" si="150"/>
      </c>
      <c r="L211" s="135">
        <f t="shared" si="232"/>
      </c>
      <c r="M211" s="135">
        <f t="shared" si="110"/>
      </c>
      <c r="N211" s="136">
        <f t="shared" si="37"/>
      </c>
      <c r="O211" s="135">
        <f t="shared" si="252"/>
      </c>
      <c r="P211" s="135">
        <f t="shared" si="170"/>
      </c>
      <c r="Q211" s="136">
        <f t="shared" si="130"/>
      </c>
      <c r="R211" s="137">
        <f t="shared" si="57"/>
      </c>
      <c r="S211" s="136">
        <f t="shared" si="272"/>
      </c>
      <c r="T211" s="138">
        <f t="shared" si="190"/>
      </c>
      <c r="U211" s="138"/>
      <c r="V211" s="138"/>
      <c r="W211" s="132">
        <f>SUM(W207:W210)</f>
      </c>
      <c r="X211" s="132">
        <f>SUM(X207:X210)</f>
      </c>
      <c r="Y211" s="132">
        <f>SUM(Y207:Y210)</f>
      </c>
      <c r="Z211" s="132">
        <f>SUM(Z207:Z210)</f>
      </c>
      <c r="AA211" s="132">
        <f>SUM(AA207:AA210)</f>
      </c>
      <c r="AB211" s="132">
        <f>SUM(AB207:AB210)</f>
      </c>
      <c r="AC211" s="132">
        <f>SUM(AC207:AC210)</f>
      </c>
      <c r="AD211" s="132">
        <f>SUM(AD207:AD210)</f>
      </c>
    </row>
    <row r="212">
      <c r="A212" s="152"/>
      <c r="B212" s="139" t="s">
        <v>100</v>
      </c>
      <c r="C212" s="139"/>
      <c r="D212" s="140">
        <f>D206+D211</f>
      </c>
      <c r="E212" s="140">
        <f>E206+E211</f>
      </c>
      <c r="F212" s="140">
        <f>F206+F211</f>
      </c>
      <c r="G212" s="145">
        <f>G206+G211</f>
      </c>
      <c r="H212" s="140">
        <f>H206+H211</f>
      </c>
      <c r="I212" s="140">
        <f t="shared" si="17"/>
      </c>
      <c r="J212" s="156">
        <f t="shared" si="212"/>
      </c>
      <c r="K212" s="140">
        <f t="shared" si="150"/>
      </c>
      <c r="L212" s="142">
        <f t="shared" si="232"/>
      </c>
      <c r="M212" s="142">
        <f t="shared" si="110"/>
      </c>
      <c r="N212" s="140">
        <f t="shared" si="37"/>
      </c>
      <c r="O212" s="142">
        <f t="shared" si="252"/>
      </c>
      <c r="P212" s="142">
        <f t="shared" si="170"/>
      </c>
      <c r="Q212" s="140">
        <f t="shared" si="130"/>
      </c>
      <c r="R212" s="143">
        <f t="shared" si="57"/>
      </c>
      <c r="S212" s="140">
        <f t="shared" si="272"/>
      </c>
      <c r="T212" s="144">
        <f t="shared" si="190"/>
      </c>
      <c r="U212" s="144"/>
      <c r="V212" s="144"/>
      <c r="W212" s="145">
        <f>W206+W211</f>
      </c>
      <c r="X212" s="145">
        <f>X206+X211</f>
      </c>
      <c r="Y212" s="145">
        <f>Y206+Y211</f>
      </c>
      <c r="Z212" s="145">
        <f>Z206+Z211</f>
      </c>
      <c r="AA212" s="145">
        <f>AA206+AA211</f>
      </c>
      <c r="AB212" s="145">
        <f>AB206+AB211</f>
      </c>
      <c r="AC212" s="145">
        <f>AC206+AC211</f>
      </c>
      <c r="AD212" s="145">
        <f>AD206+AD211</f>
      </c>
    </row>
    <row r="213">
      <c r="A213" s="97" t="s">
        <v>59</v>
      </c>
      <c r="B213" s="97"/>
      <c r="C213" s="97"/>
      <c r="D213" s="101" t="s">
        <v>60</v>
      </c>
      <c r="E213" s="101"/>
      <c r="F213" s="101"/>
      <c r="G213" s="101"/>
      <c r="H213" s="101"/>
      <c r="I213" s="101"/>
      <c r="J213" s="151" t="s">
        <v>61</v>
      </c>
      <c r="K213" s="151"/>
      <c r="L213" s="151"/>
      <c r="M213" s="151"/>
      <c r="N213" s="151"/>
      <c r="O213" s="151"/>
      <c r="P213" s="151"/>
      <c r="Q213" s="151"/>
      <c r="R213" s="151"/>
      <c r="S213" s="151"/>
      <c r="T213" s="103"/>
      <c r="U213" s="103"/>
      <c r="V213" s="103"/>
      <c r="W213" s="104"/>
      <c r="X213" s="104"/>
      <c r="Y213" s="104"/>
      <c r="Z213" s="104"/>
      <c r="AA213" s="104"/>
      <c r="AB213" s="104"/>
      <c r="AC213" s="104"/>
      <c r="AD213" s="105" t="s">
        <v>62</v>
      </c>
    </row>
    <row r="214">
      <c r="A214" s="97" t="s">
        <v>63</v>
      </c>
      <c r="B214" s="97" t="s">
        <v>64</v>
      </c>
      <c r="C214" s="97" t="s">
        <v>65</v>
      </c>
      <c r="D214" s="101" t="s">
        <v>66</v>
      </c>
      <c r="E214" s="108" t="s">
        <v>67</v>
      </c>
      <c r="F214" s="108" t="s">
        <v>68</v>
      </c>
      <c r="G214" s="100" t="s">
        <v>69</v>
      </c>
      <c r="H214" s="101" t="s">
        <v>70</v>
      </c>
      <c r="I214" s="108" t="s">
        <v>71</v>
      </c>
      <c r="J214" s="151" t="s">
        <v>72</v>
      </c>
      <c r="K214" s="102" t="s">
        <v>73</v>
      </c>
      <c r="L214" s="110" t="s">
        <v>74</v>
      </c>
      <c r="M214" s="110" t="s">
        <v>75</v>
      </c>
      <c r="N214" s="102" t="s">
        <v>76</v>
      </c>
      <c r="O214" s="110" t="s">
        <v>77</v>
      </c>
      <c r="P214" s="110" t="s">
        <v>78</v>
      </c>
      <c r="Q214" s="102" t="s">
        <v>79</v>
      </c>
      <c r="R214" s="110" t="s">
        <v>80</v>
      </c>
      <c r="S214" s="102" t="s">
        <v>81</v>
      </c>
      <c r="T214" s="111" t="s">
        <v>82</v>
      </c>
      <c r="U214" s="111" t="s">
        <v>83</v>
      </c>
      <c r="V214" s="111" t="s">
        <v>84</v>
      </c>
      <c r="W214" s="112" t="s">
        <v>85</v>
      </c>
      <c r="X214" s="113" t="s">
        <v>86</v>
      </c>
      <c r="Y214" s="113" t="s">
        <v>87</v>
      </c>
      <c r="Z214" s="113" t="s">
        <v>88</v>
      </c>
      <c r="AA214" s="113" t="s">
        <v>89</v>
      </c>
      <c r="AB214" s="113" t="s">
        <v>90</v>
      </c>
      <c r="AC214" s="113" t="s">
        <v>91</v>
      </c>
      <c r="AD214" s="105"/>
    </row>
    <row r="215">
      <c r="A215" s="152">
        <v>46294</v>
      </c>
      <c r="B215" s="157" t="s">
        <v>103</v>
      </c>
      <c r="C215" s="116" t="s">
        <v>101</v>
      </c>
      <c r="D215" s="115">
        <f t="shared" ref="D215:D219" si="89">E215+F215</f>
      </c>
      <c r="E215" s="115">
        <v>2043.03</v>
      </c>
      <c r="F215" s="115">
        <v>670.55</v>
      </c>
      <c r="G215" s="131">
        <v>1</v>
      </c>
      <c r="H215" s="116">
        <v>1771.1999999999998</v>
      </c>
      <c r="I215" s="118">
        <f t="shared" ref="I215:I225" si="18">H215/D215</f>
      </c>
      <c r="J215" s="154">
        <f t="shared" ref="J215:J225" si="213">Y215/X215</f>
      </c>
      <c r="K215" s="120">
        <f t="shared" ref="K215:K225" si="151">D215/Z215</f>
      </c>
      <c r="L215" s="119">
        <f t="shared" ref="L215:L225" si="233">AA215/Z215</f>
      </c>
      <c r="M215" s="119">
        <f t="shared" ref="M215:M225" si="111">AB215/Z215</f>
      </c>
      <c r="N215" s="120">
        <f t="shared" ref="N215:N225" si="38">D215/AB215</f>
      </c>
      <c r="O215" s="119">
        <f t="shared" ref="O215:O225" si="253">AC215/AB215</f>
      </c>
      <c r="P215" s="119">
        <f t="shared" ref="P215:P225" si="171">G215/AC215</f>
      </c>
      <c r="Q215" s="120">
        <f t="shared" ref="Q215:Q225" si="131">D215/G215</f>
      </c>
      <c r="R215" s="121">
        <f t="shared" ref="R215:R225" si="58">H215/G215</f>
      </c>
      <c r="S215" s="120">
        <f t="shared" ref="S215:S225" si="273">D215/W215</f>
      </c>
      <c r="T215" s="122">
        <f t="shared" ref="T215:T225" si="191">AD215*1000/D215</f>
      </c>
      <c r="U215" s="123" t="s">
        <v>94</v>
      </c>
      <c r="V215" s="124" t="s">
        <v>95</v>
      </c>
      <c r="W215" s="125">
        <v>1</v>
      </c>
      <c r="X215" s="125">
        <v>6347</v>
      </c>
      <c r="Y215" s="125">
        <v>601</v>
      </c>
      <c r="Z215" s="125">
        <v>930</v>
      </c>
      <c r="AA215" s="125">
        <v>301</v>
      </c>
      <c r="AB215" s="125">
        <v>37</v>
      </c>
      <c r="AC215" s="126">
        <v>4</v>
      </c>
      <c r="AD215" s="126">
        <v>21</v>
      </c>
    </row>
    <row r="216">
      <c r="A216" s="152"/>
      <c r="B216" s="158" t="s">
        <v>104</v>
      </c>
      <c r="C216" s="116" t="s">
        <v>101</v>
      </c>
      <c r="D216" s="115">
        <f t="shared" si="89"/>
      </c>
      <c r="E216" s="115">
        <v>1176.12</v>
      </c>
      <c r="F216" s="115">
        <v>784.49</v>
      </c>
      <c r="G216" s="131">
        <v>0</v>
      </c>
      <c r="H216" s="116">
        <v>0</v>
      </c>
      <c r="I216" s="118">
        <f t="shared" si="18"/>
      </c>
      <c r="J216" s="154">
        <f t="shared" si="213"/>
      </c>
      <c r="K216" s="120">
        <f t="shared" si="151"/>
      </c>
      <c r="L216" s="119">
        <f t="shared" si="233"/>
      </c>
      <c r="M216" s="119">
        <f t="shared" si="111"/>
      </c>
      <c r="N216" s="120">
        <f t="shared" si="38"/>
      </c>
      <c r="O216" s="119">
        <f t="shared" si="253"/>
      </c>
      <c r="P216" s="119">
        <f t="shared" si="171"/>
      </c>
      <c r="Q216" s="120">
        <f t="shared" si="131"/>
      </c>
      <c r="R216" s="121">
        <f t="shared" si="58"/>
      </c>
      <c r="S216" s="120">
        <f t="shared" si="273"/>
      </c>
      <c r="T216" s="122">
        <f t="shared" si="191"/>
      </c>
      <c r="U216" s="123" t="s">
        <v>94</v>
      </c>
      <c r="V216" s="124" t="s">
        <v>95</v>
      </c>
      <c r="W216" s="125">
        <v>0</v>
      </c>
      <c r="X216" s="125">
        <v>4496</v>
      </c>
      <c r="Y216" s="125">
        <v>461</v>
      </c>
      <c r="Z216" s="125">
        <v>776</v>
      </c>
      <c r="AA216" s="125">
        <v>235</v>
      </c>
      <c r="AB216" s="125">
        <v>31</v>
      </c>
      <c r="AC216" s="126">
        <v>0</v>
      </c>
      <c r="AD216" s="126">
        <v>15</v>
      </c>
    </row>
    <row r="217">
      <c r="A217" s="152"/>
      <c r="B217" s="158" t="s">
        <v>105</v>
      </c>
      <c r="C217" s="116" t="s">
        <v>101</v>
      </c>
      <c r="D217" s="115">
        <f t="shared" si="89"/>
      </c>
      <c r="E217" s="116">
        <v>853.44</v>
      </c>
      <c r="F217" s="116">
        <v>218.89</v>
      </c>
      <c r="G217" s="131">
        <v>0</v>
      </c>
      <c r="H217" s="116">
        <v>0</v>
      </c>
      <c r="I217" s="118">
        <f t="shared" si="18"/>
      </c>
      <c r="J217" s="154">
        <f t="shared" si="213"/>
      </c>
      <c r="K217" s="120">
        <f t="shared" si="151"/>
      </c>
      <c r="L217" s="119">
        <f t="shared" si="233"/>
      </c>
      <c r="M217" s="119">
        <f t="shared" si="111"/>
      </c>
      <c r="N217" s="120">
        <f t="shared" si="38"/>
      </c>
      <c r="O217" s="119">
        <f t="shared" si="253"/>
      </c>
      <c r="P217" s="119">
        <f t="shared" si="171"/>
      </c>
      <c r="Q217" s="120">
        <f t="shared" si="131"/>
      </c>
      <c r="R217" s="121">
        <f t="shared" si="58"/>
      </c>
      <c r="S217" s="120">
        <f t="shared" si="273"/>
      </c>
      <c r="T217" s="122">
        <f t="shared" si="191"/>
      </c>
      <c r="U217" s="123" t="s">
        <v>94</v>
      </c>
      <c r="V217" s="124" t="s">
        <v>95</v>
      </c>
      <c r="W217" s="125">
        <v>0</v>
      </c>
      <c r="X217" s="125">
        <v>3380</v>
      </c>
      <c r="Y217" s="125">
        <v>294</v>
      </c>
      <c r="Z217" s="125">
        <v>491</v>
      </c>
      <c r="AA217" s="125">
        <v>136</v>
      </c>
      <c r="AB217" s="125">
        <v>31</v>
      </c>
      <c r="AC217" s="126">
        <v>0</v>
      </c>
      <c r="AD217" s="126">
        <v>13</v>
      </c>
    </row>
    <row r="218">
      <c r="A218" s="152"/>
      <c r="B218" s="116" t="s">
        <v>92</v>
      </c>
      <c r="C218" s="116" t="s">
        <v>101</v>
      </c>
      <c r="D218" s="115">
        <f t="shared" si="89"/>
      </c>
      <c r="E218" s="115">
        <v>715.37</v>
      </c>
      <c r="F218" s="115">
        <v>243.49</v>
      </c>
      <c r="G218" s="131">
        <v>2</v>
      </c>
      <c r="H218" s="116">
        <v>4165.08</v>
      </c>
      <c r="I218" s="118">
        <f t="shared" si="18"/>
      </c>
      <c r="J218" s="154">
        <f t="shared" si="213"/>
      </c>
      <c r="K218" s="120">
        <f t="shared" si="151"/>
      </c>
      <c r="L218" s="119">
        <f t="shared" si="233"/>
      </c>
      <c r="M218" s="119">
        <f t="shared" si="111"/>
      </c>
      <c r="N218" s="120">
        <f t="shared" si="38"/>
      </c>
      <c r="O218" s="119">
        <f t="shared" si="253"/>
      </c>
      <c r="P218" s="119">
        <f t="shared" si="171"/>
      </c>
      <c r="Q218" s="120">
        <f t="shared" si="131"/>
      </c>
      <c r="R218" s="121">
        <f t="shared" si="58"/>
      </c>
      <c r="S218" s="120">
        <f t="shared" si="273"/>
      </c>
      <c r="T218" s="122">
        <f t="shared" si="191"/>
      </c>
      <c r="U218" s="123" t="s">
        <v>94</v>
      </c>
      <c r="V218" s="124" t="s">
        <v>95</v>
      </c>
      <c r="W218" s="125">
        <v>1</v>
      </c>
      <c r="X218" s="125">
        <v>2709</v>
      </c>
      <c r="Y218" s="125">
        <v>210</v>
      </c>
      <c r="Z218" s="125">
        <v>380</v>
      </c>
      <c r="AA218" s="125">
        <v>103</v>
      </c>
      <c r="AB218" s="125">
        <v>28</v>
      </c>
      <c r="AC218" s="126">
        <v>2</v>
      </c>
      <c r="AD218" s="126">
        <v>14</v>
      </c>
    </row>
    <row customHeight="true" ht="18.452380952380953" r="219">
      <c r="A219" s="152"/>
      <c r="B219" s="115" t="s">
        <v>96</v>
      </c>
      <c r="C219" s="116" t="s">
        <v>101</v>
      </c>
      <c r="D219" s="115">
        <f t="shared" si="89"/>
      </c>
      <c r="E219" s="116">
        <v>2229.28</v>
      </c>
      <c r="F219" s="116">
        <v>439.84000000000003</v>
      </c>
      <c r="G219" s="131">
        <v>1</v>
      </c>
      <c r="H219" s="116">
        <v>4909.2</v>
      </c>
      <c r="I219" s="118">
        <f t="shared" si="18"/>
      </c>
      <c r="J219" s="154">
        <f t="shared" si="213"/>
      </c>
      <c r="K219" s="120">
        <f t="shared" si="151"/>
      </c>
      <c r="L219" s="119">
        <f t="shared" si="233"/>
      </c>
      <c r="M219" s="119">
        <f t="shared" si="111"/>
      </c>
      <c r="N219" s="120">
        <f t="shared" si="38"/>
      </c>
      <c r="O219" s="119">
        <f t="shared" si="253"/>
      </c>
      <c r="P219" s="119">
        <f t="shared" si="171"/>
      </c>
      <c r="Q219" s="120">
        <f t="shared" si="131"/>
      </c>
      <c r="R219" s="121">
        <f t="shared" si="58"/>
      </c>
      <c r="S219" s="120">
        <f t="shared" si="273"/>
      </c>
      <c r="T219" s="122">
        <f t="shared" si="191"/>
      </c>
      <c r="U219" s="123" t="s">
        <v>94</v>
      </c>
      <c r="V219" s="124" t="s">
        <v>95</v>
      </c>
      <c r="W219" s="125">
        <v>1</v>
      </c>
      <c r="X219" s="125">
        <v>7787</v>
      </c>
      <c r="Y219" s="125">
        <v>415</v>
      </c>
      <c r="Z219" s="125">
        <v>675</v>
      </c>
      <c r="AA219" s="125">
        <v>197</v>
      </c>
      <c r="AB219" s="125">
        <v>81</v>
      </c>
      <c r="AC219" s="126">
        <v>2</v>
      </c>
      <c r="AD219" s="126">
        <v>21</v>
      </c>
    </row>
    <row r="220">
      <c r="A220" s="152"/>
      <c r="B220" s="132" t="s">
        <v>99</v>
      </c>
      <c r="C220" s="132"/>
      <c r="D220" s="132">
        <f>SUM(D215:D219)</f>
      </c>
      <c r="E220" s="132">
        <f>SUM(E215:E219)</f>
      </c>
      <c r="F220" s="132">
        <f>SUM(F215:F219)</f>
      </c>
      <c r="G220" s="132">
        <f>SUM(G215:G219)</f>
      </c>
      <c r="H220" s="132">
        <f>SUM(H215:H219)</f>
      </c>
      <c r="I220" s="134">
        <f t="shared" si="18"/>
      </c>
      <c r="J220" s="155">
        <f t="shared" si="213"/>
      </c>
      <c r="K220" s="136">
        <f t="shared" si="151"/>
      </c>
      <c r="L220" s="135">
        <f t="shared" si="233"/>
      </c>
      <c r="M220" s="135">
        <f t="shared" si="111"/>
      </c>
      <c r="N220" s="136">
        <f t="shared" si="38"/>
      </c>
      <c r="O220" s="135">
        <f t="shared" si="253"/>
      </c>
      <c r="P220" s="135">
        <f t="shared" si="171"/>
      </c>
      <c r="Q220" s="136">
        <f t="shared" si="131"/>
      </c>
      <c r="R220" s="137">
        <f t="shared" si="58"/>
      </c>
      <c r="S220" s="136">
        <f t="shared" si="273"/>
      </c>
      <c r="T220" s="138">
        <f t="shared" si="191"/>
      </c>
      <c r="U220" s="138"/>
      <c r="V220" s="138"/>
      <c r="W220" s="132">
        <f>SUM(W215:W219)</f>
      </c>
      <c r="X220" s="132">
        <f>SUM(X215:X219)</f>
      </c>
      <c r="Y220" s="132">
        <f>SUM(Y215:Y219)</f>
      </c>
      <c r="Z220" s="132">
        <f>SUM(Z215:Z219)</f>
      </c>
      <c r="AA220" s="132">
        <f>SUM(AA215:AA219)</f>
      </c>
      <c r="AB220" s="132">
        <f>SUM(AB215:AB219)</f>
      </c>
      <c r="AC220" s="132">
        <f>SUM(AC215:AC219)</f>
      </c>
      <c r="AD220" s="132">
        <f>SUM(AD215:AD219)</f>
      </c>
    </row>
    <row r="221">
      <c r="A221" s="152"/>
      <c r="B221" s="115" t="s">
        <v>97</v>
      </c>
      <c r="C221" s="116" t="s">
        <v>114</v>
      </c>
      <c r="D221" s="115">
        <f t="shared" ref="D221:D223" si="90">E221+F221</f>
      </c>
      <c r="E221" s="115">
        <v>1353.63</v>
      </c>
      <c r="F221" s="116">
        <v>253.01999999999998</v>
      </c>
      <c r="G221" s="131">
        <v>1</v>
      </c>
      <c r="H221" s="116">
        <v>10182.599999999999</v>
      </c>
      <c r="I221" s="118">
        <f t="shared" si="18"/>
      </c>
      <c r="J221" s="154">
        <f t="shared" si="213"/>
      </c>
      <c r="K221" s="120">
        <f t="shared" si="151"/>
      </c>
      <c r="L221" s="119">
        <f t="shared" si="233"/>
      </c>
      <c r="M221" s="119">
        <f t="shared" si="111"/>
      </c>
      <c r="N221" s="120">
        <f t="shared" si="38"/>
      </c>
      <c r="O221" s="119">
        <f t="shared" si="253"/>
      </c>
      <c r="P221" s="119">
        <f t="shared" si="171"/>
      </c>
      <c r="Q221" s="120">
        <f t="shared" si="131"/>
      </c>
      <c r="R221" s="121">
        <f t="shared" si="58"/>
      </c>
      <c r="S221" s="120">
        <f t="shared" si="273"/>
      </c>
      <c r="T221" s="122">
        <f t="shared" si="191"/>
      </c>
      <c r="U221" s="123" t="s">
        <v>94</v>
      </c>
      <c r="V221" s="124" t="s">
        <v>95</v>
      </c>
      <c r="W221" s="125">
        <v>0</v>
      </c>
      <c r="X221" s="125">
        <v>5901</v>
      </c>
      <c r="Y221" s="125">
        <v>240</v>
      </c>
      <c r="Z221" s="125">
        <v>369</v>
      </c>
      <c r="AA221" s="125">
        <v>104</v>
      </c>
      <c r="AB221" s="125">
        <v>70</v>
      </c>
      <c r="AC221" s="126">
        <v>2</v>
      </c>
      <c r="AD221" s="126">
        <v>12</v>
      </c>
    </row>
    <row r="222">
      <c r="A222" s="152"/>
      <c r="B222" s="115" t="s">
        <v>98</v>
      </c>
      <c r="C222" s="116" t="s">
        <v>114</v>
      </c>
      <c r="D222" s="115">
        <f t="shared" si="90"/>
      </c>
      <c r="E222" s="115">
        <v>1900.51</v>
      </c>
      <c r="F222" s="116">
        <v>213.83</v>
      </c>
      <c r="G222" s="131">
        <v>1</v>
      </c>
      <c r="H222" s="116">
        <v>1733.6399999999994</v>
      </c>
      <c r="I222" s="118">
        <f t="shared" si="18"/>
      </c>
      <c r="J222" s="154">
        <f t="shared" si="213"/>
      </c>
      <c r="K222" s="120">
        <f t="shared" si="151"/>
      </c>
      <c r="L222" s="119">
        <f t="shared" si="233"/>
      </c>
      <c r="M222" s="119">
        <f t="shared" si="111"/>
      </c>
      <c r="N222" s="120">
        <f t="shared" si="38"/>
      </c>
      <c r="O222" s="119">
        <f t="shared" si="253"/>
      </c>
      <c r="P222" s="119">
        <f t="shared" si="171"/>
      </c>
      <c r="Q222" s="120">
        <f t="shared" si="131"/>
      </c>
      <c r="R222" s="121">
        <f t="shared" si="58"/>
      </c>
      <c r="S222" s="120">
        <f t="shared" si="273"/>
      </c>
      <c r="T222" s="122">
        <f t="shared" si="191"/>
      </c>
      <c r="U222" s="123" t="s">
        <v>94</v>
      </c>
      <c r="V222" s="124" t="s">
        <v>95</v>
      </c>
      <c r="W222" s="125">
        <v>1</v>
      </c>
      <c r="X222" s="125">
        <v>7056</v>
      </c>
      <c r="Y222" s="125">
        <v>283</v>
      </c>
      <c r="Z222" s="125">
        <v>374</v>
      </c>
      <c r="AA222" s="125">
        <v>112</v>
      </c>
      <c r="AB222" s="125">
        <v>29</v>
      </c>
      <c r="AC222" s="126">
        <v>3</v>
      </c>
      <c r="AD222" s="126">
        <v>15</v>
      </c>
    </row>
    <row r="223">
      <c r="A223" s="152"/>
      <c r="B223" s="115" t="s">
        <v>102</v>
      </c>
      <c r="C223" s="116" t="s">
        <v>114</v>
      </c>
      <c r="D223" s="115">
        <f t="shared" si="90"/>
      </c>
      <c r="E223" s="115">
        <v>495.93</v>
      </c>
      <c r="F223" s="115">
        <v>125.99</v>
      </c>
      <c r="G223" s="131">
        <v>0</v>
      </c>
      <c r="H223" s="116">
        <v>0</v>
      </c>
      <c r="I223" s="118">
        <f t="shared" si="18"/>
      </c>
      <c r="J223" s="154">
        <f t="shared" si="213"/>
      </c>
      <c r="K223" s="120">
        <f t="shared" si="151"/>
      </c>
      <c r="L223" s="119">
        <f t="shared" si="233"/>
      </c>
      <c r="M223" s="119">
        <f t="shared" si="111"/>
      </c>
      <c r="N223" s="120">
        <f t="shared" si="38"/>
      </c>
      <c r="O223" s="119">
        <f t="shared" si="253"/>
      </c>
      <c r="P223" s="119">
        <f t="shared" si="171"/>
      </c>
      <c r="Q223" s="120">
        <f t="shared" si="131"/>
      </c>
      <c r="R223" s="121">
        <f t="shared" si="58"/>
      </c>
      <c r="S223" s="120">
        <f t="shared" si="273"/>
      </c>
      <c r="T223" s="122">
        <f t="shared" si="191"/>
      </c>
      <c r="U223" s="123" t="s">
        <v>94</v>
      </c>
      <c r="V223" s="124" t="s">
        <v>95</v>
      </c>
      <c r="W223" s="126">
        <v>0</v>
      </c>
      <c r="X223" s="125">
        <v>1819</v>
      </c>
      <c r="Y223" s="125">
        <v>45</v>
      </c>
      <c r="Z223" s="125">
        <v>66</v>
      </c>
      <c r="AA223" s="125">
        <v>19</v>
      </c>
      <c r="AB223" s="125">
        <v>13</v>
      </c>
      <c r="AC223" s="126">
        <v>3</v>
      </c>
      <c r="AD223" s="126">
        <v>7</v>
      </c>
    </row>
    <row r="224">
      <c r="A224" s="152"/>
      <c r="B224" s="132" t="s">
        <v>99</v>
      </c>
      <c r="C224" s="132"/>
      <c r="D224" s="132">
        <f>SUM(D221:D223)</f>
      </c>
      <c r="E224" s="132">
        <f>SUM(E221:E223)</f>
      </c>
      <c r="F224" s="132">
        <f>SUM(F221:F223)</f>
      </c>
      <c r="G224" s="132">
        <f>SUM(G221:G223)</f>
      </c>
      <c r="H224" s="132">
        <f>SUM(H221:H223)</f>
      </c>
      <c r="I224" s="134">
        <f t="shared" si="18"/>
      </c>
      <c r="J224" s="155">
        <f t="shared" si="213"/>
      </c>
      <c r="K224" s="136">
        <f t="shared" si="151"/>
      </c>
      <c r="L224" s="135">
        <f t="shared" si="233"/>
      </c>
      <c r="M224" s="135">
        <f t="shared" si="111"/>
      </c>
      <c r="N224" s="136">
        <f t="shared" si="38"/>
      </c>
      <c r="O224" s="135">
        <f t="shared" si="253"/>
      </c>
      <c r="P224" s="135">
        <f t="shared" si="171"/>
      </c>
      <c r="Q224" s="136">
        <f t="shared" si="131"/>
      </c>
      <c r="R224" s="137">
        <f t="shared" si="58"/>
      </c>
      <c r="S224" s="136">
        <f t="shared" si="273"/>
      </c>
      <c r="T224" s="138">
        <f t="shared" si="191"/>
      </c>
      <c r="U224" s="138"/>
      <c r="V224" s="138"/>
      <c r="W224" s="132">
        <f>SUM(W221:W223)</f>
      </c>
      <c r="X224" s="132">
        <f>SUM(X221:X223)</f>
      </c>
      <c r="Y224" s="132">
        <f>SUM(Y221:Y223)</f>
      </c>
      <c r="Z224" s="132">
        <f>SUM(Z221:Z223)</f>
      </c>
      <c r="AA224" s="132">
        <f>SUM(AA221:AA223)</f>
      </c>
      <c r="AB224" s="132">
        <f>SUM(AB221:AB223)</f>
      </c>
      <c r="AC224" s="132">
        <f>SUM(AC221:AC223)</f>
      </c>
      <c r="AD224" s="132">
        <f>SUM(AD221:AD223)</f>
      </c>
    </row>
    <row r="225">
      <c r="A225" s="152"/>
      <c r="B225" s="139" t="s">
        <v>100</v>
      </c>
      <c r="C225" s="139"/>
      <c r="D225" s="140">
        <f>D220+D224</f>
      </c>
      <c r="E225" s="140">
        <f>E220+E224</f>
      </c>
      <c r="F225" s="140">
        <f>F220+F224</f>
      </c>
      <c r="G225" s="145">
        <f>G220+G224</f>
      </c>
      <c r="H225" s="140">
        <f>H220+H224</f>
      </c>
      <c r="I225" s="140">
        <f t="shared" si="18"/>
      </c>
      <c r="J225" s="156">
        <f t="shared" si="213"/>
      </c>
      <c r="K225" s="140">
        <f t="shared" si="151"/>
      </c>
      <c r="L225" s="142">
        <f t="shared" si="233"/>
      </c>
      <c r="M225" s="142">
        <f t="shared" si="111"/>
      </c>
      <c r="N225" s="140">
        <f t="shared" si="38"/>
      </c>
      <c r="O225" s="142">
        <f t="shared" si="253"/>
      </c>
      <c r="P225" s="142">
        <f t="shared" si="171"/>
      </c>
      <c r="Q225" s="140">
        <f t="shared" si="131"/>
      </c>
      <c r="R225" s="143">
        <f t="shared" si="58"/>
      </c>
      <c r="S225" s="140">
        <f t="shared" si="273"/>
      </c>
      <c r="T225" s="144">
        <f t="shared" si="191"/>
      </c>
      <c r="U225" s="144"/>
      <c r="V225" s="144"/>
      <c r="W225" s="145">
        <f>W220+W224</f>
      </c>
      <c r="X225" s="145">
        <f>X220+X224</f>
      </c>
      <c r="Y225" s="145">
        <f>Y220+Y224</f>
      </c>
      <c r="Z225" s="145">
        <f>Z220+Z224</f>
      </c>
      <c r="AA225" s="145">
        <f>AA220+AA224</f>
      </c>
      <c r="AB225" s="145">
        <f>AB220+AB224</f>
      </c>
      <c r="AC225" s="145">
        <f>AC220+AC224</f>
      </c>
      <c r="AD225" s="145">
        <f>AD220+AD224</f>
      </c>
    </row>
    <row r="226">
      <c r="A226" s="97" t="s">
        <v>59</v>
      </c>
      <c r="B226" s="97"/>
      <c r="C226" s="97"/>
      <c r="D226" s="101" t="s">
        <v>60</v>
      </c>
      <c r="E226" s="101"/>
      <c r="F226" s="101"/>
      <c r="G226" s="101"/>
      <c r="H226" s="101"/>
      <c r="I226" s="101"/>
      <c r="J226" s="151" t="s">
        <v>61</v>
      </c>
      <c r="K226" s="151"/>
      <c r="L226" s="151"/>
      <c r="M226" s="151"/>
      <c r="N226" s="151"/>
      <c r="O226" s="151"/>
      <c r="P226" s="151"/>
      <c r="Q226" s="151"/>
      <c r="R226" s="151"/>
      <c r="S226" s="151"/>
      <c r="T226" s="103"/>
      <c r="U226" s="103"/>
      <c r="V226" s="103"/>
      <c r="W226" s="104"/>
      <c r="X226" s="104"/>
      <c r="Y226" s="104"/>
      <c r="Z226" s="104"/>
      <c r="AA226" s="104"/>
      <c r="AB226" s="104"/>
      <c r="AC226" s="104"/>
      <c r="AD226" s="105" t="s">
        <v>62</v>
      </c>
    </row>
    <row r="227">
      <c r="A227" s="97" t="s">
        <v>63</v>
      </c>
      <c r="B227" s="97" t="s">
        <v>64</v>
      </c>
      <c r="C227" s="97" t="s">
        <v>65</v>
      </c>
      <c r="D227" s="101" t="s">
        <v>66</v>
      </c>
      <c r="E227" s="108" t="s">
        <v>67</v>
      </c>
      <c r="F227" s="108" t="s">
        <v>68</v>
      </c>
      <c r="G227" s="100" t="s">
        <v>69</v>
      </c>
      <c r="H227" s="101" t="s">
        <v>70</v>
      </c>
      <c r="I227" s="108" t="s">
        <v>71</v>
      </c>
      <c r="J227" s="151" t="s">
        <v>72</v>
      </c>
      <c r="K227" s="102" t="s">
        <v>73</v>
      </c>
      <c r="L227" s="110" t="s">
        <v>74</v>
      </c>
      <c r="M227" s="110" t="s">
        <v>75</v>
      </c>
      <c r="N227" s="102" t="s">
        <v>76</v>
      </c>
      <c r="O227" s="110" t="s">
        <v>77</v>
      </c>
      <c r="P227" s="110" t="s">
        <v>78</v>
      </c>
      <c r="Q227" s="102" t="s">
        <v>79</v>
      </c>
      <c r="R227" s="110" t="s">
        <v>80</v>
      </c>
      <c r="S227" s="102" t="s">
        <v>81</v>
      </c>
      <c r="T227" s="111" t="s">
        <v>82</v>
      </c>
      <c r="U227" s="111" t="s">
        <v>83</v>
      </c>
      <c r="V227" s="111" t="s">
        <v>84</v>
      </c>
      <c r="W227" s="112" t="s">
        <v>85</v>
      </c>
      <c r="X227" s="113" t="s">
        <v>86</v>
      </c>
      <c r="Y227" s="113" t="s">
        <v>87</v>
      </c>
      <c r="Z227" s="113" t="s">
        <v>88</v>
      </c>
      <c r="AA227" s="113" t="s">
        <v>89</v>
      </c>
      <c r="AB227" s="113" t="s">
        <v>90</v>
      </c>
      <c r="AC227" s="113" t="s">
        <v>91</v>
      </c>
      <c r="AD227" s="105"/>
    </row>
    <row r="228">
      <c r="A228" s="152">
        <v>46295</v>
      </c>
      <c r="B228" s="157" t="s">
        <v>103</v>
      </c>
      <c r="C228" s="116" t="s">
        <v>101</v>
      </c>
      <c r="D228" s="115">
        <f t="shared" ref="D228:D232" si="91">E228+F228</f>
      </c>
      <c r="E228" s="115">
        <v>911.95</v>
      </c>
      <c r="F228" s="115">
        <v>307.34</v>
      </c>
      <c r="G228" s="131">
        <v>0</v>
      </c>
      <c r="H228" s="116">
        <v>0</v>
      </c>
      <c r="I228" s="118">
        <f t="shared" ref="I228:I238" si="19">H228/D228</f>
      </c>
      <c r="J228" s="154">
        <f t="shared" ref="J228:J238" si="214">Y228/X228</f>
      </c>
      <c r="K228" s="120">
        <f t="shared" ref="K228:K238" si="152">D228/Z228</f>
      </c>
      <c r="L228" s="119">
        <f t="shared" ref="L228:L238" si="234">AA228/Z228</f>
      </c>
      <c r="M228" s="119">
        <f t="shared" ref="M228:M238" si="112">AB228/Z228</f>
      </c>
      <c r="N228" s="120">
        <f t="shared" ref="N228:N238" si="39">D228/AB228</f>
      </c>
      <c r="O228" s="119">
        <f t="shared" ref="O228:O238" si="254">AC228/AB228</f>
      </c>
      <c r="P228" s="119">
        <f t="shared" ref="P228:P238" si="172">G228/AC228</f>
      </c>
      <c r="Q228" s="120">
        <f t="shared" ref="Q228:Q238" si="132">D228/G228</f>
      </c>
      <c r="R228" s="121">
        <f t="shared" ref="R228:R238" si="59">H228/G228</f>
      </c>
      <c r="S228" s="120">
        <f t="shared" ref="S228:S238" si="274">D228/W228</f>
      </c>
      <c r="T228" s="122">
        <f t="shared" ref="T228:T238" si="192">AD228*1000/D228</f>
      </c>
      <c r="U228" s="123" t="s">
        <v>94</v>
      </c>
      <c r="V228" s="124" t="s">
        <v>95</v>
      </c>
      <c r="W228" s="125">
        <v>0</v>
      </c>
      <c r="X228" s="125">
        <v>512</v>
      </c>
      <c r="Y228" s="125">
        <v>47</v>
      </c>
      <c r="Z228" s="125">
        <v>62</v>
      </c>
      <c r="AA228" s="125">
        <v>24</v>
      </c>
      <c r="AB228" s="125">
        <v>8</v>
      </c>
      <c r="AC228" s="126">
        <v>0</v>
      </c>
      <c r="AD228" s="126">
        <v>11</v>
      </c>
    </row>
    <row r="229">
      <c r="A229" s="152"/>
      <c r="B229" s="158" t="s">
        <v>104</v>
      </c>
      <c r="C229" s="116" t="s">
        <v>101</v>
      </c>
      <c r="D229" s="115">
        <f t="shared" si="91"/>
      </c>
      <c r="E229" s="115">
        <v>960.61</v>
      </c>
      <c r="F229" s="115">
        <v>563.77</v>
      </c>
      <c r="G229" s="131">
        <v>1</v>
      </c>
      <c r="H229" s="116">
        <v>930.48</v>
      </c>
      <c r="I229" s="118">
        <f t="shared" si="19"/>
      </c>
      <c r="J229" s="154">
        <f t="shared" si="214"/>
      </c>
      <c r="K229" s="120">
        <f t="shared" si="152"/>
      </c>
      <c r="L229" s="119">
        <f t="shared" si="234"/>
      </c>
      <c r="M229" s="119">
        <f t="shared" si="112"/>
      </c>
      <c r="N229" s="120">
        <f t="shared" si="39"/>
      </c>
      <c r="O229" s="119">
        <f t="shared" si="254"/>
      </c>
      <c r="P229" s="119">
        <f t="shared" si="172"/>
      </c>
      <c r="Q229" s="120">
        <f t="shared" si="132"/>
      </c>
      <c r="R229" s="121">
        <f t="shared" si="59"/>
      </c>
      <c r="S229" s="120">
        <f t="shared" si="274"/>
      </c>
      <c r="T229" s="122">
        <f t="shared" si="192"/>
      </c>
      <c r="U229" s="123" t="s">
        <v>94</v>
      </c>
      <c r="V229" s="124" t="s">
        <v>95</v>
      </c>
      <c r="W229" s="125">
        <v>1</v>
      </c>
      <c r="X229" s="125">
        <v>3421</v>
      </c>
      <c r="Y229" s="125">
        <v>253</v>
      </c>
      <c r="Z229" s="125">
        <v>334</v>
      </c>
      <c r="AA229" s="125">
        <v>105</v>
      </c>
      <c r="AB229" s="125">
        <v>21</v>
      </c>
      <c r="AC229" s="126">
        <v>1</v>
      </c>
      <c r="AD229" s="126">
        <v>8</v>
      </c>
    </row>
    <row r="230">
      <c r="A230" s="152"/>
      <c r="B230" s="158" t="s">
        <v>105</v>
      </c>
      <c r="C230" s="116" t="s">
        <v>101</v>
      </c>
      <c r="D230" s="115">
        <f t="shared" si="91"/>
      </c>
      <c r="E230" s="116">
        <v>1261.19</v>
      </c>
      <c r="F230" s="116">
        <v>264.24</v>
      </c>
      <c r="G230" s="131">
        <v>2</v>
      </c>
      <c r="H230" s="116">
        <v>1923</v>
      </c>
      <c r="I230" s="118">
        <f t="shared" si="19"/>
      </c>
      <c r="J230" s="154">
        <f t="shared" si="214"/>
      </c>
      <c r="K230" s="120">
        <f t="shared" si="152"/>
      </c>
      <c r="L230" s="119">
        <f t="shared" si="234"/>
      </c>
      <c r="M230" s="119">
        <f t="shared" si="112"/>
      </c>
      <c r="N230" s="120">
        <f t="shared" si="39"/>
      </c>
      <c r="O230" s="119">
        <f t="shared" si="254"/>
      </c>
      <c r="P230" s="119">
        <f t="shared" si="172"/>
      </c>
      <c r="Q230" s="120">
        <f t="shared" si="132"/>
      </c>
      <c r="R230" s="121">
        <f t="shared" si="59"/>
      </c>
      <c r="S230" s="120">
        <f t="shared" si="274"/>
      </c>
      <c r="T230" s="122">
        <f t="shared" si="192"/>
      </c>
      <c r="U230" s="123" t="s">
        <v>94</v>
      </c>
      <c r="V230" s="124" t="s">
        <v>95</v>
      </c>
      <c r="W230" s="125">
        <v>2</v>
      </c>
      <c r="X230" s="125">
        <v>4333</v>
      </c>
      <c r="Y230" s="125">
        <v>268</v>
      </c>
      <c r="Z230" s="125">
        <v>390</v>
      </c>
      <c r="AA230" s="125">
        <v>115</v>
      </c>
      <c r="AB230" s="125">
        <v>23</v>
      </c>
      <c r="AC230" s="126">
        <v>2</v>
      </c>
      <c r="AD230" s="126">
        <v>8</v>
      </c>
    </row>
    <row r="231">
      <c r="A231" s="152"/>
      <c r="B231" s="116" t="s">
        <v>92</v>
      </c>
      <c r="C231" s="116" t="s">
        <v>101</v>
      </c>
      <c r="D231" s="115">
        <f t="shared" si="91"/>
      </c>
      <c r="E231" s="115">
        <v>2462.56</v>
      </c>
      <c r="F231" s="115">
        <v>262.39</v>
      </c>
      <c r="G231" s="131">
        <v>1</v>
      </c>
      <c r="H231" s="116">
        <v>1771.2000000000003</v>
      </c>
      <c r="I231" s="118">
        <f t="shared" si="19"/>
      </c>
      <c r="J231" s="154">
        <f t="shared" si="214"/>
      </c>
      <c r="K231" s="120">
        <f t="shared" si="152"/>
      </c>
      <c r="L231" s="119">
        <f t="shared" si="234"/>
      </c>
      <c r="M231" s="119">
        <f t="shared" si="112"/>
      </c>
      <c r="N231" s="120">
        <f t="shared" si="39"/>
      </c>
      <c r="O231" s="119">
        <f t="shared" si="254"/>
      </c>
      <c r="P231" s="119">
        <f t="shared" si="172"/>
      </c>
      <c r="Q231" s="120">
        <f t="shared" si="132"/>
      </c>
      <c r="R231" s="121">
        <f t="shared" si="59"/>
      </c>
      <c r="S231" s="120">
        <f t="shared" si="274"/>
      </c>
      <c r="T231" s="122">
        <f t="shared" si="192"/>
      </c>
      <c r="U231" s="123" t="s">
        <v>94</v>
      </c>
      <c r="V231" s="124" t="s">
        <v>95</v>
      </c>
      <c r="W231" s="125">
        <v>1</v>
      </c>
      <c r="X231" s="125">
        <v>7815</v>
      </c>
      <c r="Y231" s="125">
        <v>487</v>
      </c>
      <c r="Z231" s="125">
        <v>699</v>
      </c>
      <c r="AA231" s="125">
        <v>199</v>
      </c>
      <c r="AB231" s="125">
        <v>35</v>
      </c>
      <c r="AC231" s="126">
        <v>2</v>
      </c>
      <c r="AD231" s="126">
        <v>22</v>
      </c>
    </row>
    <row r="232">
      <c r="A232" s="152"/>
      <c r="B232" s="115" t="s">
        <v>96</v>
      </c>
      <c r="C232" s="116" t="s">
        <v>101</v>
      </c>
      <c r="D232" s="115">
        <f t="shared" si="91"/>
      </c>
      <c r="E232" s="116">
        <v>2606.01</v>
      </c>
      <c r="F232" s="116">
        <v>262.53</v>
      </c>
      <c r="G232" s="131">
        <v>1</v>
      </c>
      <c r="H232" s="116">
        <v>1845.4799999999996</v>
      </c>
      <c r="I232" s="118">
        <f t="shared" si="19"/>
      </c>
      <c r="J232" s="154">
        <f t="shared" si="214"/>
      </c>
      <c r="K232" s="120">
        <f t="shared" si="152"/>
      </c>
      <c r="L232" s="119">
        <f t="shared" si="234"/>
      </c>
      <c r="M232" s="119">
        <f t="shared" si="112"/>
      </c>
      <c r="N232" s="120">
        <f t="shared" si="39"/>
      </c>
      <c r="O232" s="119">
        <f t="shared" si="254"/>
      </c>
      <c r="P232" s="119">
        <f t="shared" si="172"/>
      </c>
      <c r="Q232" s="120">
        <f t="shared" si="132"/>
      </c>
      <c r="R232" s="121">
        <f t="shared" si="59"/>
      </c>
      <c r="S232" s="120">
        <f t="shared" si="274"/>
      </c>
      <c r="T232" s="122">
        <f t="shared" si="192"/>
      </c>
      <c r="U232" s="123" t="s">
        <v>94</v>
      </c>
      <c r="V232" s="124" t="s">
        <v>95</v>
      </c>
      <c r="W232" s="125">
        <v>1</v>
      </c>
      <c r="X232" s="125">
        <v>8636</v>
      </c>
      <c r="Y232" s="125">
        <v>520</v>
      </c>
      <c r="Z232" s="125">
        <v>718</v>
      </c>
      <c r="AA232" s="125">
        <v>179</v>
      </c>
      <c r="AB232" s="125">
        <v>32</v>
      </c>
      <c r="AC232" s="126">
        <v>4</v>
      </c>
      <c r="AD232" s="126">
        <v>24</v>
      </c>
    </row>
    <row r="233">
      <c r="A233" s="152"/>
      <c r="B233" s="132" t="s">
        <v>99</v>
      </c>
      <c r="C233" s="132"/>
      <c r="D233" s="132">
        <f>SUM(D228:D232)</f>
      </c>
      <c r="E233" s="132">
        <f>SUM(E228:E232)</f>
      </c>
      <c r="F233" s="132">
        <f>SUM(F228:F232)</f>
      </c>
      <c r="G233" s="132">
        <f>SUM(G228:G232)</f>
      </c>
      <c r="H233" s="132">
        <f>SUM(H228:H232)</f>
      </c>
      <c r="I233" s="134">
        <f t="shared" si="19"/>
      </c>
      <c r="J233" s="155">
        <f t="shared" si="214"/>
      </c>
      <c r="K233" s="136">
        <f t="shared" si="152"/>
      </c>
      <c r="L233" s="135">
        <f t="shared" si="234"/>
      </c>
      <c r="M233" s="135">
        <f t="shared" si="112"/>
      </c>
      <c r="N233" s="136">
        <f t="shared" si="39"/>
      </c>
      <c r="O233" s="135">
        <f t="shared" si="254"/>
      </c>
      <c r="P233" s="135">
        <f t="shared" si="172"/>
      </c>
      <c r="Q233" s="136">
        <f t="shared" si="132"/>
      </c>
      <c r="R233" s="137">
        <f t="shared" si="59"/>
      </c>
      <c r="S233" s="136">
        <f t="shared" si="274"/>
      </c>
      <c r="T233" s="138">
        <f t="shared" si="192"/>
      </c>
      <c r="U233" s="138"/>
      <c r="V233" s="138"/>
      <c r="W233" s="132">
        <f>SUM(W228:W232)</f>
      </c>
      <c r="X233" s="132">
        <f>SUM(X228:X232)</f>
      </c>
      <c r="Y233" s="132">
        <f>SUM(Y228:Y232)</f>
      </c>
      <c r="Z233" s="132">
        <f>SUM(Z228:Z232)</f>
      </c>
      <c r="AA233" s="132">
        <f>SUM(AA228:AA232)</f>
      </c>
      <c r="AB233" s="132">
        <f>SUM(AB228:AB232)</f>
      </c>
      <c r="AC233" s="132">
        <f>SUM(AC228:AC232)</f>
      </c>
      <c r="AD233" s="132">
        <f>SUM(AD228:AD232)</f>
      </c>
    </row>
    <row r="234">
      <c r="A234" s="152"/>
      <c r="B234" s="115" t="s">
        <v>97</v>
      </c>
      <c r="C234" s="116" t="s">
        <v>116</v>
      </c>
      <c r="D234" s="115">
        <f t="shared" ref="D234:D236" si="92">E234+F234</f>
      </c>
      <c r="E234" s="115">
        <v>2346.39</v>
      </c>
      <c r="F234" s="116">
        <v>156.91</v>
      </c>
      <c r="G234" s="131">
        <v>0</v>
      </c>
      <c r="H234" s="116">
        <v>0</v>
      </c>
      <c r="I234" s="118">
        <f t="shared" si="19"/>
      </c>
      <c r="J234" s="154">
        <f t="shared" si="214"/>
      </c>
      <c r="K234" s="120">
        <f t="shared" si="152"/>
      </c>
      <c r="L234" s="119">
        <f t="shared" si="234"/>
      </c>
      <c r="M234" s="119">
        <f t="shared" si="112"/>
      </c>
      <c r="N234" s="120">
        <f t="shared" si="39"/>
      </c>
      <c r="O234" s="119">
        <f t="shared" si="254"/>
      </c>
      <c r="P234" s="119">
        <f t="shared" si="172"/>
      </c>
      <c r="Q234" s="120">
        <f t="shared" si="132"/>
      </c>
      <c r="R234" s="121">
        <f t="shared" si="59"/>
      </c>
      <c r="S234" s="120">
        <f t="shared" si="274"/>
      </c>
      <c r="T234" s="122">
        <f t="shared" si="192"/>
      </c>
      <c r="U234" s="123" t="s">
        <v>94</v>
      </c>
      <c r="V234" s="124" t="s">
        <v>95</v>
      </c>
      <c r="W234" s="125">
        <v>0</v>
      </c>
      <c r="X234" s="125">
        <v>7636</v>
      </c>
      <c r="Y234" s="125">
        <v>401</v>
      </c>
      <c r="Z234" s="125">
        <v>574</v>
      </c>
      <c r="AA234" s="125">
        <v>154</v>
      </c>
      <c r="AB234" s="125">
        <v>35</v>
      </c>
      <c r="AC234" s="126">
        <v>0</v>
      </c>
      <c r="AD234" s="126">
        <v>21</v>
      </c>
    </row>
    <row r="235">
      <c r="A235" s="152"/>
      <c r="B235" s="115" t="s">
        <v>98</v>
      </c>
      <c r="C235" s="116" t="s">
        <v>116</v>
      </c>
      <c r="D235" s="115">
        <f t="shared" si="92"/>
      </c>
      <c r="E235" s="115">
        <v>1788</v>
      </c>
      <c r="F235" s="116">
        <v>189.29</v>
      </c>
      <c r="G235" s="131">
        <v>1</v>
      </c>
      <c r="H235" s="116">
        <v>1733.6399999999994</v>
      </c>
      <c r="I235" s="118">
        <f t="shared" si="19"/>
      </c>
      <c r="J235" s="154">
        <f t="shared" si="214"/>
      </c>
      <c r="K235" s="120">
        <f t="shared" si="152"/>
      </c>
      <c r="L235" s="119">
        <f t="shared" si="234"/>
      </c>
      <c r="M235" s="119">
        <f t="shared" si="112"/>
      </c>
      <c r="N235" s="120">
        <f t="shared" si="39"/>
      </c>
      <c r="O235" s="119">
        <f t="shared" si="254"/>
      </c>
      <c r="P235" s="119">
        <f t="shared" si="172"/>
      </c>
      <c r="Q235" s="120">
        <f t="shared" si="132"/>
      </c>
      <c r="R235" s="121">
        <f t="shared" si="59"/>
      </c>
      <c r="S235" s="120">
        <f t="shared" si="274"/>
      </c>
      <c r="T235" s="122">
        <f t="shared" si="192"/>
      </c>
      <c r="U235" s="123" t="s">
        <v>94</v>
      </c>
      <c r="V235" s="124" t="s">
        <v>95</v>
      </c>
      <c r="W235" s="125">
        <v>1</v>
      </c>
      <c r="X235" s="125">
        <v>5306</v>
      </c>
      <c r="Y235" s="125">
        <v>317</v>
      </c>
      <c r="Z235" s="125">
        <v>501</v>
      </c>
      <c r="AA235" s="125">
        <v>113</v>
      </c>
      <c r="AB235" s="125">
        <v>20</v>
      </c>
      <c r="AC235" s="126">
        <v>3</v>
      </c>
      <c r="AD235" s="126">
        <v>15</v>
      </c>
    </row>
    <row r="236">
      <c r="A236" s="152"/>
      <c r="B236" s="115" t="s">
        <v>102</v>
      </c>
      <c r="C236" s="116" t="s">
        <v>116</v>
      </c>
      <c r="D236" s="115">
        <f t="shared" si="92"/>
      </c>
      <c r="E236" s="115">
        <v>1603.33</v>
      </c>
      <c r="F236" s="115">
        <v>133.66</v>
      </c>
      <c r="G236" s="131">
        <v>2</v>
      </c>
      <c r="H236" s="116">
        <v>3922.6800000000003</v>
      </c>
      <c r="I236" s="118">
        <f t="shared" si="19"/>
      </c>
      <c r="J236" s="154">
        <f t="shared" si="214"/>
      </c>
      <c r="K236" s="120">
        <f t="shared" si="152"/>
      </c>
      <c r="L236" s="119">
        <f t="shared" si="234"/>
      </c>
      <c r="M236" s="119">
        <f t="shared" si="112"/>
      </c>
      <c r="N236" s="120">
        <f t="shared" si="39"/>
      </c>
      <c r="O236" s="119">
        <f t="shared" si="254"/>
      </c>
      <c r="P236" s="119">
        <f t="shared" si="172"/>
      </c>
      <c r="Q236" s="120">
        <f t="shared" si="132"/>
      </c>
      <c r="R236" s="121">
        <f t="shared" si="59"/>
      </c>
      <c r="S236" s="120">
        <f t="shared" si="274"/>
      </c>
      <c r="T236" s="122">
        <f t="shared" si="192"/>
      </c>
      <c r="U236" s="123" t="s">
        <v>94</v>
      </c>
      <c r="V236" s="124" t="s">
        <v>95</v>
      </c>
      <c r="W236" s="126">
        <v>1</v>
      </c>
      <c r="X236" s="125">
        <v>5249</v>
      </c>
      <c r="Y236" s="125">
        <v>249</v>
      </c>
      <c r="Z236" s="125">
        <v>343</v>
      </c>
      <c r="AA236" s="125">
        <v>98</v>
      </c>
      <c r="AB236" s="125">
        <v>17</v>
      </c>
      <c r="AC236" s="126">
        <v>4</v>
      </c>
      <c r="AD236" s="126">
        <v>15</v>
      </c>
    </row>
    <row r="237">
      <c r="A237" s="152"/>
      <c r="B237" s="132" t="s">
        <v>99</v>
      </c>
      <c r="C237" s="132"/>
      <c r="D237" s="132">
        <f>SUM(D234:D236)</f>
      </c>
      <c r="E237" s="132">
        <f>SUM(E234:E236)</f>
      </c>
      <c r="F237" s="132">
        <f>SUM(F234:F236)</f>
      </c>
      <c r="G237" s="132">
        <f>SUM(G234:G236)</f>
      </c>
      <c r="H237" s="132">
        <f>SUM(H234:H236)</f>
      </c>
      <c r="I237" s="134">
        <f t="shared" si="19"/>
      </c>
      <c r="J237" s="155">
        <f t="shared" si="214"/>
      </c>
      <c r="K237" s="136">
        <f t="shared" si="152"/>
      </c>
      <c r="L237" s="135">
        <f t="shared" si="234"/>
      </c>
      <c r="M237" s="135">
        <f t="shared" si="112"/>
      </c>
      <c r="N237" s="136">
        <f t="shared" si="39"/>
      </c>
      <c r="O237" s="135">
        <f t="shared" si="254"/>
      </c>
      <c r="P237" s="135">
        <f t="shared" si="172"/>
      </c>
      <c r="Q237" s="136">
        <f t="shared" si="132"/>
      </c>
      <c r="R237" s="137">
        <f t="shared" si="59"/>
      </c>
      <c r="S237" s="136">
        <f t="shared" si="274"/>
      </c>
      <c r="T237" s="138">
        <f t="shared" si="192"/>
      </c>
      <c r="U237" s="138"/>
      <c r="V237" s="138"/>
      <c r="W237" s="132">
        <f>SUM(W234:W236)</f>
      </c>
      <c r="X237" s="132">
        <f>SUM(X234:X236)</f>
      </c>
      <c r="Y237" s="132">
        <f>SUM(Y234:Y236)</f>
      </c>
      <c r="Z237" s="132">
        <f>SUM(Z234:Z236)</f>
      </c>
      <c r="AA237" s="132">
        <f>SUM(AA234:AA236)</f>
      </c>
      <c r="AB237" s="132">
        <f>SUM(AB234:AB236)</f>
      </c>
      <c r="AC237" s="132">
        <f>SUM(AC234:AC236)</f>
      </c>
      <c r="AD237" s="132">
        <f>SUM(AD234:AD236)</f>
      </c>
    </row>
    <row r="238">
      <c r="A238" s="152"/>
      <c r="B238" s="139" t="s">
        <v>100</v>
      </c>
      <c r="C238" s="139"/>
      <c r="D238" s="140">
        <f>D233+D237</f>
      </c>
      <c r="E238" s="140">
        <f>E233+E237</f>
      </c>
      <c r="F238" s="140">
        <f>F233+F237</f>
      </c>
      <c r="G238" s="145">
        <f>G233+G237</f>
      </c>
      <c r="H238" s="140">
        <f>H233+H237</f>
      </c>
      <c r="I238" s="140">
        <f t="shared" si="19"/>
      </c>
      <c r="J238" s="156">
        <f t="shared" si="214"/>
      </c>
      <c r="K238" s="140">
        <f t="shared" si="152"/>
      </c>
      <c r="L238" s="142">
        <f t="shared" si="234"/>
      </c>
      <c r="M238" s="142">
        <f t="shared" si="112"/>
      </c>
      <c r="N238" s="140">
        <f t="shared" si="39"/>
      </c>
      <c r="O238" s="142">
        <f t="shared" si="254"/>
      </c>
      <c r="P238" s="142">
        <f t="shared" si="172"/>
      </c>
      <c r="Q238" s="140">
        <f t="shared" si="132"/>
      </c>
      <c r="R238" s="143">
        <f t="shared" si="59"/>
      </c>
      <c r="S238" s="140">
        <f t="shared" si="274"/>
      </c>
      <c r="T238" s="144">
        <f t="shared" si="192"/>
      </c>
      <c r="U238" s="144"/>
      <c r="V238" s="144"/>
      <c r="W238" s="145">
        <f>W233+W237</f>
      </c>
      <c r="X238" s="145">
        <f>X233+X237</f>
      </c>
      <c r="Y238" s="145">
        <f>Y233+Y237</f>
      </c>
      <c r="Z238" s="145">
        <f>Z233+Z237</f>
      </c>
      <c r="AA238" s="145">
        <f>AA233+AA237</f>
      </c>
      <c r="AB238" s="145">
        <f>AB233+AB237</f>
      </c>
      <c r="AC238" s="145">
        <f>AC233+AC237</f>
      </c>
      <c r="AD238" s="145">
        <f>AD233+AD237</f>
      </c>
    </row>
    <row r="239">
      <c r="D239" s="159" t="s">
        <v>117</v>
      </c>
      <c r="E239" s="160">
        <f>E240+E241+E242+E243</f>
      </c>
      <c r="G239" s="161">
        <f>G240-G238</f>
      </c>
      <c r="H239" s="161">
        <f>H240-H238</f>
      </c>
      <c r="W239">
        <f>W240-W238</f>
      </c>
      <c r="X239">
        <f>X240-X238</f>
      </c>
      <c r="Y239">
        <f>Y240-Y238</f>
      </c>
      <c r="Z239">
        <f>Z240-Z238</f>
      </c>
      <c r="AA239">
        <f>AA240-AA238</f>
      </c>
      <c r="AB239">
        <f>AB240-AB238</f>
      </c>
      <c r="AD239">
        <f>AD240-AD238</f>
      </c>
    </row>
    <row r="240">
      <c r="D240" s="162"/>
      <c r="E240" s="163"/>
      <c r="G240" s="164">
        <v>8</v>
      </c>
      <c r="H240" s="165">
        <v>12126.48</v>
      </c>
      <c r="W240">
        <v>3</v>
      </c>
      <c r="X240">
        <v>24719</v>
      </c>
      <c r="Y240">
        <v>1981</v>
      </c>
      <c r="Z240">
        <v>3252</v>
      </c>
      <c r="AA240">
        <v>972</v>
      </c>
      <c r="AB240">
        <v>208</v>
      </c>
      <c r="AD240" s="166">
        <v>124</v>
      </c>
    </row>
    <row r="241">
      <c r="D241" s="167"/>
      <c r="E241" s="163"/>
    </row>
    <row r="242">
      <c r="D242" s="167"/>
      <c r="E242" s="163">
        <f>E240-E241</f>
      </c>
    </row>
    <row r="243">
      <c r="D243" s="167"/>
      <c r="E243" s="163"/>
    </row>
    <row r="244">
      <c r="G244" s="168"/>
    </row>
    <row r="245">
      <c r="G245" s="168"/>
    </row>
    <row r="246">
      <c r="G246" s="168"/>
    </row>
    <row r="247">
      <c r="G247" s="168"/>
    </row>
    <row r="248">
      <c r="G248" s="168"/>
    </row>
    <row r="249">
      <c r="G249" s="168"/>
    </row>
    <row r="250">
      <c r="G250" s="168"/>
    </row>
    <row r="251">
      <c r="G251" s="168"/>
    </row>
    <row r="252">
      <c r="G252" s="168"/>
    </row>
    <row r="253">
      <c r="G253" s="168"/>
    </row>
    <row r="254">
      <c r="G254" s="168"/>
    </row>
    <row r="255">
      <c r="G255" s="168"/>
    </row>
    <row r="256">
      <c r="G256" s="168"/>
    </row>
    <row r="257">
      <c r="G257" s="168"/>
    </row>
    <row r="258">
      <c r="G258" s="168"/>
    </row>
    <row r="259">
      <c r="G259" s="168"/>
    </row>
    <row r="260">
      <c r="G260" s="168"/>
    </row>
    <row r="261">
      <c r="G261" s="168"/>
    </row>
    <row r="262">
      <c r="G262" s="168"/>
    </row>
    <row r="263">
      <c r="G263" s="168"/>
    </row>
    <row r="264">
      <c r="G264" s="168"/>
    </row>
    <row r="265">
      <c r="G265" s="168"/>
    </row>
    <row r="266">
      <c r="G266" s="168"/>
    </row>
    <row r="267">
      <c r="G267" s="168"/>
    </row>
    <row r="268">
      <c r="G268" s="168"/>
    </row>
    <row r="269">
      <c r="G269" s="168"/>
    </row>
    <row r="270">
      <c r="G270" s="168"/>
    </row>
    <row r="271">
      <c r="G271" s="168"/>
    </row>
    <row r="272">
      <c r="G272" s="168"/>
    </row>
    <row r="273">
      <c r="G273" s="168"/>
    </row>
    <row r="274">
      <c r="G274" s="168"/>
    </row>
    <row r="275">
      <c r="G275" s="168"/>
    </row>
    <row r="276">
      <c r="G276" s="168"/>
    </row>
    <row r="277">
      <c r="G277" s="168"/>
    </row>
    <row r="278">
      <c r="G278" s="168"/>
    </row>
    <row r="279">
      <c r="G279" s="168"/>
    </row>
    <row r="280">
      <c r="G280" s="168"/>
    </row>
    <row r="281">
      <c r="G281" s="168"/>
    </row>
    <row r="282">
      <c r="G282" s="168"/>
    </row>
    <row r="283">
      <c r="G283" s="168"/>
    </row>
    <row r="284">
      <c r="G284" s="168"/>
    </row>
    <row r="285">
      <c r="G285" s="168"/>
    </row>
    <row r="286">
      <c r="G286" s="168"/>
    </row>
    <row r="287">
      <c r="G287" s="168"/>
    </row>
    <row r="288">
      <c r="G288" s="168"/>
    </row>
    <row r="289">
      <c r="G289" s="168"/>
    </row>
    <row r="290">
      <c r="G290" s="168"/>
    </row>
    <row r="291">
      <c r="G291" s="168"/>
    </row>
    <row r="292">
      <c r="G292" s="168"/>
    </row>
    <row r="293">
      <c r="G293" s="168"/>
    </row>
    <row r="294">
      <c r="G294" s="168"/>
    </row>
    <row r="295">
      <c r="G295" s="168"/>
    </row>
    <row r="296">
      <c r="G296" s="168"/>
    </row>
    <row r="297">
      <c r="G297" s="168"/>
    </row>
    <row r="298">
      <c r="G298" s="168"/>
    </row>
    <row r="299">
      <c r="G299" s="168"/>
    </row>
    <row r="300">
      <c r="G300" s="168"/>
    </row>
    <row r="301">
      <c r="G301" s="168"/>
    </row>
    <row r="302">
      <c r="G302" s="168"/>
    </row>
    <row r="303">
      <c r="G303" s="168"/>
    </row>
    <row r="304">
      <c r="G304" s="168"/>
    </row>
    <row r="305">
      <c r="G305" s="168"/>
    </row>
    <row r="306">
      <c r="G306" s="168"/>
    </row>
    <row r="307">
      <c r="G307" s="168"/>
    </row>
    <row r="308">
      <c r="G308" s="168"/>
    </row>
    <row r="309">
      <c r="G309" s="168"/>
    </row>
    <row r="310">
      <c r="G310" s="168"/>
    </row>
    <row r="311">
      <c r="G311" s="168"/>
    </row>
    <row r="312">
      <c r="G312" s="168"/>
    </row>
    <row r="313">
      <c r="G313" s="168"/>
    </row>
    <row r="314">
      <c r="G314" s="168"/>
    </row>
    <row r="315">
      <c r="G315" s="168"/>
    </row>
    <row r="316">
      <c r="G316" s="168"/>
    </row>
    <row r="317">
      <c r="G317" s="168"/>
    </row>
    <row r="318">
      <c r="G318" s="168"/>
    </row>
    <row r="319">
      <c r="G319" s="168"/>
    </row>
    <row r="320">
      <c r="G320" s="168"/>
    </row>
    <row r="321">
      <c r="G321" s="168"/>
    </row>
    <row r="322">
      <c r="G322" s="168"/>
    </row>
    <row r="323">
      <c r="G323" s="168"/>
    </row>
    <row r="324">
      <c r="G324" s="168"/>
    </row>
    <row r="325">
      <c r="G325" s="168"/>
    </row>
    <row r="326">
      <c r="G326" s="168"/>
    </row>
    <row r="327">
      <c r="G327" s="168"/>
    </row>
    <row r="328">
      <c r="G328" s="168"/>
    </row>
  </sheetData>
  <mergeCells>
    <mergeCell ref="A215:A225"/>
    <mergeCell ref="B220:C220"/>
    <mergeCell ref="B224:C224"/>
    <mergeCell ref="B225:C225"/>
    <mergeCell ref="A213:C213"/>
    <mergeCell ref="D213:I213"/>
    <mergeCell ref="J213:S213"/>
    <mergeCell ref="AD213:AD214"/>
    <mergeCell ref="B212:C212"/>
    <mergeCell ref="B211:C211"/>
    <mergeCell ref="A202:A212"/>
    <mergeCell ref="A200:C200"/>
    <mergeCell ref="D200:I200"/>
    <mergeCell ref="J200:S200"/>
    <mergeCell ref="AD200:AD201"/>
    <mergeCell ref="B186:C186"/>
    <mergeCell ref="B185:C185"/>
    <mergeCell ref="B181:C181"/>
    <mergeCell ref="A176:A186"/>
    <mergeCell ref="AD174:AD175"/>
    <mergeCell ref="J174:S174"/>
    <mergeCell ref="D174:I174"/>
    <mergeCell ref="A174:C174"/>
    <mergeCell ref="B173:C173"/>
    <mergeCell ref="B172:C172"/>
    <mergeCell ref="B168:C168"/>
    <mergeCell ref="A163:A173"/>
    <mergeCell ref="AD161:AD162"/>
    <mergeCell ref="J161:S161"/>
    <mergeCell ref="D161:I161"/>
    <mergeCell ref="A161:C161"/>
    <mergeCell ref="AD148:AD149"/>
    <mergeCell ref="J148:S148"/>
    <mergeCell ref="D148:I148"/>
    <mergeCell ref="A148:C148"/>
    <mergeCell ref="A150:A160"/>
    <mergeCell ref="B155:C155"/>
    <mergeCell ref="B159:C159"/>
    <mergeCell ref="B160:C160"/>
    <mergeCell ref="B147:C147"/>
    <mergeCell ref="B146:C146"/>
    <mergeCell ref="B142:C142"/>
    <mergeCell ref="A137:A147"/>
    <mergeCell ref="AD135:AD136"/>
    <mergeCell ref="J135:S135"/>
    <mergeCell ref="D135:I135"/>
    <mergeCell ref="A135:C135"/>
    <mergeCell ref="AD122:AD123"/>
    <mergeCell ref="J122:S122"/>
    <mergeCell ref="D122:I122"/>
    <mergeCell ref="A122:C122"/>
    <mergeCell ref="A124:A134"/>
    <mergeCell ref="B129:C129"/>
    <mergeCell ref="B133:C133"/>
    <mergeCell ref="B134:C134"/>
    <mergeCell ref="A93:A95"/>
    <mergeCell ref="B95:C95"/>
    <mergeCell ref="B94:C94"/>
    <mergeCell ref="AD91:AD92"/>
    <mergeCell ref="J91:S91"/>
    <mergeCell ref="D91:I91"/>
    <mergeCell ref="A91:C91"/>
    <mergeCell ref="B90:C90"/>
    <mergeCell ref="B89:C89"/>
    <mergeCell ref="B85:C85"/>
    <mergeCell ref="A80:A90"/>
    <mergeCell ref="AD78:AD79"/>
    <mergeCell ref="J78:S78"/>
    <mergeCell ref="D78:I78"/>
    <mergeCell ref="A78:C78"/>
    <mergeCell ref="B77:C77"/>
    <mergeCell ref="B76:C76"/>
    <mergeCell ref="B72:C72"/>
    <mergeCell ref="A67:A77"/>
    <mergeCell ref="AD65:AD66"/>
    <mergeCell ref="J65:S65"/>
    <mergeCell ref="D65:I65"/>
    <mergeCell ref="A65:C65"/>
    <mergeCell ref="B64:C64"/>
    <mergeCell ref="B63:C63"/>
    <mergeCell ref="B59:C59"/>
    <mergeCell ref="A54:A64"/>
    <mergeCell ref="AD52:AD53"/>
    <mergeCell ref="J52:S52"/>
    <mergeCell ref="D52:I52"/>
    <mergeCell ref="A52:C52"/>
    <mergeCell ref="B51:C51"/>
    <mergeCell ref="B50:C50"/>
    <mergeCell ref="B46:C46"/>
    <mergeCell ref="A41:A51"/>
    <mergeCell ref="AD39:AD40"/>
    <mergeCell ref="J39:S39"/>
    <mergeCell ref="D39:I39"/>
    <mergeCell ref="A39:C39"/>
    <mergeCell ref="B37:C37"/>
    <mergeCell ref="A28:A38"/>
    <mergeCell ref="B38:C38"/>
    <mergeCell ref="B33:C33"/>
    <mergeCell ref="AD26:AD27"/>
    <mergeCell ref="J26:S26"/>
    <mergeCell ref="D26:I26"/>
    <mergeCell ref="A26:C26"/>
    <mergeCell ref="A19:A25"/>
    <mergeCell ref="B24:C24"/>
    <mergeCell ref="B25:C25"/>
    <mergeCell ref="AD17:AD18"/>
    <mergeCell ref="J17:S17"/>
    <mergeCell ref="D17:I17"/>
    <mergeCell ref="A17:C17"/>
    <mergeCell ref="B16:C16"/>
    <mergeCell ref="B15:C15"/>
    <mergeCell ref="A11:A16"/>
    <mergeCell ref="AD9:AD10"/>
    <mergeCell ref="J9:S9"/>
    <mergeCell ref="D9:I9"/>
    <mergeCell ref="A9:C9"/>
    <mergeCell ref="B8:C8"/>
    <mergeCell ref="B7:C7"/>
    <mergeCell ref="A3:A8"/>
    <mergeCell ref="AD1:AD2"/>
    <mergeCell ref="J1:S1"/>
    <mergeCell ref="D1:I1"/>
    <mergeCell ref="A1:C1"/>
    <mergeCell ref="A96:C96"/>
    <mergeCell ref="D96:I96"/>
    <mergeCell ref="J96:S96"/>
    <mergeCell ref="AD96:AD97"/>
    <mergeCell ref="A98:A108"/>
    <mergeCell ref="B102:C102"/>
    <mergeCell ref="B107:C107"/>
    <mergeCell ref="B108:C108"/>
    <mergeCell ref="A109:C109"/>
    <mergeCell ref="D109:I109"/>
    <mergeCell ref="J109:S109"/>
    <mergeCell ref="AD109:AD110"/>
    <mergeCell ref="B121:C121"/>
    <mergeCell ref="B120:C120"/>
    <mergeCell ref="B116:C116"/>
    <mergeCell ref="A111:A121"/>
    <mergeCell ref="B199:C199"/>
    <mergeCell ref="B198:C198"/>
    <mergeCell ref="B194:C194"/>
    <mergeCell ref="A189:A199"/>
    <mergeCell ref="A187:C187"/>
    <mergeCell ref="D187:I187"/>
    <mergeCell ref="J187:S187"/>
    <mergeCell ref="AD187:AD188"/>
    <mergeCell ref="B206:C206"/>
    <mergeCell ref="A226:C226"/>
    <mergeCell ref="D226:I226"/>
    <mergeCell ref="J226:S226"/>
    <mergeCell ref="AD226:AD227"/>
    <mergeCell ref="A228:A238"/>
    <mergeCell ref="B233:C233"/>
    <mergeCell ref="B237:C237"/>
    <mergeCell ref="B238:C238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69" t="s">
        <v>118</v>
      </c>
      <c r="B1" s="169"/>
      <c r="C1" s="169"/>
      <c r="D1" s="170" t="s">
        <v>119</v>
      </c>
      <c r="E1" s="170"/>
      <c r="F1" s="170"/>
      <c r="G1" s="170"/>
      <c r="H1" s="170"/>
      <c r="I1" s="170"/>
      <c r="J1" s="171" t="s">
        <v>120</v>
      </c>
      <c r="K1" s="171"/>
      <c r="L1" s="171"/>
      <c r="M1" s="171"/>
      <c r="N1" s="171"/>
      <c r="O1" s="171"/>
      <c r="P1" s="171"/>
      <c r="Q1" s="171"/>
      <c r="R1" s="171"/>
      <c r="S1" s="171"/>
      <c r="T1" s="172"/>
      <c r="U1" s="172"/>
      <c r="V1" s="172"/>
      <c r="W1" s="173"/>
      <c r="X1" s="173"/>
      <c r="Y1" s="173"/>
      <c r="Z1" s="173"/>
      <c r="AA1" s="173"/>
      <c r="AB1" s="173"/>
      <c r="AC1" s="173"/>
      <c r="AD1" s="174" t="s">
        <v>121</v>
      </c>
      <c r="AE1" s="175"/>
      <c r="AF1" s="175"/>
    </row>
    <row r="2">
      <c r="A2" s="169" t="s">
        <v>122</v>
      </c>
      <c r="B2" s="169" t="s">
        <v>123</v>
      </c>
      <c r="C2" s="169" t="s">
        <v>124</v>
      </c>
      <c r="D2" s="170" t="s">
        <v>125</v>
      </c>
      <c r="E2" s="176" t="s">
        <v>126</v>
      </c>
      <c r="F2" s="176" t="s">
        <v>127</v>
      </c>
      <c r="G2" s="177" t="s">
        <v>128</v>
      </c>
      <c r="H2" s="170" t="s">
        <v>129</v>
      </c>
      <c r="I2" s="176" t="s">
        <v>130</v>
      </c>
      <c r="J2" s="171" t="s">
        <v>131</v>
      </c>
      <c r="K2" s="178" t="s">
        <v>132</v>
      </c>
      <c r="L2" s="179" t="s">
        <v>133</v>
      </c>
      <c r="M2" s="179" t="s">
        <v>134</v>
      </c>
      <c r="N2" s="178" t="s">
        <v>135</v>
      </c>
      <c r="O2" s="179" t="s">
        <v>136</v>
      </c>
      <c r="P2" s="179" t="s">
        <v>137</v>
      </c>
      <c r="Q2" s="178" t="s">
        <v>138</v>
      </c>
      <c r="R2" s="179" t="s">
        <v>139</v>
      </c>
      <c r="S2" s="178" t="s">
        <v>140</v>
      </c>
      <c r="T2" s="180" t="s">
        <v>141</v>
      </c>
      <c r="U2" s="180" t="s">
        <v>142</v>
      </c>
      <c r="V2" s="180" t="s">
        <v>143</v>
      </c>
      <c r="W2" s="181" t="s">
        <v>144</v>
      </c>
      <c r="X2" s="182" t="s">
        <v>145</v>
      </c>
      <c r="Y2" s="182" t="s">
        <v>146</v>
      </c>
      <c r="Z2" s="182" t="s">
        <v>147</v>
      </c>
      <c r="AA2" s="182" t="s">
        <v>148</v>
      </c>
      <c r="AB2" s="182" t="s">
        <v>149</v>
      </c>
      <c r="AC2" s="182" t="s">
        <v>150</v>
      </c>
      <c r="AD2" s="174"/>
      <c r="AE2" s="175"/>
      <c r="AF2" s="175"/>
    </row>
    <row r="3">
      <c r="A3" s="183">
        <v>46285</v>
      </c>
      <c r="B3" s="184" t="s">
        <v>151</v>
      </c>
      <c r="C3" s="185" t="s">
        <v>152</v>
      </c>
      <c r="D3" s="186">
        <f t="shared" ref="D3:D6" si="39">E3+F3</f>
      </c>
      <c r="E3" s="186"/>
      <c r="F3" s="186"/>
      <c r="G3" s="187"/>
      <c r="H3" s="185"/>
      <c r="I3" s="188">
        <f t="shared" ref="I3:I13" si="4">H3/D3</f>
      </c>
      <c r="J3" s="189">
        <f t="shared" ref="J3:J13" si="25">Y3/X3</f>
      </c>
      <c r="K3" s="190">
        <f t="shared" ref="K3:K13" si="34">D3/Z3</f>
      </c>
      <c r="L3" s="191">
        <f t="shared" ref="L3:L13" si="28">AA3/Z3</f>
      </c>
      <c r="M3" s="191">
        <f t="shared" ref="M3:M13" si="14">AB3/Z3</f>
      </c>
      <c r="N3" s="190">
        <f t="shared" ref="N3:N13" si="20">D3/AB3</f>
      </c>
      <c r="O3" s="191">
        <f t="shared" ref="O3:O13" si="7">AC3/AB3</f>
      </c>
      <c r="P3" s="191">
        <f t="shared" ref="P3:P13" si="11">G3/AC3</f>
      </c>
      <c r="Q3" s="190">
        <f t="shared" ref="Q3:Q13" si="36">D3/G3</f>
      </c>
      <c r="R3" s="192">
        <f t="shared" ref="R3:R13" si="0">H3/G3</f>
      </c>
      <c r="S3" s="190">
        <f t="shared" ref="S3:S13" si="22">D3/W3</f>
      </c>
      <c r="T3" s="193">
        <f t="shared" ref="T3:T13" si="31">AD3*1000/D3</f>
      </c>
      <c r="U3" s="194" t="s">
        <v>153</v>
      </c>
      <c r="V3" s="195" t="s">
        <v>154</v>
      </c>
      <c r="W3" s="196"/>
      <c r="X3" s="196"/>
      <c r="Y3" s="196"/>
      <c r="Z3" s="196"/>
      <c r="AA3" s="196"/>
      <c r="AB3" s="196"/>
      <c r="AC3" s="197"/>
      <c r="AD3" s="197"/>
      <c r="AE3" s="175"/>
      <c r="AF3" s="175"/>
    </row>
    <row r="4">
      <c r="A4" s="183"/>
      <c r="B4" s="198" t="s">
        <v>155</v>
      </c>
      <c r="C4" s="185" t="s">
        <v>152</v>
      </c>
      <c r="D4" s="186">
        <f t="shared" si="39"/>
      </c>
      <c r="E4" s="186"/>
      <c r="F4" s="186"/>
      <c r="G4" s="187"/>
      <c r="H4" s="185"/>
      <c r="I4" s="188">
        <f t="shared" si="4"/>
      </c>
      <c r="J4" s="189">
        <f t="shared" si="25"/>
      </c>
      <c r="K4" s="190">
        <f t="shared" si="34"/>
      </c>
      <c r="L4" s="191">
        <f t="shared" si="28"/>
      </c>
      <c r="M4" s="191">
        <f t="shared" si="14"/>
      </c>
      <c r="N4" s="190">
        <f t="shared" si="20"/>
      </c>
      <c r="O4" s="191">
        <f t="shared" si="7"/>
      </c>
      <c r="P4" s="191">
        <f t="shared" si="11"/>
      </c>
      <c r="Q4" s="190">
        <f t="shared" si="36"/>
      </c>
      <c r="R4" s="192">
        <f t="shared" si="0"/>
      </c>
      <c r="S4" s="190">
        <f t="shared" si="22"/>
      </c>
      <c r="T4" s="193">
        <f t="shared" si="31"/>
      </c>
      <c r="U4" s="194" t="s">
        <v>153</v>
      </c>
      <c r="V4" s="195" t="s">
        <v>154</v>
      </c>
      <c r="W4" s="196"/>
      <c r="X4" s="196"/>
      <c r="Y4" s="196"/>
      <c r="Z4" s="196"/>
      <c r="AA4" s="196"/>
      <c r="AB4" s="196"/>
      <c r="AC4" s="197"/>
      <c r="AD4" s="197"/>
      <c r="AE4" s="175"/>
      <c r="AF4" s="175"/>
    </row>
    <row r="5">
      <c r="A5" s="183"/>
      <c r="B5" s="198" t="s">
        <v>156</v>
      </c>
      <c r="C5" s="185" t="s">
        <v>152</v>
      </c>
      <c r="D5" s="186">
        <f t="shared" si="39"/>
      </c>
      <c r="E5" s="186"/>
      <c r="F5" s="186"/>
      <c r="G5" s="187"/>
      <c r="H5" s="185"/>
      <c r="I5" s="188">
        <f t="shared" si="4"/>
      </c>
      <c r="J5" s="189">
        <f t="shared" si="25"/>
      </c>
      <c r="K5" s="190">
        <f t="shared" si="34"/>
      </c>
      <c r="L5" s="191">
        <f t="shared" si="28"/>
      </c>
      <c r="M5" s="191">
        <f t="shared" si="14"/>
      </c>
      <c r="N5" s="190">
        <f t="shared" si="20"/>
      </c>
      <c r="O5" s="191">
        <f t="shared" si="7"/>
      </c>
      <c r="P5" s="191">
        <f t="shared" si="11"/>
      </c>
      <c r="Q5" s="190">
        <f t="shared" si="36"/>
      </c>
      <c r="R5" s="192">
        <f t="shared" si="0"/>
      </c>
      <c r="S5" s="190">
        <f t="shared" si="22"/>
      </c>
      <c r="T5" s="193">
        <f t="shared" si="31"/>
      </c>
      <c r="U5" s="194" t="s">
        <v>153</v>
      </c>
      <c r="V5" s="195" t="s">
        <v>154</v>
      </c>
      <c r="W5" s="196"/>
      <c r="X5" s="196"/>
      <c r="Y5" s="196"/>
      <c r="Z5" s="196"/>
      <c r="AA5" s="196"/>
      <c r="AB5" s="196"/>
      <c r="AC5" s="197"/>
      <c r="AD5" s="197"/>
      <c r="AE5" s="175"/>
      <c r="AF5" s="175"/>
    </row>
    <row r="6">
      <c r="A6" s="183"/>
      <c r="B6" s="198" t="s">
        <v>157</v>
      </c>
      <c r="C6" s="185" t="s">
        <v>152</v>
      </c>
      <c r="D6" s="186">
        <f t="shared" si="39"/>
      </c>
      <c r="E6" s="186"/>
      <c r="F6" s="186"/>
      <c r="G6" s="187"/>
      <c r="H6" s="185"/>
      <c r="I6" s="188">
        <f t="shared" si="4"/>
      </c>
      <c r="J6" s="189">
        <f t="shared" si="25"/>
      </c>
      <c r="K6" s="190">
        <f t="shared" si="34"/>
      </c>
      <c r="L6" s="191">
        <f t="shared" si="28"/>
      </c>
      <c r="M6" s="191">
        <f t="shared" si="14"/>
      </c>
      <c r="N6" s="190">
        <f t="shared" si="20"/>
      </c>
      <c r="O6" s="191">
        <f t="shared" si="7"/>
      </c>
      <c r="P6" s="191">
        <f t="shared" si="11"/>
      </c>
      <c r="Q6" s="190">
        <f t="shared" si="36"/>
      </c>
      <c r="R6" s="192">
        <f t="shared" si="0"/>
      </c>
      <c r="S6" s="190">
        <f t="shared" si="22"/>
      </c>
      <c r="T6" s="193">
        <f t="shared" si="31"/>
      </c>
      <c r="U6" s="194" t="s">
        <v>153</v>
      </c>
      <c r="V6" s="195" t="s">
        <v>154</v>
      </c>
      <c r="W6" s="196"/>
      <c r="X6" s="196"/>
      <c r="Y6" s="196"/>
      <c r="Z6" s="196"/>
      <c r="AA6" s="196"/>
      <c r="AB6" s="196"/>
      <c r="AC6" s="197"/>
      <c r="AD6" s="197"/>
      <c r="AE6" s="175"/>
      <c r="AF6" s="175"/>
    </row>
    <row r="7">
      <c r="A7" s="183"/>
      <c r="B7" s="199" t="s">
        <v>158</v>
      </c>
      <c r="C7" s="199"/>
      <c r="D7" s="199">
        <f>SUM(D3:D6)</f>
      </c>
      <c r="E7" s="199">
        <f>SUM(E3:E6)</f>
      </c>
      <c r="F7" s="199">
        <f>SUM(F3:F6)</f>
      </c>
      <c r="G7" s="199">
        <f>SUM(G3:G6)</f>
      </c>
      <c r="H7" s="199">
        <f>SUM(H3:H6)</f>
      </c>
      <c r="I7" s="200">
        <f t="shared" si="4"/>
      </c>
      <c r="J7" s="201">
        <f t="shared" si="25"/>
      </c>
      <c r="K7" s="202">
        <f t="shared" si="34"/>
      </c>
      <c r="L7" s="203">
        <f t="shared" si="28"/>
      </c>
      <c r="M7" s="203">
        <f t="shared" si="14"/>
      </c>
      <c r="N7" s="202">
        <f t="shared" si="20"/>
      </c>
      <c r="O7" s="203">
        <f t="shared" si="7"/>
      </c>
      <c r="P7" s="203">
        <f t="shared" si="11"/>
      </c>
      <c r="Q7" s="202">
        <f t="shared" si="36"/>
      </c>
      <c r="R7" s="204">
        <f t="shared" si="0"/>
      </c>
      <c r="S7" s="202">
        <f t="shared" si="22"/>
      </c>
      <c r="T7" s="205">
        <f t="shared" si="31"/>
      </c>
      <c r="U7" s="205"/>
      <c r="V7" s="205"/>
      <c r="W7" s="199">
        <f>SUM(W3:W6)</f>
      </c>
      <c r="X7" s="199">
        <f>SUM(X3:X6)</f>
      </c>
      <c r="Y7" s="199">
        <f>SUM(Y3:Y6)</f>
      </c>
      <c r="Z7" s="199">
        <f>SUM(Z3:Z6)</f>
      </c>
      <c r="AA7" s="199">
        <f>SUM(AA3:AA6)</f>
      </c>
      <c r="AB7" s="199">
        <f>SUM(AB3:AB6)</f>
      </c>
      <c r="AC7" s="199">
        <f>SUM(AC3:AC6)</f>
      </c>
      <c r="AD7" s="199">
        <f>SUM(AD3:AD6)</f>
      </c>
      <c r="AE7" s="175"/>
      <c r="AF7" s="175"/>
    </row>
    <row r="8">
      <c r="A8" s="183"/>
      <c r="B8" s="185" t="s">
        <v>159</v>
      </c>
      <c r="C8" s="185" t="s">
        <v>160</v>
      </c>
      <c r="D8" s="186">
        <f t="shared" ref="D8:D11" si="40">E8+F8</f>
      </c>
      <c r="E8" s="186"/>
      <c r="F8" s="186"/>
      <c r="G8" s="187"/>
      <c r="H8" s="185"/>
      <c r="I8" s="188">
        <f t="shared" si="4"/>
      </c>
      <c r="J8" s="189">
        <f t="shared" si="25"/>
      </c>
      <c r="K8" s="190">
        <f t="shared" si="34"/>
      </c>
      <c r="L8" s="191">
        <f t="shared" si="28"/>
      </c>
      <c r="M8" s="191">
        <f t="shared" si="14"/>
      </c>
      <c r="N8" s="190">
        <f t="shared" si="20"/>
      </c>
      <c r="O8" s="191">
        <f t="shared" si="7"/>
      </c>
      <c r="P8" s="191">
        <f t="shared" si="11"/>
      </c>
      <c r="Q8" s="190">
        <f t="shared" si="36"/>
      </c>
      <c r="R8" s="192">
        <f t="shared" si="0"/>
      </c>
      <c r="S8" s="190">
        <f t="shared" si="22"/>
      </c>
      <c r="T8" s="193">
        <f t="shared" si="31"/>
      </c>
      <c r="U8" s="194" t="s">
        <v>153</v>
      </c>
      <c r="V8" s="195" t="s">
        <v>154</v>
      </c>
      <c r="W8" s="196"/>
      <c r="X8" s="196"/>
      <c r="Y8" s="196"/>
      <c r="Z8" s="196"/>
      <c r="AA8" s="196"/>
      <c r="AB8" s="196"/>
      <c r="AC8" s="197"/>
      <c r="AD8" s="197"/>
      <c r="AE8" s="175"/>
      <c r="AF8" s="175"/>
    </row>
    <row r="9">
      <c r="A9" s="183"/>
      <c r="B9" s="186" t="s">
        <v>161</v>
      </c>
      <c r="C9" s="185" t="s">
        <v>160</v>
      </c>
      <c r="D9" s="186">
        <f t="shared" si="40"/>
      </c>
      <c r="E9" s="186"/>
      <c r="F9" s="186"/>
      <c r="G9" s="187"/>
      <c r="H9" s="185"/>
      <c r="I9" s="188">
        <f t="shared" si="4"/>
      </c>
      <c r="J9" s="189">
        <f t="shared" si="25"/>
      </c>
      <c r="K9" s="190">
        <f t="shared" si="34"/>
      </c>
      <c r="L9" s="191">
        <f t="shared" si="28"/>
      </c>
      <c r="M9" s="191">
        <f t="shared" si="14"/>
      </c>
      <c r="N9" s="190">
        <f t="shared" si="20"/>
      </c>
      <c r="O9" s="191">
        <f t="shared" si="7"/>
      </c>
      <c r="P9" s="191">
        <f t="shared" si="11"/>
      </c>
      <c r="Q9" s="190">
        <f t="shared" si="36"/>
      </c>
      <c r="R9" s="192">
        <f t="shared" si="0"/>
      </c>
      <c r="S9" s="190">
        <f t="shared" si="22"/>
      </c>
      <c r="T9" s="193">
        <f t="shared" si="31"/>
      </c>
      <c r="U9" s="194" t="s">
        <v>153</v>
      </c>
      <c r="V9" s="195" t="s">
        <v>154</v>
      </c>
      <c r="W9" s="196"/>
      <c r="X9" s="196"/>
      <c r="Y9" s="196"/>
      <c r="Z9" s="196"/>
      <c r="AA9" s="196"/>
      <c r="AB9" s="196"/>
      <c r="AC9" s="197"/>
      <c r="AD9" s="197"/>
      <c r="AE9" s="175"/>
      <c r="AF9" s="175"/>
    </row>
    <row customHeight="true" ht="18.452380952380953" r="10">
      <c r="A10" s="183"/>
      <c r="B10" s="186" t="s">
        <v>162</v>
      </c>
      <c r="C10" s="185" t="s">
        <v>160</v>
      </c>
      <c r="D10" s="186">
        <f t="shared" si="40"/>
      </c>
      <c r="E10" s="186"/>
      <c r="F10" s="186"/>
      <c r="G10" s="187"/>
      <c r="H10" s="185"/>
      <c r="I10" s="188">
        <f t="shared" si="4"/>
      </c>
      <c r="J10" s="189">
        <f t="shared" si="25"/>
      </c>
      <c r="K10" s="190">
        <f t="shared" si="34"/>
      </c>
      <c r="L10" s="191">
        <f t="shared" si="28"/>
      </c>
      <c r="M10" s="191">
        <f t="shared" si="14"/>
      </c>
      <c r="N10" s="190">
        <f t="shared" si="20"/>
      </c>
      <c r="O10" s="191">
        <f t="shared" si="7"/>
      </c>
      <c r="P10" s="191">
        <f t="shared" si="11"/>
      </c>
      <c r="Q10" s="190">
        <f t="shared" si="36"/>
      </c>
      <c r="R10" s="192">
        <f t="shared" si="0"/>
      </c>
      <c r="S10" s="190">
        <f t="shared" si="22"/>
      </c>
      <c r="T10" s="193">
        <f t="shared" si="31"/>
      </c>
      <c r="U10" s="194" t="s">
        <v>153</v>
      </c>
      <c r="V10" s="195" t="s">
        <v>154</v>
      </c>
      <c r="W10" s="196"/>
      <c r="X10" s="196"/>
      <c r="Y10" s="196"/>
      <c r="Z10" s="196"/>
      <c r="AA10" s="196"/>
      <c r="AB10" s="196"/>
      <c r="AC10" s="197"/>
      <c r="AD10" s="197"/>
      <c r="AE10" s="175"/>
      <c r="AF10" s="175"/>
    </row>
    <row r="11">
      <c r="A11" s="183"/>
      <c r="B11" s="186" t="s">
        <v>163</v>
      </c>
      <c r="C11" s="185" t="s">
        <v>160</v>
      </c>
      <c r="D11" s="186">
        <f t="shared" si="40"/>
      </c>
      <c r="E11" s="186"/>
      <c r="F11" s="186"/>
      <c r="G11" s="187"/>
      <c r="H11" s="185"/>
      <c r="I11" s="188">
        <f t="shared" si="4"/>
      </c>
      <c r="J11" s="189">
        <f t="shared" si="25"/>
      </c>
      <c r="K11" s="190">
        <f t="shared" si="34"/>
      </c>
      <c r="L11" s="191">
        <f t="shared" si="28"/>
      </c>
      <c r="M11" s="191">
        <f t="shared" si="14"/>
      </c>
      <c r="N11" s="190">
        <f t="shared" si="20"/>
      </c>
      <c r="O11" s="191">
        <f t="shared" si="7"/>
      </c>
      <c r="P11" s="191">
        <f t="shared" si="11"/>
      </c>
      <c r="Q11" s="190">
        <f t="shared" si="36"/>
      </c>
      <c r="R11" s="192">
        <f t="shared" si="0"/>
      </c>
      <c r="S11" s="190">
        <f t="shared" si="22"/>
      </c>
      <c r="T11" s="193">
        <f t="shared" si="31"/>
      </c>
      <c r="U11" s="194" t="s">
        <v>153</v>
      </c>
      <c r="V11" s="195" t="s">
        <v>154</v>
      </c>
      <c r="W11" s="196"/>
      <c r="X11" s="196"/>
      <c r="Y11" s="196"/>
      <c r="Z11" s="196"/>
      <c r="AA11" s="196"/>
      <c r="AB11" s="196"/>
      <c r="AC11" s="197"/>
      <c r="AD11" s="197"/>
      <c r="AE11" s="175"/>
      <c r="AF11" s="175"/>
    </row>
    <row r="12">
      <c r="A12" s="183"/>
      <c r="B12" s="199" t="s">
        <v>158</v>
      </c>
      <c r="C12" s="199"/>
      <c r="D12" s="199">
        <f>SUM(D8:D11)</f>
      </c>
      <c r="E12" s="199">
        <f>SUM(E8:E11)</f>
      </c>
      <c r="F12" s="199">
        <f>SUM(F8:F11)</f>
      </c>
      <c r="G12" s="199">
        <f>SUM(G8:G11)</f>
      </c>
      <c r="H12" s="199">
        <f>SUM(H8:H11)</f>
      </c>
      <c r="I12" s="200">
        <f t="shared" si="4"/>
      </c>
      <c r="J12" s="201">
        <f t="shared" si="25"/>
      </c>
      <c r="K12" s="202">
        <f t="shared" si="34"/>
      </c>
      <c r="L12" s="203">
        <f t="shared" si="28"/>
      </c>
      <c r="M12" s="203">
        <f t="shared" si="14"/>
      </c>
      <c r="N12" s="202">
        <f t="shared" si="20"/>
      </c>
      <c r="O12" s="203">
        <f t="shared" si="7"/>
      </c>
      <c r="P12" s="203">
        <f t="shared" si="11"/>
      </c>
      <c r="Q12" s="202">
        <f t="shared" si="36"/>
      </c>
      <c r="R12" s="204">
        <f t="shared" si="0"/>
      </c>
      <c r="S12" s="202">
        <f t="shared" si="22"/>
      </c>
      <c r="T12" s="205">
        <f t="shared" si="31"/>
      </c>
      <c r="U12" s="205"/>
      <c r="V12" s="205"/>
      <c r="W12" s="199">
        <f>SUM(W8:W11)</f>
      </c>
      <c r="X12" s="199">
        <f>SUM(X8:X11)</f>
      </c>
      <c r="Y12" s="199">
        <f>SUM(Y8:Y11)</f>
      </c>
      <c r="Z12" s="199">
        <f>SUM(Z8:Z11)</f>
      </c>
      <c r="AA12" s="199">
        <f>SUM(AA8:AA11)</f>
      </c>
      <c r="AB12" s="199">
        <f>SUM(AB8:AB11)</f>
      </c>
      <c r="AC12" s="199">
        <f>SUM(AC8:AC11)</f>
      </c>
      <c r="AD12" s="199">
        <f>SUM(AD8:AD11)</f>
      </c>
      <c r="AE12" s="175"/>
      <c r="AF12" s="175"/>
    </row>
    <row r="13">
      <c r="A13" s="183"/>
      <c r="B13" s="206" t="s">
        <v>164</v>
      </c>
      <c r="C13" s="206"/>
      <c r="D13" s="207">
        <f>D7+D12</f>
      </c>
      <c r="E13" s="207">
        <f>E7+E12</f>
      </c>
      <c r="F13" s="207">
        <f>F7+F12</f>
      </c>
      <c r="G13" s="207">
        <f>G7+G12</f>
      </c>
      <c r="H13" s="207">
        <f>H7+H12</f>
      </c>
      <c r="I13" s="207">
        <f t="shared" si="4"/>
      </c>
      <c r="J13" s="208">
        <f t="shared" si="25"/>
      </c>
      <c r="K13" s="207">
        <f t="shared" si="34"/>
      </c>
      <c r="L13" s="209">
        <f t="shared" si="28"/>
      </c>
      <c r="M13" s="209">
        <f t="shared" si="14"/>
      </c>
      <c r="N13" s="207">
        <f t="shared" si="20"/>
      </c>
      <c r="O13" s="209">
        <f t="shared" si="7"/>
      </c>
      <c r="P13" s="209">
        <f t="shared" si="11"/>
      </c>
      <c r="Q13" s="207">
        <f t="shared" si="36"/>
      </c>
      <c r="R13" s="210">
        <f t="shared" si="0"/>
      </c>
      <c r="S13" s="207">
        <f t="shared" si="22"/>
      </c>
      <c r="T13" s="211">
        <f t="shared" si="31"/>
      </c>
      <c r="U13" s="211"/>
      <c r="V13" s="211"/>
      <c r="W13" s="212">
        <f>W7+W12</f>
      </c>
      <c r="X13" s="212">
        <f>X7+X12</f>
      </c>
      <c r="Y13" s="212">
        <f>Y7+Y12</f>
      </c>
      <c r="Z13" s="212">
        <f>Z7+Z12</f>
      </c>
      <c r="AA13" s="212">
        <f>AA7+AA12</f>
      </c>
      <c r="AB13" s="212">
        <f>AB7+AB12</f>
      </c>
      <c r="AC13" s="212">
        <f>AC7+AC12</f>
      </c>
      <c r="AD13" s="212">
        <f>AD7+AD12</f>
      </c>
      <c r="AE13" s="175"/>
      <c r="AF13" s="175"/>
    </row>
    <row r="14">
      <c r="D14" s="213" t="s">
        <v>165</v>
      </c>
      <c r="E14" s="214">
        <f>E15+E16+E17+E18</f>
      </c>
      <c r="G14" s="215">
        <f>G15-G13</f>
      </c>
      <c r="H14" s="215">
        <f>H15-H13</f>
      </c>
      <c r="W14">
        <f>W15-W13</f>
      </c>
      <c r="X14">
        <f>X15-X13</f>
      </c>
      <c r="Y14">
        <f>Y15-Y13</f>
      </c>
      <c r="Z14">
        <f>Z15-Z13</f>
      </c>
      <c r="AA14">
        <f>AA15-AA13</f>
      </c>
      <c r="AB14">
        <f>AB15-AB13</f>
      </c>
      <c r="AD14">
        <f>AD15-AD13</f>
      </c>
    </row>
    <row customHeight="true" ht="16.071428571428573" r="15">
      <c r="D15" s="216"/>
      <c r="E15" s="217">
        <v>55.73</v>
      </c>
      <c r="G15" s="218" cm="1">
        <f t="array" ref="G15:G15">IMPORTRANGE("https://meimeiwangluo.feishu.cn/sheets/H9zxsCZwehXFsptSIw5cuGJInuh","'Sheet1'!D1")</f>
      </c>
      <c r="H15" s="219" cm="1">
        <f t="array" ref="H15:H15">IMPORTRANGE("https://meimeiwangluo.feishu.cn/sheets/H9zxsCZwehXFsptSIw5cuGJInuh","'Sheet1'!F1")</f>
      </c>
    </row>
    <row customHeight="true" ht="16.071428571428573" r="16">
      <c r="D16" s="220"/>
      <c r="E16" s="217">
        <v>757.38</v>
      </c>
    </row>
    <row r="17">
      <c r="D17" s="220"/>
      <c r="E17" s="217"/>
    </row>
    <row customHeight="true" ht="16.071428571428573" r="18">
      <c r="D18" s="220"/>
      <c r="E18" s="217"/>
    </row>
    <row r="19">
      <c r="A19" s="169" t="s">
        <v>118</v>
      </c>
      <c r="B19" s="169"/>
      <c r="C19" s="169"/>
      <c r="D19" s="170" t="s">
        <v>119</v>
      </c>
      <c r="E19" s="170"/>
      <c r="F19" s="170"/>
      <c r="G19" s="170"/>
      <c r="H19" s="170"/>
      <c r="I19" s="170"/>
      <c r="J19" s="171" t="s">
        <v>120</v>
      </c>
      <c r="K19" s="171"/>
      <c r="L19" s="171"/>
      <c r="M19" s="171"/>
      <c r="N19" s="171"/>
      <c r="O19" s="171"/>
      <c r="P19" s="171"/>
      <c r="Q19" s="171"/>
      <c r="R19" s="171"/>
      <c r="S19" s="171"/>
      <c r="T19" s="172"/>
      <c r="U19" s="172"/>
      <c r="V19" s="172"/>
      <c r="W19" s="173"/>
      <c r="X19" s="173"/>
      <c r="Y19" s="173"/>
      <c r="Z19" s="173"/>
      <c r="AA19" s="173"/>
      <c r="AB19" s="173"/>
      <c r="AC19" s="173"/>
      <c r="AD19" s="174" t="s">
        <v>121</v>
      </c>
      <c r="AE19" s="175"/>
      <c r="AF19" s="175"/>
    </row>
    <row r="20">
      <c r="A20" s="169" t="s">
        <v>122</v>
      </c>
      <c r="B20" s="169" t="s">
        <v>123</v>
      </c>
      <c r="C20" s="169" t="s">
        <v>124</v>
      </c>
      <c r="D20" s="170" t="s">
        <v>125</v>
      </c>
      <c r="E20" s="176" t="s">
        <v>126</v>
      </c>
      <c r="F20" s="176" t="s">
        <v>127</v>
      </c>
      <c r="G20" s="177" t="s">
        <v>128</v>
      </c>
      <c r="H20" s="170" t="s">
        <v>129</v>
      </c>
      <c r="I20" s="176" t="s">
        <v>130</v>
      </c>
      <c r="J20" s="171" t="s">
        <v>131</v>
      </c>
      <c r="K20" s="178" t="s">
        <v>132</v>
      </c>
      <c r="L20" s="179" t="s">
        <v>133</v>
      </c>
      <c r="M20" s="179" t="s">
        <v>134</v>
      </c>
      <c r="N20" s="178" t="s">
        <v>135</v>
      </c>
      <c r="O20" s="179" t="s">
        <v>136</v>
      </c>
      <c r="P20" s="179" t="s">
        <v>137</v>
      </c>
      <c r="Q20" s="178" t="s">
        <v>138</v>
      </c>
      <c r="R20" s="179" t="s">
        <v>139</v>
      </c>
      <c r="S20" s="178" t="s">
        <v>140</v>
      </c>
      <c r="T20" s="180" t="s">
        <v>141</v>
      </c>
      <c r="U20" s="180" t="s">
        <v>142</v>
      </c>
      <c r="V20" s="180" t="s">
        <v>143</v>
      </c>
      <c r="W20" s="181" t="s">
        <v>144</v>
      </c>
      <c r="X20" s="182" t="s">
        <v>145</v>
      </c>
      <c r="Y20" s="182" t="s">
        <v>146</v>
      </c>
      <c r="Z20" s="182" t="s">
        <v>147</v>
      </c>
      <c r="AA20" s="182" t="s">
        <v>148</v>
      </c>
      <c r="AB20" s="182" t="s">
        <v>149</v>
      </c>
      <c r="AC20" s="182" t="s">
        <v>150</v>
      </c>
      <c r="AD20" s="174"/>
      <c r="AE20" s="175"/>
      <c r="AF20" s="175"/>
    </row>
    <row r="21">
      <c r="A21" s="183">
        <v>46286</v>
      </c>
      <c r="B21" s="184" t="s">
        <v>151</v>
      </c>
      <c r="C21" s="185" t="s">
        <v>166</v>
      </c>
      <c r="D21" s="186">
        <f t="shared" ref="D21:D25" si="41">E21+F21</f>
      </c>
      <c r="E21" s="186"/>
      <c r="F21" s="186"/>
      <c r="G21" s="187"/>
      <c r="H21" s="185"/>
      <c r="I21" s="188">
        <f t="shared" ref="I21:I31" si="5">H21/D21</f>
      </c>
      <c r="J21" s="189">
        <f t="shared" ref="J21:J31" si="26">Y21/X21</f>
      </c>
      <c r="K21" s="190">
        <f t="shared" ref="K21:K31" si="35">D21/Z21</f>
      </c>
      <c r="L21" s="191">
        <f t="shared" ref="L21:L31" si="29">AA21/Z21</f>
      </c>
      <c r="M21" s="191">
        <f t="shared" ref="M21:M31" si="15">AB21/Z21</f>
      </c>
      <c r="N21" s="190">
        <f t="shared" ref="N21:N31" si="21">D21/AB21</f>
      </c>
      <c r="O21" s="191">
        <f t="shared" ref="O21:O31" si="8">AC21/AB21</f>
      </c>
      <c r="P21" s="191">
        <f t="shared" ref="P21:P31" si="12">G21/AC21</f>
      </c>
      <c r="Q21" s="190">
        <f t="shared" ref="Q21:Q31" si="37">D21/G21</f>
      </c>
      <c r="R21" s="192">
        <f t="shared" ref="R21:R31" si="1">H21/G21</f>
      </c>
      <c r="S21" s="190">
        <f t="shared" ref="S21:S31" si="23">D21/W21</f>
      </c>
      <c r="T21" s="193">
        <f t="shared" ref="T21:T31" si="32">AD21*1000/D21</f>
      </c>
      <c r="U21" s="194" t="s">
        <v>153</v>
      </c>
      <c r="V21" s="195" t="s">
        <v>154</v>
      </c>
      <c r="W21" s="196"/>
      <c r="X21" s="196"/>
      <c r="Y21" s="196"/>
      <c r="Z21" s="196"/>
      <c r="AA21" s="196"/>
      <c r="AB21" s="196"/>
      <c r="AC21" s="197"/>
      <c r="AD21" s="197"/>
      <c r="AE21" s="175"/>
      <c r="AF21" s="175"/>
    </row>
    <row r="22">
      <c r="A22" s="183"/>
      <c r="B22" s="198" t="s">
        <v>155</v>
      </c>
      <c r="C22" s="185" t="s">
        <v>166</v>
      </c>
      <c r="D22" s="186">
        <f t="shared" si="41"/>
      </c>
      <c r="E22" s="186"/>
      <c r="F22" s="186"/>
      <c r="G22" s="187"/>
      <c r="H22" s="185"/>
      <c r="I22" s="188">
        <f t="shared" si="5"/>
      </c>
      <c r="J22" s="189">
        <f t="shared" si="26"/>
      </c>
      <c r="K22" s="190">
        <f t="shared" si="35"/>
      </c>
      <c r="L22" s="191">
        <f t="shared" si="29"/>
      </c>
      <c r="M22" s="191">
        <f t="shared" si="15"/>
      </c>
      <c r="N22" s="190">
        <f t="shared" si="21"/>
      </c>
      <c r="O22" s="191">
        <f t="shared" si="8"/>
      </c>
      <c r="P22" s="191">
        <f t="shared" si="12"/>
      </c>
      <c r="Q22" s="190">
        <f t="shared" si="37"/>
      </c>
      <c r="R22" s="192">
        <f t="shared" si="1"/>
      </c>
      <c r="S22" s="190">
        <f t="shared" si="23"/>
      </c>
      <c r="T22" s="193">
        <f t="shared" si="32"/>
      </c>
      <c r="U22" s="194" t="s">
        <v>153</v>
      </c>
      <c r="V22" s="195" t="s">
        <v>154</v>
      </c>
      <c r="W22" s="196"/>
      <c r="X22" s="196"/>
      <c r="Y22" s="196"/>
      <c r="Z22" s="196"/>
      <c r="AA22" s="196"/>
      <c r="AB22" s="196"/>
      <c r="AC22" s="197"/>
      <c r="AD22" s="197"/>
      <c r="AE22" s="175"/>
      <c r="AF22" s="175"/>
    </row>
    <row r="23">
      <c r="A23" s="183"/>
      <c r="B23" s="198" t="s">
        <v>156</v>
      </c>
      <c r="C23" s="185" t="s">
        <v>166</v>
      </c>
      <c r="D23" s="186">
        <f t="shared" si="41"/>
      </c>
      <c r="E23" s="186"/>
      <c r="F23" s="186"/>
      <c r="G23" s="187"/>
      <c r="H23" s="185"/>
      <c r="I23" s="188">
        <f t="shared" si="5"/>
      </c>
      <c r="J23" s="189">
        <f t="shared" si="26"/>
      </c>
      <c r="K23" s="190">
        <f t="shared" si="35"/>
      </c>
      <c r="L23" s="191">
        <f t="shared" si="29"/>
      </c>
      <c r="M23" s="191">
        <f t="shared" si="15"/>
      </c>
      <c r="N23" s="190">
        <f t="shared" si="21"/>
      </c>
      <c r="O23" s="191">
        <f t="shared" si="8"/>
      </c>
      <c r="P23" s="191">
        <f t="shared" si="12"/>
      </c>
      <c r="Q23" s="190">
        <f t="shared" si="37"/>
      </c>
      <c r="R23" s="192">
        <f t="shared" si="1"/>
      </c>
      <c r="S23" s="190">
        <f t="shared" si="23"/>
      </c>
      <c r="T23" s="193">
        <f t="shared" si="32"/>
      </c>
      <c r="U23" s="194" t="s">
        <v>153</v>
      </c>
      <c r="V23" s="195" t="s">
        <v>154</v>
      </c>
      <c r="W23" s="196"/>
      <c r="X23" s="196"/>
      <c r="Y23" s="196"/>
      <c r="Z23" s="196"/>
      <c r="AA23" s="196"/>
      <c r="AB23" s="196"/>
      <c r="AC23" s="197"/>
      <c r="AD23" s="197"/>
      <c r="AE23" s="175"/>
      <c r="AF23" s="175"/>
    </row>
    <row r="24">
      <c r="A24" s="183"/>
      <c r="B24" s="198" t="s">
        <v>157</v>
      </c>
      <c r="C24" s="185" t="s">
        <v>166</v>
      </c>
      <c r="D24" s="186">
        <f t="shared" si="41"/>
      </c>
      <c r="E24" s="186"/>
      <c r="F24" s="186"/>
      <c r="G24" s="187"/>
      <c r="H24" s="185"/>
      <c r="I24" s="188">
        <f t="shared" si="5"/>
      </c>
      <c r="J24" s="189">
        <f t="shared" si="26"/>
      </c>
      <c r="K24" s="190">
        <f t="shared" si="35"/>
      </c>
      <c r="L24" s="191">
        <f t="shared" si="29"/>
      </c>
      <c r="M24" s="191">
        <f t="shared" si="15"/>
      </c>
      <c r="N24" s="190">
        <f t="shared" si="21"/>
      </c>
      <c r="O24" s="191">
        <f t="shared" si="8"/>
      </c>
      <c r="P24" s="191">
        <f t="shared" si="12"/>
      </c>
      <c r="Q24" s="190">
        <f t="shared" si="37"/>
      </c>
      <c r="R24" s="192">
        <f t="shared" si="1"/>
      </c>
      <c r="S24" s="190">
        <f t="shared" si="23"/>
      </c>
      <c r="T24" s="193">
        <f t="shared" si="32"/>
      </c>
      <c r="U24" s="194" t="s">
        <v>153</v>
      </c>
      <c r="V24" s="195" t="s">
        <v>154</v>
      </c>
      <c r="W24" s="196"/>
      <c r="X24" s="196"/>
      <c r="Y24" s="196"/>
      <c r="Z24" s="196"/>
      <c r="AA24" s="196"/>
      <c r="AB24" s="196"/>
      <c r="AC24" s="197"/>
      <c r="AD24" s="197"/>
      <c r="AE24" s="175"/>
      <c r="AF24" s="175"/>
    </row>
    <row r="25">
      <c r="A25" s="183"/>
      <c r="B25" s="185" t="s">
        <v>159</v>
      </c>
      <c r="C25" s="185" t="s">
        <v>166</v>
      </c>
      <c r="D25" s="186">
        <f t="shared" si="41"/>
      </c>
      <c r="E25" s="186"/>
      <c r="F25" s="186"/>
      <c r="G25" s="187"/>
      <c r="H25" s="185"/>
      <c r="I25" s="188">
        <f t="shared" si="5"/>
      </c>
      <c r="J25" s="189">
        <f t="shared" si="26"/>
      </c>
      <c r="K25" s="190">
        <f t="shared" si="35"/>
      </c>
      <c r="L25" s="191">
        <f t="shared" si="29"/>
      </c>
      <c r="M25" s="191">
        <f t="shared" si="15"/>
      </c>
      <c r="N25" s="190">
        <f t="shared" si="21"/>
      </c>
      <c r="O25" s="191">
        <f t="shared" si="8"/>
      </c>
      <c r="P25" s="191">
        <f t="shared" si="12"/>
      </c>
      <c r="Q25" s="190">
        <f t="shared" si="37"/>
      </c>
      <c r="R25" s="192">
        <f t="shared" si="1"/>
      </c>
      <c r="S25" s="190">
        <f t="shared" si="23"/>
      </c>
      <c r="T25" s="193">
        <f t="shared" si="32"/>
      </c>
      <c r="U25" s="194" t="s">
        <v>153</v>
      </c>
      <c r="V25" s="195" t="s">
        <v>154</v>
      </c>
      <c r="W25" s="196"/>
      <c r="X25" s="196"/>
      <c r="Y25" s="196"/>
      <c r="Z25" s="196"/>
      <c r="AA25" s="196"/>
      <c r="AB25" s="196"/>
      <c r="AC25" s="197"/>
      <c r="AD25" s="197"/>
      <c r="AE25" s="175"/>
      <c r="AF25" s="175"/>
    </row>
    <row r="26">
      <c r="A26" s="183"/>
      <c r="B26" s="199" t="s">
        <v>158</v>
      </c>
      <c r="C26" s="199"/>
      <c r="D26" s="199">
        <f>SUM(D21:D25)</f>
      </c>
      <c r="E26" s="199">
        <f>SUM(E21:E25)</f>
      </c>
      <c r="F26" s="199">
        <f>SUM(F21:F25)</f>
      </c>
      <c r="G26" s="199">
        <f>SUM(G21:G25)</f>
      </c>
      <c r="H26" s="199">
        <f>SUM(H21:H25)</f>
      </c>
      <c r="I26" s="200">
        <f t="shared" si="5"/>
      </c>
      <c r="J26" s="201">
        <f t="shared" si="26"/>
      </c>
      <c r="K26" s="202">
        <f t="shared" si="35"/>
      </c>
      <c r="L26" s="203">
        <f t="shared" si="29"/>
      </c>
      <c r="M26" s="203">
        <f t="shared" si="15"/>
      </c>
      <c r="N26" s="202">
        <f t="shared" si="21"/>
      </c>
      <c r="O26" s="203">
        <f t="shared" si="8"/>
      </c>
      <c r="P26" s="203">
        <f t="shared" si="12"/>
      </c>
      <c r="Q26" s="202">
        <f t="shared" si="37"/>
      </c>
      <c r="R26" s="204">
        <f t="shared" si="1"/>
      </c>
      <c r="S26" s="202">
        <f t="shared" si="23"/>
      </c>
      <c r="T26" s="205">
        <f t="shared" si="32"/>
      </c>
      <c r="U26" s="205"/>
      <c r="V26" s="205"/>
      <c r="W26" s="199">
        <f>SUM(W21:W25)</f>
      </c>
      <c r="X26" s="199">
        <f>SUM(X21:X25)</f>
      </c>
      <c r="Y26" s="199">
        <f>SUM(Y21:Y25)</f>
      </c>
      <c r="Z26" s="199">
        <f>SUM(Z21:Z25)</f>
      </c>
      <c r="AA26" s="199">
        <f>SUM(AA21:AA25)</f>
      </c>
      <c r="AB26" s="199">
        <f>SUM(AB21:AB25)</f>
      </c>
      <c r="AC26" s="199">
        <f>SUM(AC21:AC25)</f>
      </c>
      <c r="AD26" s="199">
        <f>SUM(AD21:AD25)</f>
      </c>
      <c r="AE26" s="175"/>
      <c r="AF26" s="175"/>
    </row>
    <row r="27">
      <c r="A27" s="183"/>
      <c r="B27" s="186" t="s">
        <v>161</v>
      </c>
      <c r="C27" s="185" t="s">
        <v>152</v>
      </c>
      <c r="D27" s="186">
        <f t="shared" ref="D27:D29" si="42">E27+F27</f>
      </c>
      <c r="E27" s="186"/>
      <c r="F27" s="186"/>
      <c r="G27" s="187"/>
      <c r="H27" s="185"/>
      <c r="I27" s="188">
        <f t="shared" si="5"/>
      </c>
      <c r="J27" s="189">
        <f t="shared" si="26"/>
      </c>
      <c r="K27" s="190">
        <f t="shared" si="35"/>
      </c>
      <c r="L27" s="191">
        <f t="shared" si="29"/>
      </c>
      <c r="M27" s="191">
        <f t="shared" si="15"/>
      </c>
      <c r="N27" s="190">
        <f t="shared" si="21"/>
      </c>
      <c r="O27" s="191">
        <f t="shared" si="8"/>
      </c>
      <c r="P27" s="191">
        <f t="shared" si="12"/>
      </c>
      <c r="Q27" s="190">
        <f t="shared" si="37"/>
      </c>
      <c r="R27" s="192">
        <f t="shared" si="1"/>
      </c>
      <c r="S27" s="190">
        <f t="shared" si="23"/>
      </c>
      <c r="T27" s="193">
        <f t="shared" si="32"/>
      </c>
      <c r="U27" s="194" t="s">
        <v>153</v>
      </c>
      <c r="V27" s="195" t="s">
        <v>154</v>
      </c>
      <c r="W27" s="196"/>
      <c r="X27" s="196"/>
      <c r="Y27" s="196"/>
      <c r="Z27" s="196"/>
      <c r="AA27" s="196"/>
      <c r="AB27" s="196"/>
      <c r="AC27" s="197"/>
      <c r="AD27" s="197"/>
      <c r="AE27" s="175"/>
      <c r="AF27" s="175"/>
    </row>
    <row r="28">
      <c r="A28" s="183"/>
      <c r="B28" s="186" t="s">
        <v>162</v>
      </c>
      <c r="C28" s="185" t="s">
        <v>152</v>
      </c>
      <c r="D28" s="186">
        <f t="shared" si="42"/>
      </c>
      <c r="E28" s="186"/>
      <c r="F28" s="186"/>
      <c r="G28" s="187"/>
      <c r="H28" s="185"/>
      <c r="I28" s="188">
        <f t="shared" si="5"/>
      </c>
      <c r="J28" s="189">
        <f t="shared" si="26"/>
      </c>
      <c r="K28" s="190">
        <f t="shared" si="35"/>
      </c>
      <c r="L28" s="191">
        <f t="shared" si="29"/>
      </c>
      <c r="M28" s="191">
        <f t="shared" si="15"/>
      </c>
      <c r="N28" s="190">
        <f t="shared" si="21"/>
      </c>
      <c r="O28" s="191">
        <f t="shared" si="8"/>
      </c>
      <c r="P28" s="191">
        <f t="shared" si="12"/>
      </c>
      <c r="Q28" s="190">
        <f t="shared" si="37"/>
      </c>
      <c r="R28" s="192">
        <f t="shared" si="1"/>
      </c>
      <c r="S28" s="190">
        <f t="shared" si="23"/>
      </c>
      <c r="T28" s="193">
        <f t="shared" si="32"/>
      </c>
      <c r="U28" s="194" t="s">
        <v>153</v>
      </c>
      <c r="V28" s="195" t="s">
        <v>154</v>
      </c>
      <c r="W28" s="196"/>
      <c r="X28" s="196"/>
      <c r="Y28" s="196"/>
      <c r="Z28" s="196"/>
      <c r="AA28" s="196"/>
      <c r="AB28" s="196"/>
      <c r="AC28" s="197"/>
      <c r="AD28" s="197"/>
      <c r="AE28" s="175"/>
      <c r="AF28" s="175"/>
    </row>
    <row r="29">
      <c r="A29" s="183"/>
      <c r="B29" s="186" t="s">
        <v>163</v>
      </c>
      <c r="C29" s="185" t="s">
        <v>152</v>
      </c>
      <c r="D29" s="186">
        <f t="shared" si="42"/>
      </c>
      <c r="E29" s="186"/>
      <c r="F29" s="186"/>
      <c r="G29" s="187"/>
      <c r="H29" s="185"/>
      <c r="I29" s="188">
        <f t="shared" si="5"/>
      </c>
      <c r="J29" s="189">
        <f t="shared" si="26"/>
      </c>
      <c r="K29" s="190">
        <f t="shared" si="35"/>
      </c>
      <c r="L29" s="191">
        <f t="shared" si="29"/>
      </c>
      <c r="M29" s="191">
        <f t="shared" si="15"/>
      </c>
      <c r="N29" s="190">
        <f t="shared" si="21"/>
      </c>
      <c r="O29" s="191">
        <f t="shared" si="8"/>
      </c>
      <c r="P29" s="191">
        <f t="shared" si="12"/>
      </c>
      <c r="Q29" s="190">
        <f t="shared" si="37"/>
      </c>
      <c r="R29" s="192">
        <f t="shared" si="1"/>
      </c>
      <c r="S29" s="190">
        <f t="shared" si="23"/>
      </c>
      <c r="T29" s="193">
        <f t="shared" si="32"/>
      </c>
      <c r="U29" s="194" t="s">
        <v>153</v>
      </c>
      <c r="V29" s="195" t="s">
        <v>154</v>
      </c>
      <c r="W29" s="196"/>
      <c r="X29" s="196"/>
      <c r="Y29" s="196"/>
      <c r="Z29" s="196"/>
      <c r="AA29" s="196"/>
      <c r="AB29" s="196"/>
      <c r="AC29" s="197"/>
      <c r="AD29" s="197"/>
      <c r="AE29" s="175"/>
      <c r="AF29" s="175"/>
    </row>
    <row r="30">
      <c r="A30" s="183"/>
      <c r="B30" s="199" t="s">
        <v>158</v>
      </c>
      <c r="C30" s="199"/>
      <c r="D30" s="199">
        <f>SUM(D27:D29)</f>
      </c>
      <c r="E30" s="199">
        <f>SUM(E27:E29)</f>
      </c>
      <c r="F30" s="199">
        <f>SUM(F27:F29)</f>
      </c>
      <c r="G30" s="199">
        <f>SUM(G27:G29)</f>
      </c>
      <c r="H30" s="199">
        <f>SUM(H27:H29)</f>
      </c>
      <c r="I30" s="200">
        <f t="shared" si="5"/>
      </c>
      <c r="J30" s="201">
        <f t="shared" si="26"/>
      </c>
      <c r="K30" s="202">
        <f t="shared" si="35"/>
      </c>
      <c r="L30" s="203">
        <f t="shared" si="29"/>
      </c>
      <c r="M30" s="203">
        <f t="shared" si="15"/>
      </c>
      <c r="N30" s="202">
        <f t="shared" si="21"/>
      </c>
      <c r="O30" s="203">
        <f t="shared" si="8"/>
      </c>
      <c r="P30" s="203">
        <f t="shared" si="12"/>
      </c>
      <c r="Q30" s="202">
        <f t="shared" si="37"/>
      </c>
      <c r="R30" s="204">
        <f t="shared" si="1"/>
      </c>
      <c r="S30" s="202">
        <f t="shared" si="23"/>
      </c>
      <c r="T30" s="205">
        <f t="shared" si="32"/>
      </c>
      <c r="U30" s="205"/>
      <c r="V30" s="205"/>
      <c r="W30" s="199">
        <f>SUM(W27:W29)</f>
      </c>
      <c r="X30" s="199">
        <f>SUM(X27:X29)</f>
      </c>
      <c r="Y30" s="199">
        <f>SUM(Y27:Y29)</f>
      </c>
      <c r="Z30" s="199">
        <f>SUM(Z27:Z29)</f>
      </c>
      <c r="AA30" s="199">
        <f>SUM(AA27:AA29)</f>
      </c>
      <c r="AB30" s="199">
        <f>SUM(AB27:AB29)</f>
      </c>
      <c r="AC30" s="199">
        <f>SUM(AC27:AC29)</f>
      </c>
      <c r="AD30" s="199">
        <f>SUM(AD27:AD29)</f>
      </c>
      <c r="AE30" s="175"/>
      <c r="AF30" s="175"/>
    </row>
    <row r="31">
      <c r="A31" s="183"/>
      <c r="B31" s="206" t="s">
        <v>164</v>
      </c>
      <c r="C31" s="206"/>
      <c r="D31" s="207">
        <f>D26+D30</f>
      </c>
      <c r="E31" s="207">
        <f>E26+E30</f>
      </c>
      <c r="F31" s="207">
        <f>F26+F30</f>
      </c>
      <c r="G31" s="207">
        <f>G26+G30</f>
      </c>
      <c r="H31" s="207">
        <f>H26+H30</f>
      </c>
      <c r="I31" s="207">
        <f t="shared" si="5"/>
      </c>
      <c r="J31" s="208">
        <f t="shared" si="26"/>
      </c>
      <c r="K31" s="207">
        <f t="shared" si="35"/>
      </c>
      <c r="L31" s="209">
        <f t="shared" si="29"/>
      </c>
      <c r="M31" s="209">
        <f t="shared" si="15"/>
      </c>
      <c r="N31" s="207">
        <f t="shared" si="21"/>
      </c>
      <c r="O31" s="209">
        <f t="shared" si="8"/>
      </c>
      <c r="P31" s="209">
        <f t="shared" si="12"/>
      </c>
      <c r="Q31" s="207">
        <f t="shared" si="37"/>
      </c>
      <c r="R31" s="210">
        <f t="shared" si="1"/>
      </c>
      <c r="S31" s="207">
        <f t="shared" si="23"/>
      </c>
      <c r="T31" s="211">
        <f t="shared" si="32"/>
      </c>
      <c r="U31" s="211"/>
      <c r="V31" s="211"/>
      <c r="W31" s="212">
        <f>W26+W30</f>
      </c>
      <c r="X31" s="212">
        <f>X26+X30</f>
      </c>
      <c r="Y31" s="212">
        <f>Y26+Y30</f>
      </c>
      <c r="Z31" s="212">
        <f>Z26+Z30</f>
      </c>
      <c r="AA31" s="212">
        <f>AA26+AA30</f>
      </c>
      <c r="AB31" s="212">
        <f>AB26+AB30</f>
      </c>
      <c r="AC31" s="212">
        <f>AC26+AC30</f>
      </c>
      <c r="AD31" s="212">
        <f>AD26+AD30</f>
      </c>
      <c r="AE31" s="175"/>
      <c r="AF31" s="175"/>
    </row>
    <row r="32">
      <c r="D32" s="213" t="s">
        <v>165</v>
      </c>
      <c r="E32" s="214">
        <f>E33+E34+E35+E36</f>
      </c>
      <c r="G32" s="215">
        <f>G33-G31</f>
      </c>
      <c r="H32" s="215">
        <f>H33-H31</f>
      </c>
      <c r="W32">
        <f>W33-W31</f>
      </c>
      <c r="X32">
        <f>X33-X31</f>
      </c>
      <c r="Y32">
        <f>Y33-Y31</f>
      </c>
      <c r="Z32">
        <f>Z33-Z31</f>
      </c>
      <c r="AA32">
        <f>AA33-AA31</f>
      </c>
      <c r="AB32">
        <f>AB33-AB31</f>
      </c>
      <c r="AD32">
        <f>AD33-AD31</f>
      </c>
    </row>
    <row r="33">
      <c r="D33" s="216"/>
      <c r="E33" s="217">
        <v>55.73</v>
      </c>
      <c r="G33" s="218" cm="1">
        <f t="array" ref="G33:G33">IMPORTRANGE("https://meimeiwangluo.feishu.cn/sheets/H9zxsCZwehXFsptSIw5cuGJInuh","'Sheet1'!D1")</f>
      </c>
      <c r="H33" s="219" cm="1">
        <f t="array" ref="H33:H33">IMPORTRANGE("https://meimeiwangluo.feishu.cn/sheets/H9zxsCZwehXFsptSIw5cuGJInuh","'Sheet1'!F1")</f>
      </c>
    </row>
    <row r="34">
      <c r="D34" s="220"/>
      <c r="E34" s="217">
        <v>757.38</v>
      </c>
    </row>
    <row r="35">
      <c r="D35" s="220"/>
      <c r="E35" s="217"/>
    </row>
    <row r="36">
      <c r="D36" s="220"/>
      <c r="E36" s="217"/>
    </row>
    <row r="37"/>
    <row r="38">
      <c r="A38" s="221" t="s">
        <v>118</v>
      </c>
      <c r="B38" s="221"/>
      <c r="C38" s="221"/>
      <c r="D38" s="222" t="s">
        <v>119</v>
      </c>
      <c r="E38" s="222"/>
      <c r="F38" s="222"/>
      <c r="G38" s="222"/>
      <c r="H38" s="222"/>
      <c r="I38" s="222"/>
      <c r="J38" s="222"/>
      <c r="K38" s="223" t="s">
        <v>120</v>
      </c>
      <c r="L38" s="223"/>
      <c r="M38" s="223"/>
      <c r="N38" s="223"/>
      <c r="O38" s="223"/>
      <c r="P38" s="223"/>
      <c r="Q38" s="223"/>
      <c r="R38" s="223"/>
      <c r="S38" s="223"/>
      <c r="T38" s="223"/>
      <c r="U38" s="224"/>
      <c r="V38" s="224"/>
      <c r="W38" s="224"/>
      <c r="X38" s="225"/>
      <c r="Y38" s="225"/>
      <c r="Z38" s="225"/>
      <c r="AA38" s="225"/>
      <c r="AB38" s="225"/>
      <c r="AC38" s="225"/>
      <c r="AD38" s="225"/>
      <c r="AE38" s="226" t="s">
        <v>121</v>
      </c>
    </row>
    <row r="39">
      <c r="A39" s="221" t="s">
        <v>122</v>
      </c>
      <c r="B39" s="221" t="s">
        <v>123</v>
      </c>
      <c r="C39" s="221" t="s">
        <v>124</v>
      </c>
      <c r="D39" s="222" t="s">
        <v>125</v>
      </c>
      <c r="E39" s="227" t="s">
        <v>126</v>
      </c>
      <c r="F39" s="227" t="s">
        <v>127</v>
      </c>
      <c r="G39" s="227" t="s">
        <v>167</v>
      </c>
      <c r="H39" s="228" t="s">
        <v>128</v>
      </c>
      <c r="I39" s="229" t="s">
        <v>129</v>
      </c>
      <c r="J39" s="227" t="s">
        <v>130</v>
      </c>
      <c r="K39" s="223" t="s">
        <v>131</v>
      </c>
      <c r="L39" s="230" t="s">
        <v>132</v>
      </c>
      <c r="M39" s="231" t="s">
        <v>133</v>
      </c>
      <c r="N39" s="231" t="s">
        <v>134</v>
      </c>
      <c r="O39" s="230" t="s">
        <v>135</v>
      </c>
      <c r="P39" s="231" t="s">
        <v>136</v>
      </c>
      <c r="Q39" s="231" t="s">
        <v>137</v>
      </c>
      <c r="R39" s="230" t="s">
        <v>138</v>
      </c>
      <c r="S39" s="231" t="s">
        <v>139</v>
      </c>
      <c r="T39" s="230" t="s">
        <v>140</v>
      </c>
      <c r="U39" s="232" t="s">
        <v>141</v>
      </c>
      <c r="V39" s="232" t="s">
        <v>142</v>
      </c>
      <c r="W39" s="232" t="s">
        <v>143</v>
      </c>
      <c r="X39" s="233" t="s">
        <v>144</v>
      </c>
      <c r="Y39" s="234" t="s">
        <v>145</v>
      </c>
      <c r="Z39" s="234" t="s">
        <v>146</v>
      </c>
      <c r="AA39" s="234" t="s">
        <v>147</v>
      </c>
      <c r="AB39" s="234" t="s">
        <v>148</v>
      </c>
      <c r="AC39" s="234" t="s">
        <v>149</v>
      </c>
      <c r="AD39" s="234" t="s">
        <v>150</v>
      </c>
      <c r="AE39" s="226"/>
    </row>
    <row r="40">
      <c r="A40" s="235">
        <v>46312</v>
      </c>
      <c r="B40" s="236" t="s">
        <v>168</v>
      </c>
      <c r="C40" s="237" t="s">
        <v>169</v>
      </c>
      <c r="D40" s="198">
        <f t="shared" ref="D40:D43" si="17">E40+F40+G40</f>
      </c>
      <c r="E40" s="198"/>
      <c r="F40" s="198"/>
      <c r="G40" s="237"/>
      <c r="H40" s="238"/>
      <c r="I40" s="237"/>
      <c r="J40" s="239">
        <f t="shared" ref="J40:J55" si="6">I40/D40</f>
      </c>
      <c r="K40" s="240">
        <f t="shared" ref="K40:K55" si="27">Z40/Y40</f>
      </c>
      <c r="L40" s="241">
        <f t="shared" ref="L40:L55" si="10">D40/AA40</f>
      </c>
      <c r="M40" s="242">
        <f t="shared" ref="M40:M55" si="30">AB40/AA40</f>
      </c>
      <c r="N40" s="242">
        <f t="shared" ref="N40:N55" si="16">AC40/AA40</f>
      </c>
      <c r="O40" s="241">
        <f t="shared" ref="O40:O55" si="38">D40/AC40</f>
      </c>
      <c r="P40" s="242">
        <f t="shared" ref="P40:P55" si="9">AD40/AC40</f>
      </c>
      <c r="Q40" s="242">
        <f t="shared" ref="Q40:Q55" si="13">H40/AD40</f>
      </c>
      <c r="R40" s="241">
        <f t="shared" ref="R40:R55" si="3">D40/H40</f>
      </c>
      <c r="S40" s="243">
        <f t="shared" ref="S40:S55" si="2">I40/H40</f>
      </c>
      <c r="T40" s="241">
        <f t="shared" ref="T40:T55" si="24">D40/X40</f>
      </c>
      <c r="U40" s="244">
        <f t="shared" ref="U40:U55" si="33">AE40*1000/D40</f>
      </c>
      <c r="V40" s="245" t="s">
        <v>153</v>
      </c>
      <c r="W40" s="246" t="s">
        <v>154</v>
      </c>
      <c r="X40" s="247"/>
      <c r="Y40" s="247"/>
      <c r="Z40" s="247"/>
      <c r="AA40" s="247"/>
      <c r="AB40" s="247"/>
      <c r="AC40" s="247"/>
      <c r="AD40" s="248"/>
      <c r="AE40" s="248"/>
    </row>
    <row r="41">
      <c r="A41" s="235"/>
      <c r="B41" s="236" t="s">
        <v>170</v>
      </c>
      <c r="C41" s="237" t="s">
        <v>169</v>
      </c>
      <c r="D41" s="198">
        <f t="shared" si="17"/>
      </c>
      <c r="E41" s="249"/>
      <c r="F41" s="198"/>
      <c r="G41" s="237"/>
      <c r="H41" s="238"/>
      <c r="I41" s="237"/>
      <c r="J41" s="239">
        <f t="shared" si="6"/>
      </c>
      <c r="K41" s="240">
        <f t="shared" si="27"/>
      </c>
      <c r="L41" s="241">
        <f t="shared" si="10"/>
      </c>
      <c r="M41" s="242">
        <f t="shared" si="30"/>
      </c>
      <c r="N41" s="242">
        <f t="shared" si="16"/>
      </c>
      <c r="O41" s="241">
        <f t="shared" si="38"/>
      </c>
      <c r="P41" s="242">
        <f t="shared" si="9"/>
      </c>
      <c r="Q41" s="242">
        <f t="shared" si="13"/>
      </c>
      <c r="R41" s="241">
        <f t="shared" si="3"/>
      </c>
      <c r="S41" s="243">
        <f t="shared" si="2"/>
      </c>
      <c r="T41" s="241">
        <f t="shared" si="24"/>
      </c>
      <c r="U41" s="244">
        <f t="shared" si="33"/>
      </c>
      <c r="V41" s="245" t="s">
        <v>153</v>
      </c>
      <c r="W41" s="246" t="s">
        <v>154</v>
      </c>
      <c r="X41" s="247"/>
      <c r="Y41" s="247"/>
      <c r="Z41" s="247"/>
      <c r="AA41" s="247"/>
      <c r="AB41" s="247"/>
      <c r="AC41" s="247"/>
      <c r="AD41" s="248"/>
      <c r="AE41" s="247"/>
    </row>
    <row r="42">
      <c r="A42" s="235"/>
      <c r="B42" s="236" t="s">
        <v>171</v>
      </c>
      <c r="C42" s="237" t="s">
        <v>169</v>
      </c>
      <c r="D42" s="198">
        <f t="shared" si="17"/>
      </c>
      <c r="E42" s="198"/>
      <c r="F42" s="198"/>
      <c r="G42" s="237"/>
      <c r="H42" s="238"/>
      <c r="I42" s="237"/>
      <c r="J42" s="239">
        <f t="shared" si="6"/>
      </c>
      <c r="K42" s="240">
        <f t="shared" si="27"/>
      </c>
      <c r="L42" s="241">
        <f t="shared" si="10"/>
      </c>
      <c r="M42" s="242">
        <f t="shared" si="30"/>
      </c>
      <c r="N42" s="242">
        <f t="shared" si="16"/>
      </c>
      <c r="O42" s="241">
        <f t="shared" si="38"/>
      </c>
      <c r="P42" s="242">
        <f t="shared" si="9"/>
      </c>
      <c r="Q42" s="242">
        <f t="shared" si="13"/>
      </c>
      <c r="R42" s="241">
        <f t="shared" si="3"/>
      </c>
      <c r="S42" s="243">
        <f t="shared" si="2"/>
      </c>
      <c r="T42" s="241">
        <f t="shared" si="24"/>
      </c>
      <c r="U42" s="244">
        <f t="shared" si="33"/>
      </c>
      <c r="V42" s="245" t="s">
        <v>153</v>
      </c>
      <c r="W42" s="246" t="s">
        <v>154</v>
      </c>
      <c r="X42" s="247"/>
      <c r="Y42" s="247"/>
      <c r="Z42" s="247"/>
      <c r="AA42" s="247"/>
      <c r="AB42" s="247"/>
      <c r="AC42" s="247"/>
      <c r="AD42" s="248"/>
      <c r="AE42" s="247"/>
    </row>
    <row r="43">
      <c r="A43" s="235"/>
      <c r="B43" s="236" t="s">
        <v>172</v>
      </c>
      <c r="C43" s="237" t="s">
        <v>169</v>
      </c>
      <c r="D43" s="198">
        <f t="shared" si="17"/>
      </c>
      <c r="E43" s="198"/>
      <c r="F43" s="198"/>
      <c r="G43" s="237"/>
      <c r="H43" s="238"/>
      <c r="I43" s="237"/>
      <c r="J43" s="239">
        <f t="shared" si="6"/>
      </c>
      <c r="K43" s="240">
        <f t="shared" si="27"/>
      </c>
      <c r="L43" s="241">
        <f t="shared" si="10"/>
      </c>
      <c r="M43" s="242">
        <f t="shared" si="30"/>
      </c>
      <c r="N43" s="242">
        <f t="shared" si="16"/>
      </c>
      <c r="O43" s="241">
        <f t="shared" si="38"/>
      </c>
      <c r="P43" s="242">
        <f t="shared" si="9"/>
      </c>
      <c r="Q43" s="242">
        <f t="shared" si="13"/>
      </c>
      <c r="R43" s="241">
        <f t="shared" si="3"/>
      </c>
      <c r="S43" s="243">
        <f t="shared" si="2"/>
      </c>
      <c r="T43" s="241">
        <f t="shared" si="24"/>
      </c>
      <c r="U43" s="244">
        <f t="shared" si="33"/>
      </c>
      <c r="V43" s="245" t="s">
        <v>153</v>
      </c>
      <c r="W43" s="246" t="s">
        <v>154</v>
      </c>
      <c r="X43" s="247"/>
      <c r="Y43" s="247"/>
      <c r="Z43" s="247"/>
      <c r="AA43" s="247"/>
      <c r="AB43" s="247"/>
      <c r="AC43" s="247"/>
      <c r="AD43" s="248"/>
      <c r="AE43" s="247"/>
    </row>
    <row r="44">
      <c r="A44" s="235"/>
      <c r="B44" s="250" t="s">
        <v>158</v>
      </c>
      <c r="C44" s="250"/>
      <c r="D44" s="250">
        <f>SUM(D40:D43)</f>
      </c>
      <c r="E44" s="250">
        <f>SUM(E40:E43)</f>
      </c>
      <c r="F44" s="250">
        <f>SUM(F40:F43)</f>
      </c>
      <c r="G44" s="250">
        <f>SUM(G40:G43)</f>
      </c>
      <c r="H44" s="250">
        <f>SUM(H40:H43)</f>
      </c>
      <c r="I44" s="250">
        <f>SUM(I40:I43)</f>
      </c>
      <c r="J44" s="251">
        <f t="shared" si="6"/>
      </c>
      <c r="K44" s="252">
        <f t="shared" si="27"/>
      </c>
      <c r="L44" s="253">
        <f t="shared" si="10"/>
      </c>
      <c r="M44" s="254">
        <f t="shared" si="30"/>
      </c>
      <c r="N44" s="254">
        <f t="shared" si="16"/>
      </c>
      <c r="O44" s="253">
        <f t="shared" si="38"/>
      </c>
      <c r="P44" s="254">
        <f t="shared" si="9"/>
      </c>
      <c r="Q44" s="254">
        <f t="shared" si="13"/>
      </c>
      <c r="R44" s="253">
        <f t="shared" si="3"/>
      </c>
      <c r="S44" s="255">
        <f t="shared" si="2"/>
      </c>
      <c r="T44" s="253">
        <f t="shared" si="24"/>
      </c>
      <c r="U44" s="256">
        <f t="shared" si="33"/>
      </c>
      <c r="V44" s="256"/>
      <c r="W44" s="256"/>
      <c r="X44" s="250">
        <f>SUM(X40:X43)</f>
      </c>
      <c r="Y44" s="250">
        <f>SUM(Y40:Y43)</f>
      </c>
      <c r="Z44" s="250">
        <f>SUM(Z40:Z43)</f>
      </c>
      <c r="AA44" s="250">
        <f>SUM(AA40:AA43)</f>
      </c>
      <c r="AB44" s="250">
        <f>SUM(AB40:AB43)</f>
      </c>
      <c r="AC44" s="250">
        <f>SUM(AC40:AC43)</f>
      </c>
      <c r="AD44" s="250">
        <f>SUM(AD40:AD43)</f>
      </c>
      <c r="AE44" s="250">
        <f>SUM(AE40:AE43)</f>
      </c>
    </row>
    <row r="45">
      <c r="A45" s="235"/>
      <c r="B45" s="236" t="s">
        <v>151</v>
      </c>
      <c r="C45" s="185" t="s">
        <v>173</v>
      </c>
      <c r="D45" s="198">
        <f t="shared" ref="D45:D48" si="18">E45+F45+G45</f>
      </c>
      <c r="E45" s="198"/>
      <c r="F45" s="198"/>
      <c r="G45" s="237"/>
      <c r="H45" s="238"/>
      <c r="I45" s="237"/>
      <c r="J45" s="239">
        <f t="shared" si="6"/>
      </c>
      <c r="K45" s="240">
        <f t="shared" si="27"/>
      </c>
      <c r="L45" s="241">
        <f t="shared" si="10"/>
      </c>
      <c r="M45" s="242">
        <f t="shared" si="30"/>
      </c>
      <c r="N45" s="242">
        <f t="shared" si="16"/>
      </c>
      <c r="O45" s="241">
        <f t="shared" si="38"/>
      </c>
      <c r="P45" s="242">
        <f t="shared" si="9"/>
      </c>
      <c r="Q45" s="242">
        <f t="shared" si="13"/>
      </c>
      <c r="R45" s="241">
        <f t="shared" si="3"/>
      </c>
      <c r="S45" s="243">
        <f t="shared" si="2"/>
      </c>
      <c r="T45" s="241">
        <f t="shared" si="24"/>
      </c>
      <c r="U45" s="244">
        <f t="shared" si="33"/>
      </c>
      <c r="V45" s="257" t="s">
        <v>174</v>
      </c>
      <c r="W45" s="246" t="s">
        <v>154</v>
      </c>
      <c r="X45" s="247"/>
      <c r="Y45" s="247"/>
      <c r="Z45" s="247"/>
      <c r="AA45" s="247"/>
      <c r="AB45" s="247"/>
      <c r="AC45" s="247"/>
      <c r="AD45" s="248"/>
      <c r="AE45" s="247"/>
    </row>
    <row r="46">
      <c r="A46" s="235"/>
      <c r="B46" s="258" t="s">
        <v>155</v>
      </c>
      <c r="C46" s="185" t="s">
        <v>173</v>
      </c>
      <c r="D46" s="198">
        <f t="shared" si="18"/>
      </c>
      <c r="E46" s="237"/>
      <c r="F46" s="198"/>
      <c r="G46" s="237"/>
      <c r="H46" s="238"/>
      <c r="I46" s="237"/>
      <c r="J46" s="239">
        <f t="shared" si="6"/>
      </c>
      <c r="K46" s="240">
        <f t="shared" si="27"/>
      </c>
      <c r="L46" s="241">
        <f t="shared" si="10"/>
      </c>
      <c r="M46" s="242">
        <f t="shared" si="30"/>
      </c>
      <c r="N46" s="242">
        <f t="shared" si="16"/>
      </c>
      <c r="O46" s="241">
        <f t="shared" si="38"/>
      </c>
      <c r="P46" s="242">
        <f t="shared" si="9"/>
      </c>
      <c r="Q46" s="242">
        <f t="shared" si="13"/>
      </c>
      <c r="R46" s="241">
        <f t="shared" si="3"/>
      </c>
      <c r="S46" s="243">
        <f t="shared" si="2"/>
      </c>
      <c r="T46" s="241">
        <f t="shared" si="24"/>
      </c>
      <c r="U46" s="244">
        <f t="shared" si="33"/>
      </c>
      <c r="V46" s="257" t="s">
        <v>174</v>
      </c>
      <c r="W46" s="246" t="s">
        <v>154</v>
      </c>
      <c r="X46" s="247"/>
      <c r="Y46" s="247"/>
      <c r="Z46" s="247"/>
      <c r="AA46" s="247"/>
      <c r="AB46" s="247"/>
      <c r="AC46" s="247"/>
      <c r="AD46" s="248"/>
      <c r="AE46" s="248"/>
    </row>
    <row r="47">
      <c r="A47" s="235"/>
      <c r="B47" s="236" t="s">
        <v>156</v>
      </c>
      <c r="C47" s="185" t="s">
        <v>173</v>
      </c>
      <c r="D47" s="198">
        <f t="shared" si="18"/>
      </c>
      <c r="E47" s="198"/>
      <c r="F47" s="198"/>
      <c r="G47" s="237"/>
      <c r="H47" s="238"/>
      <c r="I47" s="237"/>
      <c r="J47" s="239">
        <f t="shared" si="6"/>
      </c>
      <c r="K47" s="240">
        <f t="shared" si="27"/>
      </c>
      <c r="L47" s="241">
        <f t="shared" si="10"/>
      </c>
      <c r="M47" s="242">
        <f t="shared" si="30"/>
      </c>
      <c r="N47" s="242">
        <f t="shared" si="16"/>
      </c>
      <c r="O47" s="241">
        <f t="shared" si="38"/>
      </c>
      <c r="P47" s="242">
        <f t="shared" si="9"/>
      </c>
      <c r="Q47" s="242">
        <f t="shared" si="13"/>
      </c>
      <c r="R47" s="241">
        <f t="shared" si="3"/>
      </c>
      <c r="S47" s="243">
        <f t="shared" si="2"/>
      </c>
      <c r="T47" s="241">
        <f t="shared" si="24"/>
      </c>
      <c r="U47" s="244">
        <f t="shared" si="33"/>
      </c>
      <c r="V47" s="257" t="s">
        <v>174</v>
      </c>
      <c r="W47" s="246" t="s">
        <v>154</v>
      </c>
      <c r="X47" s="247"/>
      <c r="Y47" s="247"/>
      <c r="Z47" s="247"/>
      <c r="AA47" s="247"/>
      <c r="AB47" s="247"/>
      <c r="AC47" s="247"/>
      <c r="AD47" s="248"/>
      <c r="AE47" s="247"/>
    </row>
    <row r="48">
      <c r="A48" s="235"/>
      <c r="B48" s="236" t="s">
        <v>157</v>
      </c>
      <c r="C48" s="185" t="s">
        <v>173</v>
      </c>
      <c r="D48" s="198">
        <f t="shared" si="18"/>
      </c>
      <c r="E48" s="198"/>
      <c r="F48" s="198"/>
      <c r="G48" s="237"/>
      <c r="H48" s="238"/>
      <c r="I48" s="237"/>
      <c r="J48" s="239">
        <f t="shared" si="6"/>
      </c>
      <c r="K48" s="240">
        <f t="shared" si="27"/>
      </c>
      <c r="L48" s="241">
        <f t="shared" si="10"/>
      </c>
      <c r="M48" s="242">
        <f t="shared" si="30"/>
      </c>
      <c r="N48" s="242">
        <f t="shared" si="16"/>
      </c>
      <c r="O48" s="241">
        <f t="shared" si="38"/>
      </c>
      <c r="P48" s="242">
        <f t="shared" si="9"/>
      </c>
      <c r="Q48" s="242">
        <f t="shared" si="13"/>
      </c>
      <c r="R48" s="241">
        <f t="shared" si="3"/>
      </c>
      <c r="S48" s="243">
        <f t="shared" si="2"/>
      </c>
      <c r="T48" s="241">
        <f t="shared" si="24"/>
      </c>
      <c r="U48" s="244">
        <f t="shared" si="33"/>
      </c>
      <c r="V48" s="257" t="s">
        <v>174</v>
      </c>
      <c r="W48" s="246" t="s">
        <v>154</v>
      </c>
      <c r="X48" s="247"/>
      <c r="Y48" s="247"/>
      <c r="Z48" s="247"/>
      <c r="AA48" s="247"/>
      <c r="AB48" s="247"/>
      <c r="AC48" s="247"/>
      <c r="AD48" s="248"/>
      <c r="AE48" s="248"/>
    </row>
    <row r="49">
      <c r="A49" s="235"/>
      <c r="B49" s="250" t="s">
        <v>158</v>
      </c>
      <c r="C49" s="250"/>
      <c r="D49" s="250">
        <f>SUM(D45:D48)</f>
      </c>
      <c r="E49" s="250">
        <f>SUM(E45:E48)</f>
      </c>
      <c r="F49" s="250">
        <f>SUM(F45:F48)</f>
      </c>
      <c r="G49" s="250">
        <f>SUM(G45:G48)</f>
      </c>
      <c r="H49" s="250">
        <f>SUM(H45:H48)</f>
      </c>
      <c r="I49" s="250">
        <f>SUM(I45:I48)</f>
      </c>
      <c r="J49" s="251">
        <f t="shared" si="6"/>
      </c>
      <c r="K49" s="252">
        <f t="shared" si="27"/>
      </c>
      <c r="L49" s="253">
        <f t="shared" si="10"/>
      </c>
      <c r="M49" s="254">
        <f t="shared" si="30"/>
      </c>
      <c r="N49" s="254">
        <f t="shared" si="16"/>
      </c>
      <c r="O49" s="253">
        <f t="shared" si="38"/>
      </c>
      <c r="P49" s="254">
        <f t="shared" si="9"/>
      </c>
      <c r="Q49" s="254">
        <f t="shared" si="13"/>
      </c>
      <c r="R49" s="253">
        <f t="shared" si="3"/>
      </c>
      <c r="S49" s="255">
        <f t="shared" si="2"/>
      </c>
      <c r="T49" s="253">
        <f t="shared" si="24"/>
      </c>
      <c r="U49" s="256">
        <f t="shared" si="33"/>
      </c>
      <c r="V49" s="256"/>
      <c r="W49" s="256"/>
      <c r="X49" s="250">
        <f>SUM(X45:X48)</f>
      </c>
      <c r="Y49" s="250">
        <f>SUM(Y45:Y48)</f>
      </c>
      <c r="Z49" s="250">
        <f>SUM(Z45:Z48)</f>
      </c>
      <c r="AA49" s="250">
        <f>SUM(AA45:AA48)</f>
      </c>
      <c r="AB49" s="250">
        <f>SUM(AB45:AB48)</f>
      </c>
      <c r="AC49" s="250">
        <f>SUM(AC45:AC48)</f>
      </c>
      <c r="AD49" s="250">
        <f>SUM(AD45:AD48)</f>
      </c>
      <c r="AE49" s="250">
        <f>SUM(AE45:AE48)</f>
      </c>
    </row>
    <row r="50">
      <c r="A50" s="235"/>
      <c r="B50" s="236" t="s">
        <v>159</v>
      </c>
      <c r="C50" s="185" t="s">
        <v>175</v>
      </c>
      <c r="D50" s="198">
        <f t="shared" ref="D50:D53" si="19">E50+F50+G50</f>
      </c>
      <c r="E50" s="198"/>
      <c r="F50" s="198"/>
      <c r="G50" s="237"/>
      <c r="H50" s="238"/>
      <c r="I50" s="237"/>
      <c r="J50" s="239">
        <f t="shared" si="6"/>
      </c>
      <c r="K50" s="240">
        <f t="shared" si="27"/>
      </c>
      <c r="L50" s="241">
        <f t="shared" si="10"/>
      </c>
      <c r="M50" s="242">
        <f t="shared" si="30"/>
      </c>
      <c r="N50" s="242">
        <f t="shared" si="16"/>
      </c>
      <c r="O50" s="241">
        <f t="shared" si="38"/>
      </c>
      <c r="P50" s="242">
        <f t="shared" si="9"/>
      </c>
      <c r="Q50" s="242">
        <f t="shared" si="13"/>
      </c>
      <c r="R50" s="241">
        <f t="shared" si="3"/>
      </c>
      <c r="S50" s="243">
        <f t="shared" si="2"/>
      </c>
      <c r="T50" s="241">
        <f t="shared" si="24"/>
      </c>
      <c r="U50" s="244">
        <f t="shared" si="33"/>
      </c>
      <c r="V50" s="257" t="s">
        <v>174</v>
      </c>
      <c r="W50" s="246" t="s">
        <v>154</v>
      </c>
      <c r="X50" s="247"/>
      <c r="Y50" s="247"/>
      <c r="Z50" s="247"/>
      <c r="AA50" s="247"/>
      <c r="AB50" s="247"/>
      <c r="AC50" s="247"/>
      <c r="AD50" s="248"/>
      <c r="AE50" s="248"/>
    </row>
    <row r="51">
      <c r="A51" s="235"/>
      <c r="B51" s="259" t="s">
        <v>161</v>
      </c>
      <c r="C51" s="185" t="s">
        <v>175</v>
      </c>
      <c r="D51" s="198">
        <f t="shared" si="19"/>
      </c>
      <c r="E51" s="198"/>
      <c r="F51" s="198"/>
      <c r="G51" s="237"/>
      <c r="H51" s="238"/>
      <c r="I51" s="237"/>
      <c r="J51" s="239">
        <f t="shared" si="6"/>
      </c>
      <c r="K51" s="240">
        <f t="shared" si="27"/>
      </c>
      <c r="L51" s="241">
        <f t="shared" si="10"/>
      </c>
      <c r="M51" s="242">
        <f t="shared" si="30"/>
      </c>
      <c r="N51" s="242">
        <f t="shared" si="16"/>
      </c>
      <c r="O51" s="241">
        <f t="shared" si="38"/>
      </c>
      <c r="P51" s="242">
        <f t="shared" si="9"/>
      </c>
      <c r="Q51" s="242">
        <f t="shared" si="13"/>
      </c>
      <c r="R51" s="241">
        <f t="shared" si="3"/>
      </c>
      <c r="S51" s="243">
        <f t="shared" si="2"/>
      </c>
      <c r="T51" s="241">
        <f t="shared" si="24"/>
      </c>
      <c r="U51" s="244">
        <f t="shared" si="33"/>
      </c>
      <c r="V51" s="257" t="s">
        <v>174</v>
      </c>
      <c r="W51" s="246" t="s">
        <v>154</v>
      </c>
      <c r="X51" s="247"/>
      <c r="Y51" s="247"/>
      <c r="Z51" s="247"/>
      <c r="AA51" s="247"/>
      <c r="AB51" s="247"/>
      <c r="AC51" s="247"/>
      <c r="AD51" s="248"/>
      <c r="AE51" s="248"/>
    </row>
    <row r="52">
      <c r="A52" s="235"/>
      <c r="B52" s="259" t="s">
        <v>162</v>
      </c>
      <c r="C52" s="185" t="s">
        <v>175</v>
      </c>
      <c r="D52" s="198">
        <f t="shared" si="19"/>
      </c>
      <c r="E52" s="198"/>
      <c r="F52" s="198"/>
      <c r="G52" s="237"/>
      <c r="H52" s="238"/>
      <c r="I52" s="237"/>
      <c r="J52" s="239">
        <f t="shared" si="6"/>
      </c>
      <c r="K52" s="240">
        <f t="shared" si="27"/>
      </c>
      <c r="L52" s="241">
        <f t="shared" si="10"/>
      </c>
      <c r="M52" s="242">
        <f t="shared" si="30"/>
      </c>
      <c r="N52" s="242">
        <f t="shared" si="16"/>
      </c>
      <c r="O52" s="241">
        <f t="shared" si="38"/>
      </c>
      <c r="P52" s="242">
        <f t="shared" si="9"/>
      </c>
      <c r="Q52" s="242">
        <f t="shared" si="13"/>
      </c>
      <c r="R52" s="241">
        <f t="shared" si="3"/>
      </c>
      <c r="S52" s="243">
        <f t="shared" si="2"/>
      </c>
      <c r="T52" s="241">
        <f t="shared" si="24"/>
      </c>
      <c r="U52" s="244">
        <f t="shared" si="33"/>
      </c>
      <c r="V52" s="257" t="s">
        <v>174</v>
      </c>
      <c r="W52" s="246" t="s">
        <v>154</v>
      </c>
      <c r="X52" s="247"/>
      <c r="Y52" s="247"/>
      <c r="Z52" s="247"/>
      <c r="AA52" s="247"/>
      <c r="AB52" s="247"/>
      <c r="AC52" s="247"/>
      <c r="AD52" s="248"/>
      <c r="AE52" s="248"/>
    </row>
    <row r="53">
      <c r="A53" s="235"/>
      <c r="B53" s="236" t="s">
        <v>163</v>
      </c>
      <c r="C53" s="185" t="s">
        <v>175</v>
      </c>
      <c r="D53" s="198">
        <f t="shared" si="19"/>
      </c>
      <c r="E53" s="198"/>
      <c r="F53" s="198"/>
      <c r="G53" s="237"/>
      <c r="H53" s="238"/>
      <c r="I53" s="237"/>
      <c r="J53" s="239">
        <f t="shared" si="6"/>
      </c>
      <c r="K53" s="240">
        <f t="shared" si="27"/>
      </c>
      <c r="L53" s="241">
        <f t="shared" si="10"/>
      </c>
      <c r="M53" s="242">
        <f t="shared" si="30"/>
      </c>
      <c r="N53" s="242">
        <f t="shared" si="16"/>
      </c>
      <c r="O53" s="241">
        <f t="shared" si="38"/>
      </c>
      <c r="P53" s="242">
        <f t="shared" si="9"/>
      </c>
      <c r="Q53" s="242">
        <f t="shared" si="13"/>
      </c>
      <c r="R53" s="241">
        <f t="shared" si="3"/>
      </c>
      <c r="S53" s="243">
        <f t="shared" si="2"/>
      </c>
      <c r="T53" s="241">
        <f t="shared" si="24"/>
      </c>
      <c r="U53" s="244">
        <f t="shared" si="33"/>
      </c>
      <c r="V53" s="257" t="s">
        <v>174</v>
      </c>
      <c r="W53" s="246" t="s">
        <v>154</v>
      </c>
      <c r="X53" s="247"/>
      <c r="Y53" s="247"/>
      <c r="Z53" s="247"/>
      <c r="AA53" s="247"/>
      <c r="AB53" s="247"/>
      <c r="AC53" s="247"/>
      <c r="AD53" s="248"/>
      <c r="AE53" s="248"/>
    </row>
    <row r="54">
      <c r="A54" s="235"/>
      <c r="B54" s="250" t="s">
        <v>158</v>
      </c>
      <c r="C54" s="250"/>
      <c r="D54" s="250">
        <f>SUM(D50:D53)</f>
      </c>
      <c r="E54" s="250">
        <f>SUM(E50:E53)</f>
      </c>
      <c r="F54" s="250">
        <f>SUM(F50:F53)</f>
      </c>
      <c r="G54" s="250">
        <f>SUM(G50:G53)</f>
      </c>
      <c r="H54" s="250">
        <f>SUM(H50:H53)</f>
      </c>
      <c r="I54" s="250">
        <f>SUM(I50:I53)</f>
      </c>
      <c r="J54" s="251">
        <f t="shared" si="6"/>
      </c>
      <c r="K54" s="252">
        <f t="shared" si="27"/>
      </c>
      <c r="L54" s="253">
        <f t="shared" si="10"/>
      </c>
      <c r="M54" s="254">
        <f t="shared" si="30"/>
      </c>
      <c r="N54" s="254">
        <f t="shared" si="16"/>
      </c>
      <c r="O54" s="253">
        <f t="shared" si="38"/>
      </c>
      <c r="P54" s="254">
        <f t="shared" si="9"/>
      </c>
      <c r="Q54" s="254">
        <f t="shared" si="13"/>
      </c>
      <c r="R54" s="253">
        <f t="shared" si="3"/>
      </c>
      <c r="S54" s="255">
        <f t="shared" si="2"/>
      </c>
      <c r="T54" s="253">
        <f t="shared" si="24"/>
      </c>
      <c r="U54" s="256">
        <f t="shared" si="33"/>
      </c>
      <c r="V54" s="256"/>
      <c r="W54" s="256"/>
      <c r="X54" s="250">
        <f>SUM(X50:X53)</f>
      </c>
      <c r="Y54" s="250">
        <f>SUM(Y50:Y53)</f>
      </c>
      <c r="Z54" s="250">
        <f>SUM(Z50:Z53)</f>
      </c>
      <c r="AA54" s="250">
        <f>SUM(AA50:AA53)</f>
      </c>
      <c r="AB54" s="250">
        <f>SUM(AB50:AB53)</f>
      </c>
      <c r="AC54" s="250">
        <f>SUM(AC50:AC53)</f>
      </c>
      <c r="AD54" s="250">
        <f>SUM(AD50:AD53)</f>
      </c>
      <c r="AE54" s="250">
        <f>SUM(AE50:AE53)</f>
      </c>
    </row>
    <row r="55">
      <c r="A55" s="235"/>
      <c r="B55" s="260" t="s">
        <v>164</v>
      </c>
      <c r="C55" s="260"/>
      <c r="D55" s="261">
        <f>D44+D49+D54</f>
      </c>
      <c r="E55" s="261">
        <f>E44+E49+E54</f>
      </c>
      <c r="F55" s="261">
        <f>F44+F49+F54</f>
      </c>
      <c r="G55" s="261">
        <f>G44+G49+G54</f>
      </c>
      <c r="H55" s="261">
        <f>H44+H49+H54</f>
      </c>
      <c r="I55" s="261">
        <f>I44+I49+I54</f>
      </c>
      <c r="J55" s="261">
        <f t="shared" si="6"/>
      </c>
      <c r="K55" s="262">
        <f t="shared" si="27"/>
      </c>
      <c r="L55" s="261">
        <f t="shared" si="10"/>
      </c>
      <c r="M55" s="263">
        <f t="shared" si="30"/>
      </c>
      <c r="N55" s="263">
        <f t="shared" si="16"/>
      </c>
      <c r="O55" s="261">
        <f t="shared" si="38"/>
      </c>
      <c r="P55" s="263">
        <f t="shared" si="9"/>
      </c>
      <c r="Q55" s="263">
        <f t="shared" si="13"/>
      </c>
      <c r="R55" s="261">
        <f t="shared" si="3"/>
      </c>
      <c r="S55" s="264">
        <f t="shared" si="2"/>
      </c>
      <c r="T55" s="261">
        <f t="shared" si="24"/>
      </c>
      <c r="U55" s="265">
        <f t="shared" si="33"/>
      </c>
      <c r="V55" s="265"/>
      <c r="W55" s="265"/>
      <c r="X55" s="266">
        <f>X44+X49+X54</f>
      </c>
      <c r="Y55" s="266">
        <f>Y44+Y49+Y54</f>
      </c>
      <c r="Z55" s="266">
        <f>Z44+Z49+Z54</f>
      </c>
      <c r="AA55" s="266">
        <f>AA44+AA49+AA54</f>
      </c>
      <c r="AB55" s="266">
        <f>AB44+AB49+AB54</f>
      </c>
      <c r="AC55" s="266">
        <f>AC44+AC49+AC54</f>
      </c>
      <c r="AD55" s="266">
        <f>AD44+AD49+AD54</f>
      </c>
      <c r="AE55" s="266">
        <f>AE44+AE49+AE54</f>
      </c>
    </row>
    <row r="56">
      <c r="H56" s="267">
        <f>H57-H55</f>
      </c>
      <c r="I56" s="267">
        <f>I57-I55</f>
      </c>
      <c r="AE56" s="267">
        <f>AE57-AE48-AE54</f>
      </c>
      <c r="AF56" s="267"/>
    </row>
    <row r="57">
      <c r="H57" s="268"/>
      <c r="I57" s="267"/>
      <c r="AE57" s="268"/>
      <c r="AF57" s="267"/>
    </row>
  </sheetData>
  <mergeCells>
    <mergeCell ref="AD19:AD20"/>
    <mergeCell ref="J19:S19"/>
    <mergeCell ref="D19:I19"/>
    <mergeCell ref="A19:C19"/>
    <mergeCell ref="A21:A31"/>
    <mergeCell ref="B26:C26"/>
    <mergeCell ref="B30:C30"/>
    <mergeCell ref="B31:C31"/>
    <mergeCell ref="B13:C13"/>
    <mergeCell ref="B12:C12"/>
    <mergeCell ref="A3:A13"/>
    <mergeCell ref="AD1:AD2"/>
    <mergeCell ref="J1:S1"/>
    <mergeCell ref="D1:I1"/>
    <mergeCell ref="A1:C1"/>
    <mergeCell ref="B7:C7"/>
    <mergeCell ref="A38:C38"/>
    <mergeCell ref="D38:J38"/>
    <mergeCell ref="K38:T38"/>
    <mergeCell ref="AE38:AE39"/>
    <mergeCell ref="A40:A55"/>
    <mergeCell ref="B44:C44"/>
    <mergeCell ref="B49:C49"/>
    <mergeCell ref="B54:C54"/>
    <mergeCell ref="B55:C5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