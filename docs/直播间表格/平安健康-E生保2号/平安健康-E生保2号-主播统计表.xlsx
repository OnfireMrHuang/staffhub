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7"/>
    <sheet name="便捷表勿删" sheetId="4" r:id="rId9"/>
  </sheets>
  <calcPr calcMode="auto"/>
  <pivotCaches>
    <pivotCache cacheId="1" r:id="rId6"/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<sst xmlns="http://schemas.openxmlformats.org/spreadsheetml/2006/main" count="197" uniqueCount="197">
  <si>
    <t xml:space="preserve">  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</si>
  <si>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</si>
  <si>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</si>
  <si>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</si>
  <si>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</si>
  <si>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</si>
  <si>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</si>
  <si>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</si>
  <si>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</si>
  <si>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</si>
  <si>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</si>
  <si>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</si>
  <si>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e生保长期保单数</t>
  </si>
  <si>
    <t xml:space="preserve">e生保长期年化保费</t>
  </si>
  <si>
    <t xml:space="preserve">终身保保单</t>
  </si>
  <si>
    <t xml:space="preserve">终身保年化保费</t>
  </si>
  <si>
    <t xml:space="preserve">e惠保保单数</t>
  </si>
  <si>
    <t xml:space="preserve">e惠保年化保费</t>
  </si>
  <si>
    <t xml:space="preserve">家庭单数量</t>
  </si>
  <si>
    <t xml:space="preserve">家庭单保费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</si>
  <si>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</si>
  <si>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</si>
  <si>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</si>
  <si>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</si>
  <si>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</si>
  <si>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升级占比</t>
  </si>
  <si>
    <t xml:space="preserve">家庭单占比</t>
  </si>
  <si>
    <t xml:space="preserve">勾选升级单量</t>
  </si>
  <si>
    <t xml:space="preserve">勾选重疾</t>
  </si>
  <si>
    <t xml:space="preserve">助播</t>
  </si>
  <si>
    <t xml:space="preserve">助播时长</t>
  </si>
  <si>
    <t xml:space="preserve">助播2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</si>
  <si>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</si>
  <si>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</si>
  <si>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</si>
  <si>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</si>
  <si>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</si>
  <si>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</si>
  <si>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</si>
  <si>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</si>
  <si>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</si>
  <si>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组件点击率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</si>
  <si>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</si>
  <si>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</si>
  <si>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</si>
  <si>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</si>
  <si>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</si>
  <si>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</si>
  <si>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王井伊</t>
  </si>
  <si>
    <t xml:space="preserve">16:00-20:00</t>
  </si>
  <si>
    <t xml:space="preserve">李叶叶双</t>
  </si>
  <si>
    <t xml:space="preserve">徐铜</t>
  </si>
  <si>
    <t xml:space="preserve">徐梦婷</t>
  </si>
  <si>
    <t xml:space="preserve">20:00-24:00</t>
  </si>
  <si>
    <t xml:space="preserve">白孟卓</t>
  </si>
  <si>
    <t xml:space="preserve">边倩</t>
  </si>
  <si>
    <t xml:space="preserve">20:00-23:00</t>
  </si>
  <si>
    <t xml:space="preserve">李叶叶</t>
  </si>
  <si>
    <t xml:space="preserve">20:00-22:00</t>
  </si>
  <si>
    <t xml:space="preserve">12:00-16:00</t>
  </si>
  <si>
    <t xml:space="preserve">张欣</t>
  </si>
  <si>
    <t xml:space="preserve">曹颖慧</t>
  </si>
  <si>
    <t xml:space="preserve">李芳</t>
  </si>
  <si>
    <t xml:space="preserve">陈蕾</t>
  </si>
  <si>
    <t xml:space="preserve">roi</t>
  </si>
  <si>
    <t xml:space="preserve">时耗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</si>
  <si>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</si>
  <si>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</si>
  <si>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</si>
  <si>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</si>
  <si>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</si>
  <si>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</si>
  <si>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</si>
  <si>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</si>
  <si>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</si>
  <si>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</si>
  <si>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</si>
  <si>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e生保长期保单数</t>
  </si>
  <si>
    <t xml:space="preserve">e生保长期年化保费</t>
  </si>
  <si>
    <t xml:space="preserve">终身保保单</t>
  </si>
  <si>
    <t xml:space="preserve">终身保年化保费</t>
  </si>
  <si>
    <t xml:space="preserve">e惠保保单数</t>
  </si>
  <si>
    <t xml:space="preserve">e惠保年化保费</t>
  </si>
  <si>
    <t xml:space="preserve">家庭单数量</t>
  </si>
  <si>
    <t xml:space="preserve">家庭单保费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</si>
  <si>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</si>
  <si>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</si>
  <si>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</si>
  <si>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</si>
  <si>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</si>
  <si>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升级占比</t>
  </si>
  <si>
    <t xml:space="preserve">家庭单占比</t>
  </si>
  <si>
    <t xml:space="preserve">勾选升级单量</t>
  </si>
  <si>
    <t xml:space="preserve">勾选重疾</t>
  </si>
  <si>
    <t xml:space="preserve">助播</t>
  </si>
  <si>
    <t xml:space="preserve">助播时长</t>
  </si>
  <si>
    <t xml:space="preserve">助播2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</si>
  <si>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</si>
  <si>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</si>
  <si>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</si>
  <si>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</si>
  <si>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</si>
  <si>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</si>
  <si>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</si>
  <si>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</si>
  <si>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</si>
  <si>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组件点击率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</si>
  <si>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</si>
  <si>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</si>
  <si>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</si>
  <si>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</si>
  <si>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</si>
  <si>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</si>
  <si>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宁书毅</t>
  </si>
  <si>
    <t xml:space="preserve">19:00-23:00</t>
  </si>
  <si>
    <t xml:space="preserve">李叶叶双</t>
  </si>
  <si>
    <t xml:space="preserve">李芳</t>
  </si>
  <si>
    <t xml:space="preserve">19-23</t>
  </si>
  <si>
    <t xml:space="preserve">边倩</t>
  </si>
  <si>
    <t xml:space="preserve">19:00-24:00</t>
  </si>
  <si>
    <t xml:space="preserve">19-24</t>
  </si>
  <si>
    <t xml:space="preserve">16:00-21:00</t>
  </si>
  <si>
    <t xml:space="preserve">王文怡</t>
  </si>
  <si>
    <t xml:space="preserve">21:00-24:00</t>
  </si>
  <si>
    <t xml:space="preserve">16-24</t>
  </si>
  <si>
    <t xml:space="preserve">孙文曜</t>
  </si>
  <si>
    <t xml:space="preserve">陈哲贤</t>
  </si>
  <si>
    <t xml:space="preserve">曹颖慧双</t>
  </si>
  <si>
    <t xml:space="preserve">曾美晴</t>
  </si>
  <si>
    <t xml:space="preserve">16:00-17:00</t>
  </si>
  <si>
    <t xml:space="preserve">16-17</t>
  </si>
  <si>
    <t xml:space="preserve">16:00-20:00</t>
  </si>
  <si>
    <t xml:space="preserve">20:00-24:00</t>
  </si>
  <si>
    <t xml:space="preserve">高琎梅双</t>
  </si>
  <si>
    <t xml:space="preserve">曹颖慧</t>
  </si>
  <si>
    <t xml:space="preserve">白孟卓</t>
  </si>
  <si>
    <t xml:space="preserve">赵宁尧</t>
  </si>
  <si>
    <t xml:space="preserve">徐梦婷</t>
  </si>
  <si>
    <t xml:space="preserve">罗丽洋双</t>
  </si>
  <si>
    <t xml:space="preserve">求和项:助播时长</t>
  </si>
  <si>
    <t xml:space="preserve">总计</t>
  </si>
  <si>
    <t xml:space="preserve">日期</t>
  </si>
  <si>
    <t xml:space="preserve">主播</t>
  </si>
  <si>
    <t xml:space="preserve">直播时段</t>
  </si>
  <si>
    <t xml:space="preserve">时长</t>
  </si>
  <si>
    <t xml:space="preserve">订单数量</t>
  </si>
  <si>
    <t xml:space="preserve">保单数量</t>
  </si>
  <si>
    <t xml:space="preserve">保险支付数</t>
  </si>
  <si>
    <t xml:space="preserve">月缴保单数</t>
  </si>
  <si>
    <t xml:space="preserve">月缴保费</t>
  </si>
  <si>
    <t xml:space="preserve">年交保单数量</t>
  </si>
  <si>
    <t xml:space="preserve">年缴保费</t>
  </si>
  <si>
    <t xml:space="preserve">e生保长期保单数</t>
  </si>
  <si>
    <t xml:space="preserve">e生保长期年化保费</t>
  </si>
  <si>
    <t xml:space="preserve">终身保保单</t>
  </si>
  <si>
    <t xml:space="preserve">终身保年化保费</t>
  </si>
  <si>
    <t xml:space="preserve">e惠保保单数</t>
  </si>
  <si>
    <t xml:space="preserve">e惠保年化保费</t>
  </si>
  <si>
    <t xml:space="preserve">家庭单数量</t>
  </si>
  <si>
    <t xml:space="preserve">家庭单保费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</si>
  <si>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</si>
  <si>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</si>
  <si>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</si>
  <si>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</si>
  <si>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</si>
  <si>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升级占比</t>
  </si>
  <si>
    <t xml:space="preserve">家庭单占比</t>
  </si>
  <si>
    <t xml:space="preserve">勾选升级单量</t>
  </si>
  <si>
    <t xml:space="preserve">勾选重疾</t>
  </si>
  <si>
    <t xml:space="preserve">助播</t>
  </si>
  <si>
    <t xml:space="preserve">助播时长</t>
  </si>
  <si>
    <t xml:space="preserve">助播2</t>
  </si>
  <si>
    <t xml:space="preserve">投手</t>
  </si>
  <si>
    <t xml:space="preserve">曝光数</t>
  </si>
  <si>
    <t xml:space="preserve">点击数</t>
  </si>
  <si>
    <t xml:space="preserve">直播间观看数</t>
  </si>
  <si>
    <t xml:space="preserve">直播间超过1分钟观看数</t>
  </si>
  <si>
    <t xml:space="preserve">组件点击数</t>
  </si>
  <si>
    <t xml:space="preserve">直播间关注数</t>
  </si>
  <si>
    <t xml:space="preserve">直播间评论数</t>
  </si>
  <si>
    <t xml:space="preserve">直播间分享数</t>
  </si>
  <si>
    <t xml:space="preserve">组件点击率</t>
  </si>
  <si>
    <t xml:space="preserve">外层点击率</t>
  </si>
  <si>
    <t xml:space="preserve">互动率</t>
  </si>
  <si>
    <t xml:space="preserve">直播间超过1分钟观看率</t>
  </si>
  <si>
    <t xml:space="preserve">直播间评论率</t>
  </si>
  <si>
    <t xml:space="preserve">组件点击成本</t>
  </si>
  <si>
    <t xml:space="preserve">保单率</t>
  </si>
  <si>
    <t xml:space="preserve">曾美晴</t>
  </si>
  <si>
    <t xml:space="preserve">16:00-20:00</t>
  </si>
  <si>
    <t xml:space="preserve">曹颖慧双</t>
  </si>
  <si>
    <t xml:space="preserve">李芳</t>
  </si>
  <si>
    <t xml:space="preserve">陈哲贤</t>
  </si>
  <si>
    <t xml:space="preserve">20:00-24:00</t>
  </si>
  <si>
    <t xml:space="preserve">宁书毅</t>
  </si>
  <si>
    <t xml:space="preserve">16:00-21:00</t>
  </si>
  <si>
    <t xml:space="preserve">21:00-24:00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</si>
</sst>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164" formatCode="#,##0.00_ "/>
    <numFmt numFmtId="165" formatCode="yyyy/m/d"/>
    <numFmt numFmtId="166" formatCode="0.00_);[Red]\(0.00\)"/>
    <numFmt numFmtId="167" formatCode="0.00%"/>
    <numFmt numFmtId="168" formatCode="0.00_ "/>
    <numFmt numFmtId="169" formatCode="0%"/>
    <numFmt numFmtId="170" formatCode="0.00_);[Red](0.00)"/>
    <numFmt numFmtId="171" formatCode="#,##0.00"/>
    <numFmt numFmtId="172" formatCode="#,##0.00_ "/>
    <numFmt numFmtId="173" formatCode="yyyy/m/d"/>
    <numFmt numFmtId="174" formatCode="0.00_);[Red]\(0.00\)"/>
    <numFmt numFmtId="175" formatCode="0.00%"/>
    <numFmt numFmtId="176" formatCode="0.00_ "/>
    <numFmt numFmtId="177" formatCode="0%"/>
    <numFmt numFmtId="178" formatCode="#,##0.00_ "/>
    <numFmt numFmtId="179" formatCode="yyyy/m/d"/>
    <numFmt numFmtId="180" formatCode="0.00_);[Red]\(0.00\)"/>
    <numFmt numFmtId="181" formatCode="0.00%"/>
    <numFmt numFmtId="182" formatCode="0.00_ "/>
    <numFmt numFmtId="183" formatCode="0%"/>
  </numFmts>
  <fonts count="9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A415C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b val="true"/>
      <sz val="10"/>
      <color rgb="FFF54A45"/>
      <name val="Calibri"/>
      <family val="2"/>
      <scheme val="minor"/>
    </font>
  </fonts>
  <fills count="2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FC000"/>
        <bgColor/>
      </patternFill>
    </fill>
    <fill>
      <patternFill patternType="solid">
        <fgColor rgb="FF1C4CBA"/>
        <bgColor/>
      </patternFill>
    </fill>
    <fill>
      <patternFill patternType="solid">
        <fgColor rgb="FFF0F4FF"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FC000"/>
        <bgColor/>
      </patternFill>
    </fill>
    <fill>
      <patternFill patternType="solid">
        <fgColor rgb="FFFFFFFF"/>
        <bgColor/>
      </patternFill>
    </fill>
    <fill>
      <patternFill patternType="solid">
        <fgColor rgb="FFF57AC0"/>
        <bgColor/>
      </patternFill>
    </fill>
    <fill>
      <patternFill patternType="solid">
        <fgColor rgb="FFFDEBFF"/>
        <bgColor/>
      </patternFill>
    </fill>
    <fill>
      <patternFill patternType="solid">
        <fgColor rgb="FFC00000"/>
        <bgColor/>
      </patternFill>
    </fill>
    <fill>
      <patternFill patternType="solid">
        <fgColor rgb="FFFFFF00"/>
        <bgColor/>
      </patternFill>
    </fill>
    <fill>
      <patternFill patternType="solid">
        <fgColor rgb="FF8EA9DB"/>
        <bgColor/>
      </patternFill>
    </fill>
    <fill>
      <patternFill patternType="solid">
        <fgColor rgb="FFFFFFFF"/>
        <bgColor/>
      </patternFill>
    </fill>
    <fill>
      <patternFill patternType="solid">
        <fgColor rgb="FFFFC000"/>
        <bgColor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1C4CBA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1" fillId="4" fontId="1" numFmtId="0" xfId="0">
      <alignment horizontal="center" vertical="center"/>
    </xf>
    <xf applyAlignment="true" applyBorder="false" applyFill="true" applyFont="true" applyNumberFormat="true" applyProtection="false" borderId="1" fillId="5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true" applyFont="true" applyNumberFormat="true" applyProtection="false" borderId="1" fillId="2" fontId="2" numFmtId="166" xfId="0">
      <alignment horizontal="center" vertical="center"/>
    </xf>
    <xf applyAlignment="true" applyBorder="false" applyFill="true" applyFont="true" applyNumberFormat="true" applyProtection="false" borderId="1" fillId="2" fontId="1" numFmtId="166" xfId="0">
      <alignment horizontal="center" vertical="center"/>
    </xf>
    <xf applyAlignment="true" applyBorder="false" applyFill="true" applyFont="true" applyNumberFormat="true" applyProtection="false" borderId="1" fillId="2" fontId="1" numFmtId="167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false" applyFont="true" applyNumberFormat="true" applyProtection="false" borderId="1" fillId="0" fontId="1" numFmtId="167" xfId="0">
      <alignment horizontal="center" vertical="center"/>
    </xf>
    <xf applyAlignment="true" applyBorder="false" applyFill="true" applyFont="true" applyNumberFormat="true" applyProtection="false" borderId="1" fillId="6" fontId="1" numFmtId="167" xfId="0">
      <alignment horizontal="center" vertical="center"/>
    </xf>
    <xf applyAlignment="true" applyBorder="false" applyFill="true" applyFont="true" applyNumberFormat="true" applyProtection="false" borderId="1" fillId="2" fontId="1" numFmtId="168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true" applyProtection="false" borderId="2" fillId="7" fontId="3" numFmtId="165" xfId="0">
      <alignment horizontal="center" vertical="center"/>
    </xf>
    <xf applyAlignment="true" applyBorder="false" applyFill="true" applyFont="true" applyNumberFormat="false" applyProtection="false" borderId="2" fillId="7" fontId="3" numFmtId="0" xfId="0">
      <alignment horizontal="center" vertical="center"/>
    </xf>
    <xf applyAlignment="true" applyBorder="false" applyFill="true" applyFont="true" applyNumberFormat="true" applyProtection="false" borderId="1" fillId="7" fontId="3" numFmtId="166" xfId="0">
      <alignment horizontal="center" vertical="center"/>
    </xf>
    <xf applyAlignment="true" applyBorder="false" applyFill="true" applyFont="true" applyNumberFormat="true" applyProtection="false" borderId="1" fillId="7" fontId="3" numFmtId="167" xfId="0">
      <alignment horizontal="center" vertical="center"/>
    </xf>
    <xf applyAlignment="true" applyBorder="false" applyFill="true" applyFont="true" applyNumberFormat="false" applyProtection="false" borderId="1" fillId="7" fontId="3" numFmtId="0" xfId="0">
      <alignment horizontal="center" vertical="center"/>
    </xf>
    <xf applyAlignment="true" applyBorder="false" applyFill="true" applyFont="true" applyNumberFormat="false" applyProtection="false" borderId="1" fillId="7" fontId="3" numFmtId="0" xfId="0">
      <alignment horizontal="center" vertical="center"/>
    </xf>
    <xf applyAlignment="true" applyBorder="false" applyFill="true" applyFont="true" applyNumberFormat="true" applyProtection="false" borderId="1" fillId="7" fontId="3" numFmtId="169" xfId="0">
      <alignment horizontal="center" vertical="center"/>
    </xf>
    <xf applyAlignment="true" applyBorder="false" applyFill="true" applyFont="true" applyNumberFormat="true" applyProtection="false" borderId="1" fillId="7" fontId="3" numFmtId="168" xfId="0">
      <alignment horizontal="center" vertical="center"/>
    </xf>
    <xf applyAlignment="true" applyBorder="false" applyFill="true" applyFont="true" applyNumberFormat="true" applyProtection="false" borderId="0" fillId="6" fontId="4" numFmtId="170" xfId="0">
      <alignment horizontal="center" vertical="center"/>
    </xf>
    <xf applyAlignment="true" applyBorder="false" applyFill="true" applyFont="true" applyNumberFormat="true" applyProtection="false" borderId="0" fillId="6" fontId="4" numFmtId="17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true" applyFont="true" applyNumberFormat="true" applyProtection="false" borderId="4" fillId="6" fontId="4" numFmtId="170" xfId="0">
      <alignment horizontal="center" vertical="center"/>
    </xf>
    <xf applyAlignment="true" applyBorder="false" applyFill="true" applyFont="true" applyNumberFormat="false" applyProtection="false" borderId="6" fillId="7" fontId="3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0" fillId="8" fontId="5" numFmtId="0" xfId="0">
      <alignment vertical="center"/>
    </xf>
    <xf applyAlignment="true" applyBorder="false" applyFill="false" applyFont="true" applyNumberFormat="true" applyProtection="false" borderId="0" fillId="0" fontId="6" numFmtId="171" xfId="0">
      <alignment vertical="center"/>
    </xf>
    <xf applyAlignment="true" applyBorder="false" applyFill="true" applyFont="true" applyNumberFormat="true" applyProtection="false" borderId="7" fillId="9" fontId="7" numFmtId="171" xfId="0">
      <alignment vertical="center"/>
    </xf>
    <xf applyAlignment="true" applyBorder="false" applyFill="false" applyFont="true" applyNumberFormat="true" applyProtection="false" borderId="0" fillId="0" fontId="6" numFmtId="167" xfId="0">
      <alignment vertical="center"/>
    </xf>
    <xf applyAlignment="true" applyBorder="false" applyFill="false" applyFont="true" applyNumberFormat="true" applyProtection="false" borderId="0" fillId="0" fontId="6" numFmtId="167" xfId="0">
      <alignment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horizontal="center" vertical="center"/>
    </xf>
    <xf applyAlignment="true" applyBorder="false" applyFill="false" applyFont="true" applyNumberFormat="true" applyProtection="false" borderId="0" fillId="0" fontId="6" numFmtId="171" xfId="0">
      <alignment horizontal="center" vertical="center"/>
    </xf>
    <xf applyAlignment="true" applyBorder="false" applyFill="true" applyFont="true" applyNumberFormat="false" applyProtection="false" borderId="8" fillId="10" fontId="1" numFmtId="0" xfId="0">
      <alignment horizontal="center" vertical="center"/>
    </xf>
    <xf applyAlignment="true" applyBorder="false" applyFill="true" applyFont="true" applyNumberFormat="false" applyProtection="false" borderId="8" fillId="11" fontId="1" numFmtId="0" xfId="0">
      <alignment horizontal="center" vertical="center"/>
    </xf>
    <xf applyAlignment="true" applyBorder="false" applyFill="true" applyFont="true" applyNumberFormat="false" applyProtection="false" borderId="8" fillId="12" fontId="1" numFmtId="0" xfId="0">
      <alignment horizontal="center" vertical="center"/>
    </xf>
    <xf applyAlignment="true" applyBorder="false" applyFill="true" applyFont="true" applyNumberFormat="true" applyProtection="false" borderId="8" fillId="13" fontId="1" numFmtId="172" xfId="0">
      <alignment horizontal="center" vertical="center"/>
    </xf>
    <xf applyAlignment="true" applyBorder="false" applyFill="true" applyFont="true" applyNumberFormat="true" applyProtection="false" borderId="8" fillId="10" fontId="1" numFmtId="173" xfId="0">
      <alignment horizontal="center" vertical="center"/>
    </xf>
    <xf applyAlignment="true" applyBorder="false" applyFill="true" applyFont="true" applyNumberFormat="false" applyProtection="false" borderId="8" fillId="1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true" applyFont="true" applyNumberFormat="false" applyProtection="false" borderId="8" fillId="14" fontId="1" numFmtId="0" xfId="0">
      <alignment horizontal="center" vertical="center"/>
    </xf>
    <xf applyAlignment="true" applyBorder="false" applyFill="true" applyFont="true" applyNumberFormat="true" applyProtection="false" borderId="8" fillId="10" fontId="2" numFmtId="174" xfId="0">
      <alignment horizontal="center" vertical="center"/>
    </xf>
    <xf applyAlignment="true" applyBorder="false" applyFill="true" applyFont="true" applyNumberFormat="true" applyProtection="false" borderId="8" fillId="10" fontId="1" numFmtId="174" xfId="0">
      <alignment horizontal="center" vertical="center"/>
    </xf>
    <xf applyAlignment="true" applyBorder="false" applyFill="true" applyFont="true" applyNumberFormat="true" applyProtection="false" borderId="8" fillId="10" fontId="1" numFmtId="175" xfId="0">
      <alignment horizontal="center" vertical="center"/>
    </xf>
    <xf applyAlignment="true" applyBorder="false" applyFill="false" applyFont="true" applyNumberFormat="true" applyProtection="false" borderId="8" fillId="0" fontId="1" numFmtId="175" xfId="0">
      <alignment horizontal="center" vertical="center"/>
    </xf>
    <xf applyAlignment="true" applyBorder="false" applyFill="true" applyFont="true" applyNumberFormat="true" applyProtection="false" borderId="8" fillId="14" fontId="1" numFmtId="175" xfId="0">
      <alignment horizontal="center" vertical="center"/>
    </xf>
    <xf applyAlignment="true" applyBorder="false" applyFill="true" applyFont="true" applyNumberFormat="true" applyProtection="false" borderId="8" fillId="10" fontId="1" numFmtId="176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true" applyProtection="false" borderId="9" fillId="15" fontId="3" numFmtId="173" xfId="0">
      <alignment horizontal="center" vertical="center"/>
    </xf>
    <xf applyAlignment="true" applyBorder="false" applyFill="true" applyFont="true" applyNumberFormat="false" applyProtection="false" borderId="9" fillId="15" fontId="3" numFmtId="0" xfId="0">
      <alignment horizontal="center" vertical="center"/>
    </xf>
    <xf applyAlignment="true" applyBorder="false" applyFill="true" applyFont="true" applyNumberFormat="false" applyProtection="false" borderId="9" fillId="15" fontId="3" numFmtId="0" xfId="0">
      <alignment horizontal="center" vertical="center"/>
    </xf>
    <xf applyAlignment="true" applyBorder="false" applyFill="true" applyFont="true" applyNumberFormat="false" applyProtection="false" borderId="10" fillId="15" fontId="3" numFmtId="0" xfId="0">
      <alignment horizontal="center" vertical="center"/>
    </xf>
    <xf applyAlignment="true" applyBorder="false" applyFill="true" applyFont="true" applyNumberFormat="false" applyProtection="false" borderId="11" fillId="15" fontId="3" numFmtId="0" xfId="0">
      <alignment horizontal="center" vertical="center"/>
    </xf>
    <xf applyAlignment="true" applyBorder="false" applyFill="true" applyFont="true" applyNumberFormat="false" applyProtection="false" borderId="12" fillId="15" fontId="3" numFmtId="0" xfId="0">
      <alignment horizontal="center" vertical="center"/>
    </xf>
    <xf applyAlignment="true" applyBorder="false" applyFill="true" applyFont="true" applyNumberFormat="false" applyProtection="false" borderId="8" fillId="15" fontId="3" numFmtId="0" xfId="0">
      <alignment horizontal="center" vertical="center"/>
    </xf>
    <xf applyAlignment="true" applyBorder="false" applyFill="true" applyFont="true" applyNumberFormat="true" applyProtection="false" borderId="8" fillId="15" fontId="3" numFmtId="174" xfId="0">
      <alignment horizontal="center" vertical="center"/>
    </xf>
    <xf applyAlignment="true" applyBorder="false" applyFill="true" applyFont="true" applyNumberFormat="true" applyProtection="false" borderId="8" fillId="15" fontId="3" numFmtId="175" xfId="0">
      <alignment horizontal="center" vertical="center"/>
    </xf>
    <xf applyAlignment="true" applyBorder="false" applyFill="true" applyFont="true" applyNumberFormat="false" applyProtection="false" borderId="8" fillId="15" fontId="3" numFmtId="0" xfId="0">
      <alignment horizontal="center" vertical="center"/>
    </xf>
    <xf applyAlignment="true" applyBorder="false" applyFill="true" applyFont="true" applyNumberFormat="true" applyProtection="false" borderId="8" fillId="15" fontId="3" numFmtId="176" xfId="0">
      <alignment horizontal="center" vertical="center"/>
    </xf>
    <xf applyAlignment="true" applyBorder="false" applyFill="true" applyFont="true" applyNumberFormat="true" applyProtection="false" borderId="8" fillId="10" fontId="1" numFmtId="173" xfId="0">
      <alignment horizontal="center" vertical="center"/>
    </xf>
    <xf applyAlignment="true" applyBorder="false" applyFill="true" applyFont="true" applyNumberFormat="false" applyProtection="false" borderId="8" fillId="14" fontId="1" numFmtId="0" xfId="0">
      <alignment horizontal="center" vertical="center"/>
    </xf>
    <xf applyAlignment="true" applyBorder="false" applyFill="true" applyFont="true" applyNumberFormat="true" applyProtection="false" borderId="8" fillId="15" fontId="3" numFmtId="177" xfId="0">
      <alignment horizontal="center" vertical="center"/>
    </xf>
    <xf applyAlignment="true" applyBorder="false" applyFill="true" applyFont="true" applyNumberFormat="false" applyProtection="false" borderId="8" fillId="16" fontId="1" numFmtId="0" xfId="0">
      <alignment horizontal="center" vertical="center"/>
    </xf>
    <xf applyAlignment="true" applyBorder="false" applyFill="true" applyFont="true" applyNumberFormat="false" applyProtection="false" borderId="8" fillId="16" fontId="1" numFmtId="0" xfId="0">
      <alignment horizontal="center" vertical="center"/>
    </xf>
    <xf applyAlignment="true" applyBorder="false" applyFill="true" applyFont="true" applyNumberFormat="true" applyProtection="false" borderId="8" fillId="16" fontId="1" numFmtId="175" xfId="0">
      <alignment horizontal="center" vertical="center"/>
    </xf>
    <xf applyAlignment="true" applyBorder="false" applyFill="true" applyFont="true" applyNumberFormat="true" applyProtection="false" borderId="9" fillId="15" fontId="3" numFmtId="173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true" applyFont="true" applyNumberFormat="false" applyProtection="false" borderId="8" fillId="10" fontId="8" numFmtId="0" xfId="0">
      <alignment horizontal="center" vertical="center"/>
    </xf>
    <xf applyAlignment="true" applyBorder="false" applyFill="false" applyFont="true" applyNumberFormat="false" applyProtection="false" borderId="0" fillId="0" fontId="6" numFmtId="0" xfId="0">
      <alignment vertical="center"/>
    </xf>
    <xf applyAlignment="true" applyBorder="false" applyFill="false" applyFont="true" applyNumberFormat="true" applyProtection="false" borderId="0" fillId="0" fontId="6" numFmtId="175" xfId="0">
      <alignment vertical="center"/>
    </xf>
    <xf applyAlignment="true" applyBorder="false" applyFill="false" applyFont="true" applyNumberFormat="true" applyProtection="false" borderId="0" fillId="0" fontId="6" numFmtId="175" xfId="0">
      <alignment vertical="center"/>
    </xf>
    <xf applyAlignment="true" applyBorder="false" applyFill="true" applyFont="true" applyNumberFormat="false" applyProtection="false" borderId="8" fillId="17" fontId="1" numFmtId="0" xfId="0">
      <alignment horizontal="center" vertical="center"/>
    </xf>
    <xf applyAlignment="true" applyBorder="false" applyFill="true" applyFont="true" applyNumberFormat="false" applyProtection="false" borderId="13" fillId="18" fontId="1" numFmtId="0" xfId="0">
      <alignment horizontal="center" vertical="center"/>
    </xf>
    <xf applyAlignment="true" applyBorder="false" applyFill="true" applyFont="true" applyNumberFormat="false" applyProtection="false" borderId="13" fillId="19" fontId="1" numFmtId="0" xfId="0">
      <alignment horizontal="center" vertical="center"/>
    </xf>
    <xf applyAlignment="true" applyBorder="false" applyFill="true" applyFont="true" applyNumberFormat="false" applyProtection="false" borderId="13" fillId="20" fontId="1" numFmtId="0" xfId="0">
      <alignment horizontal="center" vertical="center"/>
    </xf>
    <xf applyAlignment="true" applyBorder="false" applyFill="true" applyFont="true" applyNumberFormat="true" applyProtection="false" borderId="13" fillId="21" fontId="1" numFmtId="178" xfId="0">
      <alignment horizontal="center" vertical="center"/>
    </xf>
    <xf applyAlignment="true" applyBorder="false" applyFill="true" applyFont="true" applyNumberFormat="true" applyProtection="false" borderId="13" fillId="18" fontId="1" numFmtId="179" xfId="0">
      <alignment horizontal="center" vertical="center"/>
    </xf>
    <xf applyAlignment="true" applyBorder="false" applyFill="true" applyFont="true" applyNumberFormat="false" applyProtection="false" borderId="13" fillId="18" fontId="1" numFmtId="0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true" applyFont="true" applyNumberFormat="false" applyProtection="false" borderId="13" fillId="22" fontId="1" numFmtId="0" xfId="0">
      <alignment horizontal="center" vertical="center"/>
    </xf>
    <xf applyAlignment="true" applyBorder="false" applyFill="true" applyFont="true" applyNumberFormat="true" applyProtection="false" borderId="13" fillId="18" fontId="2" numFmtId="180" xfId="0">
      <alignment horizontal="center" vertical="center"/>
    </xf>
    <xf applyAlignment="true" applyBorder="false" applyFill="true" applyFont="true" applyNumberFormat="true" applyProtection="false" borderId="13" fillId="18" fontId="1" numFmtId="180" xfId="0">
      <alignment horizontal="center" vertical="center"/>
    </xf>
    <xf applyAlignment="true" applyBorder="false" applyFill="true" applyFont="true" applyNumberFormat="true" applyProtection="false" borderId="13" fillId="18" fontId="1" numFmtId="181" xfId="0">
      <alignment horizontal="center" vertical="center"/>
    </xf>
    <xf applyAlignment="true" applyBorder="false" applyFill="true" applyFont="true" applyNumberFormat="false" applyProtection="false" borderId="13" fillId="22" fontId="1" numFmtId="0" xfId="0">
      <alignment horizontal="center" vertical="center"/>
    </xf>
    <xf applyAlignment="true" applyBorder="false" applyFill="false" applyFont="true" applyNumberFormat="true" applyProtection="false" borderId="13" fillId="0" fontId="1" numFmtId="181" xfId="0">
      <alignment horizontal="center" vertical="center"/>
    </xf>
    <xf applyAlignment="true" applyBorder="false" applyFill="true" applyFont="true" applyNumberFormat="true" applyProtection="false" borderId="13" fillId="22" fontId="1" numFmtId="181" xfId="0">
      <alignment horizontal="center" vertical="center"/>
    </xf>
    <xf applyAlignment="true" applyBorder="false" applyFill="true" applyFont="true" applyNumberFormat="true" applyProtection="false" borderId="13" fillId="18" fontId="1" numFmtId="182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true" applyFont="true" applyNumberFormat="true" applyProtection="false" borderId="14" fillId="23" fontId="3" numFmtId="179" xfId="0">
      <alignment horizontal="center" vertical="center"/>
    </xf>
    <xf applyAlignment="true" applyBorder="false" applyFill="true" applyFont="true" applyNumberFormat="false" applyProtection="false" borderId="14" fillId="23" fontId="3" numFmtId="0" xfId="0">
      <alignment horizontal="center" vertical="center"/>
    </xf>
    <xf applyAlignment="true" applyBorder="false" applyFill="true" applyFont="true" applyNumberFormat="true" applyProtection="false" borderId="13" fillId="23" fontId="3" numFmtId="180" xfId="0">
      <alignment horizontal="center" vertical="center"/>
    </xf>
    <xf applyAlignment="true" applyBorder="false" applyFill="true" applyFont="true" applyNumberFormat="true" applyProtection="false" borderId="13" fillId="23" fontId="3" numFmtId="181" xfId="0">
      <alignment horizontal="center" vertical="center"/>
    </xf>
    <xf applyAlignment="true" applyBorder="false" applyFill="true" applyFont="true" applyNumberFormat="false" applyProtection="false" borderId="13" fillId="23" fontId="3" numFmtId="0" xfId="0">
      <alignment horizontal="center" vertical="center"/>
    </xf>
    <xf applyAlignment="true" applyBorder="false" applyFill="true" applyFont="true" applyNumberFormat="false" applyProtection="false" borderId="13" fillId="23" fontId="3" numFmtId="0" xfId="0">
      <alignment horizontal="center" vertical="center"/>
    </xf>
    <xf applyAlignment="true" applyBorder="false" applyFill="true" applyFont="true" applyNumberFormat="true" applyProtection="false" borderId="13" fillId="23" fontId="3" numFmtId="183" xfId="0">
      <alignment horizontal="center" vertical="center"/>
    </xf>
    <xf applyAlignment="true" applyBorder="false" applyFill="true" applyFont="true" applyNumberFormat="true" applyProtection="false" borderId="13" fillId="23" fontId="3" numFmtId="182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/xl/pivotCache/pivotCacheDefinition1.xml" Type="http://schemas.openxmlformats.org/officeDocument/2006/relationships/pivotCacheDefinition"></Relationship><Relationship Id="rId7" Target="worksheets/sheet3.xml" Type="http://schemas.openxmlformats.org/officeDocument/2006/relationships/worksheet"></Relationship><Relationship Id="rId8" Target="/xl/pivotCache/pivotCacheDefinition2.xml" Type="http://schemas.openxmlformats.org/officeDocument/2006/relationships/pivotCacheDefinition"></Relationship><Relationship Id="rId9" Target="worksheets/sheet4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Z$22" sheet="2026.10"/>
  </cacheSource>
  <cacheFields count="26">
    <cacheField name="日期" numFmtId="0">
      <sharedItems containsSemiMixedTypes="false" containsNonDate="false" containsDate="true" containsString="false" minDate="2026-10-01T00:00:00.000Z" maxDate="2026-10-07T00:00:00.000Z" count="0"/>
    </cacheField>
    <cacheField name="主播" numFmtId="0">
      <sharedItems containsBlank="true" count="5">
        <s v="王井伊"/>
        <s v="徐梦婷"/>
        <m/>
        <s v="白孟卓"/>
        <s v="边倩"/>
      </sharedItems>
    </cacheField>
    <cacheField name="直播时段" numFmtId="0">
      <sharedItems containsBlank="true" count="0"/>
    </cacheField>
    <cacheField name="时长" numFmtId="0">
      <sharedItems containsSemiMixedTypes="false" containsString="false" containsNumber="true" containsInteger="true" minValue="3" maxValue="8" count="4">
        <n v="4"/>
        <n v="8"/>
        <n v="3"/>
        <n v="7"/>
      </sharedItems>
    </cacheField>
    <cacheField name="订单数量" numFmtId="0">
      <sharedItems containsSemiMixedTypes="false" containsString="false" containsNumber="true" containsInteger="true" minValue="0" maxValue="24" count="0"/>
    </cacheField>
    <cacheField name="保单数量" numFmtId="0">
      <sharedItems containsSemiMixedTypes="false" containsString="false" containsNumber="true" containsInteger="true" minValue="0" maxValue="13" count="0"/>
    </cacheField>
    <cacheField name="保险支付数" numFmtId="0">
      <sharedItems containsSemiMixedTypes="false" containsString="false" containsNumber="true" containsInteger="true" minValue="0" maxValue="12" count="0"/>
    </cacheField>
    <cacheField name="月缴保单数" numFmtId="0">
      <sharedItems containsSemiMixedTypes="false" containsString="false" containsNumber="true" containsInteger="true" minValue="0" maxValue="12" count="0"/>
    </cacheField>
    <cacheField name="月缴保费" numFmtId="0">
      <sharedItems containsSemiMixedTypes="false" containsString="false" containsNumber="true" minValue="0" maxValue="2791.7799999999997" count="0"/>
    </cacheField>
    <cacheField name="年交保单数量" numFmtId="0">
      <sharedItems containsSemiMixedTypes="false" containsString="false" containsNumber="true" containsInteger="true" minValue="0" maxValue="2" count="0"/>
    </cacheField>
    <cacheField name="年缴保费" numFmtId="0">
      <sharedItems containsSemiMixedTypes="false" containsString="false" containsNumber="true" minValue="0" maxValue="6364.8" count="0"/>
    </cacheField>
    <cacheField name="e生保长期保单数" numFmtId="0">
      <sharedItems containsSemiMixedTypes="false" containsString="false" containsNumber="true" containsInteger="true" minValue="0" maxValue="9" count="0"/>
    </cacheField>
    <cacheField name="e生保长期年化保费" numFmtId="0">
      <sharedItems containsSemiMixedTypes="false" containsString="false" containsNumber="true" minValue="0" maxValue="22015.22" count="0"/>
    </cacheField>
    <cacheField name="终身保保单" numFmtId="0">
      <sharedItems containsSemiMixedTypes="false" containsString="false" containsNumber="true" containsInteger="true" minValue="0" maxValue="4" count="0"/>
    </cacheField>
    <cacheField name="终身保年化保费" numFmtId="0">
      <sharedItems containsSemiMixedTypes="false" containsString="false" containsNumber="true" minValue="0" maxValue="6300.959999999999" count="0"/>
    </cacheField>
    <cacheField name="e惠保保单数" numFmtId="0">
      <sharedItems containsSemiMixedTypes="false" containsString="false" containsNumber="true" containsInteger="true" minValue="0" maxValue="6" count="0"/>
    </cacheField>
    <cacheField name="e惠保年化保费" numFmtId="0">
      <sharedItems containsSemiMixedTypes="false" containsString="false" containsNumber="true" minValue="0" maxValue="18066.8" count="0"/>
    </cacheField>
    <cacheField name="家庭单数量" numFmtId="0">
      <sharedItems containsSemiMixedTypes="false" containsString="false" containsNumber="true" containsInteger="true" minValue="0" maxValue="6" count="0"/>
    </cacheField>
    <cacheField name="家庭单保费" numFmtId="0">
      <sharedItems containsSemiMixedTypes="false" containsString="false" containsNumber="true" minValue="0" maxValue="6920.700000000001" count="0"/>
    </cacheField>
    <cacheField name="年化保费" numFmtId="0">
      <sharedItems containsSemiMixedTypes="false" containsString="false" containsNumber="true" minValue="0" maxValue="34184.36" count="20">
        <n v="12654.240000000002"/>
        <n v="16917.12"/>
        <n v="29571.36"/>
        <n v="15391.679999999998"/>
        <n v="18792.68"/>
        <n v="34184.36"/>
        <n v="4817.28"/>
        <n v="8929.08"/>
        <n v="13746.36"/>
        <n v="10089.56"/>
        <n v="1746.72"/>
        <n v="11836.279999999999"/>
        <n v="0"/>
        <n v="1602.12"/>
        <n v="8757.2"/>
        <n v="19216.800000000003"/>
        <n v="27974.000000000004"/>
        <n v="20832.38"/>
        <n v="9031.199999999999"/>
        <n v="29863.58"/>
      </sharedItems>
    </cacheField>
    <cacheField name="投流消耗" numFmtId="0">
      <sharedItems containsSemiMixedTypes="false" containsString="false" containsNumber="true" minValue="2776.4700000000003" maxValue="25671.769999999997" count="21">
        <n v="12428.770000000002"/>
        <n v="7060.58"/>
        <n v="19489.350000000002"/>
        <n v="7132.7300000000005"/>
        <n v="9851.26"/>
        <n v="16983.99"/>
        <n v="8644.62"/>
        <n v="4785.200000000001"/>
        <n v="13429.820000000002"/>
        <n v="4845.7"/>
        <n v="6475.380000000001"/>
        <n v="11321.080000000002"/>
        <n v="3824.04"/>
        <n v="2776.4700000000003"/>
        <n v="6600.51"/>
        <n v="6297.1900000000005"/>
        <n v="14956.919999999998"/>
        <n v="21254.11"/>
        <n v="12404.3"/>
        <n v="13267.47"/>
        <n v="25671.769999999997"/>
      </sharedItems>
    </cacheField>
    <cacheField name="ROI" numFmtId="0">
      <sharedItems containsSemiMixedTypes="false" containsString="false" containsNumber="true" minValue="0" maxValue="2.395995796379334" count="0"/>
    </cacheField>
    <cacheField name="单均" numFmtId="0">
      <sharedItems containsMixedTypes="true" containsNumber="true" minValue="1459.5333333333335" maxValue="4817.28" count="0"/>
    </cacheField>
    <cacheField name="保单成本" numFmtId="0">
      <sharedItems containsMixedTypes="true" containsNumber="true" minValue="969.14" maxValue="8644.62" count="0"/>
    </cacheField>
    <cacheField name="升级占比" numFmtId="0">
      <sharedItems containsMixedTypes="true" containsNumber="true" minValue="0" maxValue="1" count="0"/>
    </cacheField>
    <cacheField name="家庭单占比" numFmtId="0">
      <sharedItems containsMixedTypes="true" containsNumber="true" minValue="0" maxValue="1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AW$59" sheet="2026.9"/>
  </cacheSource>
  <cacheFields count="49">
    <cacheField name="日期" numFmtId="0">
      <sharedItems containsNonDate="false" containsDate="true" containsString="false" containsBlank="true" minDate="2026-09-08T00:00:00.000Z" maxDate="2026-09-30T00:00:00.000Z" count="0"/>
    </cacheField>
    <cacheField name="主播" numFmtId="0">
      <sharedItems containsBlank="true" count="10">
        <s v="宁书毅"/>
        <m/>
        <s v="边倩"/>
        <s v="王文怡"/>
        <s v="孙文曜"/>
        <s v="陈哲贤"/>
        <s v="曾美晴"/>
        <s v="白孟卓"/>
        <s v="赵宁尧"/>
        <s v="徐梦婷"/>
      </sharedItems>
    </cacheField>
    <cacheField name="直播时段" numFmtId="0">
      <sharedItems containsBlank="true" count="0"/>
    </cacheField>
    <cacheField name="时长" numFmtId="0">
      <sharedItems containsString="false" containsBlank="true" containsNumber="true" minValue="1" maxValue="8" count="8">
        <n v="4"/>
        <n v="5"/>
        <n v="3"/>
        <n v="8"/>
        <n v="1"/>
        <n v="4.8"/>
        <n v="7.8"/>
        <m/>
      </sharedItems>
    </cacheField>
    <cacheField name="订单数量" numFmtId="0">
      <sharedItems containsString="false" containsBlank="true" containsNumber="true" containsInteger="true" minValue="0" maxValue="31" count="0"/>
    </cacheField>
    <cacheField name="保单数量" numFmtId="0">
      <sharedItems containsString="false" containsBlank="true" containsNumber="true" containsInteger="true" minValue="0" maxValue="14" count="0"/>
    </cacheField>
    <cacheField name="保险支付数" numFmtId="0">
      <sharedItems containsString="false" containsBlank="true" containsNumber="true" containsInteger="true" minValue="0" maxValue="12" count="0"/>
    </cacheField>
    <cacheField name="月缴保单数" numFmtId="0">
      <sharedItems containsString="false" containsBlank="true" containsNumber="true" containsInteger="true" minValue="0" maxValue="14" count="0"/>
    </cacheField>
    <cacheField name="月缴保费" numFmtId="0">
      <sharedItems containsString="false" containsBlank="true" containsNumber="true" minValue="0" maxValue="2893.5199999999995" count="0"/>
    </cacheField>
    <cacheField name="年交保单数量" numFmtId="0">
      <sharedItems containsString="false" containsBlank="true" containsNumber="true" containsInteger="true" minValue="0" maxValue="2" count="0"/>
    </cacheField>
    <cacheField name="年缴保费" numFmtId="0">
      <sharedItems containsString="false" containsBlank="true" containsNumber="true" minValue="0" maxValue="5563.2" count="0"/>
    </cacheField>
    <cacheField name="e生保长期保单数" numFmtId="0">
      <sharedItems containsString="false" containsBlank="true" containsNumber="true" containsInteger="true" minValue="0" maxValue="11" count="0"/>
    </cacheField>
    <cacheField name="e生保长期年化保费" numFmtId="0">
      <sharedItems containsString="false" containsBlank="true" containsNumber="true" minValue="0" maxValue="30304.68" count="0"/>
    </cacheField>
    <cacheField name="终身保保单" numFmtId="0">
      <sharedItems containsString="false" containsBlank="true" containsNumber="true" containsInteger="true" minValue="0" maxValue="2" count="0"/>
    </cacheField>
    <cacheField name="终身保年化保费" numFmtId="0">
      <sharedItems containsString="false" containsBlank="true" containsNumber="true" minValue="0" maxValue="10988.400000000001" count="0"/>
    </cacheField>
    <cacheField name="e惠保保单数" numFmtId="0">
      <sharedItems containsString="false" containsBlank="true" containsNumber="true" containsInteger="true" minValue="0" maxValue="7" count="0"/>
    </cacheField>
    <cacheField name="e惠保年化保费" numFmtId="0">
      <sharedItems containsString="false" containsBlank="true" containsNumber="true" minValue="0" maxValue="18041.28" count="0"/>
    </cacheField>
    <cacheField name="家庭单数量" numFmtId="0">
      <sharedItems containsString="false" containsBlank="true" containsNumber="true" containsInteger="true" minValue="0" maxValue="5" count="0"/>
    </cacheField>
    <cacheField name="家庭单保费" numFmtId="0">
      <sharedItems containsString="false" containsBlank="true" containsNumber="true" minValue="0" maxValue="6033.65" count="0"/>
    </cacheField>
    <cacheField name="年化保费" numFmtId="0">
      <sharedItems containsString="false" containsBlank="true" containsNumber="true" minValue="0" maxValue="34722.23999999999" count="51">
        <n v="5549.48"/>
        <n v="14334.239999999998"/>
        <n v="34722.23999999999"/>
        <n v="20211.239999999998"/>
        <n v="5563.2"/>
        <n v="25774.44"/>
        <n v="31185"/>
        <n v="1817.28"/>
        <n v="33002.28"/>
        <n v="13251.24"/>
        <n v="6526.68"/>
        <n v="19777.92"/>
        <n v="22902.48"/>
        <n v="6767.9"/>
        <n v="29670.379999999997"/>
        <n v="4885.92"/>
        <n v="942.8399999999999"/>
        <n v="5828.76"/>
        <n v="0"/>
        <n v="7275.24"/>
        <n v="14084.52"/>
        <n v="7565.52"/>
        <n v="21650.04"/>
        <n v="24994.08"/>
        <n v="8547.24"/>
        <n v="33541.32"/>
        <n v="3677.2799999999997"/>
        <n v="4349.04"/>
        <n v="8026.32"/>
        <n v="915.36"/>
        <n v="3861"/>
        <n v="4776.36"/>
        <n v="1426.56"/>
        <n v="865.32"/>
        <n v="2291.88"/>
        <n v="4883.279999999999"/>
        <n v="5131.5599999999995"/>
        <n v="10014.839999999998"/>
        <n v="11913.960000000001"/>
        <n v="7081.68"/>
        <n v="18995.64"/>
        <n v="9249.96"/>
        <n v="4121.280000000001"/>
        <n v="13371.24"/>
        <n v="10845.480000000001"/>
        <n v="11916.24"/>
        <n v="22761.72"/>
        <n v="6470.16"/>
        <n v="5656.32"/>
        <n v="12126.48"/>
        <m/>
      </sharedItems>
    </cacheField>
    <cacheField name="投流消耗" numFmtId="0">
      <sharedItems containsString="false" containsBlank="true" containsNumber="true" minValue="1988.02" maxValue="26490" count="53">
        <n v="8715.82"/>
        <n v="15454.76"/>
        <n v="18682.479999999996"/>
        <n v="17047.91"/>
        <n v="9442.09"/>
        <n v="26490"/>
        <n v="15292.84"/>
        <n v="6978.77"/>
        <n v="22271.61"/>
        <n v="12062.030000000002"/>
        <n v="7673.65"/>
        <n v="19735.68"/>
        <n v="8506.78"/>
        <n v="4656.75"/>
        <n v="13163.53"/>
        <n v="10981.6"/>
        <n v="3247.2799999999997"/>
        <n v="14228.880000000001"/>
        <n v="1988.02"/>
        <n v="4621.29"/>
        <n v="5673.55"/>
        <n v="10295.01"/>
        <n v="8849.59"/>
        <n v="8036.0599999999995"/>
        <n v="16885.65"/>
        <n v="9860.11"/>
        <n v="10320.2"/>
        <n v="20180.31"/>
        <n v="8920.43"/>
        <n v="5881.35"/>
        <n v="14801.78"/>
        <n v="6916.620000000001"/>
        <n v="3097.9000000000005"/>
        <n v="10014.52"/>
        <n v="6357.040000000001"/>
        <n v="3592.0299999999997"/>
        <n v="9949.07"/>
        <n v="5977.07"/>
        <n v="5472.91"/>
        <n v="11449.98"/>
        <n v="10999.41"/>
        <n v="5201.37"/>
        <n v="16200.779999999999"/>
        <n v="9053.99"/>
        <n v="9151.240000000002"/>
        <n v="18205.230000000003"/>
        <n v="9374.5"/>
        <n v="4342.91"/>
        <n v="13717.41"/>
        <n v="9862.59"/>
        <n v="6217.58"/>
        <n v="16080.17"/>
        <m/>
      </sharedItems>
    </cacheField>
    <cacheField name="ROI" numFmtId="0">
      <sharedItems containsString="false" containsBlank="true" containsNumber="true" minValue="0" maxValue="2.74383765723904" count="0"/>
    </cacheField>
    <cacheField name="单均" numFmtId="0">
      <sharedItems containsBlank="true" containsMixedTypes="true" containsNumber="true" minValue="865.32" maxValue="5958.12" count="0"/>
    </cacheField>
    <cacheField name="保单成本" numFmtId="0">
      <sharedItems containsBlank="true" containsMixedTypes="true" containsNumber="true" minValue="931.35" maxValue="9442.09" count="0"/>
    </cacheField>
    <cacheField name="升级占比" numFmtId="0">
      <sharedItems containsBlank="true" containsMixedTypes="true" containsNumber="true" minValue="0" maxValue="1" count="0"/>
    </cacheField>
    <cacheField name="家庭单占比" numFmtId="0">
      <sharedItems containsBlank="true" containsMixedTypes="true" containsNumber="true" minValue="0" maxValue="1" count="0"/>
    </cacheField>
    <cacheField name="勾选升级单量" numFmtId="0">
      <sharedItems containsString="false" containsBlank="true" containsNumber="true" containsInteger="true" minValue="0" maxValue="8" count="0"/>
    </cacheField>
    <cacheField name="勾选重疾" numFmtId="0">
      <sharedItems containsString="false" containsBlank="true" containsNumber="true" containsInteger="true" minValue="0" maxValue="3" count="0"/>
    </cacheField>
    <cacheField name="助播" numFmtId="0">
      <sharedItems containsBlank="true" count="0"/>
    </cacheField>
    <cacheField name="助播时长" numFmtId="0">
      <sharedItems containsString="false" containsBlank="true" containsNumber="true" containsInteger="true" minValue="1" maxValue="8" count="0"/>
    </cacheField>
    <cacheField name="助播2" numFmtId="0">
      <sharedItems containsString="false" containsBlank="true" count="0"/>
    </cacheField>
    <cacheField name="助播时长-2" numFmtId="0">
      <sharedItems containsString="false" containsBlank="true" count="0"/>
    </cacheField>
    <cacheField name="投手" numFmtId="0">
      <sharedItems containsBlank="true" count="0"/>
    </cacheField>
    <cacheField name="时长-2" numFmtId="0">
      <sharedItems containsString="false" containsBlank="true" containsNumber="true" containsInteger="true" minValue="1" maxValue="8" count="0"/>
    </cacheField>
    <cacheField name="曝光数" numFmtId="0">
      <sharedItems containsSemiMixedTypes="false" containsString="false" containsNumber="true" containsInteger="true" minValue="0" maxValue="107182" count="0"/>
    </cacheField>
    <cacheField name="点击数" numFmtId="0">
      <sharedItems containsSemiMixedTypes="false" containsString="false" containsNumber="true" containsInteger="true" minValue="0" maxValue="5764" count="0"/>
    </cacheField>
    <cacheField name="直播间观看数" numFmtId="0">
      <sharedItems containsSemiMixedTypes="false" containsString="false" containsNumber="true" containsInteger="true" minValue="0" maxValue="8662" count="0"/>
    </cacheField>
    <cacheField name="直播间超过1分钟观看数" numFmtId="0">
      <sharedItems containsSemiMixedTypes="false" containsString="false" containsNumber="true" containsInteger="true" minValue="0" maxValue="2522" count="0"/>
    </cacheField>
    <cacheField name="组件点击数" numFmtId="0">
      <sharedItems containsSemiMixedTypes="false" containsString="false" containsNumber="true" containsInteger="true" minValue="0" maxValue="680" count="0"/>
    </cacheField>
    <cacheField name="直播间关注数" numFmtId="0">
      <sharedItems containsSemiMixedTypes="false" containsString="false" containsNumber="true" containsInteger="true" minValue="0" maxValue="71" count="0"/>
    </cacheField>
    <cacheField name="直播间评论数" numFmtId="0">
      <sharedItems containsSemiMixedTypes="false" containsString="false" containsNumber="true" containsInteger="true" minValue="0" maxValue="725" count="0"/>
    </cacheField>
    <cacheField name="直播间分享数" numFmtId="0">
      <sharedItems containsSemiMixedTypes="false" containsString="false" containsNumber="true" containsInteger="true" minValue="0" maxValue="10" count="0"/>
    </cacheField>
    <cacheField name="组件点击率" numFmtId="0">
      <sharedItems containsString="false" containsBlank="true" containsNumber="true" minValue="0.0033" maxValue="0.0542" count="0"/>
    </cacheField>
    <cacheField name="外层点击率" numFmtId="0">
      <sharedItems containsString="false" containsBlank="true" containsNumber="true" minValue="0.02678425274185628" maxValue="0.22891301963365143" count="0"/>
    </cacheField>
    <cacheField name="互动率" numFmtId="0">
      <sharedItems containsString="false" containsBlank="true" containsNumber="true" minValue="0.04077631836894727" maxValue="0.21845018450184503" count="0"/>
    </cacheField>
    <cacheField name="直播间超过1分钟观看率" numFmtId="0">
      <sharedItems containsString="false" containsBlank="true" containsNumber="true" minValue="0.20733740967204004" maxValue="0.3314500941619586" count="0"/>
    </cacheField>
    <cacheField name="直播间评论率" numFmtId="0">
      <sharedItems containsString="false" containsBlank="true" containsNumber="true" minValue="0.037051558517937656" maxValue="0.1996309963099631" count="0"/>
    </cacheField>
    <cacheField name="组件点击成本" numFmtId="0">
      <sharedItems containsString="false" containsBlank="true" containsNumber="true" minValue="30.102763157894742" maxValue="185.44297872340425" count="0"/>
    </cacheField>
    <cacheField name="保单率" numFmtId="0">
      <sharedItems containsString="false" containsBlank="true" containsNumber="true" minValue="0" maxValue="0.0851063829787234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D$121:$G$126" firstHeaderRow="1" firstDataRow="1" firstDataCol="1"/>
  <pivotFields count="26">
    <pivotField compact="false" outline="false" showAll="false"/>
    <pivotField axis="axisRow" compact="false" outline="false" showAll="false">
      <items count="6">
        <item x="0"/>
        <item x="1"/>
        <item h="true" x="2"/>
        <item x="3"/>
        <item x="4"/>
        <item t="default"/>
      </items>
    </pivotField>
    <pivotField compact="false" outline="false" showAll="false"/>
    <pivotField dataField="true" compact="false" outline="false" showAll="false">
      <items count="5">
        <item x="0"/>
        <item x="1"/>
        <item x="2"/>
        <item x="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true" compact="false" outline="false" showAll="false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时长" fld="3" subtotal="sum"/>
    <dataField name="求和项:年化保费" fld="19" subtotal="sum"/>
    <dataField name="求和项:投流消耗" fld="2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E$62:$H$72" firstHeaderRow="1" firstDataRow="1" firstDataCol="1"/>
  <pivotFields count="49">
    <pivotField compact="false" outline="false" showAll="false"/>
    <pivotField axis="axisRow" compact="false" outline="false" showAll="false">
      <items count="11">
        <item x="0"/>
        <item h="true"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dataField="true" compact="false" outline="false" showAll="false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dataField="true" compact="false" outline="false" showAll="false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时长" fld="3" subtotal="sum"/>
    <dataField name="求和项:年化保费" fld="19" subtotal="sum"/>
    <dataField name="求和项:投流消耗" fld="2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3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36" min="36" style="0" width="11.211267605633802"/>
    <col collapsed="false" customWidth="true" hidden="false" max="38" min="38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37" min="37" style="0" width="11.211267605633802"/>
    <col collapsed="false" customWidth="true" hidden="false" max="39" min="39" style="0" width="11.21126760563380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2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30</v>
      </c>
      <c r="AG1" s="1" t="s">
        <v>32</v>
      </c>
      <c r="AH1" s="1" t="s">
        <v>4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</row>
    <row hidden="true" r="2">
      <c r="A2" s="5">
        <v>46296</v>
      </c>
      <c r="B2" s="6" t="s">
        <v>48</v>
      </c>
      <c r="C2" s="6" t="s">
        <v>49</v>
      </c>
      <c r="D2" s="6">
        <v>4</v>
      </c>
      <c r="E2" s="7">
        <v>13</v>
      </c>
      <c r="F2" s="7">
        <v>6</v>
      </c>
      <c r="G2" s="7">
        <v>4</v>
      </c>
      <c r="H2" s="7">
        <v>4</v>
      </c>
      <c r="I2" s="8">
        <v>524.12</v>
      </c>
      <c r="J2" s="7">
        <v>2</v>
      </c>
      <c r="K2" s="7">
        <v>6364.8</v>
      </c>
      <c r="L2" s="7">
        <v>2</v>
      </c>
      <c r="M2" s="7">
        <v>3125.04</v>
      </c>
      <c r="N2" s="7">
        <v>0</v>
      </c>
      <c r="O2" s="7">
        <v>0</v>
      </c>
      <c r="P2" s="7">
        <v>4</v>
      </c>
      <c r="Q2" s="8">
        <v>9529.2</v>
      </c>
      <c r="R2" s="7">
        <v>3</v>
      </c>
      <c r="S2" s="7">
        <v>6557.89</v>
      </c>
      <c r="T2" s="1">
        <f t="shared" ref="T2:T3" si="28">I2*12+K2</f>
      </c>
      <c r="U2" s="9">
        <v>12428.770000000002</v>
      </c>
      <c r="V2" s="10">
        <f t="shared" ref="V2:V62" si="24">T2/U2</f>
      </c>
      <c r="W2" s="11">
        <f t="shared" ref="W2:W62" si="20">T2/F2</f>
      </c>
      <c r="X2" s="11">
        <f t="shared" ref="X2:X62" si="49">U2/F2</f>
      </c>
      <c r="Y2" s="12">
        <f t="shared" ref="Y2:Y62" si="25">AA2/F2</f>
      </c>
      <c r="Z2" s="12">
        <f t="shared" ref="Z2:Z62" si="21">R2/F2</f>
      </c>
      <c r="AA2" s="13">
        <f t="shared" ref="AA2:AA3" si="0">L2</f>
      </c>
      <c r="AB2" s="9">
        <v>0</v>
      </c>
      <c r="AC2" s="7" t="s">
        <v>50</v>
      </c>
      <c r="AD2" s="7">
        <v>8</v>
      </c>
      <c r="AE2" s="8"/>
      <c r="AF2" s="8"/>
      <c r="AG2" s="8" t="s">
        <v>51</v>
      </c>
      <c r="AH2" s="7">
        <v>8</v>
      </c>
      <c r="AI2" s="8">
        <v>45336</v>
      </c>
      <c r="AJ2" s="8">
        <v>2435</v>
      </c>
      <c r="AK2" s="8">
        <v>3567</v>
      </c>
      <c r="AL2" s="8">
        <v>1052</v>
      </c>
      <c r="AM2" s="8">
        <v>91</v>
      </c>
      <c r="AN2" s="8">
        <v>52</v>
      </c>
      <c r="AO2" s="8">
        <v>346</v>
      </c>
      <c r="AP2" s="8">
        <v>0</v>
      </c>
      <c r="AQ2" s="14"/>
      <c r="AR2" s="12">
        <f t="shared" ref="AR2:AR62" si="47">AJ2/AI2</f>
      </c>
      <c r="AS2" s="12">
        <f t="shared" ref="AS2:AS62" si="26">(AN2+AO2+AP2)/AK2</f>
      </c>
      <c r="AT2" s="12">
        <f t="shared" ref="AT2:AT62" si="48">AL2/AK2</f>
      </c>
      <c r="AU2" s="15">
        <f t="shared" ref="AU2:AU62" si="22">AO2/AK2</f>
      </c>
      <c r="AV2" s="16">
        <f t="shared" ref="AV2:AV62" si="19">U2/AM2</f>
      </c>
      <c r="AW2" s="17"/>
    </row>
    <row hidden="true" r="3">
      <c r="A3" s="5">
        <v>46296</v>
      </c>
      <c r="B3" s="6" t="s">
        <v>52</v>
      </c>
      <c r="C3" s="6" t="s">
        <v>53</v>
      </c>
      <c r="D3" s="6">
        <v>4</v>
      </c>
      <c r="E3" s="7">
        <v>11</v>
      </c>
      <c r="F3" s="7">
        <v>7</v>
      </c>
      <c r="G3" s="7">
        <v>4</v>
      </c>
      <c r="H3" s="7">
        <v>7</v>
      </c>
      <c r="I3" s="7">
        <v>1409.76</v>
      </c>
      <c r="J3" s="7">
        <v>0</v>
      </c>
      <c r="K3" s="7">
        <v>0</v>
      </c>
      <c r="L3" s="7">
        <v>4</v>
      </c>
      <c r="M3" s="7">
        <v>8794.56</v>
      </c>
      <c r="N3" s="7">
        <v>1</v>
      </c>
      <c r="O3" s="7">
        <v>3236.6400000000003</v>
      </c>
      <c r="P3" s="7">
        <v>2</v>
      </c>
      <c r="Q3" s="7">
        <v>4885.92</v>
      </c>
      <c r="R3" s="7">
        <v>1</v>
      </c>
      <c r="S3" s="7">
        <v>362.81</v>
      </c>
      <c r="T3" s="1">
        <f t="shared" si="28"/>
      </c>
      <c r="U3" s="13">
        <v>7060.58</v>
      </c>
      <c r="V3" s="10">
        <f t="shared" si="24"/>
      </c>
      <c r="W3" s="11">
        <f t="shared" si="20"/>
      </c>
      <c r="X3" s="11">
        <f t="shared" si="49"/>
      </c>
      <c r="Y3" s="12">
        <f t="shared" si="25"/>
      </c>
      <c r="Z3" s="12">
        <f t="shared" si="21"/>
      </c>
      <c r="AA3" s="13">
        <f t="shared" si="0"/>
      </c>
      <c r="AB3" s="9">
        <v>1</v>
      </c>
      <c r="AC3" s="7"/>
      <c r="AD3" s="7"/>
      <c r="AE3" s="8"/>
      <c r="AF3" s="8"/>
      <c r="AG3" s="8"/>
      <c r="AH3" s="7"/>
      <c r="AI3" s="8">
        <v>20867</v>
      </c>
      <c r="AJ3" s="8">
        <v>995</v>
      </c>
      <c r="AK3" s="8">
        <v>1512</v>
      </c>
      <c r="AL3" s="8">
        <v>404</v>
      </c>
      <c r="AM3" s="8">
        <v>104</v>
      </c>
      <c r="AN3" s="8">
        <v>25</v>
      </c>
      <c r="AO3" s="8">
        <v>296</v>
      </c>
      <c r="AP3" s="7">
        <v>1</v>
      </c>
      <c r="AQ3" s="8"/>
      <c r="AR3" s="12">
        <f t="shared" si="47"/>
      </c>
      <c r="AS3" s="12">
        <f t="shared" si="26"/>
      </c>
      <c r="AT3" s="12">
        <f t="shared" si="48"/>
      </c>
      <c r="AU3" s="15">
        <f t="shared" si="22"/>
      </c>
      <c r="AV3" s="16">
        <f t="shared" si="19"/>
      </c>
      <c r="AW3" s="17"/>
    </row>
    <row hidden="true" r="4">
      <c r="A4" s="18">
        <v>46296</v>
      </c>
      <c r="B4" s="19"/>
      <c r="C4" s="19"/>
      <c r="D4" s="19">
        <f>D2+D3</f>
      </c>
      <c r="E4" s="19">
        <f>E2+E3</f>
      </c>
      <c r="F4" s="19">
        <f>F2+F3</f>
      </c>
      <c r="G4" s="19">
        <f>G2+G3</f>
      </c>
      <c r="H4" s="19">
        <f>H2+H3</f>
      </c>
      <c r="I4" s="19">
        <f>I2+I3</f>
      </c>
      <c r="J4" s="19">
        <f>J2+J3</f>
      </c>
      <c r="K4" s="19">
        <f>K2+K3</f>
      </c>
      <c r="L4" s="19">
        <f>L2+L3</f>
      </c>
      <c r="M4" s="19">
        <f>M2+M3</f>
      </c>
      <c r="N4" s="19">
        <f>N2+N3</f>
      </c>
      <c r="O4" s="19">
        <f>O2+O3</f>
      </c>
      <c r="P4" s="19">
        <f>P2+P3</f>
      </c>
      <c r="Q4" s="19">
        <f>Q2+Q3</f>
      </c>
      <c r="R4" s="19">
        <f>R2+R3</f>
      </c>
      <c r="S4" s="19">
        <f>S2+S3</f>
      </c>
      <c r="T4" s="19">
        <f>T2+T3</f>
      </c>
      <c r="U4" s="19">
        <f>U2+U3</f>
      </c>
      <c r="V4" s="20">
        <f t="shared" si="24"/>
      </c>
      <c r="W4" s="20">
        <f t="shared" si="20"/>
      </c>
      <c r="X4" s="20">
        <f t="shared" si="49"/>
      </c>
      <c r="Y4" s="20">
        <f t="shared" si="25"/>
      </c>
      <c r="Z4" s="21">
        <f t="shared" si="21"/>
      </c>
      <c r="AA4" s="22">
        <f>SUM(AA2)</f>
      </c>
      <c r="AB4" s="22">
        <f>SUM(AB2)</f>
      </c>
      <c r="AC4" s="22"/>
      <c r="AD4" s="22">
        <f>SUM(AD2)</f>
      </c>
      <c r="AE4" s="22"/>
      <c r="AF4" s="22"/>
      <c r="AG4" s="22"/>
      <c r="AH4" s="23">
        <v>8</v>
      </c>
      <c r="AI4" s="22">
        <f>AI2+AI3</f>
      </c>
      <c r="AJ4" s="22">
        <f>AJ2+AJ3</f>
      </c>
      <c r="AK4" s="22">
        <f>AK2+AK3</f>
      </c>
      <c r="AL4" s="22">
        <f>AL2+AL3</f>
      </c>
      <c r="AM4" s="22">
        <f>AM2+AM3</f>
      </c>
      <c r="AN4" s="22">
        <f>AN2+AN3</f>
      </c>
      <c r="AO4" s="22">
        <f>AO2+AO3</f>
      </c>
      <c r="AP4" s="22">
        <f>AP2+AP3</f>
      </c>
      <c r="AQ4" s="24"/>
      <c r="AR4" s="21">
        <f t="shared" si="47"/>
      </c>
      <c r="AS4" s="21">
        <f t="shared" si="26"/>
      </c>
      <c r="AT4" s="21">
        <f t="shared" si="48"/>
      </c>
      <c r="AU4" s="21">
        <f t="shared" si="22"/>
      </c>
      <c r="AV4" s="25">
        <f t="shared" si="19"/>
      </c>
      <c r="AW4" s="21">
        <f>F4/AM4</f>
      </c>
    </row>
    <row hidden="true" r="5">
      <c r="A5" s="5">
        <v>46297</v>
      </c>
      <c r="B5" s="6" t="s">
        <v>52</v>
      </c>
      <c r="C5" s="6" t="s">
        <v>49</v>
      </c>
      <c r="D5" s="6">
        <v>4</v>
      </c>
      <c r="E5" s="7">
        <v>6</v>
      </c>
      <c r="F5" s="7">
        <v>4</v>
      </c>
      <c r="G5" s="7">
        <v>1</v>
      </c>
      <c r="H5" s="7">
        <v>4</v>
      </c>
      <c r="I5" s="8">
        <v>1282.6399999999999</v>
      </c>
      <c r="J5" s="7">
        <v>0</v>
      </c>
      <c r="K5" s="7">
        <v>0</v>
      </c>
      <c r="L5" s="7">
        <v>1</v>
      </c>
      <c r="M5" s="7">
        <v>3395.16</v>
      </c>
      <c r="N5" s="7">
        <v>0</v>
      </c>
      <c r="O5" s="7">
        <v>0</v>
      </c>
      <c r="P5" s="7">
        <v>3</v>
      </c>
      <c r="Q5" s="8">
        <v>11996.519999999999</v>
      </c>
      <c r="R5" s="7">
        <v>3</v>
      </c>
      <c r="S5" s="7">
        <v>1135.04</v>
      </c>
      <c r="T5" s="1">
        <f t="shared" ref="T5:T6" si="29">I5*12+K5</f>
      </c>
      <c r="U5" s="9">
        <v>7132.7300000000005</v>
      </c>
      <c r="V5" s="10">
        <f t="shared" si="24"/>
      </c>
      <c r="W5" s="11">
        <f t="shared" si="20"/>
      </c>
      <c r="X5" s="11">
        <f t="shared" si="49"/>
      </c>
      <c r="Y5" s="12">
        <f t="shared" si="25"/>
      </c>
      <c r="Z5" s="12">
        <f t="shared" si="21"/>
      </c>
      <c r="AA5" s="13">
        <f t="shared" ref="AA5:AA6" si="1">L5</f>
      </c>
      <c r="AB5" s="9">
        <v>0</v>
      </c>
      <c r="AC5" s="7" t="s">
        <v>50</v>
      </c>
      <c r="AD5" s="7">
        <v>8</v>
      </c>
      <c r="AE5" s="8"/>
      <c r="AF5" s="8"/>
      <c r="AG5" s="8" t="s">
        <v>51</v>
      </c>
      <c r="AH5" s="7">
        <v>8</v>
      </c>
      <c r="AI5" s="8">
        <v>18795</v>
      </c>
      <c r="AJ5" s="8">
        <v>1073</v>
      </c>
      <c r="AK5" s="8">
        <v>1619</v>
      </c>
      <c r="AL5" s="8">
        <v>454</v>
      </c>
      <c r="AM5" s="8">
        <v>84</v>
      </c>
      <c r="AN5" s="8">
        <v>18</v>
      </c>
      <c r="AO5" s="8">
        <v>172</v>
      </c>
      <c r="AP5" s="8">
        <v>1</v>
      </c>
      <c r="AQ5" s="14"/>
      <c r="AR5" s="12">
        <f t="shared" si="47"/>
      </c>
      <c r="AS5" s="12">
        <f t="shared" si="26"/>
      </c>
      <c r="AT5" s="12">
        <f t="shared" si="48"/>
      </c>
      <c r="AU5" s="15">
        <f t="shared" si="22"/>
      </c>
      <c r="AV5" s="16">
        <f t="shared" si="19"/>
      </c>
      <c r="AW5" s="17"/>
    </row>
    <row hidden="true" r="6">
      <c r="A6" s="5">
        <v>46297</v>
      </c>
      <c r="B6" s="6" t="s">
        <v>54</v>
      </c>
      <c r="C6" s="6" t="s">
        <v>53</v>
      </c>
      <c r="D6" s="6">
        <v>4</v>
      </c>
      <c r="E6" s="7">
        <v>11</v>
      </c>
      <c r="F6" s="7">
        <v>6</v>
      </c>
      <c r="G6" s="7">
        <v>6</v>
      </c>
      <c r="H6" s="7">
        <v>5</v>
      </c>
      <c r="I6" s="7">
        <v>1509.1399999999999</v>
      </c>
      <c r="J6" s="7">
        <v>1</v>
      </c>
      <c r="K6" s="7">
        <v>683</v>
      </c>
      <c r="L6" s="7">
        <v>5</v>
      </c>
      <c r="M6" s="7">
        <v>18109.68</v>
      </c>
      <c r="N6" s="7">
        <v>0</v>
      </c>
      <c r="O6" s="7">
        <v>0</v>
      </c>
      <c r="P6" s="7">
        <v>1</v>
      </c>
      <c r="Q6" s="7">
        <v>683</v>
      </c>
      <c r="R6" s="7">
        <v>3</v>
      </c>
      <c r="S6" s="7">
        <v>1281.88</v>
      </c>
      <c r="T6" s="1">
        <f t="shared" si="29"/>
      </c>
      <c r="U6" s="13">
        <v>9851.26</v>
      </c>
      <c r="V6" s="10">
        <f t="shared" si="24"/>
      </c>
      <c r="W6" s="11">
        <f t="shared" si="20"/>
      </c>
      <c r="X6" s="11">
        <f t="shared" si="49"/>
      </c>
      <c r="Y6" s="12">
        <f t="shared" si="25"/>
      </c>
      <c r="Z6" s="12">
        <f t="shared" si="21"/>
      </c>
      <c r="AA6" s="13">
        <f t="shared" si="1"/>
      </c>
      <c r="AB6" s="9">
        <v>2</v>
      </c>
      <c r="AC6" s="7"/>
      <c r="AD6" s="7"/>
      <c r="AE6" s="8"/>
      <c r="AF6" s="8"/>
      <c r="AG6" s="8"/>
      <c r="AH6" s="7"/>
      <c r="AI6" s="8">
        <v>32697</v>
      </c>
      <c r="AJ6" s="8">
        <v>1374</v>
      </c>
      <c r="AK6" s="8">
        <v>2155</v>
      </c>
      <c r="AL6" s="8">
        <v>571</v>
      </c>
      <c r="AM6" s="8">
        <v>243</v>
      </c>
      <c r="AN6" s="8">
        <v>18</v>
      </c>
      <c r="AO6" s="8">
        <v>263</v>
      </c>
      <c r="AP6" s="7">
        <v>3</v>
      </c>
      <c r="AQ6" s="8"/>
      <c r="AR6" s="12">
        <f t="shared" si="47"/>
      </c>
      <c r="AS6" s="12">
        <f t="shared" si="26"/>
      </c>
      <c r="AT6" s="12">
        <f t="shared" si="48"/>
      </c>
      <c r="AU6" s="15">
        <f t="shared" si="22"/>
      </c>
      <c r="AV6" s="16">
        <f t="shared" si="19"/>
      </c>
      <c r="AW6" s="17"/>
    </row>
    <row hidden="true" r="7">
      <c r="A7" s="18">
        <v>46297</v>
      </c>
      <c r="B7" s="19"/>
      <c r="C7" s="19"/>
      <c r="D7" s="19">
        <f>D5+D6</f>
      </c>
      <c r="E7" s="19">
        <f>E5+E6</f>
      </c>
      <c r="F7" s="19">
        <f>F5+F6</f>
      </c>
      <c r="G7" s="19">
        <f>G5+G6</f>
      </c>
      <c r="H7" s="19">
        <f>H5+H6</f>
      </c>
      <c r="I7" s="19">
        <f>I5+I6</f>
      </c>
      <c r="J7" s="19">
        <f>J5+J6</f>
      </c>
      <c r="K7" s="19">
        <f>K5+K6</f>
      </c>
      <c r="L7" s="19">
        <f>L5+L6</f>
      </c>
      <c r="M7" s="19">
        <f>M5+M6</f>
      </c>
      <c r="N7" s="19">
        <f>N5+N6</f>
      </c>
      <c r="O7" s="19">
        <f>O5+O6</f>
      </c>
      <c r="P7" s="19">
        <f>P5+P6</f>
      </c>
      <c r="Q7" s="19">
        <f>Q5+Q6</f>
      </c>
      <c r="R7" s="19">
        <f>R5+R6</f>
      </c>
      <c r="S7" s="19">
        <f>S5+S6</f>
      </c>
      <c r="T7" s="19">
        <f>T5+T6</f>
      </c>
      <c r="U7" s="19">
        <f>U5+U6</f>
      </c>
      <c r="V7" s="20">
        <f t="shared" si="24"/>
      </c>
      <c r="W7" s="20">
        <f t="shared" si="20"/>
      </c>
      <c r="X7" s="20">
        <f t="shared" si="49"/>
      </c>
      <c r="Y7" s="20">
        <f t="shared" si="25"/>
      </c>
      <c r="Z7" s="21">
        <f t="shared" si="21"/>
      </c>
      <c r="AA7" s="22">
        <f>SUM(AA5)</f>
      </c>
      <c r="AB7" s="22">
        <f>SUM(AB5)</f>
      </c>
      <c r="AC7" s="22"/>
      <c r="AD7" s="22">
        <f>SUM(AD5)</f>
      </c>
      <c r="AE7" s="22"/>
      <c r="AF7" s="22"/>
      <c r="AG7" s="22"/>
      <c r="AH7" s="23">
        <v>8</v>
      </c>
      <c r="AI7" s="22">
        <f>AI5+AI6</f>
      </c>
      <c r="AJ7" s="22">
        <f>AJ5+AJ6</f>
      </c>
      <c r="AK7" s="22">
        <f>AK5+AK6</f>
      </c>
      <c r="AL7" s="22">
        <f>AL5+AL6</f>
      </c>
      <c r="AM7" s="22">
        <f>AM5+AM6</f>
      </c>
      <c r="AN7" s="22">
        <f>AN5+AN6</f>
      </c>
      <c r="AO7" s="22">
        <f>AO5+AO6</f>
      </c>
      <c r="AP7" s="22">
        <f>AP5+AP6</f>
      </c>
      <c r="AQ7" s="24"/>
      <c r="AR7" s="21">
        <f t="shared" si="47"/>
      </c>
      <c r="AS7" s="21">
        <f t="shared" si="26"/>
      </c>
      <c r="AT7" s="21">
        <f t="shared" si="48"/>
      </c>
      <c r="AU7" s="21">
        <f t="shared" si="22"/>
      </c>
      <c r="AV7" s="25">
        <f t="shared" si="19"/>
      </c>
      <c r="AW7" s="21">
        <f>F7/AM7</f>
      </c>
    </row>
    <row hidden="true" r="8">
      <c r="A8" s="5">
        <v>46298</v>
      </c>
      <c r="B8" s="6" t="s">
        <v>52</v>
      </c>
      <c r="C8" s="6" t="s">
        <v>49</v>
      </c>
      <c r="D8" s="6">
        <v>4</v>
      </c>
      <c r="E8" s="7">
        <v>6</v>
      </c>
      <c r="F8" s="7">
        <v>1</v>
      </c>
      <c r="G8" s="7">
        <v>1</v>
      </c>
      <c r="H8" s="7">
        <v>1</v>
      </c>
      <c r="I8" s="8">
        <v>401.44</v>
      </c>
      <c r="J8" s="7">
        <v>0</v>
      </c>
      <c r="K8" s="7">
        <v>0</v>
      </c>
      <c r="L8" s="7">
        <v>0</v>
      </c>
      <c r="M8" s="7">
        <v>0</v>
      </c>
      <c r="N8" s="7">
        <v>1</v>
      </c>
      <c r="O8" s="7">
        <v>4817.28</v>
      </c>
      <c r="P8" s="7">
        <v>0</v>
      </c>
      <c r="Q8" s="7">
        <v>0</v>
      </c>
      <c r="R8" s="7">
        <v>0</v>
      </c>
      <c r="S8" s="7">
        <v>0</v>
      </c>
      <c r="T8" s="1">
        <f t="shared" ref="T8:T9" si="30">I8*12+K8</f>
      </c>
      <c r="U8" s="9">
        <v>8644.62</v>
      </c>
      <c r="V8" s="10">
        <f t="shared" si="24"/>
      </c>
      <c r="W8" s="11">
        <f t="shared" si="20"/>
      </c>
      <c r="X8" s="11">
        <f t="shared" si="49"/>
      </c>
      <c r="Y8" s="12">
        <f t="shared" si="25"/>
      </c>
      <c r="Z8" s="12">
        <f t="shared" si="21"/>
      </c>
      <c r="AA8" s="13">
        <f t="shared" ref="AA8:AA9" si="2">L8</f>
      </c>
      <c r="AB8" s="9">
        <v>0</v>
      </c>
      <c r="AC8" s="7" t="s">
        <v>50</v>
      </c>
      <c r="AD8" s="7">
        <v>8</v>
      </c>
      <c r="AE8" s="8"/>
      <c r="AF8" s="8"/>
      <c r="AG8" s="8" t="s">
        <v>51</v>
      </c>
      <c r="AH8" s="7">
        <v>8</v>
      </c>
      <c r="AI8" s="8">
        <v>33042</v>
      </c>
      <c r="AJ8" s="8">
        <v>1451</v>
      </c>
      <c r="AK8" s="8">
        <v>1965</v>
      </c>
      <c r="AL8" s="8">
        <v>569</v>
      </c>
      <c r="AM8" s="8">
        <v>144</v>
      </c>
      <c r="AN8" s="8">
        <v>26</v>
      </c>
      <c r="AO8" s="8">
        <v>232</v>
      </c>
      <c r="AP8" s="8">
        <v>2</v>
      </c>
      <c r="AQ8" s="14"/>
      <c r="AR8" s="12">
        <f t="shared" si="47"/>
      </c>
      <c r="AS8" s="12">
        <f t="shared" si="26"/>
      </c>
      <c r="AT8" s="12">
        <f t="shared" si="48"/>
      </c>
      <c r="AU8" s="15">
        <f t="shared" si="22"/>
      </c>
      <c r="AV8" s="16">
        <f t="shared" si="19"/>
      </c>
      <c r="AW8" s="17"/>
    </row>
    <row hidden="true" r="9">
      <c r="A9" s="5">
        <v>46298</v>
      </c>
      <c r="B9" s="6" t="s">
        <v>54</v>
      </c>
      <c r="C9" s="6" t="s">
        <v>53</v>
      </c>
      <c r="D9" s="6">
        <v>4</v>
      </c>
      <c r="E9" s="7">
        <v>4</v>
      </c>
      <c r="F9" s="7">
        <v>2</v>
      </c>
      <c r="G9" s="7">
        <v>2</v>
      </c>
      <c r="H9" s="7">
        <v>2</v>
      </c>
      <c r="I9" s="7">
        <v>744.09</v>
      </c>
      <c r="J9" s="7">
        <v>0</v>
      </c>
      <c r="K9" s="7">
        <v>0</v>
      </c>
      <c r="L9" s="7">
        <v>1</v>
      </c>
      <c r="M9" s="7">
        <v>8228.52</v>
      </c>
      <c r="N9" s="7">
        <v>1</v>
      </c>
      <c r="O9" s="7">
        <v>700.5600000000001</v>
      </c>
      <c r="P9" s="7">
        <v>0</v>
      </c>
      <c r="Q9" s="7">
        <v>0</v>
      </c>
      <c r="R9" s="7">
        <v>1</v>
      </c>
      <c r="S9" s="7">
        <v>685.71</v>
      </c>
      <c r="T9" s="1">
        <f t="shared" si="30"/>
      </c>
      <c r="U9" s="13">
        <v>4785.200000000001</v>
      </c>
      <c r="V9" s="10">
        <f t="shared" si="24"/>
      </c>
      <c r="W9" s="11">
        <f t="shared" si="20"/>
      </c>
      <c r="X9" s="11">
        <f t="shared" si="49"/>
      </c>
      <c r="Y9" s="12">
        <f t="shared" si="25"/>
      </c>
      <c r="Z9" s="12">
        <f t="shared" si="21"/>
      </c>
      <c r="AA9" s="13">
        <f t="shared" si="2"/>
      </c>
      <c r="AB9" s="9">
        <v>1</v>
      </c>
      <c r="AC9" s="7"/>
      <c r="AD9" s="7"/>
      <c r="AE9" s="8"/>
      <c r="AF9" s="8"/>
      <c r="AG9" s="8"/>
      <c r="AH9" s="7"/>
      <c r="AI9" s="8">
        <v>14802</v>
      </c>
      <c r="AJ9" s="8">
        <v>725</v>
      </c>
      <c r="AK9" s="8">
        <v>1070</v>
      </c>
      <c r="AL9" s="8">
        <v>287</v>
      </c>
      <c r="AM9" s="8">
        <v>84</v>
      </c>
      <c r="AN9" s="8">
        <v>15</v>
      </c>
      <c r="AO9" s="8">
        <v>160</v>
      </c>
      <c r="AP9" s="7">
        <v>0</v>
      </c>
      <c r="AQ9" s="8"/>
      <c r="AR9" s="12">
        <f t="shared" si="47"/>
      </c>
      <c r="AS9" s="12">
        <f t="shared" si="26"/>
      </c>
      <c r="AT9" s="12">
        <f t="shared" si="48"/>
      </c>
      <c r="AU9" s="15">
        <f t="shared" si="22"/>
      </c>
      <c r="AV9" s="16">
        <f t="shared" si="19"/>
      </c>
      <c r="AW9" s="17"/>
    </row>
    <row hidden="true" r="10">
      <c r="A10" s="18">
        <v>46298</v>
      </c>
      <c r="B10" s="19"/>
      <c r="C10" s="19"/>
      <c r="D10" s="19">
        <f>D8+D9</f>
      </c>
      <c r="E10" s="19">
        <f>E8+E9</f>
      </c>
      <c r="F10" s="19">
        <f>F8+F9</f>
      </c>
      <c r="G10" s="19">
        <f>G8+G9</f>
      </c>
      <c r="H10" s="19">
        <f>H8+H9</f>
      </c>
      <c r="I10" s="19">
        <f>I8+I9</f>
      </c>
      <c r="J10" s="19">
        <f>J8+J9</f>
      </c>
      <c r="K10" s="19">
        <f>K8+K9</f>
      </c>
      <c r="L10" s="19">
        <f>L8+L9</f>
      </c>
      <c r="M10" s="19">
        <f>M8+M9</f>
      </c>
      <c r="N10" s="19">
        <f>N8+N9</f>
      </c>
      <c r="O10" s="19">
        <f>O8+O9</f>
      </c>
      <c r="P10" s="19">
        <f>P8+P9</f>
      </c>
      <c r="Q10" s="19">
        <f>Q8+Q9</f>
      </c>
      <c r="R10" s="19">
        <f>R8+R9</f>
      </c>
      <c r="S10" s="19">
        <f>S8+S9</f>
      </c>
      <c r="T10" s="19">
        <f>T8+T9</f>
      </c>
      <c r="U10" s="19">
        <f>U8+U9</f>
      </c>
      <c r="V10" s="20">
        <f t="shared" si="24"/>
      </c>
      <c r="W10" s="20">
        <f t="shared" si="20"/>
      </c>
      <c r="X10" s="20">
        <f t="shared" si="49"/>
      </c>
      <c r="Y10" s="20">
        <f t="shared" si="25"/>
      </c>
      <c r="Z10" s="21">
        <f t="shared" si="21"/>
      </c>
      <c r="AA10" s="22">
        <f>SUM(AA8)</f>
      </c>
      <c r="AB10" s="22">
        <f>SUM(AB8)</f>
      </c>
      <c r="AC10" s="22"/>
      <c r="AD10" s="22">
        <f>SUM(AD8)</f>
      </c>
      <c r="AE10" s="22"/>
      <c r="AF10" s="22"/>
      <c r="AG10" s="22"/>
      <c r="AH10" s="23">
        <v>8</v>
      </c>
      <c r="AI10" s="22">
        <f>AI8+AI9</f>
      </c>
      <c r="AJ10" s="22">
        <f>AJ8+AJ9</f>
      </c>
      <c r="AK10" s="22">
        <f>AK8+AK9</f>
      </c>
      <c r="AL10" s="22">
        <f>AL8+AL9</f>
      </c>
      <c r="AM10" s="22">
        <f>AM8+AM9</f>
      </c>
      <c r="AN10" s="22">
        <f>AN8+AN9</f>
      </c>
      <c r="AO10" s="22">
        <f>AO8+AO9</f>
      </c>
      <c r="AP10" s="22">
        <f>AP8+AP9</f>
      </c>
      <c r="AQ10" s="24"/>
      <c r="AR10" s="21">
        <f t="shared" si="47"/>
      </c>
      <c r="AS10" s="21">
        <f t="shared" si="26"/>
      </c>
      <c r="AT10" s="21">
        <f t="shared" si="48"/>
      </c>
      <c r="AU10" s="21">
        <f t="shared" si="22"/>
      </c>
      <c r="AV10" s="25">
        <f t="shared" si="19"/>
      </c>
      <c r="AW10" s="21">
        <f>F10/AM10</f>
      </c>
    </row>
    <row hidden="true" r="11">
      <c r="A11" s="5">
        <v>46299</v>
      </c>
      <c r="B11" s="6" t="s">
        <v>55</v>
      </c>
      <c r="C11" s="6" t="s">
        <v>49</v>
      </c>
      <c r="D11" s="6">
        <v>4</v>
      </c>
      <c r="E11" s="7">
        <v>8</v>
      </c>
      <c r="F11" s="7">
        <v>5</v>
      </c>
      <c r="G11" s="7">
        <v>3</v>
      </c>
      <c r="H11" s="7">
        <v>4</v>
      </c>
      <c r="I11" s="8">
        <v>509.26</v>
      </c>
      <c r="J11" s="7">
        <v>1</v>
      </c>
      <c r="K11" s="7">
        <v>3978.44</v>
      </c>
      <c r="L11" s="7">
        <v>4</v>
      </c>
      <c r="M11" s="7">
        <v>7464.68</v>
      </c>
      <c r="N11" s="7">
        <v>1</v>
      </c>
      <c r="O11" s="7">
        <v>2624.88</v>
      </c>
      <c r="P11" s="7">
        <v>0</v>
      </c>
      <c r="Q11" s="7">
        <v>0</v>
      </c>
      <c r="R11" s="7">
        <v>1</v>
      </c>
      <c r="S11" s="7">
        <v>3978.44</v>
      </c>
      <c r="T11" s="1">
        <f t="shared" ref="T11:T12" si="31">I11*12+K11</f>
      </c>
      <c r="U11" s="9">
        <v>4845.7</v>
      </c>
      <c r="V11" s="10">
        <f t="shared" si="24"/>
      </c>
      <c r="W11" s="11">
        <f t="shared" si="20"/>
      </c>
      <c r="X11" s="11">
        <f t="shared" si="49"/>
      </c>
      <c r="Y11" s="12">
        <f t="shared" si="25"/>
      </c>
      <c r="Z11" s="12">
        <f t="shared" si="21"/>
      </c>
      <c r="AA11" s="13">
        <f t="shared" ref="AA11:AA12" si="3">L11</f>
      </c>
      <c r="AB11" s="9">
        <v>3</v>
      </c>
      <c r="AC11" s="7" t="s">
        <v>50</v>
      </c>
      <c r="AD11" s="7">
        <v>8</v>
      </c>
      <c r="AE11" s="8"/>
      <c r="AF11" s="8"/>
      <c r="AG11" s="8" t="s">
        <v>51</v>
      </c>
      <c r="AH11" s="7">
        <v>8</v>
      </c>
      <c r="AI11" s="8">
        <v>13698</v>
      </c>
      <c r="AJ11" s="8">
        <v>859</v>
      </c>
      <c r="AK11" s="8">
        <v>1413</v>
      </c>
      <c r="AL11" s="8">
        <v>393</v>
      </c>
      <c r="AM11" s="8">
        <v>91</v>
      </c>
      <c r="AN11" s="8">
        <v>22</v>
      </c>
      <c r="AO11" s="8">
        <v>168</v>
      </c>
      <c r="AP11" s="8">
        <v>5</v>
      </c>
      <c r="AQ11" s="14"/>
      <c r="AR11" s="12">
        <f t="shared" si="47"/>
      </c>
      <c r="AS11" s="12">
        <f t="shared" si="26"/>
      </c>
      <c r="AT11" s="12">
        <f t="shared" si="48"/>
      </c>
      <c r="AU11" s="15">
        <f t="shared" si="22"/>
      </c>
      <c r="AV11" s="16">
        <f t="shared" si="19"/>
      </c>
      <c r="AW11" s="17"/>
    </row>
    <row hidden="true" r="12">
      <c r="A12" s="5">
        <v>46299</v>
      </c>
      <c r="B12" s="6" t="s">
        <v>54</v>
      </c>
      <c r="C12" s="6" t="s">
        <v>53</v>
      </c>
      <c r="D12" s="6">
        <v>4</v>
      </c>
      <c r="E12" s="7">
        <v>7</v>
      </c>
      <c r="F12" s="7">
        <v>1</v>
      </c>
      <c r="G12" s="7">
        <v>1</v>
      </c>
      <c r="H12" s="7">
        <v>1</v>
      </c>
      <c r="I12" s="7">
        <v>145.56</v>
      </c>
      <c r="J12" s="7">
        <v>0</v>
      </c>
      <c r="K12" s="7">
        <v>0</v>
      </c>
      <c r="L12" s="7">
        <v>1</v>
      </c>
      <c r="M12" s="7">
        <v>1746.72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1">
        <f t="shared" si="31"/>
      </c>
      <c r="U12" s="13">
        <v>6475.380000000001</v>
      </c>
      <c r="V12" s="10">
        <f t="shared" si="24"/>
      </c>
      <c r="W12" s="11">
        <f t="shared" si="20"/>
      </c>
      <c r="X12" s="11">
        <f t="shared" si="49"/>
      </c>
      <c r="Y12" s="12">
        <f t="shared" si="25"/>
      </c>
      <c r="Z12" s="12">
        <f t="shared" si="21"/>
      </c>
      <c r="AA12" s="13">
        <f t="shared" si="3"/>
      </c>
      <c r="AB12" s="9">
        <v>0</v>
      </c>
      <c r="AC12" s="7"/>
      <c r="AD12" s="7"/>
      <c r="AE12" s="8"/>
      <c r="AF12" s="8"/>
      <c r="AG12" s="8"/>
      <c r="AH12" s="7"/>
      <c r="AI12" s="8">
        <v>19166</v>
      </c>
      <c r="AJ12" s="8">
        <v>1139</v>
      </c>
      <c r="AK12" s="8">
        <v>1827</v>
      </c>
      <c r="AL12" s="8">
        <v>476</v>
      </c>
      <c r="AM12" s="8">
        <v>91</v>
      </c>
      <c r="AN12" s="8">
        <v>11</v>
      </c>
      <c r="AO12" s="8">
        <v>93</v>
      </c>
      <c r="AP12" s="7">
        <v>1</v>
      </c>
      <c r="AQ12" s="8"/>
      <c r="AR12" s="12">
        <f t="shared" si="47"/>
      </c>
      <c r="AS12" s="12">
        <f t="shared" si="26"/>
      </c>
      <c r="AT12" s="12">
        <f t="shared" si="48"/>
      </c>
      <c r="AU12" s="15">
        <f t="shared" si="22"/>
      </c>
      <c r="AV12" s="16">
        <f t="shared" si="19"/>
      </c>
      <c r="AW12" s="17"/>
    </row>
    <row hidden="true" r="13">
      <c r="A13" s="18">
        <v>46299</v>
      </c>
      <c r="B13" s="19"/>
      <c r="C13" s="19"/>
      <c r="D13" s="19">
        <f>D11+D12</f>
      </c>
      <c r="E13" s="19">
        <f>E11+E12</f>
      </c>
      <c r="F13" s="19">
        <f>F11+F12</f>
      </c>
      <c r="G13" s="19">
        <f>G11+G12</f>
      </c>
      <c r="H13" s="19">
        <f>H11+H12</f>
      </c>
      <c r="I13" s="19">
        <f>I11+I12</f>
      </c>
      <c r="J13" s="19">
        <f>J11+J12</f>
      </c>
      <c r="K13" s="19">
        <f>K11+K12</f>
      </c>
      <c r="L13" s="19">
        <f>L11+L12</f>
      </c>
      <c r="M13" s="19">
        <f>M11+M12</f>
      </c>
      <c r="N13" s="19">
        <f>N11+N12</f>
      </c>
      <c r="O13" s="19">
        <f>O11+O12</f>
      </c>
      <c r="P13" s="19">
        <f>P11+P12</f>
      </c>
      <c r="Q13" s="19">
        <f>Q11+Q12</f>
      </c>
      <c r="R13" s="19">
        <f>R11+R12</f>
      </c>
      <c r="S13" s="19">
        <f>S11+S12</f>
      </c>
      <c r="T13" s="19">
        <f>T11+T12</f>
      </c>
      <c r="U13" s="19">
        <f>U11+U12</f>
      </c>
      <c r="V13" s="20">
        <f t="shared" si="24"/>
      </c>
      <c r="W13" s="20">
        <f t="shared" si="20"/>
      </c>
      <c r="X13" s="20">
        <f t="shared" si="49"/>
      </c>
      <c r="Y13" s="20">
        <f t="shared" si="25"/>
      </c>
      <c r="Z13" s="21">
        <f t="shared" si="21"/>
      </c>
      <c r="AA13" s="22">
        <f>SUM(AA11)</f>
      </c>
      <c r="AB13" s="22">
        <f>SUM(AB11)</f>
      </c>
      <c r="AC13" s="22"/>
      <c r="AD13" s="22">
        <f>SUM(AD11)</f>
      </c>
      <c r="AE13" s="22"/>
      <c r="AF13" s="22"/>
      <c r="AG13" s="22"/>
      <c r="AH13" s="23">
        <v>8</v>
      </c>
      <c r="AI13" s="22">
        <f>AI11+AI12</f>
      </c>
      <c r="AJ13" s="22">
        <f>AJ11+AJ12</f>
      </c>
      <c r="AK13" s="22">
        <f>AK11+AK12</f>
      </c>
      <c r="AL13" s="22">
        <f>AL11+AL12</f>
      </c>
      <c r="AM13" s="22">
        <f>AM11+AM12</f>
      </c>
      <c r="AN13" s="22">
        <f>AN11+AN12</f>
      </c>
      <c r="AO13" s="22">
        <f>AO11+AO12</f>
      </c>
      <c r="AP13" s="22">
        <f>AP11+AP12</f>
      </c>
      <c r="AQ13" s="24"/>
      <c r="AR13" s="21">
        <f t="shared" si="47"/>
      </c>
      <c r="AS13" s="21">
        <f t="shared" si="26"/>
      </c>
      <c r="AT13" s="21">
        <f t="shared" si="48"/>
      </c>
      <c r="AU13" s="21">
        <f t="shared" si="22"/>
      </c>
      <c r="AV13" s="25">
        <f t="shared" si="19"/>
      </c>
      <c r="AW13" s="21">
        <f>F13/AM13</f>
      </c>
    </row>
    <row hidden="true" r="14">
      <c r="A14" s="5">
        <v>46300</v>
      </c>
      <c r="B14" s="6" t="s">
        <v>55</v>
      </c>
      <c r="C14" s="6" t="s">
        <v>49</v>
      </c>
      <c r="D14" s="6">
        <v>4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1">
        <f t="shared" ref="T14:T15" si="32">I14*12+K14</f>
      </c>
      <c r="U14" s="9">
        <v>3824.04</v>
      </c>
      <c r="V14" s="10">
        <f t="shared" si="24"/>
      </c>
      <c r="W14" s="11">
        <f t="shared" si="20"/>
      </c>
      <c r="X14" s="11">
        <f t="shared" si="49"/>
      </c>
      <c r="Y14" s="12">
        <f t="shared" si="25"/>
      </c>
      <c r="Z14" s="12">
        <f t="shared" si="21"/>
      </c>
      <c r="AA14" s="13">
        <f t="shared" ref="AA14:AA15" si="4">L14</f>
      </c>
      <c r="AB14" s="9">
        <v>0</v>
      </c>
      <c r="AC14" s="7" t="s">
        <v>50</v>
      </c>
      <c r="AD14" s="7">
        <v>7</v>
      </c>
      <c r="AE14" s="8"/>
      <c r="AF14" s="8"/>
      <c r="AG14" s="8" t="s">
        <v>51</v>
      </c>
      <c r="AH14" s="7">
        <v>7</v>
      </c>
      <c r="AI14" s="8">
        <v>11061</v>
      </c>
      <c r="AJ14" s="8">
        <v>771</v>
      </c>
      <c r="AK14" s="8">
        <v>1169</v>
      </c>
      <c r="AL14" s="8">
        <v>339</v>
      </c>
      <c r="AM14" s="8">
        <v>48</v>
      </c>
      <c r="AN14" s="8">
        <v>8</v>
      </c>
      <c r="AO14" s="8">
        <v>98</v>
      </c>
      <c r="AP14" s="8">
        <v>1</v>
      </c>
      <c r="AQ14" s="14"/>
      <c r="AR14" s="12">
        <f t="shared" si="47"/>
      </c>
      <c r="AS14" s="12">
        <f t="shared" si="26"/>
      </c>
      <c r="AT14" s="12">
        <f t="shared" si="48"/>
      </c>
      <c r="AU14" s="15">
        <f t="shared" si="22"/>
      </c>
      <c r="AV14" s="16">
        <f t="shared" si="19"/>
      </c>
      <c r="AW14" s="17"/>
    </row>
    <row hidden="true" r="15">
      <c r="A15" s="5">
        <v>46300</v>
      </c>
      <c r="B15" s="6" t="s">
        <v>54</v>
      </c>
      <c r="C15" s="6" t="s">
        <v>56</v>
      </c>
      <c r="D15" s="6">
        <v>3</v>
      </c>
      <c r="E15" s="7">
        <v>2</v>
      </c>
      <c r="F15" s="7">
        <v>1</v>
      </c>
      <c r="G15" s="7">
        <v>1</v>
      </c>
      <c r="H15" s="7">
        <v>1</v>
      </c>
      <c r="I15" s="7">
        <v>133.51</v>
      </c>
      <c r="J15" s="7">
        <v>0</v>
      </c>
      <c r="K15" s="7">
        <v>0</v>
      </c>
      <c r="L15" s="7">
        <v>1</v>
      </c>
      <c r="M15" s="7">
        <v>1602.12</v>
      </c>
      <c r="N15" s="7">
        <v>0</v>
      </c>
      <c r="O15" s="7">
        <v>0</v>
      </c>
      <c r="P15" s="7">
        <v>0</v>
      </c>
      <c r="Q15" s="7">
        <v>0</v>
      </c>
      <c r="R15" s="7">
        <v>1</v>
      </c>
      <c r="S15" s="7">
        <v>133.51</v>
      </c>
      <c r="T15" s="1">
        <f t="shared" si="32"/>
      </c>
      <c r="U15" s="13">
        <v>2776.4700000000003</v>
      </c>
      <c r="V15" s="10">
        <f t="shared" si="24"/>
      </c>
      <c r="W15" s="11">
        <f t="shared" si="20"/>
      </c>
      <c r="X15" s="11">
        <f t="shared" si="49"/>
      </c>
      <c r="Y15" s="12">
        <f t="shared" si="25"/>
      </c>
      <c r="Z15" s="12">
        <f t="shared" si="21"/>
      </c>
      <c r="AA15" s="13">
        <f t="shared" si="4"/>
      </c>
      <c r="AB15" s="9">
        <v>1</v>
      </c>
      <c r="AC15" s="7"/>
      <c r="AD15" s="7"/>
      <c r="AE15" s="8"/>
      <c r="AF15" s="8"/>
      <c r="AG15" s="8"/>
      <c r="AH15" s="7"/>
      <c r="AI15" s="8">
        <v>8642</v>
      </c>
      <c r="AJ15" s="8">
        <v>645</v>
      </c>
      <c r="AK15" s="8">
        <v>1031</v>
      </c>
      <c r="AL15" s="8">
        <v>261</v>
      </c>
      <c r="AM15" s="8">
        <v>40</v>
      </c>
      <c r="AN15" s="8">
        <v>8</v>
      </c>
      <c r="AO15" s="8">
        <v>75</v>
      </c>
      <c r="AP15" s="7">
        <v>0</v>
      </c>
      <c r="AQ15" s="8"/>
      <c r="AR15" s="12">
        <f t="shared" si="47"/>
      </c>
      <c r="AS15" s="12">
        <f t="shared" si="26"/>
      </c>
      <c r="AT15" s="12">
        <f t="shared" si="48"/>
      </c>
      <c r="AU15" s="15">
        <f t="shared" si="22"/>
      </c>
      <c r="AV15" s="16">
        <f t="shared" si="19"/>
      </c>
      <c r="AW15" s="17"/>
    </row>
    <row hidden="true" r="16">
      <c r="A16" s="18">
        <v>46300</v>
      </c>
      <c r="B16" s="19"/>
      <c r="C16" s="19"/>
      <c r="D16" s="19">
        <f>D14+D15</f>
      </c>
      <c r="E16" s="19">
        <f>E14+E15</f>
      </c>
      <c r="F16" s="19">
        <f>F14+F15</f>
      </c>
      <c r="G16" s="19">
        <f>G14+G15</f>
      </c>
      <c r="H16" s="19">
        <f>H14+H15</f>
      </c>
      <c r="I16" s="19">
        <f>I14+I15</f>
      </c>
      <c r="J16" s="19">
        <f>J14+J15</f>
      </c>
      <c r="K16" s="19">
        <f>K14+K15</f>
      </c>
      <c r="L16" s="19">
        <f>L14+L15</f>
      </c>
      <c r="M16" s="19">
        <f>M14+M15</f>
      </c>
      <c r="N16" s="19">
        <f>N14+N15</f>
      </c>
      <c r="O16" s="19">
        <f>O14+O15</f>
      </c>
      <c r="P16" s="19">
        <f>P14+P15</f>
      </c>
      <c r="Q16" s="19">
        <f>Q14+Q15</f>
      </c>
      <c r="R16" s="19">
        <f>R14+R15</f>
      </c>
      <c r="S16" s="19">
        <f>S14+S15</f>
      </c>
      <c r="T16" s="19">
        <f>T14+T15</f>
      </c>
      <c r="U16" s="19">
        <f>U14+U15</f>
      </c>
      <c r="V16" s="20">
        <f t="shared" si="24"/>
      </c>
      <c r="W16" s="20">
        <f t="shared" si="20"/>
      </c>
      <c r="X16" s="20">
        <f t="shared" si="49"/>
      </c>
      <c r="Y16" s="20">
        <f t="shared" si="25"/>
      </c>
      <c r="Z16" s="21">
        <f t="shared" si="21"/>
      </c>
      <c r="AA16" s="22">
        <f>SUM(AA14)</f>
      </c>
      <c r="AB16" s="22">
        <f>SUM(AB14)</f>
      </c>
      <c r="AC16" s="22"/>
      <c r="AD16" s="22">
        <f>SUM(AD14)</f>
      </c>
      <c r="AE16" s="22"/>
      <c r="AF16" s="22"/>
      <c r="AG16" s="22"/>
      <c r="AH16" s="23">
        <v>7</v>
      </c>
      <c r="AI16" s="22">
        <f>AI14+AI15</f>
      </c>
      <c r="AJ16" s="22">
        <f>AJ14+AJ15</f>
      </c>
      <c r="AK16" s="22">
        <f>AK14+AK15</f>
      </c>
      <c r="AL16" s="22">
        <f>AL14+AL15</f>
      </c>
      <c r="AM16" s="22">
        <f>AM14+AM15</f>
      </c>
      <c r="AN16" s="22">
        <f>AN14+AN15</f>
      </c>
      <c r="AO16" s="22">
        <f>AO14+AO15</f>
      </c>
      <c r="AP16" s="22">
        <f>AP14+AP15</f>
      </c>
      <c r="AQ16" s="24"/>
      <c r="AR16" s="21">
        <f t="shared" si="47"/>
      </c>
      <c r="AS16" s="21">
        <f t="shared" si="26"/>
      </c>
      <c r="AT16" s="21">
        <f t="shared" si="48"/>
      </c>
      <c r="AU16" s="21">
        <f t="shared" si="22"/>
      </c>
      <c r="AV16" s="25">
        <f t="shared" si="19"/>
      </c>
      <c r="AW16" s="21">
        <f>F16/AM16</f>
      </c>
    </row>
    <row hidden="true" r="17">
      <c r="A17" s="5">
        <v>46301</v>
      </c>
      <c r="B17" s="6" t="s">
        <v>55</v>
      </c>
      <c r="C17" s="6" t="s">
        <v>49</v>
      </c>
      <c r="D17" s="6">
        <v>4</v>
      </c>
      <c r="E17" s="7">
        <v>8</v>
      </c>
      <c r="F17" s="7">
        <v>6</v>
      </c>
      <c r="G17" s="7">
        <v>6</v>
      </c>
      <c r="H17" s="7">
        <v>5</v>
      </c>
      <c r="I17" s="7">
        <v>593.1</v>
      </c>
      <c r="J17" s="7">
        <v>1</v>
      </c>
      <c r="K17" s="7">
        <v>1640</v>
      </c>
      <c r="L17" s="7">
        <v>2</v>
      </c>
      <c r="M17" s="7">
        <v>2628.7200000000003</v>
      </c>
      <c r="N17" s="7">
        <v>0</v>
      </c>
      <c r="O17" s="7">
        <v>0</v>
      </c>
      <c r="P17" s="7">
        <v>3</v>
      </c>
      <c r="Q17" s="7">
        <v>6128.4800000000005</v>
      </c>
      <c r="R17" s="7">
        <v>0</v>
      </c>
      <c r="S17" s="7">
        <v>0</v>
      </c>
      <c r="T17" s="1">
        <f t="shared" ref="T17:T18" si="33">I17*12+K17</f>
      </c>
      <c r="U17" s="9">
        <v>6297.1900000000005</v>
      </c>
      <c r="V17" s="10">
        <f t="shared" si="24"/>
      </c>
      <c r="W17" s="11">
        <f t="shared" si="20"/>
      </c>
      <c r="X17" s="11">
        <f t="shared" si="49"/>
      </c>
      <c r="Y17" s="12">
        <f t="shared" si="25"/>
      </c>
      <c r="Z17" s="12">
        <f t="shared" si="21"/>
      </c>
      <c r="AA17" s="13">
        <f t="shared" ref="AA17:AA18" si="5">L17</f>
      </c>
      <c r="AB17" s="9">
        <v>0</v>
      </c>
      <c r="AC17" s="7" t="s">
        <v>50</v>
      </c>
      <c r="AD17" s="7">
        <v>8</v>
      </c>
      <c r="AE17" s="8"/>
      <c r="AF17" s="8"/>
      <c r="AG17" s="8" t="s">
        <v>51</v>
      </c>
      <c r="AH17" s="7">
        <v>8</v>
      </c>
      <c r="AI17" s="8">
        <v>19303</v>
      </c>
      <c r="AJ17" s="8">
        <v>1561</v>
      </c>
      <c r="AK17" s="8">
        <v>2884</v>
      </c>
      <c r="AL17" s="8">
        <v>761</v>
      </c>
      <c r="AM17" s="8">
        <v>92</v>
      </c>
      <c r="AN17" s="8">
        <v>22</v>
      </c>
      <c r="AO17" s="8">
        <v>199</v>
      </c>
      <c r="AP17" s="8">
        <v>0</v>
      </c>
      <c r="AQ17" s="14"/>
      <c r="AR17" s="12">
        <f t="shared" si="47"/>
      </c>
      <c r="AS17" s="12">
        <f t="shared" si="26"/>
      </c>
      <c r="AT17" s="12">
        <f t="shared" si="48"/>
      </c>
      <c r="AU17" s="15">
        <f t="shared" si="22"/>
      </c>
      <c r="AV17" s="16">
        <f t="shared" si="19"/>
      </c>
      <c r="AW17" s="17"/>
    </row>
    <row hidden="true" r="18">
      <c r="A18" s="5">
        <v>46301</v>
      </c>
      <c r="B18" s="6" t="s">
        <v>52</v>
      </c>
      <c r="C18" s="6" t="s">
        <v>53</v>
      </c>
      <c r="D18" s="6">
        <v>4</v>
      </c>
      <c r="E18" s="7">
        <v>10</v>
      </c>
      <c r="F18" s="7">
        <v>7</v>
      </c>
      <c r="G18" s="7">
        <v>5</v>
      </c>
      <c r="H18" s="7">
        <v>7</v>
      </c>
      <c r="I18" s="7">
        <v>1601.4</v>
      </c>
      <c r="J18" s="7">
        <v>0</v>
      </c>
      <c r="K18" s="7">
        <v>0</v>
      </c>
      <c r="L18" s="7">
        <v>4</v>
      </c>
      <c r="M18" s="26">
        <v>7278.480000000001</v>
      </c>
      <c r="N18" s="7">
        <v>0</v>
      </c>
      <c r="O18" s="7">
        <v>0</v>
      </c>
      <c r="P18" s="7">
        <v>3</v>
      </c>
      <c r="Q18" s="7">
        <v>11938.32</v>
      </c>
      <c r="R18" s="7">
        <v>3</v>
      </c>
      <c r="S18" s="7">
        <v>1091.6</v>
      </c>
      <c r="T18" s="1">
        <f t="shared" si="33"/>
      </c>
      <c r="U18" s="13">
        <v>14956.919999999998</v>
      </c>
      <c r="V18" s="10">
        <f t="shared" si="24"/>
      </c>
      <c r="W18" s="11">
        <f t="shared" si="20"/>
      </c>
      <c r="X18" s="11">
        <f t="shared" si="49"/>
      </c>
      <c r="Y18" s="12">
        <f t="shared" si="25"/>
      </c>
      <c r="Z18" s="12">
        <f t="shared" si="21"/>
      </c>
      <c r="AA18" s="13">
        <f t="shared" si="5"/>
      </c>
      <c r="AB18" s="9">
        <v>0</v>
      </c>
      <c r="AC18" s="7"/>
      <c r="AD18" s="7"/>
      <c r="AE18" s="8"/>
      <c r="AF18" s="8"/>
      <c r="AG18" s="8"/>
      <c r="AH18" s="7"/>
      <c r="AI18" s="8">
        <v>57773</v>
      </c>
      <c r="AJ18" s="8">
        <v>2371</v>
      </c>
      <c r="AK18" s="8">
        <v>3779</v>
      </c>
      <c r="AL18" s="8">
        <v>990</v>
      </c>
      <c r="AM18" s="8">
        <v>149</v>
      </c>
      <c r="AN18" s="8">
        <v>41</v>
      </c>
      <c r="AO18" s="8">
        <v>278</v>
      </c>
      <c r="AP18" s="7">
        <v>0</v>
      </c>
      <c r="AQ18" s="8"/>
      <c r="AR18" s="12">
        <f t="shared" si="47"/>
      </c>
      <c r="AS18" s="12">
        <f t="shared" si="26"/>
      </c>
      <c r="AT18" s="12">
        <f t="shared" si="48"/>
      </c>
      <c r="AU18" s="15">
        <f t="shared" si="22"/>
      </c>
      <c r="AV18" s="16">
        <f t="shared" si="19"/>
      </c>
      <c r="AW18" s="17"/>
    </row>
    <row hidden="true" r="19">
      <c r="A19" s="18">
        <v>46301</v>
      </c>
      <c r="B19" s="19"/>
      <c r="C19" s="19"/>
      <c r="D19" s="19">
        <f>D17+D18</f>
      </c>
      <c r="E19" s="19">
        <f>E17+E18</f>
      </c>
      <c r="F19" s="19">
        <f>F17+F18</f>
      </c>
      <c r="G19" s="19">
        <f>G17+G18</f>
      </c>
      <c r="H19" s="19">
        <f>H17+H18</f>
      </c>
      <c r="I19" s="19">
        <f>I17+I18</f>
      </c>
      <c r="J19" s="19">
        <f>J17+J18</f>
      </c>
      <c r="K19" s="19">
        <f>K17+K18</f>
      </c>
      <c r="L19" s="19">
        <f>L17+L18</f>
      </c>
      <c r="M19" s="19">
        <f>M17+M18</f>
      </c>
      <c r="N19" s="19">
        <f>N17+N18</f>
      </c>
      <c r="O19" s="19">
        <f>O17+O18</f>
      </c>
      <c r="P19" s="19">
        <f>P17+P18</f>
      </c>
      <c r="Q19" s="19">
        <f>Q17+Q18</f>
      </c>
      <c r="R19" s="19">
        <f>R17+R18</f>
      </c>
      <c r="S19" s="19">
        <f>S17+S18</f>
      </c>
      <c r="T19" s="19">
        <f>T17+T18</f>
      </c>
      <c r="U19" s="19">
        <f>U17+U18</f>
      </c>
      <c r="V19" s="20">
        <f t="shared" si="24"/>
      </c>
      <c r="W19" s="20">
        <f t="shared" si="20"/>
      </c>
      <c r="X19" s="20">
        <f t="shared" si="49"/>
      </c>
      <c r="Y19" s="20">
        <f t="shared" si="25"/>
      </c>
      <c r="Z19" s="21">
        <f t="shared" si="21"/>
      </c>
      <c r="AA19" s="22">
        <f>SUM(AA17)</f>
      </c>
      <c r="AB19" s="22">
        <f>SUM(AB17)</f>
      </c>
      <c r="AC19" s="22"/>
      <c r="AD19" s="22">
        <f>SUM(AD17)</f>
      </c>
      <c r="AE19" s="22"/>
      <c r="AF19" s="22"/>
      <c r="AG19" s="22"/>
      <c r="AH19" s="23">
        <v>8</v>
      </c>
      <c r="AI19" s="22">
        <f>AI17+AI18</f>
      </c>
      <c r="AJ19" s="22">
        <f>AJ17+AJ18</f>
      </c>
      <c r="AK19" s="22">
        <f>AK17+AK18</f>
      </c>
      <c r="AL19" s="22">
        <f>AL17+AL18</f>
      </c>
      <c r="AM19" s="22">
        <f>AM17+AM18</f>
      </c>
      <c r="AN19" s="22">
        <f>AN17+AN18</f>
      </c>
      <c r="AO19" s="22">
        <f>AO17+AO18</f>
      </c>
      <c r="AP19" s="22">
        <f>AP17+AP18</f>
      </c>
      <c r="AQ19" s="24"/>
      <c r="AR19" s="21">
        <f t="shared" si="47"/>
      </c>
      <c r="AS19" s="21">
        <f t="shared" si="26"/>
      </c>
      <c r="AT19" s="21">
        <f t="shared" si="48"/>
      </c>
      <c r="AU19" s="21">
        <f t="shared" si="22"/>
      </c>
      <c r="AV19" s="25">
        <f t="shared" si="19"/>
      </c>
      <c r="AW19" s="21">
        <f>F19/AM19</f>
      </c>
    </row>
    <row hidden="true" r="20">
      <c r="A20" s="5">
        <v>46302</v>
      </c>
      <c r="B20" s="6" t="s">
        <v>55</v>
      </c>
      <c r="C20" s="6" t="s">
        <v>49</v>
      </c>
      <c r="D20" s="6">
        <v>4</v>
      </c>
      <c r="E20" s="7">
        <v>9</v>
      </c>
      <c r="F20" s="7">
        <v>8</v>
      </c>
      <c r="G20" s="7">
        <v>8</v>
      </c>
      <c r="H20" s="7">
        <v>7</v>
      </c>
      <c r="I20" s="7">
        <v>1589.91</v>
      </c>
      <c r="J20" s="7">
        <v>1</v>
      </c>
      <c r="K20" s="7">
        <v>1753.46</v>
      </c>
      <c r="L20" s="7">
        <v>5</v>
      </c>
      <c r="M20" s="7">
        <v>12984.02</v>
      </c>
      <c r="N20" s="7">
        <v>1</v>
      </c>
      <c r="O20" s="7">
        <v>527.16</v>
      </c>
      <c r="P20" s="7">
        <v>2</v>
      </c>
      <c r="Q20" s="7">
        <v>7321.200000000001</v>
      </c>
      <c r="R20" s="7">
        <v>3</v>
      </c>
      <c r="S20" s="7">
        <v>1071.24</v>
      </c>
      <c r="T20" s="1">
        <f t="shared" ref="T20:T21" si="34">I20*12+K20</f>
      </c>
      <c r="U20" s="9">
        <v>12404.3</v>
      </c>
      <c r="V20" s="10">
        <f t="shared" si="24"/>
      </c>
      <c r="W20" s="11">
        <f t="shared" si="20"/>
      </c>
      <c r="X20" s="11">
        <f t="shared" si="49"/>
      </c>
      <c r="Y20" s="12">
        <f t="shared" si="25"/>
      </c>
      <c r="Z20" s="12">
        <f t="shared" si="21"/>
      </c>
      <c r="AA20" s="13">
        <f t="shared" ref="AA20:AA21" si="6">L20</f>
      </c>
      <c r="AB20" s="9">
        <v>2</v>
      </c>
      <c r="AC20" s="7" t="s">
        <v>50</v>
      </c>
      <c r="AD20" s="7">
        <v>8</v>
      </c>
      <c r="AE20" s="8"/>
      <c r="AF20" s="8"/>
      <c r="AG20" s="8" t="s">
        <v>51</v>
      </c>
      <c r="AH20" s="7">
        <v>8</v>
      </c>
      <c r="AI20" s="8">
        <v>41042</v>
      </c>
      <c r="AJ20" s="8">
        <v>4004</v>
      </c>
      <c r="AK20" s="8">
        <v>8146</v>
      </c>
      <c r="AL20" s="8">
        <v>2127</v>
      </c>
      <c r="AM20" s="8">
        <v>76</v>
      </c>
      <c r="AN20" s="8">
        <v>55</v>
      </c>
      <c r="AO20" s="8">
        <v>405</v>
      </c>
      <c r="AP20" s="8">
        <v>2</v>
      </c>
      <c r="AQ20" s="14"/>
      <c r="AR20" s="12">
        <f t="shared" si="47"/>
      </c>
      <c r="AS20" s="12">
        <f t="shared" si="26"/>
      </c>
      <c r="AT20" s="12">
        <f t="shared" si="48"/>
      </c>
      <c r="AU20" s="15">
        <f t="shared" si="22"/>
      </c>
      <c r="AV20" s="16">
        <f t="shared" si="19"/>
      </c>
      <c r="AW20" s="17"/>
    </row>
    <row hidden="true" r="21">
      <c r="A21" s="5">
        <v>46302</v>
      </c>
      <c r="B21" s="6" t="s">
        <v>54</v>
      </c>
      <c r="C21" s="6" t="s">
        <v>53</v>
      </c>
      <c r="D21" s="6">
        <v>4</v>
      </c>
      <c r="E21" s="7">
        <v>11</v>
      </c>
      <c r="F21" s="7">
        <v>4</v>
      </c>
      <c r="G21" s="7">
        <v>4</v>
      </c>
      <c r="H21" s="7">
        <v>4</v>
      </c>
      <c r="I21" s="7">
        <v>752.5999999999999</v>
      </c>
      <c r="J21" s="7">
        <v>0</v>
      </c>
      <c r="K21" s="7">
        <v>0</v>
      </c>
      <c r="L21" s="7">
        <v>4</v>
      </c>
      <c r="M21" s="26">
        <v>9031.199999999999</v>
      </c>
      <c r="N21" s="7">
        <v>3</v>
      </c>
      <c r="O21" s="7">
        <v>5773.799999999999</v>
      </c>
      <c r="P21" s="7">
        <v>0</v>
      </c>
      <c r="Q21" s="7">
        <v>0</v>
      </c>
      <c r="R21" s="7">
        <v>1</v>
      </c>
      <c r="S21" s="7">
        <v>3257.3999999999996</v>
      </c>
      <c r="T21" s="1">
        <f t="shared" si="34"/>
      </c>
      <c r="U21" s="13">
        <v>13267.47</v>
      </c>
      <c r="V21" s="10">
        <f t="shared" si="24"/>
      </c>
      <c r="W21" s="11">
        <f t="shared" si="20"/>
      </c>
      <c r="X21" s="11">
        <f t="shared" si="49"/>
      </c>
      <c r="Y21" s="12">
        <f t="shared" si="25"/>
      </c>
      <c r="Z21" s="12">
        <f t="shared" si="21"/>
      </c>
      <c r="AA21" s="13">
        <f t="shared" si="6"/>
      </c>
      <c r="AB21" s="9">
        <v>1</v>
      </c>
      <c r="AC21" s="7"/>
      <c r="AD21" s="7"/>
      <c r="AE21" s="8"/>
      <c r="AF21" s="8"/>
      <c r="AG21" s="8"/>
      <c r="AH21" s="7"/>
      <c r="AI21" s="8">
        <v>47732</v>
      </c>
      <c r="AJ21" s="8">
        <v>2869</v>
      </c>
      <c r="AK21" s="8">
        <v>4715</v>
      </c>
      <c r="AL21" s="8">
        <v>1236</v>
      </c>
      <c r="AM21" s="8">
        <v>103</v>
      </c>
      <c r="AN21" s="8">
        <v>66</v>
      </c>
      <c r="AO21" s="8">
        <v>272</v>
      </c>
      <c r="AP21" s="7">
        <v>1</v>
      </c>
      <c r="AQ21" s="8"/>
      <c r="AR21" s="12">
        <f t="shared" si="47"/>
      </c>
      <c r="AS21" s="12">
        <f t="shared" si="26"/>
      </c>
      <c r="AT21" s="12">
        <f t="shared" si="48"/>
      </c>
      <c r="AU21" s="15">
        <f t="shared" si="22"/>
      </c>
      <c r="AV21" s="16">
        <f t="shared" si="19"/>
      </c>
      <c r="AW21" s="17"/>
    </row>
    <row hidden="true" r="22">
      <c r="A22" s="18">
        <v>46302</v>
      </c>
      <c r="B22" s="19"/>
      <c r="C22" s="19"/>
      <c r="D22" s="19">
        <f>D20+D21</f>
      </c>
      <c r="E22" s="19">
        <f>E20+E21</f>
      </c>
      <c r="F22" s="19">
        <f>F20+F21</f>
      </c>
      <c r="G22" s="19">
        <f>G20+G21</f>
      </c>
      <c r="H22" s="19">
        <f>H20+H21</f>
      </c>
      <c r="I22" s="19">
        <f>I20+I21</f>
      </c>
      <c r="J22" s="19">
        <f>J20+J21</f>
      </c>
      <c r="K22" s="19">
        <f>K20+K21</f>
      </c>
      <c r="L22" s="19">
        <f>L20+L21</f>
      </c>
      <c r="M22" s="19">
        <f>M20+M21</f>
      </c>
      <c r="N22" s="19">
        <f>N20+N21</f>
      </c>
      <c r="O22" s="19">
        <f>O20+O21</f>
      </c>
      <c r="P22" s="19">
        <f>P20+P21</f>
      </c>
      <c r="Q22" s="19">
        <f>Q20+Q21</f>
      </c>
      <c r="R22" s="19">
        <f>R20+R21</f>
      </c>
      <c r="S22" s="19">
        <f>S20+S21</f>
      </c>
      <c r="T22" s="19">
        <f>T20+T21</f>
      </c>
      <c r="U22" s="19">
        <f>U20+U21</f>
      </c>
      <c r="V22" s="20">
        <f t="shared" si="24"/>
      </c>
      <c r="W22" s="20">
        <f t="shared" si="20"/>
      </c>
      <c r="X22" s="20">
        <f t="shared" si="49"/>
      </c>
      <c r="Y22" s="20">
        <f t="shared" si="25"/>
      </c>
      <c r="Z22" s="21">
        <f t="shared" si="21"/>
      </c>
      <c r="AA22" s="22">
        <f>SUM(AA20)</f>
      </c>
      <c r="AB22" s="22">
        <f>AB20+AB21</f>
      </c>
      <c r="AC22" s="22"/>
      <c r="AD22" s="22">
        <f>SUM(AD20)</f>
      </c>
      <c r="AE22" s="22"/>
      <c r="AF22" s="22"/>
      <c r="AG22" s="22"/>
      <c r="AH22" s="23">
        <v>8</v>
      </c>
      <c r="AI22" s="22">
        <f>AI20+AI21</f>
      </c>
      <c r="AJ22" s="22">
        <f>AJ20+AJ21</f>
      </c>
      <c r="AK22" s="22">
        <f>AK20+AK21</f>
      </c>
      <c r="AL22" s="22">
        <f>AL20+AL21</f>
      </c>
      <c r="AM22" s="22">
        <f>AM20+AM21</f>
      </c>
      <c r="AN22" s="22">
        <f>AN20+AN21</f>
      </c>
      <c r="AO22" s="22">
        <f>AO20+AO21</f>
      </c>
      <c r="AP22" s="22">
        <f>AP20+AP21</f>
      </c>
      <c r="AQ22" s="24"/>
      <c r="AR22" s="21">
        <f t="shared" si="47"/>
      </c>
      <c r="AS22" s="21">
        <f t="shared" si="26"/>
      </c>
      <c r="AT22" s="21">
        <f t="shared" si="48"/>
      </c>
      <c r="AU22" s="21">
        <f t="shared" si="22"/>
      </c>
      <c r="AV22" s="25">
        <f t="shared" si="19"/>
      </c>
      <c r="AW22" s="21">
        <f>F22/AM22</f>
      </c>
    </row>
    <row hidden="true" r="23">
      <c r="A23" s="5">
        <v>46303</v>
      </c>
      <c r="B23" s="6" t="s">
        <v>55</v>
      </c>
      <c r="C23" s="6" t="s">
        <v>49</v>
      </c>
      <c r="D23" s="6">
        <v>4</v>
      </c>
      <c r="E23" s="7">
        <v>8</v>
      </c>
      <c r="F23" s="7">
        <v>7</v>
      </c>
      <c r="G23" s="7">
        <v>6</v>
      </c>
      <c r="H23" s="7">
        <v>6</v>
      </c>
      <c r="I23" s="7">
        <v>1039.39</v>
      </c>
      <c r="J23" s="7">
        <v>1</v>
      </c>
      <c r="K23" s="7">
        <v>873</v>
      </c>
      <c r="L23" s="7">
        <v>5</v>
      </c>
      <c r="M23" s="7">
        <v>12110.64</v>
      </c>
      <c r="N23" s="7">
        <v>0</v>
      </c>
      <c r="O23" s="7">
        <v>0</v>
      </c>
      <c r="P23" s="7">
        <v>2</v>
      </c>
      <c r="Q23" s="7">
        <v>1235.04</v>
      </c>
      <c r="R23" s="7">
        <v>1</v>
      </c>
      <c r="S23" s="7">
        <v>377.47</v>
      </c>
      <c r="T23" s="1">
        <f t="shared" ref="T23:T24" si="35">I23*12+K23</f>
      </c>
      <c r="U23" s="9">
        <v>7057.34</v>
      </c>
      <c r="V23" s="10">
        <f t="shared" si="24"/>
      </c>
      <c r="W23" s="11">
        <f t="shared" si="20"/>
      </c>
      <c r="X23" s="11">
        <f t="shared" si="49"/>
      </c>
      <c r="Y23" s="12">
        <f t="shared" si="25"/>
      </c>
      <c r="Z23" s="12">
        <f t="shared" si="21"/>
      </c>
      <c r="AA23" s="13">
        <f t="shared" ref="AA23:AA24" si="7">L23</f>
      </c>
      <c r="AB23" s="9">
        <v>5</v>
      </c>
      <c r="AC23" s="7" t="s">
        <v>50</v>
      </c>
      <c r="AD23" s="7">
        <v>8</v>
      </c>
      <c r="AE23" s="8"/>
      <c r="AF23" s="8"/>
      <c r="AG23" s="8" t="s">
        <v>51</v>
      </c>
      <c r="AH23" s="7">
        <v>8</v>
      </c>
      <c r="AI23" s="8">
        <v>23954</v>
      </c>
      <c r="AJ23" s="8">
        <v>1453</v>
      </c>
      <c r="AK23" s="8">
        <v>2212</v>
      </c>
      <c r="AL23" s="8">
        <v>599</v>
      </c>
      <c r="AM23" s="8">
        <v>50</v>
      </c>
      <c r="AN23" s="8">
        <v>23</v>
      </c>
      <c r="AO23" s="8">
        <v>162</v>
      </c>
      <c r="AP23" s="8">
        <v>2</v>
      </c>
      <c r="AQ23" s="14"/>
      <c r="AR23" s="12">
        <f t="shared" si="47"/>
      </c>
      <c r="AS23" s="12">
        <f t="shared" si="26"/>
      </c>
      <c r="AT23" s="12">
        <f t="shared" si="48"/>
      </c>
      <c r="AU23" s="15">
        <f t="shared" si="22"/>
      </c>
      <c r="AV23" s="16">
        <f t="shared" si="19"/>
      </c>
      <c r="AW23" s="17"/>
    </row>
    <row hidden="true" r="24">
      <c r="A24" s="5">
        <v>46303</v>
      </c>
      <c r="B24" s="6" t="s">
        <v>52</v>
      </c>
      <c r="C24" s="6" t="s">
        <v>53</v>
      </c>
      <c r="D24" s="6">
        <v>4</v>
      </c>
      <c r="E24" s="7">
        <v>6</v>
      </c>
      <c r="F24" s="7">
        <v>4</v>
      </c>
      <c r="G24" s="7">
        <v>3</v>
      </c>
      <c r="H24" s="7">
        <v>4</v>
      </c>
      <c r="I24" s="7">
        <v>800.76</v>
      </c>
      <c r="J24" s="7">
        <v>0</v>
      </c>
      <c r="K24" s="7">
        <v>0</v>
      </c>
      <c r="L24" s="7">
        <v>2</v>
      </c>
      <c r="M24" s="26">
        <v>1884.4800000000002</v>
      </c>
      <c r="N24" s="7">
        <v>2</v>
      </c>
      <c r="O24" s="7">
        <v>7724.64</v>
      </c>
      <c r="P24" s="7">
        <v>0</v>
      </c>
      <c r="Q24" s="7">
        <v>0</v>
      </c>
      <c r="R24" s="7">
        <v>1</v>
      </c>
      <c r="S24" s="7">
        <v>348.8</v>
      </c>
      <c r="T24" s="1">
        <f t="shared" si="35"/>
      </c>
      <c r="U24" s="13">
        <v>7811.04</v>
      </c>
      <c r="V24" s="10">
        <f t="shared" si="24"/>
      </c>
      <c r="W24" s="11">
        <f t="shared" si="20"/>
      </c>
      <c r="X24" s="11">
        <f t="shared" si="49"/>
      </c>
      <c r="Y24" s="12">
        <f t="shared" si="25"/>
      </c>
      <c r="Z24" s="12">
        <f t="shared" si="21"/>
      </c>
      <c r="AA24" s="13">
        <f t="shared" si="7"/>
      </c>
      <c r="AB24" s="9">
        <v>1</v>
      </c>
      <c r="AC24" s="7"/>
      <c r="AD24" s="7"/>
      <c r="AE24" s="8"/>
      <c r="AF24" s="8"/>
      <c r="AG24" s="8"/>
      <c r="AH24" s="7"/>
      <c r="AI24" s="8">
        <v>26315</v>
      </c>
      <c r="AJ24" s="8">
        <v>1325</v>
      </c>
      <c r="AK24" s="8">
        <v>2107</v>
      </c>
      <c r="AL24" s="8">
        <v>531</v>
      </c>
      <c r="AM24" s="8">
        <v>105</v>
      </c>
      <c r="AN24" s="8">
        <v>33</v>
      </c>
      <c r="AO24" s="8">
        <v>210</v>
      </c>
      <c r="AP24" s="7">
        <v>0</v>
      </c>
      <c r="AQ24" s="8"/>
      <c r="AR24" s="12">
        <f t="shared" si="47"/>
      </c>
      <c r="AS24" s="12">
        <f t="shared" si="26"/>
      </c>
      <c r="AT24" s="12">
        <f t="shared" si="48"/>
      </c>
      <c r="AU24" s="15">
        <f t="shared" si="22"/>
      </c>
      <c r="AV24" s="16">
        <f t="shared" si="19"/>
      </c>
      <c r="AW24" s="17"/>
    </row>
    <row hidden="true" r="25">
      <c r="A25" s="18">
        <v>46303</v>
      </c>
      <c r="B25" s="19"/>
      <c r="C25" s="19"/>
      <c r="D25" s="19">
        <f>D23+D24</f>
      </c>
      <c r="E25" s="19">
        <f>E23+E24</f>
      </c>
      <c r="F25" s="19">
        <f>F23+F24</f>
      </c>
      <c r="G25" s="19">
        <f>G23+G24</f>
      </c>
      <c r="H25" s="19">
        <f>H23+H24</f>
      </c>
      <c r="I25" s="19">
        <f>I23+I24</f>
      </c>
      <c r="J25" s="19">
        <f>J23+J24</f>
      </c>
      <c r="K25" s="19">
        <f>K23+K24</f>
      </c>
      <c r="L25" s="19">
        <f>L23+L24</f>
      </c>
      <c r="M25" s="19">
        <f>M23+M24</f>
      </c>
      <c r="N25" s="19">
        <f>N23+N24</f>
      </c>
      <c r="O25" s="19">
        <f>O23+O24</f>
      </c>
      <c r="P25" s="19">
        <f>P23+P24</f>
      </c>
      <c r="Q25" s="19">
        <f>Q23+Q24</f>
      </c>
      <c r="R25" s="19">
        <f>R23+R24</f>
      </c>
      <c r="S25" s="19">
        <f>S23+S24</f>
      </c>
      <c r="T25" s="19">
        <f>T23+T24</f>
      </c>
      <c r="U25" s="19">
        <f>U23+U24</f>
      </c>
      <c r="V25" s="20">
        <f t="shared" si="24"/>
      </c>
      <c r="W25" s="20">
        <f t="shared" si="20"/>
      </c>
      <c r="X25" s="20">
        <f t="shared" si="49"/>
      </c>
      <c r="Y25" s="20">
        <f t="shared" si="25"/>
      </c>
      <c r="Z25" s="21">
        <f t="shared" si="21"/>
      </c>
      <c r="AA25" s="22">
        <f>SUM(AA23)</f>
      </c>
      <c r="AB25" s="22">
        <f>AB23+AB24</f>
      </c>
      <c r="AC25" s="22"/>
      <c r="AD25" s="22">
        <f>SUM(AD23)</f>
      </c>
      <c r="AE25" s="22"/>
      <c r="AF25" s="22"/>
      <c r="AG25" s="22"/>
      <c r="AH25" s="23">
        <v>8</v>
      </c>
      <c r="AI25" s="22">
        <f>AI23+AI24</f>
      </c>
      <c r="AJ25" s="22">
        <f>AJ23+AJ24</f>
      </c>
      <c r="AK25" s="22">
        <f>AK23+AK24</f>
      </c>
      <c r="AL25" s="22">
        <f>AL23+AL24</f>
      </c>
      <c r="AM25" s="22">
        <f>AM23+AM24</f>
      </c>
      <c r="AN25" s="22">
        <f>AN23+AN24</f>
      </c>
      <c r="AO25" s="22">
        <f>AO23+AO24</f>
      </c>
      <c r="AP25" s="22">
        <f>AP23+AP24</f>
      </c>
      <c r="AQ25" s="24"/>
      <c r="AR25" s="21">
        <f t="shared" si="47"/>
      </c>
      <c r="AS25" s="21">
        <f t="shared" si="26"/>
      </c>
      <c r="AT25" s="21">
        <f t="shared" si="48"/>
      </c>
      <c r="AU25" s="21">
        <f t="shared" si="22"/>
      </c>
      <c r="AV25" s="25">
        <f t="shared" si="19"/>
      </c>
      <c r="AW25" s="21">
        <f>F25/AM25</f>
      </c>
    </row>
    <row hidden="true" r="26">
      <c r="A26" s="5">
        <v>46304</v>
      </c>
      <c r="B26" s="6" t="s">
        <v>55</v>
      </c>
      <c r="C26" s="6" t="s">
        <v>49</v>
      </c>
      <c r="D26" s="6">
        <v>4</v>
      </c>
      <c r="E26" s="7">
        <v>12</v>
      </c>
      <c r="F26" s="7">
        <v>8</v>
      </c>
      <c r="G26" s="7">
        <v>6</v>
      </c>
      <c r="H26" s="7">
        <v>8</v>
      </c>
      <c r="I26" s="7">
        <v>2526.3500000000004</v>
      </c>
      <c r="J26" s="7">
        <v>0</v>
      </c>
      <c r="K26" s="7">
        <v>0</v>
      </c>
      <c r="L26" s="7">
        <v>4</v>
      </c>
      <c r="M26" s="7">
        <v>12814.440000000002</v>
      </c>
      <c r="N26" s="7">
        <v>1</v>
      </c>
      <c r="O26" s="7">
        <v>1121.8799999999999</v>
      </c>
      <c r="P26" s="7">
        <v>3</v>
      </c>
      <c r="Q26" s="7">
        <v>16379.880000000001</v>
      </c>
      <c r="R26" s="7">
        <v>4</v>
      </c>
      <c r="S26" s="7">
        <v>2016.6599999999999</v>
      </c>
      <c r="T26" s="1">
        <f t="shared" ref="T26:T27" si="36">I26*12+K26</f>
      </c>
      <c r="U26" s="9">
        <v>11815.53</v>
      </c>
      <c r="V26" s="10">
        <f t="shared" si="24"/>
      </c>
      <c r="W26" s="11">
        <f t="shared" si="20"/>
      </c>
      <c r="X26" s="11">
        <f t="shared" si="49"/>
      </c>
      <c r="Y26" s="12">
        <f t="shared" si="25"/>
      </c>
      <c r="Z26" s="12">
        <f t="shared" si="21"/>
      </c>
      <c r="AA26" s="13">
        <f t="shared" ref="AA26:AA27" si="8">L26</f>
      </c>
      <c r="AB26" s="9">
        <v>4</v>
      </c>
      <c r="AC26" s="7" t="s">
        <v>50</v>
      </c>
      <c r="AD26" s="7">
        <v>8</v>
      </c>
      <c r="AE26" s="8"/>
      <c r="AF26" s="8"/>
      <c r="AG26" s="8" t="s">
        <v>51</v>
      </c>
      <c r="AH26" s="7">
        <v>8</v>
      </c>
      <c r="AI26" s="8">
        <v>50100</v>
      </c>
      <c r="AJ26" s="8">
        <v>1782</v>
      </c>
      <c r="AK26" s="8">
        <v>2619</v>
      </c>
      <c r="AL26" s="8">
        <v>683</v>
      </c>
      <c r="AM26" s="8">
        <v>200</v>
      </c>
      <c r="AN26" s="8">
        <v>36</v>
      </c>
      <c r="AO26" s="8">
        <v>325</v>
      </c>
      <c r="AP26" s="8">
        <v>2</v>
      </c>
      <c r="AQ26" s="14"/>
      <c r="AR26" s="12">
        <f t="shared" si="47"/>
      </c>
      <c r="AS26" s="12">
        <f t="shared" si="26"/>
      </c>
      <c r="AT26" s="12">
        <f t="shared" si="48"/>
      </c>
      <c r="AU26" s="15">
        <f t="shared" si="22"/>
      </c>
      <c r="AV26" s="16">
        <f t="shared" si="19"/>
      </c>
      <c r="AW26" s="17"/>
    </row>
    <row hidden="true" r="27">
      <c r="A27" s="5">
        <v>46304</v>
      </c>
      <c r="B27" s="6" t="s">
        <v>54</v>
      </c>
      <c r="C27" s="6" t="s">
        <v>53</v>
      </c>
      <c r="D27" s="6">
        <v>4</v>
      </c>
      <c r="E27" s="7">
        <v>8</v>
      </c>
      <c r="F27" s="7">
        <v>5</v>
      </c>
      <c r="G27" s="7">
        <v>5</v>
      </c>
      <c r="H27" s="7">
        <v>5</v>
      </c>
      <c r="I27" s="7">
        <v>807.64</v>
      </c>
      <c r="J27" s="7">
        <v>0</v>
      </c>
      <c r="K27" s="7">
        <v>0</v>
      </c>
      <c r="L27" s="7">
        <v>2</v>
      </c>
      <c r="M27" s="26">
        <v>2179.32</v>
      </c>
      <c r="N27" s="7">
        <v>0</v>
      </c>
      <c r="O27" s="7">
        <v>0</v>
      </c>
      <c r="P27" s="7">
        <v>3</v>
      </c>
      <c r="Q27" s="7">
        <v>7512.36</v>
      </c>
      <c r="R27" s="7">
        <v>1</v>
      </c>
      <c r="S27" s="7">
        <v>330.56</v>
      </c>
      <c r="T27" s="1">
        <f t="shared" si="36"/>
      </c>
      <c r="U27" s="13">
        <v>11485.68</v>
      </c>
      <c r="V27" s="10">
        <f t="shared" si="24"/>
      </c>
      <c r="W27" s="11">
        <f t="shared" si="20"/>
      </c>
      <c r="X27" s="11">
        <f t="shared" si="49"/>
      </c>
      <c r="Y27" s="12">
        <f t="shared" si="25"/>
      </c>
      <c r="Z27" s="12">
        <f t="shared" si="21"/>
      </c>
      <c r="AA27" s="13">
        <f t="shared" si="8"/>
      </c>
      <c r="AB27" s="9">
        <v>1</v>
      </c>
      <c r="AC27" s="7"/>
      <c r="AD27" s="7"/>
      <c r="AE27" s="8"/>
      <c r="AF27" s="8"/>
      <c r="AG27" s="8"/>
      <c r="AH27" s="7"/>
      <c r="AI27" s="8">
        <v>51697</v>
      </c>
      <c r="AJ27" s="8">
        <v>1270</v>
      </c>
      <c r="AK27" s="8">
        <v>1601</v>
      </c>
      <c r="AL27" s="8">
        <v>435</v>
      </c>
      <c r="AM27" s="8">
        <v>204</v>
      </c>
      <c r="AN27" s="8">
        <v>20</v>
      </c>
      <c r="AO27" s="8">
        <v>210</v>
      </c>
      <c r="AP27" s="7">
        <v>2</v>
      </c>
      <c r="AQ27" s="8"/>
      <c r="AR27" s="12">
        <f t="shared" si="47"/>
      </c>
      <c r="AS27" s="12">
        <f t="shared" si="26"/>
      </c>
      <c r="AT27" s="12">
        <f t="shared" si="48"/>
      </c>
      <c r="AU27" s="15">
        <f t="shared" si="22"/>
      </c>
      <c r="AV27" s="16">
        <f t="shared" si="19"/>
      </c>
      <c r="AW27" s="17"/>
    </row>
    <row customHeight="true" hidden="true" ht="16.071428571428573" r="28">
      <c r="A28" s="18">
        <v>46304</v>
      </c>
      <c r="B28" s="19"/>
      <c r="C28" s="19"/>
      <c r="D28" s="19">
        <f>D26+D27</f>
      </c>
      <c r="E28" s="19">
        <f>E26+E27</f>
      </c>
      <c r="F28" s="19">
        <f>F26+F27</f>
      </c>
      <c r="G28" s="19">
        <f>G26+G27</f>
      </c>
      <c r="H28" s="19">
        <f>H26+H27</f>
      </c>
      <c r="I28" s="19">
        <f>I26+I27</f>
      </c>
      <c r="J28" s="19">
        <f>J26+J27</f>
      </c>
      <c r="K28" s="19">
        <f>K26+K27</f>
      </c>
      <c r="L28" s="19">
        <f>L26+L27</f>
      </c>
      <c r="M28" s="19">
        <f>M26+M27</f>
      </c>
      <c r="N28" s="19">
        <f>N26+N27</f>
      </c>
      <c r="O28" s="19">
        <f>O26+O27</f>
      </c>
      <c r="P28" s="19">
        <f>P26+P27</f>
      </c>
      <c r="Q28" s="19">
        <f>Q26+Q27</f>
      </c>
      <c r="R28" s="19">
        <f>R26+R27</f>
      </c>
      <c r="S28" s="19">
        <f>S26+S27</f>
      </c>
      <c r="T28" s="19">
        <f>T26+T27</f>
      </c>
      <c r="U28" s="19">
        <f>U26+U27</f>
      </c>
      <c r="V28" s="20">
        <f t="shared" si="24"/>
      </c>
      <c r="W28" s="20">
        <f t="shared" si="20"/>
      </c>
      <c r="X28" s="20">
        <f t="shared" si="49"/>
      </c>
      <c r="Y28" s="20">
        <f t="shared" si="25"/>
      </c>
      <c r="Z28" s="21">
        <f t="shared" si="21"/>
      </c>
      <c r="AA28" s="22">
        <f>SUM(AA26)</f>
      </c>
      <c r="AB28" s="22">
        <f>AB26+AB27</f>
      </c>
      <c r="AC28" s="22"/>
      <c r="AD28" s="22">
        <f>SUM(AD26)</f>
      </c>
      <c r="AE28" s="22"/>
      <c r="AF28" s="22"/>
      <c r="AG28" s="22"/>
      <c r="AH28" s="23">
        <v>8</v>
      </c>
      <c r="AI28" s="22">
        <f>AI26+AI27</f>
      </c>
      <c r="AJ28" s="22">
        <f>AJ26+AJ27</f>
      </c>
      <c r="AK28" s="22">
        <f>AK26+AK27</f>
      </c>
      <c r="AL28" s="22">
        <f>AL26+AL27</f>
      </c>
      <c r="AM28" s="22">
        <f>AM26+AM27</f>
      </c>
      <c r="AN28" s="22">
        <f>AN26+AN27</f>
      </c>
      <c r="AO28" s="22">
        <f>AO26+AO27</f>
      </c>
      <c r="AP28" s="22">
        <f>AP26+AP27</f>
      </c>
      <c r="AQ28" s="24"/>
      <c r="AR28" s="21">
        <f t="shared" si="47"/>
      </c>
      <c r="AS28" s="21">
        <f t="shared" si="26"/>
      </c>
      <c r="AT28" s="21">
        <f t="shared" si="48"/>
      </c>
      <c r="AU28" s="21">
        <f t="shared" si="22"/>
      </c>
      <c r="AV28" s="25">
        <f t="shared" si="19"/>
      </c>
      <c r="AW28" s="21">
        <f>F28/AM28</f>
      </c>
    </row>
    <row customHeight="true" hidden="true" ht="16.071428571428573" r="29">
      <c r="A29" s="5">
        <v>46305</v>
      </c>
      <c r="B29" s="6" t="s">
        <v>55</v>
      </c>
      <c r="C29" s="6" t="s">
        <v>49</v>
      </c>
      <c r="D29" s="6">
        <v>4</v>
      </c>
      <c r="E29" s="7">
        <v>7</v>
      </c>
      <c r="F29" s="7">
        <v>6</v>
      </c>
      <c r="G29" s="7">
        <v>5</v>
      </c>
      <c r="H29" s="7">
        <v>5</v>
      </c>
      <c r="I29" s="7">
        <v>698.9300000000001</v>
      </c>
      <c r="J29" s="7">
        <v>1</v>
      </c>
      <c r="K29" s="7">
        <v>520</v>
      </c>
      <c r="L29" s="7">
        <v>3</v>
      </c>
      <c r="M29" s="7">
        <v>7182.960000000001</v>
      </c>
      <c r="N29" s="7">
        <v>0</v>
      </c>
      <c r="O29" s="7">
        <v>0</v>
      </c>
      <c r="P29" s="7">
        <v>3</v>
      </c>
      <c r="Q29" s="7">
        <v>1724.1999999999998</v>
      </c>
      <c r="R29" s="7">
        <v>0</v>
      </c>
      <c r="S29" s="7">
        <v>0</v>
      </c>
      <c r="T29" s="1">
        <f t="shared" ref="T29:T30" si="37">I29*12+K29</f>
      </c>
      <c r="U29" s="9">
        <v>7615.969999999999</v>
      </c>
      <c r="V29" s="10">
        <f t="shared" si="24"/>
      </c>
      <c r="W29" s="11">
        <f t="shared" si="20"/>
      </c>
      <c r="X29" s="11">
        <f t="shared" si="49"/>
      </c>
      <c r="Y29" s="12">
        <f t="shared" si="25"/>
      </c>
      <c r="Z29" s="12">
        <f t="shared" si="21"/>
      </c>
      <c r="AA29" s="13">
        <f t="shared" ref="AA29:AA30" si="9">L29</f>
      </c>
      <c r="AB29" s="9">
        <v>0</v>
      </c>
      <c r="AC29" s="7" t="s">
        <v>50</v>
      </c>
      <c r="AD29" s="7">
        <v>8</v>
      </c>
      <c r="AE29" s="8"/>
      <c r="AF29" s="8"/>
      <c r="AG29" s="8" t="s">
        <v>51</v>
      </c>
      <c r="AH29" s="7">
        <v>8</v>
      </c>
      <c r="AI29" s="8">
        <v>32842</v>
      </c>
      <c r="AJ29" s="8">
        <v>1342</v>
      </c>
      <c r="AK29" s="8">
        <v>1794</v>
      </c>
      <c r="AL29" s="8">
        <v>533</v>
      </c>
      <c r="AM29" s="8">
        <v>85</v>
      </c>
      <c r="AN29" s="8">
        <v>33</v>
      </c>
      <c r="AO29" s="8">
        <v>208</v>
      </c>
      <c r="AP29" s="8">
        <v>3</v>
      </c>
      <c r="AQ29" s="14"/>
      <c r="AR29" s="12">
        <f t="shared" si="47"/>
      </c>
      <c r="AS29" s="12">
        <f t="shared" si="26"/>
      </c>
      <c r="AT29" s="12">
        <f t="shared" si="48"/>
      </c>
      <c r="AU29" s="15">
        <f t="shared" si="22"/>
      </c>
      <c r="AV29" s="16">
        <f t="shared" si="19"/>
      </c>
      <c r="AW29" s="17"/>
    </row>
    <row customHeight="true" hidden="true" ht="16.071428571428573" r="30">
      <c r="A30" s="5">
        <v>46305</v>
      </c>
      <c r="B30" s="6" t="s">
        <v>52</v>
      </c>
      <c r="C30" s="6" t="s">
        <v>53</v>
      </c>
      <c r="D30" s="6">
        <v>4</v>
      </c>
      <c r="E30" s="7">
        <v>9</v>
      </c>
      <c r="F30" s="7">
        <v>5</v>
      </c>
      <c r="G30" s="7">
        <v>2</v>
      </c>
      <c r="H30" s="7">
        <v>5</v>
      </c>
      <c r="I30" s="7">
        <v>715.45</v>
      </c>
      <c r="J30" s="7">
        <v>0</v>
      </c>
      <c r="K30" s="7">
        <v>0</v>
      </c>
      <c r="L30" s="7">
        <v>4</v>
      </c>
      <c r="M30" s="26">
        <v>7740.720000000001</v>
      </c>
      <c r="N30" s="7">
        <v>1</v>
      </c>
      <c r="O30" s="7">
        <v>277.23</v>
      </c>
      <c r="P30" s="7">
        <v>0</v>
      </c>
      <c r="Q30" s="7">
        <v>0</v>
      </c>
      <c r="R30" s="7">
        <v>1</v>
      </c>
      <c r="S30" s="7">
        <v>277.23</v>
      </c>
      <c r="T30" s="1">
        <f t="shared" si="37"/>
      </c>
      <c r="U30" s="13">
        <v>10338.19</v>
      </c>
      <c r="V30" s="10">
        <f t="shared" si="24"/>
      </c>
      <c r="W30" s="11">
        <f t="shared" si="20"/>
      </c>
      <c r="X30" s="11">
        <f t="shared" si="49"/>
      </c>
      <c r="Y30" s="12">
        <f t="shared" si="25"/>
      </c>
      <c r="Z30" s="12">
        <f t="shared" si="21"/>
      </c>
      <c r="AA30" s="13">
        <f t="shared" si="9"/>
      </c>
      <c r="AB30" s="9">
        <v>4</v>
      </c>
      <c r="AC30" s="7"/>
      <c r="AD30" s="7"/>
      <c r="AE30" s="8"/>
      <c r="AF30" s="8"/>
      <c r="AG30" s="8"/>
      <c r="AH30" s="7"/>
      <c r="AI30" s="8">
        <v>44577</v>
      </c>
      <c r="AJ30" s="8">
        <v>1399</v>
      </c>
      <c r="AK30" s="8">
        <v>1697</v>
      </c>
      <c r="AL30" s="8">
        <v>538</v>
      </c>
      <c r="AM30" s="8">
        <v>153</v>
      </c>
      <c r="AN30" s="8">
        <v>35</v>
      </c>
      <c r="AO30" s="8">
        <v>235</v>
      </c>
      <c r="AP30" s="7">
        <v>0</v>
      </c>
      <c r="AQ30" s="8"/>
      <c r="AR30" s="12">
        <f t="shared" si="47"/>
      </c>
      <c r="AS30" s="12">
        <f t="shared" si="26"/>
      </c>
      <c r="AT30" s="12">
        <f t="shared" si="48"/>
      </c>
      <c r="AU30" s="15">
        <f t="shared" si="22"/>
      </c>
      <c r="AV30" s="16">
        <f t="shared" si="19"/>
      </c>
      <c r="AW30" s="17"/>
    </row>
    <row customHeight="true" hidden="true" ht="16.071428571428573" r="31">
      <c r="A31" s="18">
        <v>46305</v>
      </c>
      <c r="B31" s="19"/>
      <c r="C31" s="19"/>
      <c r="D31" s="19">
        <f>D29+D30</f>
      </c>
      <c r="E31" s="19">
        <f>E29+E30</f>
      </c>
      <c r="F31" s="19">
        <f>F29+F30</f>
      </c>
      <c r="G31" s="19">
        <f>G29+G30</f>
      </c>
      <c r="H31" s="19">
        <f>H29+H30</f>
      </c>
      <c r="I31" s="19">
        <f>I29+I30</f>
      </c>
      <c r="J31" s="19">
        <f>J29+J30</f>
      </c>
      <c r="K31" s="19">
        <f>K29+K30</f>
      </c>
      <c r="L31" s="19">
        <f>L29+L30</f>
      </c>
      <c r="M31" s="19">
        <f>M29+M30</f>
      </c>
      <c r="N31" s="19">
        <f>N29+N30</f>
      </c>
      <c r="O31" s="19">
        <f>O29+O30</f>
      </c>
      <c r="P31" s="19">
        <f>P29+P30</f>
      </c>
      <c r="Q31" s="19">
        <f>Q29+Q30</f>
      </c>
      <c r="R31" s="19">
        <f>R29+R30</f>
      </c>
      <c r="S31" s="19">
        <f>S29+S30</f>
      </c>
      <c r="T31" s="19">
        <f>T29+T30</f>
      </c>
      <c r="U31" s="19">
        <f>U29+U30</f>
      </c>
      <c r="V31" s="20">
        <f t="shared" si="24"/>
      </c>
      <c r="W31" s="20">
        <f t="shared" si="20"/>
      </c>
      <c r="X31" s="20">
        <f t="shared" si="49"/>
      </c>
      <c r="Y31" s="20">
        <f t="shared" si="25"/>
      </c>
      <c r="Z31" s="21">
        <f t="shared" si="21"/>
      </c>
      <c r="AA31" s="22">
        <f>SUM(AA29)</f>
      </c>
      <c r="AB31" s="22">
        <f>AB29+AB30</f>
      </c>
      <c r="AC31" s="22"/>
      <c r="AD31" s="22">
        <f>SUM(AD29)</f>
      </c>
      <c r="AE31" s="22"/>
      <c r="AF31" s="22"/>
      <c r="AG31" s="22"/>
      <c r="AH31" s="23">
        <v>8</v>
      </c>
      <c r="AI31" s="22">
        <f>AI29+AI30</f>
      </c>
      <c r="AJ31" s="22">
        <f>AJ29+AJ30</f>
      </c>
      <c r="AK31" s="22">
        <f>AK29+AK30</f>
      </c>
      <c r="AL31" s="22">
        <f>AL29+AL30</f>
      </c>
      <c r="AM31" s="22">
        <f>AM29+AM30</f>
      </c>
      <c r="AN31" s="22">
        <f>AN29+AN30</f>
      </c>
      <c r="AO31" s="22">
        <f>AO29+AO30</f>
      </c>
      <c r="AP31" s="22">
        <f>AP29+AP30</f>
      </c>
      <c r="AQ31" s="24"/>
      <c r="AR31" s="21">
        <f t="shared" si="47"/>
      </c>
      <c r="AS31" s="21">
        <f t="shared" si="26"/>
      </c>
      <c r="AT31" s="21">
        <f t="shared" si="48"/>
      </c>
      <c r="AU31" s="21">
        <f t="shared" si="22"/>
      </c>
      <c r="AV31" s="25">
        <f t="shared" si="19"/>
      </c>
      <c r="AW31" s="21">
        <f>F31/AM31</f>
      </c>
    </row>
    <row customHeight="true" hidden="true" ht="16.071428571428573" r="32">
      <c r="A32" s="5">
        <v>46306</v>
      </c>
      <c r="B32" s="6" t="s">
        <v>55</v>
      </c>
      <c r="C32" s="6" t="s">
        <v>49</v>
      </c>
      <c r="D32" s="6">
        <v>4</v>
      </c>
      <c r="E32" s="7">
        <v>8</v>
      </c>
      <c r="F32" s="7">
        <v>5</v>
      </c>
      <c r="G32" s="7">
        <v>2</v>
      </c>
      <c r="H32" s="7">
        <v>4</v>
      </c>
      <c r="I32" s="7">
        <v>357.45</v>
      </c>
      <c r="J32" s="7">
        <v>1</v>
      </c>
      <c r="K32" s="7">
        <v>805.51</v>
      </c>
      <c r="L32" s="7">
        <v>1</v>
      </c>
      <c r="M32" s="7">
        <v>805.51</v>
      </c>
      <c r="N32" s="7">
        <v>0</v>
      </c>
      <c r="O32" s="7">
        <v>0</v>
      </c>
      <c r="P32" s="7">
        <v>4</v>
      </c>
      <c r="Q32" s="7">
        <v>357.45</v>
      </c>
      <c r="R32" s="7">
        <v>1</v>
      </c>
      <c r="S32" s="7">
        <v>126.2</v>
      </c>
      <c r="T32" s="1">
        <f t="shared" ref="T32:T33" si="38">I32*12+K32</f>
      </c>
      <c r="U32" s="9">
        <v>5987.0199999999995</v>
      </c>
      <c r="V32" s="10">
        <f t="shared" si="24"/>
      </c>
      <c r="W32" s="11">
        <f t="shared" si="20"/>
      </c>
      <c r="X32" s="11">
        <f t="shared" si="49"/>
      </c>
      <c r="Y32" s="12">
        <f t="shared" si="25"/>
      </c>
      <c r="Z32" s="12">
        <f t="shared" si="21"/>
      </c>
      <c r="AA32" s="13">
        <f t="shared" ref="AA32:AA33" si="10">L32</f>
      </c>
      <c r="AB32" s="9">
        <v>0</v>
      </c>
      <c r="AC32" s="7" t="s">
        <v>50</v>
      </c>
      <c r="AD32" s="7">
        <v>8</v>
      </c>
      <c r="AE32" s="8"/>
      <c r="AF32" s="8"/>
      <c r="AG32" s="8" t="s">
        <v>51</v>
      </c>
      <c r="AH32" s="7">
        <v>8</v>
      </c>
      <c r="AI32" s="8">
        <v>20102</v>
      </c>
      <c r="AJ32" s="8">
        <v>2573</v>
      </c>
      <c r="AK32" s="8">
        <v>2276</v>
      </c>
      <c r="AL32" s="8">
        <v>699</v>
      </c>
      <c r="AM32" s="8">
        <v>52</v>
      </c>
      <c r="AN32" s="8">
        <v>22</v>
      </c>
      <c r="AO32" s="8">
        <v>155</v>
      </c>
      <c r="AP32" s="8">
        <v>1</v>
      </c>
      <c r="AQ32" s="14"/>
      <c r="AR32" s="12">
        <f t="shared" si="47"/>
      </c>
      <c r="AS32" s="12">
        <f t="shared" si="26"/>
      </c>
      <c r="AT32" s="12">
        <f t="shared" si="48"/>
      </c>
      <c r="AU32" s="15">
        <f t="shared" si="22"/>
      </c>
      <c r="AV32" s="16">
        <f t="shared" si="19"/>
      </c>
      <c r="AW32" s="17"/>
    </row>
    <row customHeight="true" hidden="true" ht="16.071428571428573" r="33">
      <c r="A33" s="5">
        <v>46306</v>
      </c>
      <c r="B33" s="6" t="s">
        <v>52</v>
      </c>
      <c r="C33" s="6" t="s">
        <v>53</v>
      </c>
      <c r="D33" s="6">
        <v>4</v>
      </c>
      <c r="E33" s="7">
        <v>6</v>
      </c>
      <c r="F33" s="7">
        <v>3</v>
      </c>
      <c r="G33" s="7">
        <v>2</v>
      </c>
      <c r="H33" s="7">
        <v>1</v>
      </c>
      <c r="I33" s="7">
        <v>85.64</v>
      </c>
      <c r="J33" s="7">
        <v>2</v>
      </c>
      <c r="K33" s="7">
        <v>1134.7</v>
      </c>
      <c r="L33" s="7">
        <v>1</v>
      </c>
      <c r="M33" s="26">
        <v>1027.68</v>
      </c>
      <c r="N33" s="7">
        <v>0</v>
      </c>
      <c r="O33" s="7">
        <v>0</v>
      </c>
      <c r="P33" s="7">
        <v>2</v>
      </c>
      <c r="Q33" s="7">
        <v>1134.7</v>
      </c>
      <c r="R33" s="7">
        <v>0</v>
      </c>
      <c r="S33" s="7">
        <v>0</v>
      </c>
      <c r="T33" s="1">
        <f t="shared" si="38"/>
      </c>
      <c r="U33" s="13">
        <v>7440.3099999999995</v>
      </c>
      <c r="V33" s="10">
        <f t="shared" si="24"/>
      </c>
      <c r="W33" s="11">
        <f t="shared" si="20"/>
      </c>
      <c r="X33" s="11">
        <f t="shared" si="49"/>
      </c>
      <c r="Y33" s="12">
        <f t="shared" si="25"/>
      </c>
      <c r="Z33" s="12">
        <f t="shared" si="21"/>
      </c>
      <c r="AA33" s="13">
        <f t="shared" si="10"/>
      </c>
      <c r="AB33" s="9">
        <v>0</v>
      </c>
      <c r="AC33" s="7"/>
      <c r="AD33" s="7"/>
      <c r="AE33" s="8"/>
      <c r="AF33" s="8"/>
      <c r="AG33" s="8"/>
      <c r="AH33" s="7"/>
      <c r="AI33" s="8">
        <v>27574</v>
      </c>
      <c r="AJ33" s="8">
        <v>20</v>
      </c>
      <c r="AK33" s="8">
        <v>1829</v>
      </c>
      <c r="AL33" s="8">
        <v>446</v>
      </c>
      <c r="AM33" s="8">
        <v>118</v>
      </c>
      <c r="AN33" s="8">
        <v>13</v>
      </c>
      <c r="AO33" s="8">
        <v>109</v>
      </c>
      <c r="AP33" s="7">
        <v>1</v>
      </c>
      <c r="AQ33" s="8"/>
      <c r="AR33" s="12">
        <f t="shared" si="47"/>
      </c>
      <c r="AS33" s="12">
        <f t="shared" si="26"/>
      </c>
      <c r="AT33" s="12">
        <f t="shared" si="48"/>
      </c>
      <c r="AU33" s="15">
        <f t="shared" si="22"/>
      </c>
      <c r="AV33" s="16">
        <f t="shared" si="19"/>
      </c>
      <c r="AW33" s="17"/>
    </row>
    <row customHeight="true" hidden="true" ht="16.071428571428573" r="34">
      <c r="A34" s="18">
        <v>46306</v>
      </c>
      <c r="B34" s="19"/>
      <c r="C34" s="19"/>
      <c r="D34" s="19">
        <f>D32+D33</f>
      </c>
      <c r="E34" s="19">
        <f>E32+E33</f>
      </c>
      <c r="F34" s="19">
        <f>F32+F33</f>
      </c>
      <c r="G34" s="19">
        <f>G32+G33</f>
      </c>
      <c r="H34" s="19">
        <f>H32+H33</f>
      </c>
      <c r="I34" s="19">
        <f>I32+I33</f>
      </c>
      <c r="J34" s="19">
        <f>J32+J33</f>
      </c>
      <c r="K34" s="19">
        <f>K32+K33</f>
      </c>
      <c r="L34" s="19">
        <f>L32+L33</f>
      </c>
      <c r="M34" s="19">
        <f>M32+M33</f>
      </c>
      <c r="N34" s="19">
        <f>N32+N33</f>
      </c>
      <c r="O34" s="19">
        <f>O32+O33</f>
      </c>
      <c r="P34" s="19">
        <f>P32+P33</f>
      </c>
      <c r="Q34" s="19">
        <f>Q32+Q33</f>
      </c>
      <c r="R34" s="19">
        <f>R32+R33</f>
      </c>
      <c r="S34" s="19">
        <f>S32+S33</f>
      </c>
      <c r="T34" s="19">
        <f>T32+T33</f>
      </c>
      <c r="U34" s="19">
        <f>U32+U33</f>
      </c>
      <c r="V34" s="20">
        <f t="shared" si="24"/>
      </c>
      <c r="W34" s="20">
        <f t="shared" si="20"/>
      </c>
      <c r="X34" s="20">
        <f t="shared" si="49"/>
      </c>
      <c r="Y34" s="20">
        <f t="shared" si="25"/>
      </c>
      <c r="Z34" s="21">
        <f t="shared" si="21"/>
      </c>
      <c r="AA34" s="22">
        <f>SUM(AA32)</f>
      </c>
      <c r="AB34" s="22">
        <f>AB32+AB33</f>
      </c>
      <c r="AC34" s="22"/>
      <c r="AD34" s="22">
        <f>SUM(AD32)</f>
      </c>
      <c r="AE34" s="22"/>
      <c r="AF34" s="22"/>
      <c r="AG34" s="22"/>
      <c r="AH34" s="23">
        <v>8</v>
      </c>
      <c r="AI34" s="22">
        <f>AI32+AI33</f>
      </c>
      <c r="AJ34" s="22">
        <f>AJ32+AJ33</f>
      </c>
      <c r="AK34" s="22">
        <f>AK32+AK33</f>
      </c>
      <c r="AL34" s="22">
        <f>AL32+AL33</f>
      </c>
      <c r="AM34" s="22">
        <f>AM32+AM33</f>
      </c>
      <c r="AN34" s="22">
        <f>AN32+AN33</f>
      </c>
      <c r="AO34" s="22">
        <f>AO32+AO33</f>
      </c>
      <c r="AP34" s="22">
        <f>AP32+AP33</f>
      </c>
      <c r="AQ34" s="24"/>
      <c r="AR34" s="21">
        <f t="shared" si="47"/>
      </c>
      <c r="AS34" s="21">
        <f t="shared" si="26"/>
      </c>
      <c r="AT34" s="21">
        <f t="shared" si="48"/>
      </c>
      <c r="AU34" s="21">
        <f t="shared" si="22"/>
      </c>
      <c r="AV34" s="25">
        <f t="shared" si="19"/>
      </c>
      <c r="AW34" s="21">
        <f>F34/AM34</f>
      </c>
    </row>
    <row customHeight="true" hidden="true" ht="16.071428571428573" r="35">
      <c r="A35" s="5">
        <v>46307</v>
      </c>
      <c r="B35" s="6" t="s">
        <v>52</v>
      </c>
      <c r="C35" s="6" t="s">
        <v>49</v>
      </c>
      <c r="D35" s="6">
        <v>4</v>
      </c>
      <c r="E35" s="7">
        <v>4</v>
      </c>
      <c r="F35" s="7">
        <v>3</v>
      </c>
      <c r="G35" s="7">
        <v>3</v>
      </c>
      <c r="H35" s="7">
        <v>3</v>
      </c>
      <c r="I35" s="7">
        <v>356.94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3</v>
      </c>
      <c r="Q35" s="7">
        <v>356.94</v>
      </c>
      <c r="R35" s="7">
        <v>0</v>
      </c>
      <c r="S35" s="7">
        <v>0</v>
      </c>
      <c r="T35" s="1">
        <f t="shared" ref="T35:T36" si="39">I35*12+K35</f>
      </c>
      <c r="U35" s="9">
        <v>6142.66</v>
      </c>
      <c r="V35" s="10">
        <f t="shared" si="24"/>
      </c>
      <c r="W35" s="11">
        <f t="shared" si="20"/>
      </c>
      <c r="X35" s="11">
        <f t="shared" si="49"/>
      </c>
      <c r="Y35" s="12">
        <f t="shared" si="25"/>
      </c>
      <c r="Z35" s="12">
        <f t="shared" si="21"/>
      </c>
      <c r="AA35" s="13">
        <f t="shared" ref="AA35:AA36" si="11">L35</f>
      </c>
      <c r="AB35" s="9">
        <v>0</v>
      </c>
      <c r="AC35" s="7" t="s">
        <v>57</v>
      </c>
      <c r="AD35" s="7">
        <v>8</v>
      </c>
      <c r="AE35" s="8"/>
      <c r="AF35" s="8"/>
      <c r="AG35" s="8" t="s">
        <v>51</v>
      </c>
      <c r="AH35" s="7">
        <v>8</v>
      </c>
      <c r="AI35" s="8">
        <v>15705</v>
      </c>
      <c r="AJ35" s="8">
        <v>1710</v>
      </c>
      <c r="AK35" s="8">
        <v>3156</v>
      </c>
      <c r="AL35" s="8">
        <v>850</v>
      </c>
      <c r="AM35" s="8">
        <v>90</v>
      </c>
      <c r="AN35" s="8">
        <v>19</v>
      </c>
      <c r="AO35" s="8">
        <v>221</v>
      </c>
      <c r="AP35" s="8">
        <v>0</v>
      </c>
      <c r="AQ35" s="14"/>
      <c r="AR35" s="12">
        <f t="shared" si="47"/>
      </c>
      <c r="AS35" s="12">
        <f t="shared" si="26"/>
      </c>
      <c r="AT35" s="12">
        <f t="shared" si="48"/>
      </c>
      <c r="AU35" s="15">
        <f t="shared" si="22"/>
      </c>
      <c r="AV35" s="16">
        <f t="shared" si="19"/>
      </c>
      <c r="AW35" s="17"/>
    </row>
    <row customHeight="true" hidden="true" ht="16.071428571428573" r="36">
      <c r="A36" s="5">
        <v>46307</v>
      </c>
      <c r="B36" s="6" t="s">
        <v>54</v>
      </c>
      <c r="C36" s="6" t="s">
        <v>53</v>
      </c>
      <c r="D36" s="6">
        <v>4</v>
      </c>
      <c r="E36" s="7">
        <v>5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2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1">
        <f t="shared" si="39"/>
      </c>
      <c r="U36" s="13">
        <v>6743.33</v>
      </c>
      <c r="V36" s="10">
        <f t="shared" si="24"/>
      </c>
      <c r="W36" s="11">
        <f t="shared" si="20"/>
      </c>
      <c r="X36" s="11">
        <f t="shared" si="49"/>
      </c>
      <c r="Y36" s="12">
        <f t="shared" si="25"/>
      </c>
      <c r="Z36" s="12">
        <f t="shared" si="21"/>
      </c>
      <c r="AA36" s="13">
        <f t="shared" si="11"/>
      </c>
      <c r="AB36" s="9">
        <v>0</v>
      </c>
      <c r="AC36" s="7"/>
      <c r="AD36" s="7"/>
      <c r="AE36" s="8"/>
      <c r="AF36" s="8"/>
      <c r="AG36" s="8"/>
      <c r="AH36" s="7"/>
      <c r="AI36" s="8">
        <v>17684</v>
      </c>
      <c r="AJ36" s="8">
        <v>1664</v>
      </c>
      <c r="AK36" s="8">
        <v>3070</v>
      </c>
      <c r="AL36" s="8">
        <v>724</v>
      </c>
      <c r="AM36" s="8">
        <v>104</v>
      </c>
      <c r="AN36" s="8">
        <v>32</v>
      </c>
      <c r="AO36" s="8">
        <v>229</v>
      </c>
      <c r="AP36" s="7">
        <v>3</v>
      </c>
      <c r="AQ36" s="8"/>
      <c r="AR36" s="12">
        <f t="shared" si="47"/>
      </c>
      <c r="AS36" s="12">
        <f t="shared" si="26"/>
      </c>
      <c r="AT36" s="12">
        <f t="shared" si="48"/>
      </c>
      <c r="AU36" s="15">
        <f t="shared" si="22"/>
      </c>
      <c r="AV36" s="16">
        <f t="shared" si="19"/>
      </c>
      <c r="AW36" s="17"/>
    </row>
    <row customHeight="true" hidden="true" ht="16.071428571428573" r="37">
      <c r="A37" s="18">
        <v>46307</v>
      </c>
      <c r="B37" s="19"/>
      <c r="C37" s="19"/>
      <c r="D37" s="19">
        <f>D35+D36</f>
      </c>
      <c r="E37" s="19">
        <f>E35+E36</f>
      </c>
      <c r="F37" s="19">
        <f>F35+F36</f>
      </c>
      <c r="G37" s="19">
        <f>G35+G36</f>
      </c>
      <c r="H37" s="19">
        <f>H35+H36</f>
      </c>
      <c r="I37" s="19">
        <f>I35+I36</f>
      </c>
      <c r="J37" s="19">
        <f>J35+J36</f>
      </c>
      <c r="K37" s="19">
        <f>K35+K36</f>
      </c>
      <c r="L37" s="19">
        <f>L35+L36</f>
      </c>
      <c r="M37" s="19">
        <f>M35+M36</f>
      </c>
      <c r="N37" s="19">
        <f>N35+N36</f>
      </c>
      <c r="O37" s="19">
        <f>O35+O36</f>
      </c>
      <c r="P37" s="19">
        <f>P35+P36</f>
      </c>
      <c r="Q37" s="19">
        <f>Q35+Q36</f>
      </c>
      <c r="R37" s="19">
        <f>R35+R36</f>
      </c>
      <c r="S37" s="19">
        <f>S35+S36</f>
      </c>
      <c r="T37" s="19">
        <f>T35+T36</f>
      </c>
      <c r="U37" s="19">
        <f>U35+U36</f>
      </c>
      <c r="V37" s="20">
        <f t="shared" si="24"/>
      </c>
      <c r="W37" s="20">
        <f t="shared" si="20"/>
      </c>
      <c r="X37" s="20">
        <f t="shared" si="49"/>
      </c>
      <c r="Y37" s="20">
        <f t="shared" si="25"/>
      </c>
      <c r="Z37" s="21">
        <f t="shared" si="21"/>
      </c>
      <c r="AA37" s="22">
        <f>SUM(AA35)</f>
      </c>
      <c r="AB37" s="22">
        <f>AB35+AB36</f>
      </c>
      <c r="AC37" s="22"/>
      <c r="AD37" s="22">
        <f>SUM(AD35)</f>
      </c>
      <c r="AE37" s="22"/>
      <c r="AF37" s="22"/>
      <c r="AG37" s="22"/>
      <c r="AH37" s="23">
        <v>8</v>
      </c>
      <c r="AI37" s="22">
        <f>AI35+AI36</f>
      </c>
      <c r="AJ37" s="22">
        <f>AJ35+AJ36</f>
      </c>
      <c r="AK37" s="22">
        <f>AK35+AK36</f>
      </c>
      <c r="AL37" s="22">
        <f>AL35+AL36</f>
      </c>
      <c r="AM37" s="22">
        <f>AM35+AM36</f>
      </c>
      <c r="AN37" s="22">
        <f>AN35+AN36</f>
      </c>
      <c r="AO37" s="22">
        <f>AO35+AO36</f>
      </c>
      <c r="AP37" s="22">
        <f>AP35+AP36</f>
      </c>
      <c r="AQ37" s="24"/>
      <c r="AR37" s="21">
        <f t="shared" si="47"/>
      </c>
      <c r="AS37" s="21">
        <f t="shared" si="26"/>
      </c>
      <c r="AT37" s="21">
        <f t="shared" si="48"/>
      </c>
      <c r="AU37" s="21">
        <f t="shared" si="22"/>
      </c>
      <c r="AV37" s="25">
        <f t="shared" si="19"/>
      </c>
      <c r="AW37" s="21">
        <f>F37/AM37</f>
      </c>
    </row>
    <row customHeight="true" hidden="true" ht="16.071428571428573" r="38">
      <c r="A38" s="5">
        <v>46308</v>
      </c>
      <c r="B38" s="6" t="s">
        <v>55</v>
      </c>
      <c r="C38" s="6" t="s">
        <v>49</v>
      </c>
      <c r="D38" s="6">
        <v>4</v>
      </c>
      <c r="E38" s="7">
        <v>2</v>
      </c>
      <c r="F38" s="7">
        <v>1</v>
      </c>
      <c r="G38" s="7">
        <v>0</v>
      </c>
      <c r="H38" s="7">
        <v>1</v>
      </c>
      <c r="I38" s="7">
        <v>240.42</v>
      </c>
      <c r="J38" s="7">
        <v>0</v>
      </c>
      <c r="K38" s="7">
        <v>0</v>
      </c>
      <c r="L38" s="7">
        <v>1</v>
      </c>
      <c r="M38" s="7">
        <v>2885.04</v>
      </c>
      <c r="N38" s="7">
        <v>0</v>
      </c>
      <c r="O38" s="7">
        <v>0</v>
      </c>
      <c r="P38" s="7">
        <v>0</v>
      </c>
      <c r="Q38" s="7">
        <v>0</v>
      </c>
      <c r="R38" s="7">
        <v>1</v>
      </c>
      <c r="S38" s="7">
        <v>240.42</v>
      </c>
      <c r="T38" s="1">
        <f t="shared" ref="T38:T39" si="40">I38*12+K38</f>
      </c>
      <c r="U38" s="9">
        <v>6147.0599999999995</v>
      </c>
      <c r="V38" s="10">
        <f t="shared" si="24"/>
      </c>
      <c r="W38" s="11">
        <f t="shared" si="20"/>
      </c>
      <c r="X38" s="11">
        <f t="shared" si="49"/>
      </c>
      <c r="Y38" s="12">
        <f t="shared" si="25"/>
      </c>
      <c r="Z38" s="12">
        <f t="shared" si="21"/>
      </c>
      <c r="AA38" s="13">
        <f t="shared" ref="AA38:AA39" si="12">L38</f>
      </c>
      <c r="AB38" s="9">
        <v>2</v>
      </c>
      <c r="AC38" s="7" t="s">
        <v>57</v>
      </c>
      <c r="AD38" s="7">
        <v>8</v>
      </c>
      <c r="AE38" s="8"/>
      <c r="AF38" s="8"/>
      <c r="AG38" s="8" t="s">
        <v>51</v>
      </c>
      <c r="AH38" s="7">
        <v>8</v>
      </c>
      <c r="AI38" s="8">
        <v>20604</v>
      </c>
      <c r="AJ38" s="8">
        <v>1634</v>
      </c>
      <c r="AK38" s="8">
        <v>2748</v>
      </c>
      <c r="AL38" s="8">
        <v>736</v>
      </c>
      <c r="AM38" s="8">
        <v>53</v>
      </c>
      <c r="AN38" s="8">
        <v>46</v>
      </c>
      <c r="AO38" s="8">
        <v>131</v>
      </c>
      <c r="AP38" s="8">
        <v>1</v>
      </c>
      <c r="AQ38" s="14"/>
      <c r="AR38" s="12">
        <f t="shared" si="47"/>
      </c>
      <c r="AS38" s="12">
        <f t="shared" si="26"/>
      </c>
      <c r="AT38" s="12">
        <f t="shared" si="48"/>
      </c>
      <c r="AU38" s="15">
        <f t="shared" si="22"/>
      </c>
      <c r="AV38" s="16">
        <f t="shared" si="19"/>
      </c>
      <c r="AW38" s="17"/>
    </row>
    <row customHeight="true" hidden="true" ht="16.071428571428573" r="39">
      <c r="A39" s="5">
        <v>46308</v>
      </c>
      <c r="B39" s="6" t="s">
        <v>52</v>
      </c>
      <c r="C39" s="6" t="s">
        <v>53</v>
      </c>
      <c r="D39" s="6">
        <v>4</v>
      </c>
      <c r="E39" s="7">
        <v>8</v>
      </c>
      <c r="F39" s="7">
        <v>3</v>
      </c>
      <c r="G39" s="7">
        <v>2</v>
      </c>
      <c r="H39" s="7">
        <v>3</v>
      </c>
      <c r="I39" s="7">
        <v>417.42</v>
      </c>
      <c r="J39" s="7">
        <v>0</v>
      </c>
      <c r="K39" s="7">
        <v>0</v>
      </c>
      <c r="L39" s="7">
        <v>2</v>
      </c>
      <c r="M39" s="27">
        <v>4066.2000000000003</v>
      </c>
      <c r="N39" s="7">
        <v>0</v>
      </c>
      <c r="O39" s="7">
        <v>0</v>
      </c>
      <c r="P39" s="7">
        <v>1</v>
      </c>
      <c r="Q39" s="7">
        <v>942.8399999999999</v>
      </c>
      <c r="R39" s="7">
        <v>1</v>
      </c>
      <c r="S39" s="7">
        <v>230.52</v>
      </c>
      <c r="T39" s="1">
        <f t="shared" si="40"/>
      </c>
      <c r="U39" s="13">
        <v>7333.65</v>
      </c>
      <c r="V39" s="10">
        <f t="shared" si="24"/>
      </c>
      <c r="W39" s="11">
        <f t="shared" si="20"/>
      </c>
      <c r="X39" s="11">
        <f t="shared" si="49"/>
      </c>
      <c r="Y39" s="12">
        <f t="shared" si="25"/>
      </c>
      <c r="Z39" s="12">
        <f t="shared" si="21"/>
      </c>
      <c r="AA39" s="13">
        <f t="shared" si="12"/>
      </c>
      <c r="AB39" s="9">
        <v>0</v>
      </c>
      <c r="AC39" s="7"/>
      <c r="AD39" s="7"/>
      <c r="AE39" s="8"/>
      <c r="AF39" s="8"/>
      <c r="AG39" s="8"/>
      <c r="AH39" s="7"/>
      <c r="AI39" s="8">
        <v>21737</v>
      </c>
      <c r="AJ39" s="8">
        <v>1659</v>
      </c>
      <c r="AK39" s="8">
        <v>2992</v>
      </c>
      <c r="AL39" s="8">
        <v>755</v>
      </c>
      <c r="AM39" s="8">
        <v>66</v>
      </c>
      <c r="AN39" s="8">
        <v>19</v>
      </c>
      <c r="AO39" s="8">
        <v>266</v>
      </c>
      <c r="AP39" s="7">
        <v>2</v>
      </c>
      <c r="AQ39" s="8"/>
      <c r="AR39" s="12">
        <f t="shared" si="47"/>
      </c>
      <c r="AS39" s="12">
        <f t="shared" si="26"/>
      </c>
      <c r="AT39" s="12">
        <f t="shared" si="48"/>
      </c>
      <c r="AU39" s="15">
        <f t="shared" si="22"/>
      </c>
      <c r="AV39" s="16">
        <f t="shared" si="19"/>
      </c>
      <c r="AW39" s="17"/>
    </row>
    <row customHeight="true" hidden="true" ht="16.071428571428573" r="40">
      <c r="A40" s="18">
        <v>46308</v>
      </c>
      <c r="B40" s="19"/>
      <c r="C40" s="19"/>
      <c r="D40" s="19">
        <f>D38+D39</f>
      </c>
      <c r="E40" s="19">
        <f>E38+E39</f>
      </c>
      <c r="F40" s="19">
        <f>F38+F39</f>
      </c>
      <c r="G40" s="19">
        <f>G38+G39</f>
      </c>
      <c r="H40" s="19">
        <f>H38+H39</f>
      </c>
      <c r="I40" s="19">
        <f>I38+I39</f>
      </c>
      <c r="J40" s="19">
        <f>J38+J39</f>
      </c>
      <c r="K40" s="19">
        <f>K38+K39</f>
      </c>
      <c r="L40" s="19">
        <f>L38+L39</f>
      </c>
      <c r="M40" s="19">
        <f>M38+M39</f>
      </c>
      <c r="N40" s="19">
        <f>N38+N39</f>
      </c>
      <c r="O40" s="19">
        <f>O38+O39</f>
      </c>
      <c r="P40" s="19">
        <f>P38+P39</f>
      </c>
      <c r="Q40" s="19">
        <f>Q38+Q39</f>
      </c>
      <c r="R40" s="19">
        <f>R38+R39</f>
      </c>
      <c r="S40" s="19">
        <f>S38+S39</f>
      </c>
      <c r="T40" s="19">
        <f>T38+T39</f>
      </c>
      <c r="U40" s="19">
        <f>U38+U39</f>
      </c>
      <c r="V40" s="20">
        <f t="shared" si="24"/>
      </c>
      <c r="W40" s="20">
        <f t="shared" si="20"/>
      </c>
      <c r="X40" s="20">
        <f t="shared" si="49"/>
      </c>
      <c r="Y40" s="20">
        <f t="shared" si="25"/>
      </c>
      <c r="Z40" s="21">
        <f t="shared" si="21"/>
      </c>
      <c r="AA40" s="22">
        <f>SUM(AA38)</f>
      </c>
      <c r="AB40" s="22">
        <f>AB38+AB39</f>
      </c>
      <c r="AC40" s="22"/>
      <c r="AD40" s="22">
        <f>SUM(AD38)</f>
      </c>
      <c r="AE40" s="22"/>
      <c r="AF40" s="22"/>
      <c r="AG40" s="22"/>
      <c r="AH40" s="23">
        <v>8</v>
      </c>
      <c r="AI40" s="22">
        <f>AI38+AI39</f>
      </c>
      <c r="AJ40" s="22">
        <f>AJ38+AJ39</f>
      </c>
      <c r="AK40" s="22">
        <f>AK38+AK39</f>
      </c>
      <c r="AL40" s="22">
        <f>AL38+AL39</f>
      </c>
      <c r="AM40" s="22">
        <f>AM38+AM39</f>
      </c>
      <c r="AN40" s="22">
        <f>AN38+AN39</f>
      </c>
      <c r="AO40" s="22">
        <f>AO38+AO39</f>
      </c>
      <c r="AP40" s="22">
        <f>AP38+AP39</f>
      </c>
      <c r="AQ40" s="24"/>
      <c r="AR40" s="21">
        <f t="shared" si="47"/>
      </c>
      <c r="AS40" s="21">
        <f t="shared" si="26"/>
      </c>
      <c r="AT40" s="21">
        <f t="shared" si="48"/>
      </c>
      <c r="AU40" s="21">
        <f t="shared" si="22"/>
      </c>
      <c r="AV40" s="25">
        <f t="shared" si="19"/>
      </c>
      <c r="AW40" s="21">
        <f>F40/AM40</f>
      </c>
    </row>
    <row customHeight="true" hidden="true" ht="16.071428571428573" r="41">
      <c r="A41" s="5">
        <v>46309</v>
      </c>
      <c r="B41" s="6" t="s">
        <v>55</v>
      </c>
      <c r="C41" s="6" t="s">
        <v>49</v>
      </c>
      <c r="D41" s="6">
        <v>4</v>
      </c>
      <c r="E41" s="7">
        <v>10</v>
      </c>
      <c r="F41" s="7">
        <v>7</v>
      </c>
      <c r="G41" s="7">
        <v>3</v>
      </c>
      <c r="H41" s="7">
        <v>7</v>
      </c>
      <c r="I41" s="7">
        <v>2357.74</v>
      </c>
      <c r="J41" s="7">
        <v>0</v>
      </c>
      <c r="K41" s="7">
        <v>0</v>
      </c>
      <c r="L41" s="7">
        <v>2</v>
      </c>
      <c r="M41" s="7">
        <v>5924.52</v>
      </c>
      <c r="N41" s="7">
        <v>2</v>
      </c>
      <c r="O41" s="7">
        <v>8115.48</v>
      </c>
      <c r="P41" s="7">
        <v>3</v>
      </c>
      <c r="Q41" s="7">
        <v>14252.880000000001</v>
      </c>
      <c r="R41" s="7">
        <v>3</v>
      </c>
      <c r="S41" s="7">
        <v>1455.25</v>
      </c>
      <c r="T41" s="1">
        <f t="shared" ref="T41:T42" si="41">I41*12+K41</f>
      </c>
      <c r="U41" s="9">
        <v>8802.43</v>
      </c>
      <c r="V41" s="10">
        <f t="shared" si="24"/>
      </c>
      <c r="W41" s="11">
        <f t="shared" si="20"/>
      </c>
      <c r="X41" s="11">
        <f t="shared" si="49"/>
      </c>
      <c r="Y41" s="12">
        <f t="shared" si="25"/>
      </c>
      <c r="Z41" s="12">
        <f t="shared" si="21"/>
      </c>
      <c r="AA41" s="13">
        <f t="shared" ref="AA41:AA42" si="13">L41</f>
      </c>
      <c r="AB41" s="9">
        <v>3</v>
      </c>
      <c r="AC41" s="7" t="s">
        <v>57</v>
      </c>
      <c r="AD41" s="7">
        <v>8</v>
      </c>
      <c r="AE41" s="8"/>
      <c r="AF41" s="8"/>
      <c r="AG41" s="8" t="s">
        <v>51</v>
      </c>
      <c r="AH41" s="7">
        <v>8</v>
      </c>
      <c r="AI41" s="8">
        <v>30264</v>
      </c>
      <c r="AJ41" s="8">
        <v>1586</v>
      </c>
      <c r="AK41" s="8">
        <v>2399</v>
      </c>
      <c r="AL41" s="8">
        <v>683</v>
      </c>
      <c r="AM41" s="8">
        <v>138</v>
      </c>
      <c r="AN41" s="8">
        <v>23</v>
      </c>
      <c r="AO41" s="8">
        <v>279</v>
      </c>
      <c r="AP41" s="8">
        <v>3</v>
      </c>
      <c r="AQ41" s="14"/>
      <c r="AR41" s="12">
        <f t="shared" si="47"/>
      </c>
      <c r="AS41" s="12">
        <f t="shared" si="26"/>
      </c>
      <c r="AT41" s="12">
        <f t="shared" si="48"/>
      </c>
      <c r="AU41" s="15">
        <f t="shared" si="22"/>
      </c>
      <c r="AV41" s="16">
        <f t="shared" si="19"/>
      </c>
      <c r="AW41" s="17"/>
    </row>
    <row customHeight="true" hidden="true" ht="16.071428571428573" r="42">
      <c r="A42" s="5">
        <v>46309</v>
      </c>
      <c r="B42" s="6" t="s">
        <v>54</v>
      </c>
      <c r="C42" s="6" t="s">
        <v>53</v>
      </c>
      <c r="D42" s="6">
        <v>4</v>
      </c>
      <c r="E42" s="7">
        <v>9</v>
      </c>
      <c r="F42" s="7">
        <v>7</v>
      </c>
      <c r="G42" s="7">
        <v>8</v>
      </c>
      <c r="H42" s="7">
        <v>6</v>
      </c>
      <c r="I42" s="7">
        <v>1203.15</v>
      </c>
      <c r="J42" s="7">
        <v>1</v>
      </c>
      <c r="K42" s="7">
        <v>520</v>
      </c>
      <c r="L42" s="7">
        <v>2</v>
      </c>
      <c r="M42" s="27">
        <v>3654.12</v>
      </c>
      <c r="N42" s="7">
        <v>1</v>
      </c>
      <c r="O42" s="7">
        <v>1664.16</v>
      </c>
      <c r="P42" s="7">
        <v>4</v>
      </c>
      <c r="Q42" s="7">
        <v>9639.52</v>
      </c>
      <c r="R42" s="7">
        <v>0</v>
      </c>
      <c r="S42" s="7">
        <v>0</v>
      </c>
      <c r="T42" s="1">
        <f t="shared" si="41"/>
      </c>
      <c r="U42" s="13">
        <v>13041.75</v>
      </c>
      <c r="V42" s="10">
        <f t="shared" si="24"/>
      </c>
      <c r="W42" s="11">
        <f t="shared" si="20"/>
      </c>
      <c r="X42" s="11">
        <f t="shared" si="49"/>
      </c>
      <c r="Y42" s="12">
        <f t="shared" si="25"/>
      </c>
      <c r="Z42" s="12">
        <f t="shared" si="21"/>
      </c>
      <c r="AA42" s="13">
        <f t="shared" si="13"/>
      </c>
      <c r="AB42" s="9">
        <v>0</v>
      </c>
      <c r="AC42" s="7"/>
      <c r="AD42" s="7"/>
      <c r="AE42" s="8"/>
      <c r="AF42" s="8"/>
      <c r="AG42" s="8"/>
      <c r="AH42" s="7"/>
      <c r="AI42" s="8">
        <v>47984</v>
      </c>
      <c r="AJ42" s="8">
        <v>1932</v>
      </c>
      <c r="AK42" s="8">
        <v>3052</v>
      </c>
      <c r="AL42" s="8">
        <v>816</v>
      </c>
      <c r="AM42" s="8">
        <v>254</v>
      </c>
      <c r="AN42" s="8">
        <v>38</v>
      </c>
      <c r="AO42" s="8">
        <v>324</v>
      </c>
      <c r="AP42" s="7">
        <v>0</v>
      </c>
      <c r="AQ42" s="8"/>
      <c r="AR42" s="12">
        <f t="shared" si="47"/>
      </c>
      <c r="AS42" s="12">
        <f t="shared" si="26"/>
      </c>
      <c r="AT42" s="12">
        <f t="shared" si="48"/>
      </c>
      <c r="AU42" s="15">
        <f t="shared" si="22"/>
      </c>
      <c r="AV42" s="16">
        <f t="shared" si="19"/>
      </c>
      <c r="AW42" s="17"/>
    </row>
    <row customHeight="true" hidden="true" ht="16.071428571428573" r="43">
      <c r="A43" s="18">
        <v>46309</v>
      </c>
      <c r="B43" s="19"/>
      <c r="C43" s="19"/>
      <c r="D43" s="19">
        <f>D41+D42</f>
      </c>
      <c r="E43" s="19">
        <f>E41+E42</f>
      </c>
      <c r="F43" s="19">
        <f>F41+F42</f>
      </c>
      <c r="G43" s="19">
        <f>G41+G42</f>
      </c>
      <c r="H43" s="19">
        <f>H41+H42</f>
      </c>
      <c r="I43" s="19">
        <f>I41+I42</f>
      </c>
      <c r="J43" s="19">
        <f>J41+J42</f>
      </c>
      <c r="K43" s="19">
        <f>K41+K42</f>
      </c>
      <c r="L43" s="19">
        <f>L41+L42</f>
      </c>
      <c r="M43" s="19">
        <f>M41+M42</f>
      </c>
      <c r="N43" s="19">
        <f>N41+N42</f>
      </c>
      <c r="O43" s="19">
        <f>O41+O42</f>
      </c>
      <c r="P43" s="19">
        <f>P41+P42</f>
      </c>
      <c r="Q43" s="19">
        <f>Q41+Q42</f>
      </c>
      <c r="R43" s="19">
        <f>R41+R42</f>
      </c>
      <c r="S43" s="19">
        <f>S41+S42</f>
      </c>
      <c r="T43" s="19">
        <f>T41+T42</f>
      </c>
      <c r="U43" s="19">
        <f>U41+U42</f>
      </c>
      <c r="V43" s="20">
        <f t="shared" si="24"/>
      </c>
      <c r="W43" s="20">
        <f t="shared" si="20"/>
      </c>
      <c r="X43" s="20">
        <f t="shared" si="49"/>
      </c>
      <c r="Y43" s="20">
        <f t="shared" si="25"/>
      </c>
      <c r="Z43" s="21">
        <f t="shared" si="21"/>
      </c>
      <c r="AA43" s="22">
        <f>SUM(AA41)</f>
      </c>
      <c r="AB43" s="22">
        <f>AB41+AB42</f>
      </c>
      <c r="AC43" s="22"/>
      <c r="AD43" s="22">
        <f>SUM(AD41)</f>
      </c>
      <c r="AE43" s="22"/>
      <c r="AF43" s="22"/>
      <c r="AG43" s="22"/>
      <c r="AH43" s="23">
        <v>8</v>
      </c>
      <c r="AI43" s="22">
        <f>AI41+AI42</f>
      </c>
      <c r="AJ43" s="22">
        <f>AJ41+AJ42</f>
      </c>
      <c r="AK43" s="22">
        <f>AK41+AK42</f>
      </c>
      <c r="AL43" s="22">
        <f>AL41+AL42</f>
      </c>
      <c r="AM43" s="22">
        <f>AM41+AM42</f>
      </c>
      <c r="AN43" s="22">
        <f>AN41+AN42</f>
      </c>
      <c r="AO43" s="22">
        <f>AO41+AO42</f>
      </c>
      <c r="AP43" s="22">
        <f>AP41+AP42</f>
      </c>
      <c r="AQ43" s="24"/>
      <c r="AR43" s="21">
        <f t="shared" si="47"/>
      </c>
      <c r="AS43" s="21">
        <f t="shared" si="26"/>
      </c>
      <c r="AT43" s="21">
        <f t="shared" si="48"/>
      </c>
      <c r="AU43" s="21">
        <f t="shared" si="22"/>
      </c>
      <c r="AV43" s="25">
        <f t="shared" si="19"/>
      </c>
      <c r="AW43" s="21">
        <f>F43/AM43</f>
      </c>
    </row>
    <row customHeight="true" hidden="true" ht="16.071428571428573" r="44">
      <c r="A44" s="5">
        <v>46310</v>
      </c>
      <c r="B44" s="6" t="s">
        <v>52</v>
      </c>
      <c r="C44" s="6" t="s">
        <v>49</v>
      </c>
      <c r="D44" s="6">
        <v>4</v>
      </c>
      <c r="E44" s="7">
        <v>1</v>
      </c>
      <c r="F44" s="7">
        <v>1</v>
      </c>
      <c r="G44" s="7">
        <v>1</v>
      </c>
      <c r="H44" s="7">
        <v>1</v>
      </c>
      <c r="I44" s="7">
        <v>114.26</v>
      </c>
      <c r="J44" s="7">
        <v>0</v>
      </c>
      <c r="K44" s="7">
        <v>0</v>
      </c>
      <c r="L44" s="7">
        <v>1</v>
      </c>
      <c r="M44" s="7">
        <v>1371.1200000000001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1">
        <f t="shared" ref="T44:T45" si="42">I44*12+K44</f>
      </c>
      <c r="U44" s="9">
        <v>4200.17</v>
      </c>
      <c r="V44" s="10">
        <f t="shared" si="24"/>
      </c>
      <c r="W44" s="11">
        <f t="shared" si="20"/>
      </c>
      <c r="X44" s="11">
        <f t="shared" si="49"/>
      </c>
      <c r="Y44" s="12">
        <f t="shared" si="25"/>
      </c>
      <c r="Z44" s="12">
        <f t="shared" si="21"/>
      </c>
      <c r="AA44" s="13">
        <f t="shared" ref="AA44:AA45" si="14">L44</f>
      </c>
      <c r="AB44" s="9">
        <v>0</v>
      </c>
      <c r="AC44" s="7" t="s">
        <v>50</v>
      </c>
      <c r="AD44" s="7">
        <v>6</v>
      </c>
      <c r="AE44" s="8"/>
      <c r="AF44" s="8"/>
      <c r="AG44" s="8" t="s">
        <v>51</v>
      </c>
      <c r="AH44" s="7">
        <v>6</v>
      </c>
      <c r="AI44" s="8">
        <v>11433</v>
      </c>
      <c r="AJ44" s="8">
        <v>1081</v>
      </c>
      <c r="AK44" s="8">
        <v>1897</v>
      </c>
      <c r="AL44" s="8">
        <v>525</v>
      </c>
      <c r="AM44" s="8">
        <v>42</v>
      </c>
      <c r="AN44" s="8">
        <v>22</v>
      </c>
      <c r="AO44" s="8">
        <v>100</v>
      </c>
      <c r="AP44" s="8">
        <v>0</v>
      </c>
      <c r="AQ44" s="14"/>
      <c r="AR44" s="12">
        <f t="shared" si="47"/>
      </c>
      <c r="AS44" s="12">
        <f t="shared" si="26"/>
      </c>
      <c r="AT44" s="12">
        <f t="shared" si="48"/>
      </c>
      <c r="AU44" s="15">
        <f t="shared" si="22"/>
      </c>
      <c r="AV44" s="16">
        <f t="shared" si="19"/>
      </c>
      <c r="AW44" s="17"/>
    </row>
    <row customHeight="true" hidden="true" ht="16.071428571428573" r="45">
      <c r="A45" s="5">
        <v>46310</v>
      </c>
      <c r="B45" s="6" t="s">
        <v>54</v>
      </c>
      <c r="C45" s="6" t="s">
        <v>58</v>
      </c>
      <c r="D45" s="6">
        <v>2</v>
      </c>
      <c r="E45" s="7">
        <v>1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2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1">
        <f t="shared" si="42"/>
      </c>
      <c r="U45" s="13">
        <v>2377.39</v>
      </c>
      <c r="V45" s="10">
        <f t="shared" si="24"/>
      </c>
      <c r="W45" s="11">
        <f t="shared" si="20"/>
      </c>
      <c r="X45" s="11">
        <f t="shared" si="49"/>
      </c>
      <c r="Y45" s="12">
        <f t="shared" si="25"/>
      </c>
      <c r="Z45" s="12">
        <f t="shared" si="21"/>
      </c>
      <c r="AA45" s="13">
        <f t="shared" si="14"/>
      </c>
      <c r="AB45" s="9">
        <v>0</v>
      </c>
      <c r="AC45" s="7"/>
      <c r="AD45" s="7"/>
      <c r="AE45" s="8"/>
      <c r="AF45" s="8"/>
      <c r="AG45" s="8"/>
      <c r="AH45" s="7"/>
      <c r="AI45" s="8">
        <v>4891</v>
      </c>
      <c r="AJ45" s="8">
        <v>764</v>
      </c>
      <c r="AK45" s="8">
        <v>1358</v>
      </c>
      <c r="AL45" s="8">
        <v>385</v>
      </c>
      <c r="AM45" s="8">
        <v>35</v>
      </c>
      <c r="AN45" s="8">
        <v>7</v>
      </c>
      <c r="AO45" s="8">
        <v>66</v>
      </c>
      <c r="AP45" s="7">
        <v>0</v>
      </c>
      <c r="AQ45" s="8"/>
      <c r="AR45" s="12">
        <f t="shared" si="47"/>
      </c>
      <c r="AS45" s="12">
        <f t="shared" si="26"/>
      </c>
      <c r="AT45" s="12">
        <f t="shared" si="48"/>
      </c>
      <c r="AU45" s="15">
        <f t="shared" si="22"/>
      </c>
      <c r="AV45" s="16">
        <f t="shared" si="19"/>
      </c>
      <c r="AW45" s="17"/>
    </row>
    <row customHeight="true" hidden="true" ht="16.071428571428573" r="46">
      <c r="A46" s="18">
        <v>46310</v>
      </c>
      <c r="B46" s="19"/>
      <c r="C46" s="19"/>
      <c r="D46" s="19">
        <f>D44+D45</f>
      </c>
      <c r="E46" s="19">
        <f>E44+E45</f>
      </c>
      <c r="F46" s="19">
        <f>F44+F45</f>
      </c>
      <c r="G46" s="19">
        <f>G44+G45</f>
      </c>
      <c r="H46" s="19">
        <f>H44+H45</f>
      </c>
      <c r="I46" s="19">
        <f>I44+I45</f>
      </c>
      <c r="J46" s="19">
        <f>J44+J45</f>
      </c>
      <c r="K46" s="19">
        <f>K44+K45</f>
      </c>
      <c r="L46" s="19">
        <f>L44+L45</f>
      </c>
      <c r="M46" s="19">
        <f>M44+M45</f>
      </c>
      <c r="N46" s="19">
        <f>N44+N45</f>
      </c>
      <c r="O46" s="19">
        <f>O44+O45</f>
      </c>
      <c r="P46" s="19">
        <f>P44+P45</f>
      </c>
      <c r="Q46" s="19">
        <f>Q44+Q45</f>
      </c>
      <c r="R46" s="19">
        <f>R44+R45</f>
      </c>
      <c r="S46" s="19">
        <f>S44+S45</f>
      </c>
      <c r="T46" s="19">
        <f>T44+T45</f>
      </c>
      <c r="U46" s="19">
        <f>U44+U45</f>
      </c>
      <c r="V46" s="20">
        <f t="shared" si="24"/>
      </c>
      <c r="W46" s="20">
        <f t="shared" si="20"/>
      </c>
      <c r="X46" s="20">
        <f t="shared" si="49"/>
      </c>
      <c r="Y46" s="20">
        <f t="shared" si="25"/>
      </c>
      <c r="Z46" s="21">
        <f t="shared" si="21"/>
      </c>
      <c r="AA46" s="22">
        <f>SUM(AA44)</f>
      </c>
      <c r="AB46" s="22">
        <f>AB44+AB45</f>
      </c>
      <c r="AC46" s="22"/>
      <c r="AD46" s="22">
        <f>SUM(AD44)</f>
      </c>
      <c r="AE46" s="22"/>
      <c r="AF46" s="22"/>
      <c r="AG46" s="22"/>
      <c r="AH46" s="23">
        <v>6</v>
      </c>
      <c r="AI46" s="22">
        <f>AI44+AI45</f>
      </c>
      <c r="AJ46" s="22">
        <f>AJ44+AJ45</f>
      </c>
      <c r="AK46" s="22">
        <f>AK44+AK45</f>
      </c>
      <c r="AL46" s="22">
        <f>AL44+AL45</f>
      </c>
      <c r="AM46" s="22">
        <f>AM44+AM45</f>
      </c>
      <c r="AN46" s="22">
        <f>AN44+AN45</f>
      </c>
      <c r="AO46" s="22">
        <f>AO44+AO45</f>
      </c>
      <c r="AP46" s="22">
        <f>AP44+AP45</f>
      </c>
      <c r="AQ46" s="24"/>
      <c r="AR46" s="21">
        <f t="shared" si="47"/>
      </c>
      <c r="AS46" s="21">
        <f t="shared" si="26"/>
      </c>
      <c r="AT46" s="21">
        <f t="shared" si="48"/>
      </c>
      <c r="AU46" s="21">
        <f t="shared" si="22"/>
      </c>
      <c r="AV46" s="25">
        <f t="shared" si="19"/>
      </c>
      <c r="AW46" s="21">
        <f>F46/AM46</f>
      </c>
    </row>
    <row customHeight="true" hidden="true" ht="16.071428571428573" r="47">
      <c r="A47" s="5">
        <v>46311</v>
      </c>
      <c r="B47" s="6" t="s">
        <v>55</v>
      </c>
      <c r="C47" s="6" t="s">
        <v>59</v>
      </c>
      <c r="D47" s="6">
        <v>4</v>
      </c>
      <c r="E47" s="7">
        <v>2</v>
      </c>
      <c r="F47" s="7">
        <v>2</v>
      </c>
      <c r="G47" s="7">
        <v>2</v>
      </c>
      <c r="H47" s="7">
        <v>2</v>
      </c>
      <c r="I47" s="7">
        <v>267.88</v>
      </c>
      <c r="J47" s="7">
        <v>0</v>
      </c>
      <c r="K47" s="28">
        <v>0</v>
      </c>
      <c r="L47" s="29">
        <v>2</v>
      </c>
      <c r="M47" s="29">
        <v>3214.56</v>
      </c>
      <c r="N47" s="30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1">
        <f t="shared" ref="T47:T49" si="43">I47*12+K47</f>
      </c>
      <c r="U47" s="9">
        <v>6061.66</v>
      </c>
      <c r="V47" s="10">
        <f t="shared" si="24"/>
      </c>
      <c r="W47" s="11">
        <f t="shared" si="20"/>
      </c>
      <c r="X47" s="11">
        <f t="shared" si="49"/>
      </c>
      <c r="Y47" s="12">
        <f t="shared" si="25"/>
      </c>
      <c r="Z47" s="12">
        <f t="shared" si="21"/>
      </c>
      <c r="AA47" s="13">
        <f t="shared" ref="AA47:AA49" si="15">L47</f>
      </c>
      <c r="AB47" s="9">
        <v>0</v>
      </c>
      <c r="AC47" s="7" t="s">
        <v>57</v>
      </c>
      <c r="AD47" s="7">
        <v>12</v>
      </c>
      <c r="AE47" s="8"/>
      <c r="AF47" s="8"/>
      <c r="AG47" s="8" t="s">
        <v>51</v>
      </c>
      <c r="AH47" s="7">
        <v>12</v>
      </c>
      <c r="AI47" s="8">
        <v>15309</v>
      </c>
      <c r="AJ47" s="8">
        <v>1343</v>
      </c>
      <c r="AK47" s="8">
        <v>2179</v>
      </c>
      <c r="AL47" s="8">
        <v>671</v>
      </c>
      <c r="AM47" s="8">
        <v>74</v>
      </c>
      <c r="AN47" s="8">
        <v>18</v>
      </c>
      <c r="AO47" s="8">
        <v>164</v>
      </c>
      <c r="AP47" s="8">
        <v>2</v>
      </c>
      <c r="AQ47" s="14"/>
      <c r="AR47" s="12">
        <f t="shared" si="47"/>
      </c>
      <c r="AS47" s="12">
        <f t="shared" si="26"/>
      </c>
      <c r="AT47" s="12">
        <f t="shared" si="48"/>
      </c>
      <c r="AU47" s="15">
        <f t="shared" si="22"/>
      </c>
      <c r="AV47" s="16">
        <f t="shared" si="19"/>
      </c>
      <c r="AW47" s="17"/>
    </row>
    <row customHeight="true" hidden="true" ht="16.071428571428573" r="48">
      <c r="A48" s="5">
        <v>46311</v>
      </c>
      <c r="B48" s="6" t="s">
        <v>52</v>
      </c>
      <c r="C48" s="6" t="s">
        <v>49</v>
      </c>
      <c r="D48" s="6">
        <v>4</v>
      </c>
      <c r="E48" s="7">
        <v>2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28">
        <v>0</v>
      </c>
      <c r="L48" s="29">
        <v>0</v>
      </c>
      <c r="M48" s="31">
        <v>0</v>
      </c>
      <c r="N48" s="30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1">
        <f t="shared" si="43"/>
      </c>
      <c r="U48" s="9">
        <v>4684.61</v>
      </c>
      <c r="V48" s="10">
        <f t="shared" si="24"/>
      </c>
      <c r="W48" s="11">
        <f t="shared" si="20"/>
      </c>
      <c r="X48" s="11">
        <f t="shared" si="49"/>
      </c>
      <c r="Y48" s="12">
        <f t="shared" si="25"/>
      </c>
      <c r="Z48" s="12">
        <f t="shared" si="21"/>
      </c>
      <c r="AA48" s="13">
        <f t="shared" si="15"/>
      </c>
      <c r="AB48" s="9">
        <v>0</v>
      </c>
      <c r="AC48" s="7"/>
      <c r="AD48" s="7"/>
      <c r="AE48" s="8"/>
      <c r="AF48" s="8"/>
      <c r="AG48" s="8"/>
      <c r="AH48" s="7"/>
      <c r="AI48" s="8">
        <v>10780</v>
      </c>
      <c r="AJ48" s="8">
        <v>1002</v>
      </c>
      <c r="AK48" s="8">
        <v>1638</v>
      </c>
      <c r="AL48" s="8">
        <v>479</v>
      </c>
      <c r="AM48" s="8">
        <v>36</v>
      </c>
      <c r="AN48" s="8">
        <v>16</v>
      </c>
      <c r="AO48" s="8">
        <v>91</v>
      </c>
      <c r="AP48" s="7">
        <v>0</v>
      </c>
      <c r="AQ48" s="8"/>
      <c r="AR48" s="12">
        <f t="shared" si="47"/>
      </c>
      <c r="AS48" s="12">
        <f t="shared" si="26"/>
      </c>
      <c r="AT48" s="12">
        <f t="shared" si="48"/>
      </c>
      <c r="AU48" s="15">
        <f t="shared" si="22"/>
      </c>
      <c r="AV48" s="16">
        <f t="shared" si="19"/>
      </c>
      <c r="AW48" s="17"/>
    </row>
    <row customHeight="true" hidden="true" ht="16.071428571428573" r="49">
      <c r="A49" s="5">
        <v>46311</v>
      </c>
      <c r="B49" s="6" t="s">
        <v>54</v>
      </c>
      <c r="C49" s="6" t="s">
        <v>53</v>
      </c>
      <c r="D49" s="6">
        <v>4</v>
      </c>
      <c r="E49" s="7">
        <v>10</v>
      </c>
      <c r="F49" s="7">
        <v>8</v>
      </c>
      <c r="G49" s="7">
        <v>7</v>
      </c>
      <c r="H49" s="7">
        <v>8</v>
      </c>
      <c r="I49" s="7">
        <v>1658.81</v>
      </c>
      <c r="J49" s="7">
        <v>0</v>
      </c>
      <c r="K49" s="28">
        <v>0</v>
      </c>
      <c r="L49" s="29">
        <v>4</v>
      </c>
      <c r="M49" s="31">
        <v>9848.76</v>
      </c>
      <c r="N49" s="30">
        <v>0</v>
      </c>
      <c r="O49" s="7">
        <v>0</v>
      </c>
      <c r="P49" s="7">
        <v>4</v>
      </c>
      <c r="Q49" s="7">
        <v>10056.96</v>
      </c>
      <c r="R49" s="7">
        <v>1</v>
      </c>
      <c r="S49" s="7">
        <v>217.8</v>
      </c>
      <c r="T49" s="1">
        <f t="shared" si="43"/>
      </c>
      <c r="U49" s="13">
        <v>5985.66</v>
      </c>
      <c r="V49" s="10">
        <f t="shared" si="24"/>
      </c>
      <c r="W49" s="11">
        <f t="shared" si="20"/>
      </c>
      <c r="X49" s="11">
        <f t="shared" si="49"/>
      </c>
      <c r="Y49" s="12">
        <f t="shared" si="25"/>
      </c>
      <c r="Z49" s="12">
        <f t="shared" si="21"/>
      </c>
      <c r="AA49" s="13">
        <f t="shared" si="15"/>
      </c>
      <c r="AB49" s="9">
        <v>2</v>
      </c>
      <c r="AC49" s="7"/>
      <c r="AD49" s="7"/>
      <c r="AE49" s="8"/>
      <c r="AF49" s="8"/>
      <c r="AG49" s="8"/>
      <c r="AH49" s="7"/>
      <c r="AI49" s="8">
        <v>13709</v>
      </c>
      <c r="AJ49" s="8">
        <v>1722</v>
      </c>
      <c r="AK49" s="8">
        <v>3028</v>
      </c>
      <c r="AL49" s="8">
        <v>791</v>
      </c>
      <c r="AM49" s="8">
        <v>79</v>
      </c>
      <c r="AN49" s="8">
        <v>23</v>
      </c>
      <c r="AO49" s="8">
        <v>182</v>
      </c>
      <c r="AP49" s="7">
        <v>0</v>
      </c>
      <c r="AQ49" s="8"/>
      <c r="AR49" s="12">
        <f t="shared" si="47"/>
      </c>
      <c r="AS49" s="12">
        <f t="shared" si="26"/>
      </c>
      <c r="AT49" s="12">
        <f t="shared" si="48"/>
      </c>
      <c r="AU49" s="15">
        <f t="shared" si="22"/>
      </c>
      <c r="AV49" s="16">
        <f t="shared" si="19"/>
      </c>
      <c r="AW49" s="17"/>
    </row>
    <row customHeight="true" hidden="true" ht="16.071428571428573" r="50">
      <c r="A50" s="18">
        <v>46311</v>
      </c>
      <c r="B50" s="19"/>
      <c r="C50" s="19"/>
      <c r="D50" s="19">
        <f>D47+D48+D49</f>
      </c>
      <c r="E50" s="19">
        <f>E47+E48+E49</f>
      </c>
      <c r="F50" s="19">
        <f>F47+F48+F49</f>
      </c>
      <c r="G50" s="19">
        <f>G47+G48+G49</f>
      </c>
      <c r="H50" s="19">
        <f>H47+H48+H49</f>
      </c>
      <c r="I50" s="19">
        <f>I47+I48+I49</f>
      </c>
      <c r="J50" s="19">
        <f>J47+J48+J49</f>
      </c>
      <c r="K50" s="19">
        <f>K47+K48+K49</f>
      </c>
      <c r="L50" s="32">
        <f>L47+L48+L49</f>
      </c>
      <c r="M50" s="32">
        <f>M47+M48+M49</f>
      </c>
      <c r="N50" s="19">
        <f>N47+N48+N49</f>
      </c>
      <c r="O50" s="19">
        <f>O47+O48+O49</f>
      </c>
      <c r="P50" s="19">
        <f>P47+P48+P49</f>
      </c>
      <c r="Q50" s="19">
        <f>Q47+Q48+Q49</f>
      </c>
      <c r="R50" s="19">
        <f>R47+R48+R49</f>
      </c>
      <c r="S50" s="19">
        <f>S47+S48+S49</f>
      </c>
      <c r="T50" s="19">
        <f>T47+T48+T49</f>
      </c>
      <c r="U50" s="19">
        <f>U47+U48+U49</f>
      </c>
      <c r="V50" s="20">
        <f t="shared" si="24"/>
      </c>
      <c r="W50" s="20">
        <f t="shared" si="20"/>
      </c>
      <c r="X50" s="20">
        <f t="shared" si="49"/>
      </c>
      <c r="Y50" s="20">
        <f t="shared" si="25"/>
      </c>
      <c r="Z50" s="21">
        <f t="shared" si="21"/>
      </c>
      <c r="AA50" s="22">
        <f>SUM(AA47+AA48+AA49)</f>
      </c>
      <c r="AB50" s="22">
        <f>SUM(AB47+AB48+AB49)</f>
      </c>
      <c r="AC50" s="22"/>
      <c r="AD50" s="22">
        <f>SUM(AD47+AD48+AD49)</f>
      </c>
      <c r="AE50" s="22">
        <f>SUM(AE47+AE48+AE49)</f>
      </c>
      <c r="AF50" s="22">
        <f>SUM(AF47+AF48+AF49)</f>
      </c>
      <c r="AG50" s="22"/>
      <c r="AH50" s="22">
        <f>SUM(AH47+AH48+AH49)</f>
      </c>
      <c r="AI50" s="22">
        <f>SUM(AI47+AI48+AI49)</f>
      </c>
      <c r="AJ50" s="22">
        <f>SUM(AJ47+AJ48+AJ49)</f>
      </c>
      <c r="AK50" s="22">
        <f>SUM(AK47+AK48+AK49)</f>
      </c>
      <c r="AL50" s="22">
        <f>SUM(AL47+AL48+AL49)</f>
      </c>
      <c r="AM50" s="22">
        <f>SUM(AM47+AM48+AM49)</f>
      </c>
      <c r="AN50" s="22">
        <f>SUM(AN47+AN48+AN49)</f>
      </c>
      <c r="AO50" s="22">
        <f>SUM(AO47+AO48+AO49)</f>
      </c>
      <c r="AP50" s="22">
        <f>SUM(AP47+AP48+AP49)</f>
      </c>
      <c r="AQ50" s="24"/>
      <c r="AR50" s="21">
        <f t="shared" si="47"/>
      </c>
      <c r="AS50" s="21">
        <f t="shared" si="26"/>
      </c>
      <c r="AT50" s="21">
        <f t="shared" si="48"/>
      </c>
      <c r="AU50" s="21">
        <f t="shared" si="22"/>
      </c>
      <c r="AV50" s="25">
        <f t="shared" si="19"/>
      </c>
      <c r="AW50" s="21">
        <f>F50/AM50</f>
      </c>
    </row>
    <row customHeight="true" hidden="true" ht="16.071428571428573" r="51">
      <c r="A51" s="5">
        <v>46312</v>
      </c>
      <c r="B51" s="6" t="s">
        <v>60</v>
      </c>
      <c r="C51" s="6" t="s">
        <v>59</v>
      </c>
      <c r="D51" s="6">
        <v>4</v>
      </c>
      <c r="E51" s="7">
        <v>10</v>
      </c>
      <c r="F51" s="7">
        <v>9</v>
      </c>
      <c r="G51" s="7">
        <v>8</v>
      </c>
      <c r="H51" s="7">
        <v>9</v>
      </c>
      <c r="I51" s="7">
        <v>2275.65</v>
      </c>
      <c r="J51" s="7">
        <v>0</v>
      </c>
      <c r="K51" s="28">
        <v>0</v>
      </c>
      <c r="L51" s="29">
        <v>5</v>
      </c>
      <c r="M51" s="29">
        <v>15305.880000000001</v>
      </c>
      <c r="N51" s="30">
        <v>0</v>
      </c>
      <c r="O51" s="7">
        <v>0</v>
      </c>
      <c r="P51" s="7">
        <v>4</v>
      </c>
      <c r="Q51" s="7">
        <v>12001.920000000002</v>
      </c>
      <c r="R51" s="7">
        <v>2</v>
      </c>
      <c r="S51" s="7">
        <v>987.19</v>
      </c>
      <c r="T51" s="1">
        <f t="shared" ref="T51:T53" si="44">I51*12+K51</f>
      </c>
      <c r="U51" s="9">
        <v>14094.09</v>
      </c>
      <c r="V51" s="10">
        <f t="shared" si="24"/>
      </c>
      <c r="W51" s="11">
        <f t="shared" si="20"/>
      </c>
      <c r="X51" s="11">
        <f t="shared" si="49"/>
      </c>
      <c r="Y51" s="12">
        <f t="shared" si="25"/>
      </c>
      <c r="Z51" s="12">
        <f t="shared" si="21"/>
      </c>
      <c r="AA51" s="13">
        <f t="shared" ref="AA51:AA53" si="16">L51</f>
      </c>
      <c r="AB51" s="9">
        <v>1</v>
      </c>
      <c r="AC51" s="7" t="s">
        <v>61</v>
      </c>
      <c r="AD51" s="7">
        <v>12</v>
      </c>
      <c r="AE51" s="8"/>
      <c r="AF51" s="8"/>
      <c r="AG51" s="7" t="s">
        <v>62</v>
      </c>
      <c r="AH51" s="7">
        <v>4</v>
      </c>
      <c r="AI51" s="8">
        <v>36814</v>
      </c>
      <c r="AJ51" s="8">
        <v>3303</v>
      </c>
      <c r="AK51" s="8">
        <v>5088</v>
      </c>
      <c r="AL51" s="8">
        <v>1594</v>
      </c>
      <c r="AM51" s="8">
        <v>205</v>
      </c>
      <c r="AN51" s="8">
        <v>50</v>
      </c>
      <c r="AO51" s="8">
        <v>363</v>
      </c>
      <c r="AP51" s="8">
        <v>1</v>
      </c>
      <c r="AQ51" s="14"/>
      <c r="AR51" s="12">
        <f t="shared" si="47"/>
      </c>
      <c r="AS51" s="12">
        <f t="shared" si="26"/>
      </c>
      <c r="AT51" s="12">
        <f t="shared" si="48"/>
      </c>
      <c r="AU51" s="15">
        <f t="shared" si="22"/>
      </c>
      <c r="AV51" s="16">
        <f t="shared" si="19"/>
      </c>
      <c r="AW51" s="17"/>
    </row>
    <row customHeight="true" hidden="true" ht="16.071428571428573" r="52">
      <c r="A52" s="5">
        <v>46312</v>
      </c>
      <c r="B52" s="6" t="s">
        <v>52</v>
      </c>
      <c r="C52" s="6" t="s">
        <v>49</v>
      </c>
      <c r="D52" s="6">
        <v>4</v>
      </c>
      <c r="E52" s="7">
        <v>7</v>
      </c>
      <c r="F52" s="7">
        <v>4</v>
      </c>
      <c r="G52" s="7">
        <v>4</v>
      </c>
      <c r="H52" s="7">
        <v>3</v>
      </c>
      <c r="I52" s="7">
        <v>634.64</v>
      </c>
      <c r="J52" s="7">
        <v>1</v>
      </c>
      <c r="K52" s="28">
        <v>683</v>
      </c>
      <c r="L52" s="29">
        <v>3</v>
      </c>
      <c r="M52" s="31">
        <v>7615.68</v>
      </c>
      <c r="N52" s="30">
        <v>0</v>
      </c>
      <c r="O52" s="7">
        <v>0</v>
      </c>
      <c r="P52" s="7">
        <v>1</v>
      </c>
      <c r="Q52" s="7">
        <v>683</v>
      </c>
      <c r="R52" s="7">
        <v>0</v>
      </c>
      <c r="S52" s="7">
        <v>0</v>
      </c>
      <c r="T52" s="1">
        <f t="shared" si="44"/>
      </c>
      <c r="U52" s="13">
        <v>12291.17</v>
      </c>
      <c r="V52" s="10">
        <f t="shared" si="24"/>
      </c>
      <c r="W52" s="11">
        <f t="shared" si="20"/>
      </c>
      <c r="X52" s="11">
        <f t="shared" si="49"/>
      </c>
      <c r="Y52" s="12">
        <f t="shared" si="25"/>
      </c>
      <c r="Z52" s="12">
        <f t="shared" si="21"/>
      </c>
      <c r="AA52" s="13">
        <f t="shared" si="16"/>
      </c>
      <c r="AB52" s="9">
        <v>0</v>
      </c>
      <c r="AC52" s="7"/>
      <c r="AD52" s="7"/>
      <c r="AE52" s="8"/>
      <c r="AF52" s="8"/>
      <c r="AG52" s="8" t="s">
        <v>51</v>
      </c>
      <c r="AH52" s="7">
        <v>8</v>
      </c>
      <c r="AI52" s="8">
        <v>36483</v>
      </c>
      <c r="AJ52" s="8">
        <v>2385</v>
      </c>
      <c r="AK52" s="8">
        <v>3685</v>
      </c>
      <c r="AL52" s="8">
        <v>1104</v>
      </c>
      <c r="AM52" s="8">
        <v>202</v>
      </c>
      <c r="AN52" s="8">
        <v>42</v>
      </c>
      <c r="AO52" s="8">
        <v>281</v>
      </c>
      <c r="AP52" s="7">
        <v>0</v>
      </c>
      <c r="AQ52" s="8"/>
      <c r="AR52" s="12">
        <f t="shared" si="47"/>
      </c>
      <c r="AS52" s="12">
        <f t="shared" si="26"/>
      </c>
      <c r="AT52" s="12">
        <f t="shared" si="48"/>
      </c>
      <c r="AU52" s="15">
        <f t="shared" si="22"/>
      </c>
      <c r="AV52" s="16">
        <f t="shared" si="19"/>
      </c>
      <c r="AW52" s="17"/>
    </row>
    <row customHeight="true" hidden="true" ht="16.071428571428573" r="53">
      <c r="A53" s="5">
        <v>46312</v>
      </c>
      <c r="B53" s="6" t="s">
        <v>63</v>
      </c>
      <c r="C53" s="6" t="s">
        <v>53</v>
      </c>
      <c r="D53" s="6">
        <v>4</v>
      </c>
      <c r="E53" s="7">
        <v>13</v>
      </c>
      <c r="F53" s="7">
        <v>7</v>
      </c>
      <c r="G53" s="7">
        <v>5</v>
      </c>
      <c r="H53" s="7">
        <v>7</v>
      </c>
      <c r="I53" s="7">
        <v>1562.65</v>
      </c>
      <c r="J53" s="7">
        <v>0</v>
      </c>
      <c r="K53" s="28">
        <v>0</v>
      </c>
      <c r="L53" s="29">
        <v>2</v>
      </c>
      <c r="M53" s="31">
        <v>4170</v>
      </c>
      <c r="N53" s="30">
        <v>1</v>
      </c>
      <c r="O53" s="7">
        <v>5802</v>
      </c>
      <c r="P53" s="7">
        <v>4</v>
      </c>
      <c r="Q53" s="7">
        <v>8779.800000000001</v>
      </c>
      <c r="R53" s="7">
        <v>3</v>
      </c>
      <c r="S53" s="7">
        <v>949.07</v>
      </c>
      <c r="T53" s="1">
        <f t="shared" si="44"/>
      </c>
      <c r="U53" s="13">
        <v>9509.68</v>
      </c>
      <c r="V53" s="10">
        <f t="shared" si="24"/>
      </c>
      <c r="W53" s="11">
        <f t="shared" si="20"/>
      </c>
      <c r="X53" s="11">
        <f t="shared" si="49"/>
      </c>
      <c r="Y53" s="12">
        <f t="shared" si="25"/>
      </c>
      <c r="Z53" s="12">
        <f t="shared" si="21"/>
      </c>
      <c r="AA53" s="13">
        <f t="shared" si="16"/>
      </c>
      <c r="AB53" s="9">
        <v>2</v>
      </c>
      <c r="AC53" s="7"/>
      <c r="AD53" s="7"/>
      <c r="AE53" s="8"/>
      <c r="AF53" s="8"/>
      <c r="AG53" s="8"/>
      <c r="AH53" s="7"/>
      <c r="AI53" s="8">
        <v>23786</v>
      </c>
      <c r="AJ53" s="8">
        <v>1803</v>
      </c>
      <c r="AK53" s="8">
        <v>2889</v>
      </c>
      <c r="AL53" s="8">
        <v>833</v>
      </c>
      <c r="AM53" s="8">
        <v>159</v>
      </c>
      <c r="AN53" s="8">
        <v>26</v>
      </c>
      <c r="AO53" s="8">
        <v>298</v>
      </c>
      <c r="AP53" s="7">
        <v>0</v>
      </c>
      <c r="AQ53" s="8"/>
      <c r="AR53" s="12">
        <f t="shared" si="47"/>
      </c>
      <c r="AS53" s="12">
        <f t="shared" si="26"/>
      </c>
      <c r="AT53" s="12">
        <f t="shared" si="48"/>
      </c>
      <c r="AU53" s="15">
        <f t="shared" si="22"/>
      </c>
      <c r="AV53" s="16">
        <f t="shared" si="19"/>
      </c>
      <c r="AW53" s="17"/>
    </row>
    <row customHeight="true" hidden="true" ht="16.071428571428573" r="54">
      <c r="A54" s="18">
        <v>46312</v>
      </c>
      <c r="B54" s="19"/>
      <c r="C54" s="19"/>
      <c r="D54" s="19">
        <f>D51+D52+D53</f>
      </c>
      <c r="E54" s="19">
        <f>E51+E52+E53</f>
      </c>
      <c r="F54" s="19">
        <f>F51+F52+F53</f>
      </c>
      <c r="G54" s="19">
        <f>G51+G52+G53</f>
      </c>
      <c r="H54" s="19">
        <f>H51+H52+H53</f>
      </c>
      <c r="I54" s="19">
        <f>I51+I52+I53</f>
      </c>
      <c r="J54" s="19">
        <f>J51+J52+J53</f>
      </c>
      <c r="K54" s="19">
        <f>K51+K52+K53</f>
      </c>
      <c r="L54" s="32">
        <f>L51+L52+L53</f>
      </c>
      <c r="M54" s="32">
        <f>M51+M52+M53</f>
      </c>
      <c r="N54" s="19">
        <f>N51+N52+N53</f>
      </c>
      <c r="O54" s="19">
        <f>O51+O52+O53</f>
      </c>
      <c r="P54" s="19">
        <f>P51+P52+P53</f>
      </c>
      <c r="Q54" s="19">
        <f>Q51+Q52+Q53</f>
      </c>
      <c r="R54" s="19">
        <f>R51+R52+R53</f>
      </c>
      <c r="S54" s="19">
        <f>S51+S52+S53</f>
      </c>
      <c r="T54" s="19">
        <f>T51+T52+T53</f>
      </c>
      <c r="U54" s="19">
        <f>U51+U52+U53</f>
      </c>
      <c r="V54" s="20">
        <f t="shared" si="24"/>
      </c>
      <c r="W54" s="20">
        <f t="shared" si="20"/>
      </c>
      <c r="X54" s="20">
        <f t="shared" si="49"/>
      </c>
      <c r="Y54" s="20">
        <f t="shared" si="25"/>
      </c>
      <c r="Z54" s="21">
        <f t="shared" si="21"/>
      </c>
      <c r="AA54" s="22">
        <f>SUM(AA51+AA52+AA53)</f>
      </c>
      <c r="AB54" s="22">
        <f>SUM(AB51+AB52+AB53)</f>
      </c>
      <c r="AC54" s="22"/>
      <c r="AD54" s="22">
        <f>SUM(AD51+AD52+AD53)</f>
      </c>
      <c r="AE54" s="22">
        <f>SUM(AE51+AE52+AE53)</f>
      </c>
      <c r="AF54" s="22">
        <f>SUM(AF51+AF52+AF53)</f>
      </c>
      <c r="AG54" s="22"/>
      <c r="AH54" s="22">
        <f>SUM(AH51+AH52+AH53)</f>
      </c>
      <c r="AI54" s="22">
        <f>SUM(AI51+AI52+AI53)</f>
      </c>
      <c r="AJ54" s="22">
        <f>SUM(AJ51+AJ52+AJ53)</f>
      </c>
      <c r="AK54" s="22">
        <f>SUM(AK51+AK52+AK53)</f>
      </c>
      <c r="AL54" s="22">
        <f>SUM(AL51+AL52+AL53)</f>
      </c>
      <c r="AM54" s="22">
        <f>SUM(AM51+AM52+AM53)</f>
      </c>
      <c r="AN54" s="22">
        <f>SUM(AN51+AN52+AN53)</f>
      </c>
      <c r="AO54" s="22">
        <f>SUM(AO51+AO52+AO53)</f>
      </c>
      <c r="AP54" s="22">
        <f>SUM(AP51+AP52+AP53)</f>
      </c>
      <c r="AQ54" s="24"/>
      <c r="AR54" s="21">
        <f t="shared" si="47"/>
      </c>
      <c r="AS54" s="21">
        <f t="shared" si="26"/>
      </c>
      <c r="AT54" s="21">
        <f t="shared" si="48"/>
      </c>
      <c r="AU54" s="21">
        <f t="shared" si="22"/>
      </c>
      <c r="AV54" s="25">
        <f t="shared" si="19"/>
      </c>
      <c r="AW54" s="21">
        <f>F54/AM54</f>
      </c>
    </row>
    <row customHeight="true" hidden="true" ht="16.071428571428573" r="55">
      <c r="A55" s="5">
        <v>46313</v>
      </c>
      <c r="B55" s="6" t="s">
        <v>60</v>
      </c>
      <c r="C55" s="6" t="s">
        <v>59</v>
      </c>
      <c r="D55" s="6">
        <v>4</v>
      </c>
      <c r="E55" s="7">
        <v>7</v>
      </c>
      <c r="F55" s="7">
        <v>6</v>
      </c>
      <c r="G55" s="7">
        <v>4</v>
      </c>
      <c r="H55" s="7">
        <v>6</v>
      </c>
      <c r="I55" s="7">
        <v>814.63</v>
      </c>
      <c r="J55" s="7">
        <v>0</v>
      </c>
      <c r="K55" s="28">
        <v>0</v>
      </c>
      <c r="L55" s="29">
        <v>4</v>
      </c>
      <c r="M55" s="29">
        <v>8004.36</v>
      </c>
      <c r="N55" s="30">
        <v>0</v>
      </c>
      <c r="O55" s="7">
        <v>0</v>
      </c>
      <c r="P55" s="7">
        <v>2</v>
      </c>
      <c r="Q55" s="7">
        <v>1771.1999999999998</v>
      </c>
      <c r="R55" s="7">
        <v>2</v>
      </c>
      <c r="S55" s="7">
        <v>420.51</v>
      </c>
      <c r="T55" s="1">
        <f t="shared" ref="T55:T57" si="45">I55*12+K55</f>
      </c>
      <c r="U55" s="9">
        <v>13199.98</v>
      </c>
      <c r="V55" s="10">
        <f t="shared" si="24"/>
      </c>
      <c r="W55" s="11">
        <f t="shared" si="20"/>
      </c>
      <c r="X55" s="11">
        <f t="shared" si="49"/>
      </c>
      <c r="Y55" s="12">
        <f t="shared" si="25"/>
      </c>
      <c r="Z55" s="12">
        <f t="shared" si="21"/>
      </c>
      <c r="AA55" s="13">
        <f t="shared" ref="AA55:AA57" si="17">L55</f>
      </c>
      <c r="AB55" s="9">
        <v>0</v>
      </c>
      <c r="AC55" s="7" t="s">
        <v>61</v>
      </c>
      <c r="AD55" s="7">
        <v>12</v>
      </c>
      <c r="AE55" s="8"/>
      <c r="AF55" s="8"/>
      <c r="AG55" s="7" t="s">
        <v>62</v>
      </c>
      <c r="AH55" s="7">
        <v>4</v>
      </c>
      <c r="AI55" s="8">
        <v>39691</v>
      </c>
      <c r="AJ55" s="8">
        <v>2419</v>
      </c>
      <c r="AK55" s="8">
        <v>3576</v>
      </c>
      <c r="AL55" s="8">
        <v>1149</v>
      </c>
      <c r="AM55" s="8">
        <v>205</v>
      </c>
      <c r="AN55" s="8">
        <v>28</v>
      </c>
      <c r="AO55" s="8">
        <v>298</v>
      </c>
      <c r="AP55" s="8">
        <v>1</v>
      </c>
      <c r="AQ55" s="14"/>
      <c r="AR55" s="12">
        <f t="shared" si="47"/>
      </c>
      <c r="AS55" s="12">
        <f t="shared" si="26"/>
      </c>
      <c r="AT55" s="12">
        <f t="shared" si="48"/>
      </c>
      <c r="AU55" s="15">
        <f t="shared" si="22"/>
      </c>
      <c r="AV55" s="16">
        <f t="shared" si="19"/>
      </c>
      <c r="AW55" s="17"/>
    </row>
    <row customHeight="true" hidden="true" ht="16.071428571428573" r="56">
      <c r="A56" s="5">
        <v>46313</v>
      </c>
      <c r="B56" s="6" t="s">
        <v>54</v>
      </c>
      <c r="C56" s="6" t="s">
        <v>49</v>
      </c>
      <c r="D56" s="6">
        <v>4</v>
      </c>
      <c r="E56" s="7">
        <v>4</v>
      </c>
      <c r="F56" s="7">
        <v>1</v>
      </c>
      <c r="G56" s="7">
        <v>1</v>
      </c>
      <c r="H56" s="7">
        <v>1</v>
      </c>
      <c r="I56" s="7">
        <v>46.8</v>
      </c>
      <c r="J56" s="7">
        <v>0</v>
      </c>
      <c r="K56" s="28">
        <v>0</v>
      </c>
      <c r="L56" s="29">
        <v>0</v>
      </c>
      <c r="M56" s="31">
        <v>0</v>
      </c>
      <c r="N56" s="30">
        <v>0</v>
      </c>
      <c r="O56" s="7">
        <v>0</v>
      </c>
      <c r="P56" s="7">
        <v>1</v>
      </c>
      <c r="Q56" s="7">
        <v>561.5999999999999</v>
      </c>
      <c r="R56" s="7">
        <v>0</v>
      </c>
      <c r="S56" s="7">
        <v>0</v>
      </c>
      <c r="T56" s="1">
        <f t="shared" si="45"/>
      </c>
      <c r="U56" s="13">
        <v>6845.25</v>
      </c>
      <c r="V56" s="10">
        <f t="shared" si="24"/>
      </c>
      <c r="W56" s="11">
        <f t="shared" si="20"/>
      </c>
      <c r="X56" s="11">
        <f t="shared" si="49"/>
      </c>
      <c r="Y56" s="12">
        <f t="shared" si="25"/>
      </c>
      <c r="Z56" s="12">
        <f t="shared" si="21"/>
      </c>
      <c r="AA56" s="13">
        <f t="shared" si="17"/>
      </c>
      <c r="AB56" s="9">
        <v>0</v>
      </c>
      <c r="AC56" s="7"/>
      <c r="AD56" s="7"/>
      <c r="AE56" s="8"/>
      <c r="AF56" s="8"/>
      <c r="AG56" s="8" t="s">
        <v>51</v>
      </c>
      <c r="AH56" s="7">
        <v>8</v>
      </c>
      <c r="AI56" s="8">
        <v>19024</v>
      </c>
      <c r="AJ56" s="8">
        <v>1415</v>
      </c>
      <c r="AK56" s="8">
        <v>2378</v>
      </c>
      <c r="AL56" s="8">
        <v>678</v>
      </c>
      <c r="AM56" s="8">
        <v>94</v>
      </c>
      <c r="AN56" s="8">
        <v>10</v>
      </c>
      <c r="AO56" s="8">
        <v>190</v>
      </c>
      <c r="AP56" s="7">
        <v>1</v>
      </c>
      <c r="AQ56" s="8"/>
      <c r="AR56" s="12">
        <f t="shared" si="47"/>
      </c>
      <c r="AS56" s="12">
        <f t="shared" si="26"/>
      </c>
      <c r="AT56" s="12">
        <f t="shared" si="48"/>
      </c>
      <c r="AU56" s="15">
        <f t="shared" si="22"/>
      </c>
      <c r="AV56" s="16">
        <f t="shared" si="19"/>
      </c>
      <c r="AW56" s="17"/>
    </row>
    <row customHeight="true" hidden="true" ht="16.071428571428573" r="57">
      <c r="A57" s="5">
        <v>46313</v>
      </c>
      <c r="B57" s="6" t="s">
        <v>55</v>
      </c>
      <c r="C57" s="6" t="s">
        <v>53</v>
      </c>
      <c r="D57" s="6">
        <v>4</v>
      </c>
      <c r="E57" s="7">
        <v>6</v>
      </c>
      <c r="F57" s="7">
        <v>5</v>
      </c>
      <c r="G57" s="7">
        <v>3</v>
      </c>
      <c r="H57" s="7">
        <v>5</v>
      </c>
      <c r="I57" s="7">
        <v>888.3499999999999</v>
      </c>
      <c r="J57" s="7">
        <v>0</v>
      </c>
      <c r="K57" s="28">
        <v>0</v>
      </c>
      <c r="L57" s="29">
        <v>3</v>
      </c>
      <c r="M57" s="31">
        <v>6975.36</v>
      </c>
      <c r="N57" s="30">
        <v>0</v>
      </c>
      <c r="O57" s="7">
        <v>0</v>
      </c>
      <c r="P57" s="7">
        <v>2</v>
      </c>
      <c r="Q57" s="7">
        <v>3684.84</v>
      </c>
      <c r="R57" s="7">
        <v>1</v>
      </c>
      <c r="S57" s="7">
        <v>228.5</v>
      </c>
      <c r="T57" s="1">
        <f t="shared" si="45"/>
      </c>
      <c r="U57" s="13">
        <v>5464.530000000001</v>
      </c>
      <c r="V57" s="10">
        <f t="shared" si="24"/>
      </c>
      <c r="W57" s="11">
        <f t="shared" si="20"/>
      </c>
      <c r="X57" s="11">
        <f t="shared" si="49"/>
      </c>
      <c r="Y57" s="12">
        <f t="shared" si="25"/>
      </c>
      <c r="Z57" s="12">
        <f t="shared" si="21"/>
      </c>
      <c r="AA57" s="13">
        <f t="shared" si="17"/>
      </c>
      <c r="AB57" s="9">
        <v>0</v>
      </c>
      <c r="AC57" s="7"/>
      <c r="AD57" s="7"/>
      <c r="AE57" s="8"/>
      <c r="AF57" s="8"/>
      <c r="AG57" s="8"/>
      <c r="AH57" s="7"/>
      <c r="AI57" s="8">
        <v>15123</v>
      </c>
      <c r="AJ57" s="8">
        <v>1700</v>
      </c>
      <c r="AK57" s="8">
        <v>2588</v>
      </c>
      <c r="AL57" s="8">
        <v>777</v>
      </c>
      <c r="AM57" s="8">
        <v>74</v>
      </c>
      <c r="AN57" s="8">
        <v>30</v>
      </c>
      <c r="AO57" s="8">
        <v>149</v>
      </c>
      <c r="AP57" s="7">
        <v>1</v>
      </c>
      <c r="AQ57" s="8"/>
      <c r="AR57" s="12">
        <f t="shared" si="47"/>
      </c>
      <c r="AS57" s="12">
        <f t="shared" si="26"/>
      </c>
      <c r="AT57" s="12">
        <f t="shared" si="48"/>
      </c>
      <c r="AU57" s="15">
        <f t="shared" si="22"/>
      </c>
      <c r="AV57" s="16">
        <f t="shared" si="19"/>
      </c>
      <c r="AW57" s="17"/>
    </row>
    <row customHeight="true" hidden="true" ht="16.071428571428573" r="58">
      <c r="A58" s="18">
        <v>46313</v>
      </c>
      <c r="B58" s="19"/>
      <c r="C58" s="19"/>
      <c r="D58" s="19">
        <f>D55+D56+D57</f>
      </c>
      <c r="E58" s="19">
        <f>E55+E56+E57</f>
      </c>
      <c r="F58" s="19">
        <f>F55+F56+F57</f>
      </c>
      <c r="G58" s="19">
        <f>G55+G56+G57</f>
      </c>
      <c r="H58" s="19">
        <f>H55+H56+H57</f>
      </c>
      <c r="I58" s="19">
        <f>I55+I56+I57</f>
      </c>
      <c r="J58" s="19">
        <f>J55+J56+J57</f>
      </c>
      <c r="K58" s="19">
        <f>K55+K56+K57</f>
      </c>
      <c r="L58" s="32">
        <f>L55+L56+L57</f>
      </c>
      <c r="M58" s="32">
        <f>M55+M56+M57</f>
      </c>
      <c r="N58" s="19">
        <f>N55+N56+N57</f>
      </c>
      <c r="O58" s="19">
        <f>O55+O56+O57</f>
      </c>
      <c r="P58" s="19">
        <f>P55+P56+P57</f>
      </c>
      <c r="Q58" s="19">
        <f>Q55+Q56+Q57</f>
      </c>
      <c r="R58" s="19">
        <f>R55+R56+R57</f>
      </c>
      <c r="S58" s="19">
        <f>S55+S56+S57</f>
      </c>
      <c r="T58" s="19">
        <f>T55+T56+T57</f>
      </c>
      <c r="U58" s="19">
        <f>U55+U56+U57</f>
      </c>
      <c r="V58" s="20">
        <f t="shared" si="24"/>
      </c>
      <c r="W58" s="20">
        <f t="shared" si="20"/>
      </c>
      <c r="X58" s="20">
        <f t="shared" si="49"/>
      </c>
      <c r="Y58" s="20">
        <f t="shared" si="25"/>
      </c>
      <c r="Z58" s="21">
        <f t="shared" si="21"/>
      </c>
      <c r="AA58" s="22">
        <f>SUM(AA55+AA56+AA57)</f>
      </c>
      <c r="AB58" s="22">
        <f>SUM(AB55+AB56+AB57)</f>
      </c>
      <c r="AC58" s="22"/>
      <c r="AD58" s="22">
        <f>SUM(AD55+AD56+AD57)</f>
      </c>
      <c r="AE58" s="22">
        <f>SUM(AE55+AE56+AE57)</f>
      </c>
      <c r="AF58" s="22">
        <f>SUM(AF55+AF56+AF57)</f>
      </c>
      <c r="AG58" s="22"/>
      <c r="AH58" s="22">
        <f>SUM(AH55+AH56+AH57)</f>
      </c>
      <c r="AI58" s="22">
        <f>SUM(AI55+AI56+AI57)</f>
      </c>
      <c r="AJ58" s="22">
        <f>SUM(AJ55+AJ56+AJ57)</f>
      </c>
      <c r="AK58" s="22">
        <f>SUM(AK55+AK56+AK57)</f>
      </c>
      <c r="AL58" s="22">
        <f>SUM(AL55+AL56+AL57)</f>
      </c>
      <c r="AM58" s="22">
        <f>SUM(AM55+AM56+AM57)</f>
      </c>
      <c r="AN58" s="22">
        <f>SUM(AN55+AN56+AN57)</f>
      </c>
      <c r="AO58" s="22">
        <f>SUM(AO55+AO56+AO57)</f>
      </c>
      <c r="AP58" s="22">
        <f>SUM(AP55+AP56+AP57)</f>
      </c>
      <c r="AQ58" s="24"/>
      <c r="AR58" s="21">
        <f t="shared" si="47"/>
      </c>
      <c r="AS58" s="21">
        <f t="shared" si="26"/>
      </c>
      <c r="AT58" s="21">
        <f t="shared" si="48"/>
      </c>
      <c r="AU58" s="21">
        <f t="shared" si="22"/>
      </c>
      <c r="AV58" s="25">
        <f t="shared" si="19"/>
      </c>
      <c r="AW58" s="21">
        <f>F58/AM58</f>
      </c>
    </row>
    <row customHeight="true" ht="16.071428571428573" r="59">
      <c r="A59" s="5">
        <v>46314</v>
      </c>
      <c r="B59" s="33" t="s">
        <v>63</v>
      </c>
      <c r="C59" s="6" t="s">
        <v>59</v>
      </c>
      <c r="D59" s="6">
        <v>4</v>
      </c>
      <c r="E59" s="7"/>
      <c r="F59" s="7"/>
      <c r="G59" s="7"/>
      <c r="H59" s="7"/>
      <c r="I59" s="7"/>
      <c r="J59" s="7"/>
      <c r="K59" s="28"/>
      <c r="L59" s="29"/>
      <c r="M59" s="29"/>
      <c r="N59" s="30"/>
      <c r="O59" s="7"/>
      <c r="P59" s="7"/>
      <c r="Q59" s="7"/>
      <c r="R59" s="7"/>
      <c r="S59" s="7"/>
      <c r="T59" s="1">
        <f t="shared" ref="T59:T61" si="46">I59*12+K59</f>
      </c>
      <c r="U59" s="9"/>
      <c r="V59" s="10">
        <f t="shared" si="24"/>
      </c>
      <c r="W59" s="11">
        <f t="shared" si="20"/>
      </c>
      <c r="X59" s="11">
        <f t="shared" si="49"/>
      </c>
      <c r="Y59" s="12">
        <f t="shared" si="25"/>
      </c>
      <c r="Z59" s="12">
        <f t="shared" si="21"/>
      </c>
      <c r="AA59" s="13">
        <f t="shared" ref="AA59:AA61" si="18">L59</f>
      </c>
      <c r="AB59" s="9"/>
      <c r="AC59" s="7" t="s">
        <v>57</v>
      </c>
      <c r="AD59" s="7">
        <v>12</v>
      </c>
      <c r="AE59" s="8"/>
      <c r="AF59" s="8"/>
      <c r="AG59" s="7" t="s">
        <v>62</v>
      </c>
      <c r="AH59" s="7">
        <v>4</v>
      </c>
      <c r="AI59" s="8"/>
      <c r="AJ59" s="8"/>
      <c r="AK59" s="8"/>
      <c r="AL59" s="8"/>
      <c r="AM59" s="8"/>
      <c r="AN59" s="8"/>
      <c r="AO59" s="8"/>
      <c r="AP59" s="8"/>
      <c r="AQ59" s="14"/>
      <c r="AR59" s="12">
        <f t="shared" si="47"/>
      </c>
      <c r="AS59" s="12">
        <f t="shared" si="26"/>
      </c>
      <c r="AT59" s="12">
        <f t="shared" si="48"/>
      </c>
      <c r="AU59" s="15">
        <f t="shared" si="22"/>
      </c>
      <c r="AV59" s="16">
        <f t="shared" si="19"/>
      </c>
      <c r="AW59" s="17"/>
    </row>
    <row customHeight="true" ht="16.071428571428573" r="60">
      <c r="A60" s="5">
        <v>46314</v>
      </c>
      <c r="B60" s="33" t="s">
        <v>55</v>
      </c>
      <c r="C60" s="6" t="s">
        <v>49</v>
      </c>
      <c r="D60" s="6">
        <v>4</v>
      </c>
      <c r="E60" s="7"/>
      <c r="F60" s="7"/>
      <c r="G60" s="7"/>
      <c r="H60" s="7"/>
      <c r="I60" s="7"/>
      <c r="J60" s="7"/>
      <c r="K60" s="28"/>
      <c r="L60" s="29"/>
      <c r="M60" s="31"/>
      <c r="N60" s="30"/>
      <c r="O60" s="7"/>
      <c r="P60" s="7"/>
      <c r="Q60" s="7"/>
      <c r="R60" s="7"/>
      <c r="S60" s="7"/>
      <c r="T60" s="1">
        <f t="shared" si="46"/>
      </c>
      <c r="U60" s="13"/>
      <c r="V60" s="10">
        <f t="shared" si="24"/>
      </c>
      <c r="W60" s="11">
        <f t="shared" si="20"/>
      </c>
      <c r="X60" s="11">
        <f t="shared" si="49"/>
      </c>
      <c r="Y60" s="12">
        <f t="shared" si="25"/>
      </c>
      <c r="Z60" s="12">
        <f t="shared" si="21"/>
      </c>
      <c r="AA60" s="13">
        <f t="shared" si="18"/>
      </c>
      <c r="AB60" s="9"/>
      <c r="AC60" s="7"/>
      <c r="AD60" s="7"/>
      <c r="AE60" s="8"/>
      <c r="AF60" s="8"/>
      <c r="AG60" s="8" t="s">
        <v>51</v>
      </c>
      <c r="AH60" s="7">
        <v>8</v>
      </c>
      <c r="AI60" s="8"/>
      <c r="AJ60" s="8"/>
      <c r="AK60" s="8"/>
      <c r="AL60" s="8"/>
      <c r="AM60" s="8"/>
      <c r="AN60" s="8"/>
      <c r="AO60" s="8"/>
      <c r="AP60" s="7"/>
      <c r="AQ60" s="8"/>
      <c r="AR60" s="12">
        <f t="shared" si="47"/>
      </c>
      <c r="AS60" s="12">
        <f t="shared" si="26"/>
      </c>
      <c r="AT60" s="12">
        <f t="shared" si="48"/>
      </c>
      <c r="AU60" s="15">
        <f t="shared" si="22"/>
      </c>
      <c r="AV60" s="16">
        <f t="shared" si="19"/>
      </c>
      <c r="AW60" s="17"/>
    </row>
    <row customHeight="true" ht="16.071428571428573" r="61">
      <c r="A61" s="5">
        <v>46314</v>
      </c>
      <c r="B61" s="33" t="s">
        <v>52</v>
      </c>
      <c r="C61" s="6" t="s">
        <v>53</v>
      </c>
      <c r="D61" s="6">
        <v>4</v>
      </c>
      <c r="E61" s="7"/>
      <c r="F61" s="7"/>
      <c r="G61" s="7"/>
      <c r="H61" s="7"/>
      <c r="I61" s="7"/>
      <c r="J61" s="7"/>
      <c r="K61" s="28"/>
      <c r="L61" s="29"/>
      <c r="M61" s="31"/>
      <c r="N61" s="30"/>
      <c r="O61" s="7"/>
      <c r="P61" s="7"/>
      <c r="Q61" s="7"/>
      <c r="R61" s="7"/>
      <c r="S61" s="7"/>
      <c r="T61" s="1">
        <f t="shared" si="46"/>
      </c>
      <c r="U61" s="13"/>
      <c r="V61" s="10">
        <f t="shared" si="24"/>
      </c>
      <c r="W61" s="11">
        <f t="shared" si="20"/>
      </c>
      <c r="X61" s="11">
        <f t="shared" si="49"/>
      </c>
      <c r="Y61" s="12">
        <f t="shared" si="25"/>
      </c>
      <c r="Z61" s="12">
        <f t="shared" si="21"/>
      </c>
      <c r="AA61" s="13">
        <f t="shared" si="18"/>
      </c>
      <c r="AB61" s="9"/>
      <c r="AC61" s="7"/>
      <c r="AD61" s="7"/>
      <c r="AE61" s="8"/>
      <c r="AF61" s="8"/>
      <c r="AG61" s="8"/>
      <c r="AH61" s="7"/>
      <c r="AI61" s="8"/>
      <c r="AJ61" s="8"/>
      <c r="AK61" s="8"/>
      <c r="AL61" s="8"/>
      <c r="AM61" s="8"/>
      <c r="AN61" s="8"/>
      <c r="AO61" s="8"/>
      <c r="AP61" s="7"/>
      <c r="AQ61" s="8"/>
      <c r="AR61" s="12">
        <f t="shared" si="47"/>
      </c>
      <c r="AS61" s="12">
        <f t="shared" si="26"/>
      </c>
      <c r="AT61" s="12">
        <f t="shared" si="48"/>
      </c>
      <c r="AU61" s="15">
        <f t="shared" si="22"/>
      </c>
      <c r="AV61" s="16">
        <f t="shared" si="19"/>
      </c>
      <c r="AW61" s="17"/>
    </row>
    <row customHeight="true" ht="16.071428571428573" r="62">
      <c r="A62" s="18">
        <v>46314</v>
      </c>
      <c r="B62" s="19"/>
      <c r="C62" s="19"/>
      <c r="D62" s="19">
        <f>D59+D60+D61</f>
      </c>
      <c r="E62" s="19">
        <f>E59+E60+E61</f>
      </c>
      <c r="F62" s="19">
        <f>F59+F60+F61</f>
      </c>
      <c r="G62" s="19">
        <f>G59+G60+G61</f>
      </c>
      <c r="H62" s="19">
        <f>H59+H60+H61</f>
      </c>
      <c r="I62" s="19">
        <f>I59+I60+I61</f>
      </c>
      <c r="J62" s="19">
        <f>J59+J60+J61</f>
      </c>
      <c r="K62" s="19">
        <f>K59+K60+K61</f>
      </c>
      <c r="L62" s="32">
        <f>L59+L60+L61</f>
      </c>
      <c r="M62" s="32">
        <f>M59+M60+M61</f>
      </c>
      <c r="N62" s="19">
        <f>N59+N60+N61</f>
      </c>
      <c r="O62" s="19">
        <f>O59+O60+O61</f>
      </c>
      <c r="P62" s="19">
        <f>P59+P60+P61</f>
      </c>
      <c r="Q62" s="19">
        <f>Q59+Q60+Q61</f>
      </c>
      <c r="R62" s="19">
        <f>R59+R60+R61</f>
      </c>
      <c r="S62" s="19">
        <f>S59+S60+S61</f>
      </c>
      <c r="T62" s="19">
        <f>T59+T60+T61</f>
      </c>
      <c r="U62" s="19">
        <f>U59+U60+U61</f>
      </c>
      <c r="V62" s="20">
        <f t="shared" si="24"/>
      </c>
      <c r="W62" s="20">
        <f t="shared" si="20"/>
      </c>
      <c r="X62" s="20">
        <f t="shared" si="49"/>
      </c>
      <c r="Y62" s="20">
        <f t="shared" si="25"/>
      </c>
      <c r="Z62" s="21">
        <f t="shared" si="21"/>
      </c>
      <c r="AA62" s="22">
        <f>SUM(AA59+AA60+AA61)</f>
      </c>
      <c r="AB62" s="22">
        <f>SUM(AB59+AB60+AB61)</f>
      </c>
      <c r="AC62" s="22"/>
      <c r="AD62" s="22">
        <f>SUM(AD59+AD60+AD61)</f>
      </c>
      <c r="AE62" s="22">
        <f>SUM(AE59+AE60+AE61)</f>
      </c>
      <c r="AF62" s="22">
        <f>SUM(AF59+AF60+AF61)</f>
      </c>
      <c r="AG62" s="22"/>
      <c r="AH62" s="22">
        <f>SUM(AH59+AH60+AH61)</f>
      </c>
      <c r="AI62" s="22">
        <f>SUM(AI59+AI60+AI61)</f>
      </c>
      <c r="AJ62" s="22">
        <f>SUM(AJ59+AJ60+AJ61)</f>
      </c>
      <c r="AK62" s="22">
        <f>SUM(AK59+AK60+AK61)</f>
      </c>
      <c r="AL62" s="22">
        <f>SUM(AL59+AL60+AL61)</f>
      </c>
      <c r="AM62" s="22">
        <f>SUM(AM59+AM60+AM61)</f>
      </c>
      <c r="AN62" s="22">
        <f>SUM(AN59+AN60+AN61)</f>
      </c>
      <c r="AO62" s="22">
        <f>SUM(AO59+AO60+AO61)</f>
      </c>
      <c r="AP62" s="22">
        <f>SUM(AP59+AP60+AP61)</f>
      </c>
      <c r="AQ62" s="24"/>
      <c r="AR62" s="21">
        <f t="shared" si="47"/>
      </c>
      <c r="AS62" s="21">
        <f t="shared" si="26"/>
      </c>
      <c r="AT62" s="21">
        <f t="shared" si="48"/>
      </c>
      <c r="AU62" s="21">
        <f t="shared" si="22"/>
      </c>
      <c r="AV62" s="25">
        <f t="shared" si="19"/>
      </c>
      <c r="AW62" s="21">
        <f>F62/AM62</f>
      </c>
    </row>
    <row customHeight="true" hidden="true" ht="16.071428571428573" r="63">
      <c r="AI63">
        <f>AI64-AI62</f>
      </c>
      <c r="AJ63">
        <f>AJ64-AJ62</f>
      </c>
      <c r="AK63">
        <f>AK64-AK62</f>
      </c>
      <c r="AL63">
        <f>AL64-AL62</f>
      </c>
      <c r="AM63">
        <f>AM64-AM62</f>
      </c>
      <c r="AN63">
        <f>AN64-AN62</f>
      </c>
      <c r="AO63">
        <f>AO64-AO62</f>
      </c>
      <c r="AP63">
        <f>AP64-AP62</f>
      </c>
    </row>
    <row customHeight="true" hidden="true" ht="16.071428571428573" r="64">
      <c r="AI64">
        <v>73838</v>
      </c>
      <c r="AJ64">
        <v>5534</v>
      </c>
      <c r="AK64">
        <v>8542</v>
      </c>
      <c r="AL64">
        <v>2604</v>
      </c>
      <c r="AM64">
        <v>373</v>
      </c>
      <c r="AN64">
        <v>68</v>
      </c>
      <c r="AO64">
        <v>637</v>
      </c>
      <c r="AP64">
        <v>3</v>
      </c>
    </row>
    <row customHeight="true" hidden="true" ht="16.071428571428573" r="65"/>
    <row customHeight="true" hidden="true" ht="16.071428571428573" r="66"/>
    <row customHeight="true" hidden="true" ht="16.071428571428573" r="67"/>
    <row customHeight="true" hidden="true" ht="16.071428571428573" r="68"/>
    <row customHeight="true" hidden="true" ht="16.071428571428573" r="69"/>
    <row customHeight="true" hidden="true" ht="16.071428571428573" r="70"/>
    <row customHeight="true" hidden="true" ht="16.071428571428573" r="71"/>
    <row customHeight="true" hidden="true" ht="16.071428571428573" r="72"/>
    <row customHeight="true" hidden="true" ht="16.071428571428573" r="73"/>
    <row customHeight="true" hidden="true" ht="16.071428571428573" r="74"/>
    <row customHeight="true" hidden="true" ht="16.071428571428573" r="75"/>
    <row customHeight="true" hidden="true" ht="16.071428571428573" r="76"/>
    <row customHeight="true" hidden="true" ht="16.071428571428573" r="77"/>
    <row customHeight="true" hidden="true" ht="16.071428571428573" r="78"/>
    <row customHeight="true" hidden="true" ht="16.071428571428573" r="79"/>
    <row customHeight="true" hidden="true" ht="16.071428571428573" r="80"/>
    <row customHeight="true" hidden="true" ht="16.071428571428573" r="81"/>
    <row customHeight="true" hidden="true" ht="16.071428571428573" r="82"/>
    <row customHeight="true" hidden="true" ht="16.071428571428573" r="83"/>
    <row customHeight="true" hidden="true" ht="16.071428571428573" r="84"/>
    <row customHeight="true" hidden="true" ht="16.071428571428573" r="85"/>
    <row customHeight="true" hidden="true" ht="16.071428571428573" r="86"/>
    <row customHeight="true" hidden="true" ht="16.071428571428573" r="87"/>
    <row customHeight="true" hidden="true" ht="16.071428571428573" r="88"/>
    <row customHeight="true" hidden="true" ht="16.071428571428573" r="89"/>
    <row customHeight="true" hidden="true" ht="16.071428571428573" r="90"/>
    <row customHeight="true" hidden="true" ht="16.071428571428573" r="91"/>
    <row customHeight="true" hidden="true" ht="16.071428571428573" r="92"/>
    <row customHeight="true" hidden="true" ht="16.071428571428573" r="93"/>
    <row customHeight="true" hidden="true" ht="16.071428571428573" r="94"/>
    <row customHeight="true" hidden="true" ht="16.071428571428573" r="95"/>
    <row customHeight="true" hidden="true" ht="16.071428571428573" r="96"/>
    <row customHeight="true" hidden="true" ht="16.071428571428573" r="97"/>
    <row customHeight="true" hidden="true" ht="16.071428571428573" r="98"/>
    <row customHeight="true" hidden="true" ht="16.071428571428573" r="99"/>
    <row customHeight="true" hidden="true" ht="16.071428571428573" r="100"/>
    <row customHeight="true" hidden="true" ht="16.071428571428573" r="101"/>
    <row customHeight="true" hidden="true" ht="16.071428571428573" r="102"/>
    <row customHeight="true" hidden="true" ht="16.071428571428573" r="103"/>
    <row customHeight="true" hidden="true" ht="16.071428571428573" r="104"/>
    <row customHeight="true" hidden="true" ht="16.071428571428573" r="105"/>
    <row customHeight="true" hidden="true" ht="16.071428571428573" r="106"/>
    <row customHeight="true" hidden="true" ht="16.071428571428573" r="107"/>
    <row customHeight="true" hidden="true" ht="16.071428571428573" r="108"/>
    <row customHeight="true" hidden="true" ht="16.071428571428573" r="109"/>
    <row customHeight="true" hidden="true" ht="16.071428571428573" r="110"/>
    <row customHeight="true" hidden="true" ht="16.071428571428573" r="111"/>
    <row customHeight="true" hidden="true" ht="16.071428571428573" r="112"/>
    <row customHeight="true" hidden="true" ht="16.071428571428573" r="113"/>
    <row customHeight="true" hidden="true" ht="16.071428571428573" r="114"/>
    <row customHeight="true" hidden="true" ht="16.071428571428573" r="115"/>
    <row customHeight="true" hidden="true" ht="16.071428571428573" r="116"/>
    <row customHeight="true" hidden="true" ht="16.071428571428573" r="117"/>
    <row customHeight="true" hidden="true" ht="16.071428571428573" r="118"/>
    <row customHeight="true" hidden="true" ht="16.071428571428573" r="119"/>
    <row customHeight="true" hidden="true" ht="16.071428571428573" r="120"/>
    <row hidden="true" r="121">
      <c r="H121" s="34" t="s">
        <v>64</v>
      </c>
      <c r="I121" s="34" t="s">
        <v>65</v>
      </c>
    </row>
    <row hidden="true" r="122">
      <c r="H122" s="35">
        <f t="shared" ref="H122:H126" si="23">F122/G122</f>
      </c>
      <c r="I122" s="35">
        <f t="shared" ref="I122:I126" si="27">G122/E122</f>
      </c>
    </row>
    <row hidden="true" r="123">
      <c r="H123" s="35">
        <f t="shared" si="23"/>
      </c>
      <c r="I123" s="35">
        <f t="shared" si="27"/>
      </c>
    </row>
    <row hidden="true" r="124">
      <c r="H124" s="35">
        <f t="shared" si="23"/>
      </c>
      <c r="I124" s="35">
        <f t="shared" si="27"/>
      </c>
    </row>
    <row hidden="true" r="125">
      <c r="H125" s="35">
        <f t="shared" si="23"/>
      </c>
      <c r="I125" s="35">
        <f t="shared" si="27"/>
      </c>
    </row>
    <row hidden="true" r="126">
      <c r="H126" s="36">
        <f t="shared" si="23"/>
      </c>
      <c r="I126" s="36">
        <f t="shared" si="27"/>
      </c>
    </row>
    <row hidden="true" r="127"/>
    <row hidden="true" r="128"/>
    <row hidden="true" r="129"/>
    <row hidden="true" r="130"/>
    <row hidden="true" r="131"/>
    <row hidden="true" r="132"/>
    <row hidden="true" r="133"/>
    <row hidden="true" r="134"/>
    <row hidden="true" r="135"/>
    <row hidden="true" r="136"/>
    <row hidden="true" r="137"/>
    <row hidden="true" r="138"/>
    <row hidden="true" r="139"/>
    <row hidden="true" r="140"/>
    <row hidden="true" r="141"/>
    <row hidden="true" r="142"/>
    <row hidden="true" r="143"/>
    <row hidden="true" r="144"/>
    <row hidden="true" r="145"/>
    <row hidden="true" r="146"/>
    <row hidden="true" r="147"/>
    <row hidden="true" r="148"/>
    <row hidden="true" r="149"/>
    <row hidden="true" r="150"/>
    <row hidden="true" r="151"/>
    <row hidden="true" r="152"/>
    <row hidden="true" r="153"/>
    <row hidden="true" r="154"/>
    <row hidden="true" r="155"/>
    <row hidden="true" r="156"/>
    <row hidden="true" r="157"/>
    <row hidden="true" r="158"/>
    <row hidden="true" r="159"/>
    <row hidden="true" r="160"/>
    <row hidden="true" r="161"/>
    <row hidden="true" r="162"/>
    <row hidden="true" r="163"/>
    <row hidden="true" r="164"/>
    <row hidden="true" r="165"/>
    <row hidden="true" r="166"/>
    <row hidden="true" r="167"/>
    <row hidden="true" r="168"/>
    <row hidden="true" r="169"/>
    <row hidden="true" r="170"/>
    <row hidden="true" r="171"/>
    <row hidden="true" r="172"/>
    <row hidden="true" r="173"/>
    <row hidden="true" r="174"/>
    <row hidden="true" r="175"/>
    <row hidden="true" r="176"/>
    <row hidden="true" r="177"/>
    <row hidden="true" r="178"/>
    <row hidden="true" r="179"/>
    <row hidden="true" r="180"/>
    <row hidden="true" r="181"/>
    <row hidden="true" r="182"/>
    <row hidden="true" r="183"/>
    <row hidden="true" r="184"/>
    <row hidden="true" r="185"/>
    <row hidden="true" r="186"/>
    <row hidden="true" r="187"/>
    <row hidden="true" r="188"/>
    <row hidden="true" r="189"/>
    <row hidden="true" r="190"/>
    <row hidden="true" r="191"/>
    <row hidden="true" r="192"/>
    <row hidden="true" r="193"/>
    <row hidden="true" r="194"/>
    <row hidden="true" r="195"/>
    <row hidden="true" r="196"/>
    <row hidden="true" r="197"/>
    <row hidden="true" r="198"/>
    <row hidden="true" r="199"/>
    <row hidden="true" r="200"/>
    <row hidden="true" r="201"/>
    <row hidden="true" r="202"/>
    <row hidden="true" r="203"/>
    <row hidden="true" r="204"/>
    <row hidden="true" r="205"/>
    <row hidden="true" r="206"/>
    <row hidden="true" r="207"/>
    <row hidden="true" r="208"/>
    <row hidden="true" r="209"/>
    <row hidden="true" r="210"/>
    <row hidden="true" r="211"/>
    <row hidden="true" r="212"/>
    <row hidden="true" r="213"/>
    <row hidden="true" r="214"/>
    <row hidden="true" r="215"/>
    <row hidden="true" r="216"/>
    <row hidden="true" r="217"/>
    <row hidden="true" r="218"/>
    <row hidden="true" r="219"/>
    <row hidden="true" r="220"/>
    <row hidden="true" r="221"/>
    <row hidden="true" r="222"/>
    <row hidden="true" r="223"/>
    <row hidden="true" r="224"/>
    <row hidden="true" r="225"/>
    <row hidden="true" r="226"/>
    <row hidden="true" r="227"/>
    <row hidden="true" r="228"/>
    <row hidden="true" r="229"/>
    <row hidden="true" r="230"/>
    <row hidden="true" r="231"/>
    <row hidden="true" r="232"/>
    <row hidden="true" r="233"/>
    <row hidden="true" r="234"/>
    <row hidden="true" r="235"/>
    <row hidden="true" r="236"/>
    <row hidden="true" r="237"/>
    <row hidden="true" r="238"/>
    <row hidden="true" r="239"/>
    <row hidden="true" r="240"/>
    <row hidden="true" r="241"/>
    <row hidden="true" r="242"/>
    <row hidden="true" r="243"/>
    <row hidden="true" r="244"/>
    <row hidden="true" r="245"/>
    <row hidden="true" r="246"/>
    <row hidden="true" r="247"/>
    <row hidden="true" r="248"/>
    <row hidden="true" r="249"/>
    <row hidden="true" r="250"/>
    <row hidden="true" r="251"/>
    <row hidden="true" r="252"/>
    <row hidden="true" r="253"/>
    <row hidden="true" r="254"/>
    <row hidden="true" r="255"/>
    <row hidden="true" r="256"/>
    <row hidden="true" r="257"/>
    <row hidden="true" r="258"/>
    <row hidden="true" r="259"/>
    <row hidden="true" r="260"/>
    <row hidden="true" r="261"/>
    <row hidden="true" r="262"/>
    <row hidden="true" r="263"/>
    <row hidden="true" r="264"/>
    <row hidden="true" r="265"/>
    <row hidden="true" r="266"/>
    <row hidden="true" r="267"/>
    <row hidden="true" r="268"/>
    <row hidden="true" r="269"/>
    <row hidden="true" r="270"/>
    <row hidden="true" r="271"/>
    <row hidden="true" r="272"/>
    <row hidden="true" r="273"/>
    <row hidden="true" r="274"/>
    <row hidden="true" r="275"/>
    <row hidden="true" r="276"/>
    <row hidden="true" r="277"/>
    <row hidden="true" r="278"/>
    <row hidden="true" r="279"/>
    <row hidden="true" r="280"/>
    <row hidden="true" r="281"/>
    <row hidden="true" r="282"/>
    <row hidden="true" r="283"/>
    <row hidden="true" r="284"/>
    <row hidden="true" r="285"/>
    <row hidden="true" r="286"/>
    <row hidden="true" r="287"/>
    <row hidden="true" r="288"/>
    <row hidden="true" r="289"/>
    <row hidden="true" r="290"/>
    <row hidden="true" r="291"/>
    <row hidden="true" r="292"/>
    <row hidden="true" r="293"/>
    <row r="294">
      <c r="V294" s="35"/>
      <c r="X294" s="35"/>
    </row>
    <row r="295"/>
    <row r="296"/>
    <row r="297">
      <c r="K297" s="37"/>
    </row>
    <row r="298">
      <c r="K298" s="38"/>
    </row>
    <row r="299"/>
    <row r="300"/>
    <row r="301">
      <c r="T301" s="39"/>
      <c r="U301" s="39"/>
      <c r="V301" s="39"/>
      <c r="W301" s="39"/>
    </row>
    <row r="302">
      <c r="T302" s="40"/>
      <c r="U302" s="40"/>
      <c r="V302" s="40"/>
      <c r="W302" s="40"/>
    </row>
    <row r="303">
      <c r="N303" s="38"/>
      <c r="T303" s="40"/>
      <c r="U303" s="40"/>
      <c r="V303" s="41"/>
      <c r="W303" s="40"/>
      <c r="X303" s="35"/>
    </row>
  </sheetData>
  <autoFilter ref="A1:AW293">
    <filterColumn colId="0">
      <filters>
        <dateGroupItem dateTimeGrouping="day" day="19" month="10" year="2026"/>
      </filters>
    </filterColumn>
  </autoFilter>
  <mergeCells>
    <mergeCell ref="T301:W301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B2" xSplit="1" ySplit="1"/>
    </sheetView>
  </sheetViews>
  <sheetFormatPr defaultRowHeight="16"/>
  <cols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35" min="35" style="0" width="11.211267605633802"/>
    <col collapsed="false" customWidth="true" hidden="false" max="39" min="39" style="0" width="11.211267605633802"/>
    <col collapsed="false" customWidth="true" hidden="false" max="43" min="43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3" min="13" style="0" width="16.444102112676056"/>
    <col collapsed="false" customWidth="true" hidden="false" max="17" min="17" style="0" width="11.211267605633802"/>
    <col collapsed="false" customWidth="true" hidden="false" max="36" min="36" style="0" width="11.211267605633802"/>
    <col collapsed="false" customWidth="true" hidden="false" max="40" min="40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6.331095950704224"/>
    <col collapsed="false" customWidth="true" hidden="false" max="14" min="14" style="0" width="16.444102112676056"/>
    <col collapsed="false" customWidth="true" hidden="false" max="18" min="18" style="0" width="11.211267605633802"/>
    <col collapsed="false" customWidth="true" hidden="false" max="37" min="37" style="0" width="11.211267605633802"/>
    <col collapsed="false" customWidth="true" hidden="false" max="41" min="41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38" min="38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</cols>
  <sheetData>
    <row r="1">
      <c r="A1" s="42" t="s">
        <v>66</v>
      </c>
      <c r="B1" s="42" t="s">
        <v>67</v>
      </c>
      <c r="C1" s="42" t="s">
        <v>68</v>
      </c>
      <c r="D1" s="42" t="s">
        <v>69</v>
      </c>
      <c r="E1" s="42" t="s">
        <v>70</v>
      </c>
      <c r="F1" s="42" t="s">
        <v>71</v>
      </c>
      <c r="G1" s="42" t="s">
        <v>72</v>
      </c>
      <c r="H1" s="43" t="s">
        <v>73</v>
      </c>
      <c r="I1" s="43" t="s">
        <v>74</v>
      </c>
      <c r="J1" s="43" t="s">
        <v>75</v>
      </c>
      <c r="K1" s="43" t="s">
        <v>76</v>
      </c>
      <c r="L1" s="42" t="s">
        <v>77</v>
      </c>
      <c r="M1" s="42" t="s">
        <v>78</v>
      </c>
      <c r="N1" s="42" t="s">
        <v>79</v>
      </c>
      <c r="O1" s="42" t="s">
        <v>80</v>
      </c>
      <c r="P1" s="42" t="s">
        <v>81</v>
      </c>
      <c r="Q1" s="42" t="s">
        <v>82</v>
      </c>
      <c r="R1" s="43" t="s">
        <v>83</v>
      </c>
      <c r="S1" s="42" t="s">
        <v>84</v>
      </c>
      <c r="T1" s="42" t="s">
        <v>85</v>
      </c>
      <c r="U1" s="42" t="s">
        <v>86</v>
      </c>
      <c r="V1" s="42" t="s">
        <v>87</v>
      </c>
      <c r="W1" s="42" t="s">
        <v>88</v>
      </c>
      <c r="X1" s="42" t="s">
        <v>89</v>
      </c>
      <c r="Y1" s="42" t="s">
        <v>90</v>
      </c>
      <c r="Z1" s="42" t="s">
        <v>91</v>
      </c>
      <c r="AA1" s="42" t="s">
        <v>92</v>
      </c>
      <c r="AB1" s="42" t="s">
        <v>93</v>
      </c>
      <c r="AC1" s="42" t="s">
        <v>94</v>
      </c>
      <c r="AD1" s="42" t="s">
        <v>95</v>
      </c>
      <c r="AE1" s="42" t="s">
        <v>96</v>
      </c>
      <c r="AF1" s="42" t="s">
        <v>95</v>
      </c>
      <c r="AG1" s="42" t="s">
        <v>97</v>
      </c>
      <c r="AH1" s="42" t="s">
        <v>69</v>
      </c>
      <c r="AI1" s="44" t="s">
        <v>98</v>
      </c>
      <c r="AJ1" s="44" t="s">
        <v>99</v>
      </c>
      <c r="AK1" s="44" t="s">
        <v>100</v>
      </c>
      <c r="AL1" s="44" t="s">
        <v>101</v>
      </c>
      <c r="AM1" s="44" t="s">
        <v>102</v>
      </c>
      <c r="AN1" s="44" t="s">
        <v>103</v>
      </c>
      <c r="AO1" s="44" t="s">
        <v>104</v>
      </c>
      <c r="AP1" s="44" t="s">
        <v>105</v>
      </c>
      <c r="AQ1" s="44" t="s">
        <v>106</v>
      </c>
      <c r="AR1" s="45" t="s">
        <v>107</v>
      </c>
      <c r="AS1" s="45" t="s">
        <v>108</v>
      </c>
      <c r="AT1" s="45" t="s">
        <v>109</v>
      </c>
      <c r="AU1" s="45" t="s">
        <v>110</v>
      </c>
      <c r="AV1" s="45" t="s">
        <v>111</v>
      </c>
      <c r="AW1" s="45" t="s">
        <v>112</v>
      </c>
    </row>
    <row r="2">
      <c r="A2" s="46">
        <v>46273</v>
      </c>
      <c r="B2" s="47" t="s">
        <v>113</v>
      </c>
      <c r="C2" s="47" t="s">
        <v>114</v>
      </c>
      <c r="D2" s="47">
        <v>4</v>
      </c>
      <c r="E2" s="48">
        <v>7</v>
      </c>
      <c r="F2" s="48">
        <v>4</v>
      </c>
      <c r="G2" s="48">
        <v>4</v>
      </c>
      <c r="H2" s="49">
        <v>3</v>
      </c>
      <c r="I2" s="48">
        <v>404.53999999999996</v>
      </c>
      <c r="J2" s="49">
        <v>1</v>
      </c>
      <c r="K2" s="48">
        <v>695</v>
      </c>
      <c r="L2" s="49">
        <v>1</v>
      </c>
      <c r="M2" s="48">
        <v>1426.56</v>
      </c>
      <c r="N2" s="49">
        <v>1</v>
      </c>
      <c r="O2" s="48">
        <v>695</v>
      </c>
      <c r="P2" s="49">
        <v>2</v>
      </c>
      <c r="Q2" s="48">
        <v>3427.9199999999996</v>
      </c>
      <c r="R2" s="49">
        <v>0</v>
      </c>
      <c r="S2" s="49">
        <v>0</v>
      </c>
      <c r="T2" s="42">
        <f>I2*12+K2</f>
      </c>
      <c r="U2" s="50">
        <v>8715.82</v>
      </c>
      <c r="V2" s="51">
        <f t="shared" ref="V2:V57" si="17">T2/U2</f>
      </c>
      <c r="W2" s="52">
        <f t="shared" ref="W2:W57" si="0">T2/F2</f>
      </c>
      <c r="X2" s="52">
        <f t="shared" ref="X2:X57" si="36">U2/F2</f>
      </c>
      <c r="Y2" s="53">
        <f t="shared" ref="Y2:Y57" si="34">AA2/F2</f>
      </c>
      <c r="Z2" s="53">
        <f t="shared" ref="Z2:Z57" si="18">R2/F2</f>
      </c>
      <c r="AA2" s="50">
        <f>L2</f>
      </c>
      <c r="AB2" s="50">
        <v>0</v>
      </c>
      <c r="AC2" s="49" t="s">
        <v>115</v>
      </c>
      <c r="AD2" s="49">
        <v>4</v>
      </c>
      <c r="AE2" s="48"/>
      <c r="AF2" s="48"/>
      <c r="AG2" s="48" t="s">
        <v>116</v>
      </c>
      <c r="AH2" s="49">
        <v>4</v>
      </c>
      <c r="AI2" s="48">
        <v>21131</v>
      </c>
      <c r="AJ2" s="48">
        <v>3634</v>
      </c>
      <c r="AK2" s="48">
        <v>5005</v>
      </c>
      <c r="AL2" s="48">
        <v>1465</v>
      </c>
      <c r="AM2" s="48">
        <v>47</v>
      </c>
      <c r="AN2" s="48">
        <v>46</v>
      </c>
      <c r="AO2" s="48">
        <v>208</v>
      </c>
      <c r="AP2" s="48">
        <v>0</v>
      </c>
      <c r="AQ2" s="54">
        <v>0.0033</v>
      </c>
      <c r="AR2" s="53">
        <f t="shared" ref="AR2:AR57" si="37">AJ2/AI2</f>
      </c>
      <c r="AS2" s="53">
        <f t="shared" ref="AS2:AS57" si="35">(AN2+AO2+AP2)/AK2</f>
      </c>
      <c r="AT2" s="53">
        <f t="shared" ref="AT2:AT57" si="38">AL2/AK2</f>
      </c>
      <c r="AU2" s="55">
        <f t="shared" ref="AU2:AU57" si="19">AO2/AK2</f>
      </c>
      <c r="AV2" s="56">
        <f t="shared" ref="AV2:AV57" si="16">U2/AM2</f>
      </c>
      <c r="AW2" s="57"/>
    </row>
    <row r="3">
      <c r="A3" s="58">
        <v>46273</v>
      </c>
      <c r="B3" s="59"/>
      <c r="C3" s="60" t="s">
        <v>117</v>
      </c>
      <c r="D3" s="59">
        <f>SUM(D2)</f>
      </c>
      <c r="E3" s="59">
        <f>SUM(E2)</f>
      </c>
      <c r="F3" s="59">
        <f>SUM(F2)</f>
      </c>
      <c r="G3" s="61">
        <f>SUM(G2)</f>
      </c>
      <c r="H3" s="62">
        <f>SUM(H2)</f>
      </c>
      <c r="I3" s="63">
        <f>SUM(I2)</f>
      </c>
      <c r="J3" s="59">
        <f>SUM(J2)</f>
      </c>
      <c r="K3" s="59">
        <f>SUM(K2)</f>
      </c>
      <c r="L3" s="59">
        <f>SUM(L2)</f>
      </c>
      <c r="M3" s="59">
        <f>SUM(M2)</f>
      </c>
      <c r="N3" s="59">
        <f>SUM(N2)</f>
      </c>
      <c r="O3" s="59">
        <f>SUM(O2)</f>
      </c>
      <c r="P3" s="59">
        <f>SUM(P2)</f>
      </c>
      <c r="Q3" s="59">
        <f>SUM(Q2)</f>
      </c>
      <c r="R3" s="59">
        <f>SUM(R2)</f>
      </c>
      <c r="S3" s="59">
        <f>SUM(S2)</f>
      </c>
      <c r="T3" s="64">
        <f>SUM(T2)</f>
      </c>
      <c r="U3" s="64">
        <f>SUM(U2)</f>
      </c>
      <c r="V3" s="65">
        <f t="shared" si="17"/>
      </c>
      <c r="W3" s="65">
        <f t="shared" si="0"/>
      </c>
      <c r="X3" s="65">
        <f t="shared" si="36"/>
      </c>
      <c r="Y3" s="65">
        <f t="shared" si="34"/>
      </c>
      <c r="Z3" s="66">
        <f t="shared" si="18"/>
      </c>
      <c r="AA3" s="64">
        <f>SUM(AA2)</f>
      </c>
      <c r="AB3" s="64">
        <f>SUM(AB2)</f>
      </c>
      <c r="AC3" s="64"/>
      <c r="AD3" s="64">
        <f>SUM(AD2)</f>
      </c>
      <c r="AE3" s="64"/>
      <c r="AF3" s="64"/>
      <c r="AG3" s="64"/>
      <c r="AH3" s="67">
        <v>4</v>
      </c>
      <c r="AI3" s="64">
        <f>SUM(AI2)</f>
      </c>
      <c r="AJ3" s="64">
        <f>SUM(AJ2)</f>
      </c>
      <c r="AK3" s="64">
        <f>SUM(AK2)</f>
      </c>
      <c r="AL3" s="64">
        <f>SUM(AL2)</f>
      </c>
      <c r="AM3" s="64">
        <f>SUM(AM2)</f>
      </c>
      <c r="AN3" s="64">
        <f>SUM(AN2)</f>
      </c>
      <c r="AO3" s="64">
        <f>SUM(AO2)</f>
      </c>
      <c r="AP3" s="64">
        <f>SUM(AP2)</f>
      </c>
      <c r="AQ3" s="64">
        <f>SUM(AQ2)</f>
      </c>
      <c r="AR3" s="66">
        <f t="shared" si="37"/>
      </c>
      <c r="AS3" s="66">
        <f t="shared" si="35"/>
      </c>
      <c r="AT3" s="66">
        <f t="shared" si="38"/>
      </c>
      <c r="AU3" s="66">
        <f t="shared" si="19"/>
      </c>
      <c r="AV3" s="68">
        <f t="shared" si="16"/>
      </c>
      <c r="AW3" s="66">
        <f>F3/AM3</f>
      </c>
    </row>
    <row r="4">
      <c r="A4" s="69">
        <v>46274</v>
      </c>
      <c r="B4" s="47" t="s">
        <v>113</v>
      </c>
      <c r="C4" s="47" t="s">
        <v>114</v>
      </c>
      <c r="D4" s="47">
        <v>4</v>
      </c>
      <c r="E4" s="48">
        <v>10</v>
      </c>
      <c r="F4" s="48">
        <v>4</v>
      </c>
      <c r="G4" s="48">
        <v>3</v>
      </c>
      <c r="H4" s="49">
        <v>4</v>
      </c>
      <c r="I4" s="48">
        <v>1194.5199999999998</v>
      </c>
      <c r="J4" s="49">
        <v>0</v>
      </c>
      <c r="K4" s="49">
        <v>0</v>
      </c>
      <c r="L4" s="49">
        <v>2</v>
      </c>
      <c r="M4" s="48">
        <v>3498.12</v>
      </c>
      <c r="N4" s="49">
        <v>1</v>
      </c>
      <c r="O4" s="48">
        <v>9620.039999999999</v>
      </c>
      <c r="P4" s="49">
        <v>1</v>
      </c>
      <c r="Q4" s="48">
        <v>1216.08</v>
      </c>
      <c r="R4" s="49">
        <v>1</v>
      </c>
      <c r="S4" s="49">
        <v>801.67</v>
      </c>
      <c r="T4" s="42">
        <f>I4*12+K4</f>
      </c>
      <c r="U4" s="50">
        <v>15454.76</v>
      </c>
      <c r="V4" s="51">
        <f t="shared" si="17"/>
      </c>
      <c r="W4" s="52">
        <f t="shared" si="0"/>
      </c>
      <c r="X4" s="52">
        <f t="shared" si="36"/>
      </c>
      <c r="Y4" s="53">
        <f t="shared" si="34"/>
      </c>
      <c r="Z4" s="53">
        <f t="shared" si="18"/>
      </c>
      <c r="AA4" s="50">
        <f>L4</f>
      </c>
      <c r="AB4" s="70">
        <v>1</v>
      </c>
      <c r="AC4" s="49" t="s">
        <v>115</v>
      </c>
      <c r="AD4" s="49">
        <v>4</v>
      </c>
      <c r="AE4" s="48"/>
      <c r="AF4" s="48"/>
      <c r="AG4" s="48" t="s">
        <v>116</v>
      </c>
      <c r="AH4" s="49">
        <v>4</v>
      </c>
      <c r="AI4" s="48">
        <v>44120</v>
      </c>
      <c r="AJ4" s="48">
        <v>4195</v>
      </c>
      <c r="AK4" s="48">
        <v>5353</v>
      </c>
      <c r="AL4" s="48">
        <v>1524</v>
      </c>
      <c r="AM4" s="48">
        <v>324</v>
      </c>
      <c r="AN4" s="48">
        <v>46</v>
      </c>
      <c r="AO4" s="48">
        <v>309</v>
      </c>
      <c r="AP4" s="48">
        <v>3</v>
      </c>
      <c r="AQ4" s="54">
        <v>0.0252</v>
      </c>
      <c r="AR4" s="53">
        <f t="shared" si="37"/>
      </c>
      <c r="AS4" s="53">
        <f t="shared" si="35"/>
      </c>
      <c r="AT4" s="53">
        <f t="shared" si="38"/>
      </c>
      <c r="AU4" s="55">
        <f t="shared" si="19"/>
      </c>
      <c r="AV4" s="56">
        <f t="shared" si="16"/>
      </c>
      <c r="AW4" s="57"/>
    </row>
    <row r="5">
      <c r="A5" s="58">
        <v>46274</v>
      </c>
      <c r="B5" s="59"/>
      <c r="C5" s="59" t="s">
        <v>117</v>
      </c>
      <c r="D5" s="59">
        <f>SUM(D4)</f>
      </c>
      <c r="E5" s="59">
        <f>SUM(E4)</f>
      </c>
      <c r="F5" s="59">
        <f>SUM(F4)</f>
      </c>
      <c r="G5" s="61">
        <f>SUM(G4)</f>
      </c>
      <c r="H5" s="62">
        <f>SUM(H4)</f>
      </c>
      <c r="I5" s="63">
        <f>SUM(I4)</f>
      </c>
      <c r="J5" s="59">
        <f>SUM(J4)</f>
      </c>
      <c r="K5" s="59">
        <f>SUM(K4)</f>
      </c>
      <c r="L5" s="59">
        <f>SUM(L4)</f>
      </c>
      <c r="M5" s="59">
        <f>SUM(M4)</f>
      </c>
      <c r="N5" s="59">
        <f>SUM(N4)</f>
      </c>
      <c r="O5" s="59">
        <f>SUM(O4)</f>
      </c>
      <c r="P5" s="59">
        <f>SUM(P4)</f>
      </c>
      <c r="Q5" s="59">
        <f>SUM(Q4)</f>
      </c>
      <c r="R5" s="59">
        <f>SUM(R4)</f>
      </c>
      <c r="S5" s="59">
        <f>SUM(S4)</f>
      </c>
      <c r="T5" s="64">
        <f>SUM(T4)</f>
      </c>
      <c r="U5" s="64">
        <f>SUM(U4)</f>
      </c>
      <c r="V5" s="65">
        <f t="shared" si="17"/>
      </c>
      <c r="W5" s="65">
        <f t="shared" si="0"/>
      </c>
      <c r="X5" s="65">
        <f t="shared" si="36"/>
      </c>
      <c r="Y5" s="65">
        <f t="shared" si="34"/>
      </c>
      <c r="Z5" s="66">
        <f t="shared" si="18"/>
      </c>
      <c r="AA5" s="64">
        <f>SUM(AA4)</f>
      </c>
      <c r="AB5" s="64">
        <f>SUM(AB4)</f>
      </c>
      <c r="AC5" s="64"/>
      <c r="AD5" s="64">
        <f>SUM(AD4)</f>
      </c>
      <c r="AE5" s="64"/>
      <c r="AF5" s="64"/>
      <c r="AG5" s="64"/>
      <c r="AH5" s="67">
        <v>4</v>
      </c>
      <c r="AI5" s="64">
        <f>SUM(AI4)</f>
      </c>
      <c r="AJ5" s="64">
        <f>SUM(AJ4)</f>
      </c>
      <c r="AK5" s="64">
        <f>SUM(AK4)</f>
      </c>
      <c r="AL5" s="64">
        <f>SUM(AL4)</f>
      </c>
      <c r="AM5" s="64">
        <f>SUM(AM4)</f>
      </c>
      <c r="AN5" s="64">
        <f>SUM(AN4)</f>
      </c>
      <c r="AO5" s="64">
        <f>SUM(AO4)</f>
      </c>
      <c r="AP5" s="64">
        <f>SUM(AP4)</f>
      </c>
      <c r="AQ5" s="64">
        <f>SUM(AQ4)</f>
      </c>
      <c r="AR5" s="66">
        <f t="shared" si="37"/>
      </c>
      <c r="AS5" s="66">
        <f t="shared" si="35"/>
      </c>
      <c r="AT5" s="66">
        <f t="shared" si="38"/>
      </c>
      <c r="AU5" s="66">
        <f t="shared" si="19"/>
      </c>
      <c r="AV5" s="68">
        <f t="shared" si="16"/>
      </c>
      <c r="AW5" s="66">
        <f>F5/AM5</f>
      </c>
    </row>
    <row r="6">
      <c r="A6" s="69">
        <v>46275</v>
      </c>
      <c r="B6" s="47" t="s">
        <v>118</v>
      </c>
      <c r="C6" s="47" t="s">
        <v>119</v>
      </c>
      <c r="D6" s="47">
        <v>5</v>
      </c>
      <c r="E6" s="48">
        <v>18</v>
      </c>
      <c r="F6" s="48">
        <v>14</v>
      </c>
      <c r="G6" s="48">
        <v>9</v>
      </c>
      <c r="H6" s="49">
        <v>14</v>
      </c>
      <c r="I6" s="48">
        <v>2893.5199999999995</v>
      </c>
      <c r="J6" s="49">
        <v>0</v>
      </c>
      <c r="K6" s="49">
        <v>0</v>
      </c>
      <c r="L6" s="49">
        <v>8</v>
      </c>
      <c r="M6" s="48">
        <v>16680.96</v>
      </c>
      <c r="N6" s="49">
        <v>0</v>
      </c>
      <c r="O6" s="49">
        <v>0</v>
      </c>
      <c r="P6" s="49">
        <v>6</v>
      </c>
      <c r="Q6" s="48">
        <v>18041.28</v>
      </c>
      <c r="R6" s="49">
        <v>5</v>
      </c>
      <c r="S6" s="49">
        <v>1975.2900000000002</v>
      </c>
      <c r="T6" s="42">
        <f>I6*12+K6</f>
      </c>
      <c r="U6" s="50">
        <v>18682.479999999996</v>
      </c>
      <c r="V6" s="51">
        <f t="shared" si="17"/>
      </c>
      <c r="W6" s="52">
        <f t="shared" si="0"/>
      </c>
      <c r="X6" s="52">
        <f t="shared" si="36"/>
      </c>
      <c r="Y6" s="53">
        <f t="shared" si="34"/>
      </c>
      <c r="Z6" s="53">
        <f t="shared" si="18"/>
      </c>
      <c r="AA6" s="50">
        <f>L6</f>
      </c>
      <c r="AB6" s="70">
        <v>2</v>
      </c>
      <c r="AC6" s="49" t="s">
        <v>115</v>
      </c>
      <c r="AD6" s="49">
        <v>5</v>
      </c>
      <c r="AE6" s="48"/>
      <c r="AF6" s="48"/>
      <c r="AG6" s="48" t="s">
        <v>116</v>
      </c>
      <c r="AH6" s="49">
        <v>5</v>
      </c>
      <c r="AI6" s="48">
        <v>71600</v>
      </c>
      <c r="AJ6" s="48">
        <v>3872</v>
      </c>
      <c r="AK6" s="48">
        <v>4756</v>
      </c>
      <c r="AL6" s="48">
        <v>1180</v>
      </c>
      <c r="AM6" s="48">
        <v>601</v>
      </c>
      <c r="AN6" s="48">
        <v>41</v>
      </c>
      <c r="AO6" s="48">
        <v>497</v>
      </c>
      <c r="AP6" s="48">
        <v>4</v>
      </c>
      <c r="AQ6" s="54">
        <v>0.0542</v>
      </c>
      <c r="AR6" s="53">
        <f t="shared" si="37"/>
      </c>
      <c r="AS6" s="53">
        <f t="shared" si="35"/>
      </c>
      <c r="AT6" s="53">
        <f t="shared" si="38"/>
      </c>
      <c r="AU6" s="55">
        <f t="shared" si="19"/>
      </c>
      <c r="AV6" s="56">
        <f t="shared" si="16"/>
      </c>
      <c r="AW6" s="57"/>
    </row>
    <row r="7">
      <c r="A7" s="58">
        <v>46275</v>
      </c>
      <c r="B7" s="59"/>
      <c r="C7" s="60" t="s">
        <v>120</v>
      </c>
      <c r="D7" s="59">
        <f>SUM(D6)</f>
      </c>
      <c r="E7" s="59">
        <f>SUM(E6)</f>
      </c>
      <c r="F7" s="59">
        <f>SUM(F6)</f>
      </c>
      <c r="G7" s="61">
        <f>SUM(G6)</f>
      </c>
      <c r="H7" s="62">
        <f>SUM(H6)</f>
      </c>
      <c r="I7" s="63">
        <f>SUM(I6)</f>
      </c>
      <c r="J7" s="59">
        <f>SUM(J6)</f>
      </c>
      <c r="K7" s="59">
        <f>SUM(K6)</f>
      </c>
      <c r="L7" s="59">
        <f>SUM(L6)</f>
      </c>
      <c r="M7" s="59">
        <f>SUM(M6)</f>
      </c>
      <c r="N7" s="59">
        <f>SUM(N6)</f>
      </c>
      <c r="O7" s="59">
        <f>SUM(O6)</f>
      </c>
      <c r="P7" s="59">
        <f>SUM(P6)</f>
      </c>
      <c r="Q7" s="59">
        <f>SUM(Q6)</f>
      </c>
      <c r="R7" s="59">
        <f>SUM(R6)</f>
      </c>
      <c r="S7" s="59">
        <f>SUM(S6)</f>
      </c>
      <c r="T7" s="64">
        <f>SUM(T6)</f>
      </c>
      <c r="U7" s="64">
        <f>SUM(U6)</f>
      </c>
      <c r="V7" s="65">
        <f t="shared" si="17"/>
      </c>
      <c r="W7" s="65">
        <f t="shared" si="0"/>
      </c>
      <c r="X7" s="65">
        <f t="shared" si="36"/>
      </c>
      <c r="Y7" s="65">
        <f t="shared" si="34"/>
      </c>
      <c r="Z7" s="66">
        <f t="shared" si="18"/>
      </c>
      <c r="AA7" s="64">
        <f>SUM(AA6)</f>
      </c>
      <c r="AB7" s="64">
        <f>SUM(AB6)</f>
      </c>
      <c r="AC7" s="64"/>
      <c r="AD7" s="64">
        <f>SUM(AD6)</f>
      </c>
      <c r="AE7" s="64"/>
      <c r="AF7" s="64"/>
      <c r="AG7" s="64"/>
      <c r="AH7" s="67">
        <v>5</v>
      </c>
      <c r="AI7" s="64">
        <f>SUM(AI6)</f>
      </c>
      <c r="AJ7" s="64">
        <f>SUM(AJ6)</f>
      </c>
      <c r="AK7" s="64">
        <f>SUM(AK6)</f>
      </c>
      <c r="AL7" s="64">
        <f>SUM(AL6)</f>
      </c>
      <c r="AM7" s="64">
        <f>SUM(AM6)</f>
      </c>
      <c r="AN7" s="64">
        <f>SUM(AN6)</f>
      </c>
      <c r="AO7" s="64">
        <f>SUM(AO6)</f>
      </c>
      <c r="AP7" s="64">
        <f>SUM(AP6)</f>
      </c>
      <c r="AQ7" s="64">
        <f>SUM(AQ6)</f>
      </c>
      <c r="AR7" s="66">
        <f t="shared" si="37"/>
      </c>
      <c r="AS7" s="66">
        <f t="shared" si="35"/>
      </c>
      <c r="AT7" s="66">
        <f t="shared" si="38"/>
      </c>
      <c r="AU7" s="66">
        <f t="shared" si="19"/>
      </c>
      <c r="AV7" s="68">
        <f t="shared" si="16"/>
      </c>
      <c r="AW7" s="66">
        <f>F7/AM7</f>
      </c>
    </row>
    <row r="8">
      <c r="A8" s="69">
        <v>46276</v>
      </c>
      <c r="B8" s="47" t="s">
        <v>113</v>
      </c>
      <c r="C8" s="47" t="s">
        <v>121</v>
      </c>
      <c r="D8" s="47">
        <v>5</v>
      </c>
      <c r="E8" s="48">
        <v>15</v>
      </c>
      <c r="F8" s="48">
        <v>11</v>
      </c>
      <c r="G8" s="49">
        <v>9</v>
      </c>
      <c r="H8" s="49">
        <v>11</v>
      </c>
      <c r="I8" s="48">
        <v>1684.27</v>
      </c>
      <c r="J8" s="49">
        <v>0</v>
      </c>
      <c r="K8" s="49">
        <v>0</v>
      </c>
      <c r="L8" s="49">
        <v>4</v>
      </c>
      <c r="M8" s="48">
        <v>4969.08</v>
      </c>
      <c r="N8" s="49">
        <v>1</v>
      </c>
      <c r="O8" s="49">
        <v>3720.4800000000005</v>
      </c>
      <c r="P8" s="49">
        <v>6</v>
      </c>
      <c r="Q8" s="48">
        <v>11521.68</v>
      </c>
      <c r="R8" s="49">
        <v>1</v>
      </c>
      <c r="S8" s="49">
        <v>470.45</v>
      </c>
      <c r="T8" s="42">
        <f t="shared" ref="T8:T9" si="20">I8*12+K8</f>
      </c>
      <c r="U8" s="50">
        <v>17047.91</v>
      </c>
      <c r="V8" s="51">
        <f t="shared" si="17"/>
      </c>
      <c r="W8" s="52">
        <f t="shared" si="0"/>
      </c>
      <c r="X8" s="52">
        <f t="shared" si="36"/>
      </c>
      <c r="Y8" s="53">
        <f t="shared" si="34"/>
      </c>
      <c r="Z8" s="53">
        <f t="shared" si="18"/>
      </c>
      <c r="AA8" s="50">
        <f t="shared" ref="AA8:AA9" si="1">L8</f>
      </c>
      <c r="AB8" s="70">
        <v>2</v>
      </c>
      <c r="AC8" s="49" t="s">
        <v>115</v>
      </c>
      <c r="AD8" s="49">
        <v>8</v>
      </c>
      <c r="AE8" s="48"/>
      <c r="AF8" s="48"/>
      <c r="AG8" s="48" t="s">
        <v>116</v>
      </c>
      <c r="AH8" s="49">
        <v>8</v>
      </c>
      <c r="AI8" s="48">
        <v>78174</v>
      </c>
      <c r="AJ8" s="48">
        <v>2287</v>
      </c>
      <c r="AK8" s="48">
        <v>2710</v>
      </c>
      <c r="AL8" s="48">
        <v>721</v>
      </c>
      <c r="AM8" s="48">
        <v>483</v>
      </c>
      <c r="AN8" s="48">
        <v>45</v>
      </c>
      <c r="AO8" s="48">
        <v>541</v>
      </c>
      <c r="AP8" s="48">
        <v>6</v>
      </c>
      <c r="AQ8" s="54"/>
      <c r="AR8" s="53">
        <f t="shared" si="37"/>
      </c>
      <c r="AS8" s="53">
        <f t="shared" si="35"/>
      </c>
      <c r="AT8" s="53">
        <f t="shared" si="38"/>
      </c>
      <c r="AU8" s="55">
        <f t="shared" si="19"/>
      </c>
      <c r="AV8" s="56">
        <f t="shared" si="16"/>
      </c>
      <c r="AW8" s="57"/>
    </row>
    <row customHeight="true" ht="16.071428571428573" r="9">
      <c r="A9" s="69">
        <v>46276</v>
      </c>
      <c r="B9" s="47" t="s">
        <v>122</v>
      </c>
      <c r="C9" s="47" t="s">
        <v>123</v>
      </c>
      <c r="D9" s="47">
        <v>3</v>
      </c>
      <c r="E9" s="48">
        <v>3</v>
      </c>
      <c r="F9" s="48">
        <v>1</v>
      </c>
      <c r="G9" s="48">
        <v>2</v>
      </c>
      <c r="H9" s="49">
        <v>0</v>
      </c>
      <c r="I9" s="49">
        <v>0</v>
      </c>
      <c r="J9" s="49">
        <v>1</v>
      </c>
      <c r="K9" s="49">
        <v>5563.2</v>
      </c>
      <c r="L9" s="49">
        <v>0</v>
      </c>
      <c r="M9" s="49">
        <v>0</v>
      </c>
      <c r="N9" s="49">
        <v>0</v>
      </c>
      <c r="O9" s="49">
        <v>0</v>
      </c>
      <c r="P9" s="49">
        <v>1</v>
      </c>
      <c r="Q9" s="48">
        <v>5563.2</v>
      </c>
      <c r="R9" s="49">
        <v>1</v>
      </c>
      <c r="S9" s="49">
        <v>5563.2</v>
      </c>
      <c r="T9" s="42">
        <f t="shared" si="20"/>
      </c>
      <c r="U9" s="50">
        <v>9442.09</v>
      </c>
      <c r="V9" s="51">
        <f t="shared" si="17"/>
      </c>
      <c r="W9" s="52">
        <f t="shared" si="0"/>
      </c>
      <c r="X9" s="52">
        <f t="shared" si="36"/>
      </c>
      <c r="Y9" s="53">
        <f t="shared" si="34"/>
      </c>
      <c r="Z9" s="53">
        <f t="shared" si="18"/>
      </c>
      <c r="AA9" s="50">
        <f t="shared" si="1"/>
      </c>
      <c r="AB9" s="70">
        <v>0</v>
      </c>
      <c r="AC9" s="49"/>
      <c r="AD9" s="49"/>
      <c r="AE9" s="48"/>
      <c r="AF9" s="48"/>
      <c r="AG9" s="48"/>
      <c r="AH9" s="49"/>
      <c r="AI9" s="48">
        <v>29008</v>
      </c>
      <c r="AJ9" s="48">
        <v>1456</v>
      </c>
      <c r="AK9" s="48">
        <v>1878</v>
      </c>
      <c r="AL9" s="48">
        <v>427</v>
      </c>
      <c r="AM9" s="48">
        <v>197</v>
      </c>
      <c r="AN9" s="48">
        <v>18</v>
      </c>
      <c r="AO9" s="48">
        <v>184</v>
      </c>
      <c r="AP9" s="48">
        <v>4</v>
      </c>
      <c r="AQ9" s="48"/>
      <c r="AR9" s="53">
        <f t="shared" si="37"/>
      </c>
      <c r="AS9" s="53">
        <f t="shared" si="35"/>
      </c>
      <c r="AT9" s="53">
        <f t="shared" si="38"/>
      </c>
      <c r="AU9" s="55">
        <f t="shared" si="19"/>
      </c>
      <c r="AV9" s="56">
        <f t="shared" si="16"/>
      </c>
      <c r="AW9" s="57"/>
    </row>
    <row r="10">
      <c r="A10" s="58">
        <v>46276</v>
      </c>
      <c r="B10" s="59"/>
      <c r="C10" s="60" t="s">
        <v>124</v>
      </c>
      <c r="D10" s="59">
        <f>D8+D9</f>
      </c>
      <c r="E10" s="59">
        <f>E8+E9</f>
      </c>
      <c r="F10" s="59">
        <f>F8+F9</f>
      </c>
      <c r="G10" s="61">
        <f>G8+G9</f>
      </c>
      <c r="H10" s="62">
        <f>H8+H9</f>
      </c>
      <c r="I10" s="63">
        <f>I8+I9</f>
      </c>
      <c r="J10" s="59">
        <f>J8+J9</f>
      </c>
      <c r="K10" s="59">
        <f>K8+K9</f>
      </c>
      <c r="L10" s="59">
        <f>L8+L9</f>
      </c>
      <c r="M10" s="59">
        <f>M8+M9</f>
      </c>
      <c r="N10" s="59">
        <f>N8+N9</f>
      </c>
      <c r="O10" s="59">
        <f>O8+O9</f>
      </c>
      <c r="P10" s="59">
        <f>P8+P9</f>
      </c>
      <c r="Q10" s="59">
        <f>Q8+Q9</f>
      </c>
      <c r="R10" s="59">
        <f>R8+R9</f>
      </c>
      <c r="S10" s="59">
        <f>S8+S9</f>
      </c>
      <c r="T10" s="59">
        <f>T8+T9</f>
      </c>
      <c r="U10" s="59">
        <f>U8+U9</f>
      </c>
      <c r="V10" s="65">
        <f t="shared" si="17"/>
      </c>
      <c r="W10" s="65">
        <f t="shared" si="0"/>
      </c>
      <c r="X10" s="65">
        <f t="shared" si="36"/>
      </c>
      <c r="Y10" s="65">
        <f t="shared" si="34"/>
      </c>
      <c r="Z10" s="66">
        <f t="shared" si="18"/>
      </c>
      <c r="AA10" s="64">
        <f>SUM(AA8)</f>
      </c>
      <c r="AB10" s="64">
        <f>SUM(AB8)</f>
      </c>
      <c r="AC10" s="64"/>
      <c r="AD10" s="64">
        <f>SUM(AD8)</f>
      </c>
      <c r="AE10" s="64"/>
      <c r="AF10" s="64"/>
      <c r="AG10" s="64"/>
      <c r="AH10" s="67">
        <v>8</v>
      </c>
      <c r="AI10" s="64">
        <f>AI8+AI9</f>
      </c>
      <c r="AJ10" s="64">
        <f>AJ8+AJ9</f>
      </c>
      <c r="AK10" s="64">
        <f>AK8+AK9</f>
      </c>
      <c r="AL10" s="64">
        <f>AL8+AL9</f>
      </c>
      <c r="AM10" s="64">
        <f>AM8+AM9</f>
      </c>
      <c r="AN10" s="64">
        <f>AN8+AN9</f>
      </c>
      <c r="AO10" s="64">
        <f>AO8+AO9</f>
      </c>
      <c r="AP10" s="64">
        <f>AP8+AP9</f>
      </c>
      <c r="AQ10" s="71"/>
      <c r="AR10" s="66">
        <f t="shared" si="37"/>
      </c>
      <c r="AS10" s="66">
        <f t="shared" si="35"/>
      </c>
      <c r="AT10" s="66">
        <f t="shared" si="38"/>
      </c>
      <c r="AU10" s="66">
        <f t="shared" si="19"/>
      </c>
      <c r="AV10" s="68">
        <f t="shared" si="16"/>
      </c>
      <c r="AW10" s="66">
        <f>F10/AM10</f>
      </c>
    </row>
    <row r="11">
      <c r="A11" s="69">
        <v>46277</v>
      </c>
      <c r="B11" s="47" t="s">
        <v>113</v>
      </c>
      <c r="C11" s="47" t="s">
        <v>121</v>
      </c>
      <c r="D11" s="47">
        <v>5</v>
      </c>
      <c r="E11" s="48">
        <v>13</v>
      </c>
      <c r="F11" s="48">
        <v>9</v>
      </c>
      <c r="G11" s="49">
        <v>8</v>
      </c>
      <c r="H11" s="49">
        <v>9</v>
      </c>
      <c r="I11" s="48">
        <v>2598.75</v>
      </c>
      <c r="J11" s="49">
        <v>0</v>
      </c>
      <c r="K11" s="49">
        <v>0</v>
      </c>
      <c r="L11" s="49">
        <v>2</v>
      </c>
      <c r="M11" s="48">
        <v>5263.92</v>
      </c>
      <c r="N11" s="49">
        <v>2</v>
      </c>
      <c r="O11" s="49">
        <v>10988.400000000001</v>
      </c>
      <c r="P11" s="49">
        <v>5</v>
      </c>
      <c r="Q11" s="48">
        <v>14932.679999999998</v>
      </c>
      <c r="R11" s="49">
        <v>3</v>
      </c>
      <c r="S11" s="49">
        <v>1556.46</v>
      </c>
      <c r="T11" s="42">
        <f t="shared" ref="T11:T12" si="21">I11*12+K11</f>
      </c>
      <c r="U11" s="50">
        <v>15292.84</v>
      </c>
      <c r="V11" s="51">
        <f t="shared" si="17"/>
      </c>
      <c r="W11" s="52">
        <f t="shared" si="0"/>
      </c>
      <c r="X11" s="52">
        <f t="shared" si="36"/>
      </c>
      <c r="Y11" s="53">
        <f t="shared" si="34"/>
      </c>
      <c r="Z11" s="53">
        <f t="shared" si="18"/>
      </c>
      <c r="AA11" s="50">
        <f t="shared" ref="AA11:AA12" si="2">L11</f>
      </c>
      <c r="AB11" s="70">
        <v>0</v>
      </c>
      <c r="AC11" s="49" t="s">
        <v>115</v>
      </c>
      <c r="AD11" s="49">
        <v>8</v>
      </c>
      <c r="AE11" s="48"/>
      <c r="AF11" s="48"/>
      <c r="AG11" s="48" t="s">
        <v>116</v>
      </c>
      <c r="AH11" s="49">
        <v>8</v>
      </c>
      <c r="AI11" s="48">
        <v>60722</v>
      </c>
      <c r="AJ11" s="48">
        <v>2534</v>
      </c>
      <c r="AK11" s="48">
        <v>3155</v>
      </c>
      <c r="AL11" s="48">
        <v>815</v>
      </c>
      <c r="AM11" s="48">
        <v>465</v>
      </c>
      <c r="AN11" s="48">
        <v>48</v>
      </c>
      <c r="AO11" s="48">
        <v>539</v>
      </c>
      <c r="AP11" s="48">
        <v>6</v>
      </c>
      <c r="AQ11" s="54"/>
      <c r="AR11" s="53">
        <f t="shared" si="37"/>
      </c>
      <c r="AS11" s="53">
        <f t="shared" si="35"/>
      </c>
      <c r="AT11" s="53">
        <f t="shared" si="38"/>
      </c>
      <c r="AU11" s="55">
        <f t="shared" si="19"/>
      </c>
      <c r="AV11" s="56">
        <f t="shared" si="16"/>
      </c>
      <c r="AW11" s="57"/>
    </row>
    <row r="12">
      <c r="A12" s="69">
        <v>46277</v>
      </c>
      <c r="B12" s="47" t="s">
        <v>125</v>
      </c>
      <c r="C12" s="47" t="s">
        <v>123</v>
      </c>
      <c r="D12" s="47">
        <v>3</v>
      </c>
      <c r="E12" s="48">
        <v>6</v>
      </c>
      <c r="F12" s="49">
        <v>1</v>
      </c>
      <c r="G12" s="49">
        <v>1</v>
      </c>
      <c r="H12" s="49">
        <v>1</v>
      </c>
      <c r="I12" s="49">
        <v>151.44</v>
      </c>
      <c r="J12" s="49">
        <v>0</v>
      </c>
      <c r="K12" s="49">
        <v>0</v>
      </c>
      <c r="L12" s="49">
        <v>1</v>
      </c>
      <c r="M12" s="49">
        <v>1817.28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2">
        <f t="shared" si="21"/>
      </c>
      <c r="U12" s="50">
        <v>6978.77</v>
      </c>
      <c r="V12" s="51">
        <f t="shared" si="17"/>
      </c>
      <c r="W12" s="52">
        <f t="shared" si="0"/>
      </c>
      <c r="X12" s="52">
        <f t="shared" si="36"/>
      </c>
      <c r="Y12" s="53">
        <f t="shared" si="34"/>
      </c>
      <c r="Z12" s="53">
        <f t="shared" si="18"/>
      </c>
      <c r="AA12" s="50">
        <f t="shared" si="2"/>
      </c>
      <c r="AB12" s="70">
        <v>0</v>
      </c>
      <c r="AC12" s="49"/>
      <c r="AD12" s="49"/>
      <c r="AE12" s="48"/>
      <c r="AF12" s="48"/>
      <c r="AG12" s="48"/>
      <c r="AH12" s="49"/>
      <c r="AI12" s="48">
        <v>21106</v>
      </c>
      <c r="AJ12" s="48">
        <v>1267</v>
      </c>
      <c r="AK12" s="48">
        <v>1638</v>
      </c>
      <c r="AL12" s="48">
        <v>349</v>
      </c>
      <c r="AM12" s="48">
        <v>163</v>
      </c>
      <c r="AN12" s="48">
        <v>19</v>
      </c>
      <c r="AO12" s="48">
        <v>165</v>
      </c>
      <c r="AP12" s="48">
        <v>3</v>
      </c>
      <c r="AQ12" s="48"/>
      <c r="AR12" s="53">
        <f t="shared" si="37"/>
      </c>
      <c r="AS12" s="53">
        <f t="shared" si="35"/>
      </c>
      <c r="AT12" s="53">
        <f t="shared" si="38"/>
      </c>
      <c r="AU12" s="55">
        <f t="shared" si="19"/>
      </c>
      <c r="AV12" s="56">
        <f t="shared" si="16"/>
      </c>
      <c r="AW12" s="57"/>
    </row>
    <row r="13">
      <c r="A13" s="58">
        <v>46277</v>
      </c>
      <c r="B13" s="59"/>
      <c r="C13" s="59" t="s">
        <v>124</v>
      </c>
      <c r="D13" s="59">
        <f>D11+D12</f>
      </c>
      <c r="E13" s="59">
        <f>E11+E12</f>
      </c>
      <c r="F13" s="59">
        <f>F11+F12</f>
      </c>
      <c r="G13" s="61">
        <f>G11+G12</f>
      </c>
      <c r="H13" s="62">
        <f>H11+H12</f>
      </c>
      <c r="I13" s="63">
        <f>I11+I12</f>
      </c>
      <c r="J13" s="59">
        <f>J11+J12</f>
      </c>
      <c r="K13" s="59">
        <f>K11+K12</f>
      </c>
      <c r="L13" s="59">
        <f>L11+L12</f>
      </c>
      <c r="M13" s="59">
        <f>M11+M12</f>
      </c>
      <c r="N13" s="59">
        <f>N11+N12</f>
      </c>
      <c r="O13" s="59">
        <f>O11+O12</f>
      </c>
      <c r="P13" s="59">
        <f>P11+P12</f>
      </c>
      <c r="Q13" s="59">
        <f>Q11+Q12</f>
      </c>
      <c r="R13" s="59">
        <f>R11+R12</f>
      </c>
      <c r="S13" s="59">
        <f>S11+S12</f>
      </c>
      <c r="T13" s="59">
        <f>T11+T12</f>
      </c>
      <c r="U13" s="59">
        <f>U11+U12</f>
      </c>
      <c r="V13" s="65">
        <f t="shared" si="17"/>
      </c>
      <c r="W13" s="65">
        <f t="shared" si="0"/>
      </c>
      <c r="X13" s="65">
        <f t="shared" si="36"/>
      </c>
      <c r="Y13" s="65">
        <f t="shared" si="34"/>
      </c>
      <c r="Z13" s="66">
        <f t="shared" si="18"/>
      </c>
      <c r="AA13" s="64">
        <f>SUM(AA11)</f>
      </c>
      <c r="AB13" s="64">
        <f>SUM(AB11)</f>
      </c>
      <c r="AC13" s="64"/>
      <c r="AD13" s="64">
        <f>SUM(AD11)</f>
      </c>
      <c r="AE13" s="64"/>
      <c r="AF13" s="64"/>
      <c r="AG13" s="64"/>
      <c r="AH13" s="67">
        <v>8</v>
      </c>
      <c r="AI13" s="64">
        <f>AI11+AI12</f>
      </c>
      <c r="AJ13" s="64">
        <f>AJ11+AJ12</f>
      </c>
      <c r="AK13" s="64">
        <f>AK11+AK12</f>
      </c>
      <c r="AL13" s="64">
        <f>AL11+AL12</f>
      </c>
      <c r="AM13" s="64">
        <f>AM11+AM12</f>
      </c>
      <c r="AN13" s="64">
        <f>AN11+AN12</f>
      </c>
      <c r="AO13" s="64">
        <f>AO11+AO12</f>
      </c>
      <c r="AP13" s="64">
        <f>AP11+AP12</f>
      </c>
      <c r="AQ13" s="71"/>
      <c r="AR13" s="66">
        <f t="shared" si="37"/>
      </c>
      <c r="AS13" s="66">
        <f t="shared" si="35"/>
      </c>
      <c r="AT13" s="66">
        <f t="shared" si="38"/>
      </c>
      <c r="AU13" s="66">
        <f t="shared" si="19"/>
      </c>
      <c r="AV13" s="68">
        <f t="shared" si="16"/>
      </c>
      <c r="AW13" s="66">
        <f>F13/AM13</f>
      </c>
    </row>
    <row r="14">
      <c r="A14" s="69">
        <v>46278</v>
      </c>
      <c r="B14" s="47" t="s">
        <v>118</v>
      </c>
      <c r="C14" s="47" t="s">
        <v>121</v>
      </c>
      <c r="D14" s="47">
        <v>5</v>
      </c>
      <c r="E14" s="48">
        <v>9</v>
      </c>
      <c r="F14" s="48">
        <v>5</v>
      </c>
      <c r="G14" s="49">
        <v>5</v>
      </c>
      <c r="H14" s="49">
        <v>5</v>
      </c>
      <c r="I14" s="48">
        <v>1104.27</v>
      </c>
      <c r="J14" s="49">
        <v>0</v>
      </c>
      <c r="K14" s="49">
        <v>0</v>
      </c>
      <c r="L14" s="49">
        <v>2</v>
      </c>
      <c r="M14" s="48">
        <v>5492.88</v>
      </c>
      <c r="N14" s="49">
        <v>1</v>
      </c>
      <c r="O14" s="49">
        <v>5326.200000000001</v>
      </c>
      <c r="P14" s="49">
        <v>2</v>
      </c>
      <c r="Q14" s="48">
        <v>2432.16</v>
      </c>
      <c r="R14" s="49">
        <v>1</v>
      </c>
      <c r="S14" s="49">
        <v>443.85</v>
      </c>
      <c r="T14" s="42">
        <f t="shared" ref="T14:T15" si="22">I14*12+K14</f>
      </c>
      <c r="U14" s="50">
        <v>12062.030000000002</v>
      </c>
      <c r="V14" s="51">
        <f t="shared" si="17"/>
      </c>
      <c r="W14" s="52">
        <f t="shared" si="0"/>
      </c>
      <c r="X14" s="52">
        <f t="shared" si="36"/>
      </c>
      <c r="Y14" s="53">
        <f t="shared" si="34"/>
      </c>
      <c r="Z14" s="53">
        <f t="shared" si="18"/>
      </c>
      <c r="AA14" s="50">
        <f t="shared" ref="AA14:AA15" si="3">L14</f>
      </c>
      <c r="AB14" s="70">
        <v>0</v>
      </c>
      <c r="AC14" s="49" t="s">
        <v>115</v>
      </c>
      <c r="AD14" s="49">
        <v>8</v>
      </c>
      <c r="AE14" s="48"/>
      <c r="AF14" s="48"/>
      <c r="AG14" s="48" t="s">
        <v>116</v>
      </c>
      <c r="AH14" s="49">
        <v>8</v>
      </c>
      <c r="AI14" s="48">
        <v>9117</v>
      </c>
      <c r="AJ14" s="48">
        <v>2087</v>
      </c>
      <c r="AK14" s="48">
        <v>2742</v>
      </c>
      <c r="AL14" s="48">
        <v>635</v>
      </c>
      <c r="AM14" s="48">
        <v>344</v>
      </c>
      <c r="AN14" s="48">
        <v>38</v>
      </c>
      <c r="AO14" s="48">
        <v>309</v>
      </c>
      <c r="AP14" s="48">
        <v>2</v>
      </c>
      <c r="AQ14" s="54"/>
      <c r="AR14" s="53">
        <f t="shared" si="37"/>
      </c>
      <c r="AS14" s="53">
        <f t="shared" si="35"/>
      </c>
      <c r="AT14" s="53">
        <f t="shared" si="38"/>
      </c>
      <c r="AU14" s="55">
        <f t="shared" si="19"/>
      </c>
      <c r="AV14" s="56">
        <f t="shared" si="16"/>
      </c>
      <c r="AW14" s="57"/>
    </row>
    <row r="15">
      <c r="A15" s="69">
        <v>46278</v>
      </c>
      <c r="B15" s="47" t="s">
        <v>125</v>
      </c>
      <c r="C15" s="47" t="s">
        <v>123</v>
      </c>
      <c r="D15" s="47">
        <v>3</v>
      </c>
      <c r="E15" s="48">
        <v>4</v>
      </c>
      <c r="F15" s="49">
        <v>2</v>
      </c>
      <c r="G15" s="49">
        <v>2</v>
      </c>
      <c r="H15" s="49">
        <v>2</v>
      </c>
      <c r="I15" s="49">
        <v>543.89</v>
      </c>
      <c r="J15" s="49">
        <v>0</v>
      </c>
      <c r="K15" s="49">
        <v>0</v>
      </c>
      <c r="L15" s="49">
        <v>1</v>
      </c>
      <c r="M15" s="49">
        <v>1178.52</v>
      </c>
      <c r="N15" s="49">
        <v>0</v>
      </c>
      <c r="O15" s="49">
        <v>0</v>
      </c>
      <c r="P15" s="49">
        <v>1</v>
      </c>
      <c r="Q15" s="49">
        <v>5348.16</v>
      </c>
      <c r="R15" s="49">
        <v>1</v>
      </c>
      <c r="S15" s="49">
        <v>445.68</v>
      </c>
      <c r="T15" s="42">
        <f t="shared" si="22"/>
      </c>
      <c r="U15" s="50">
        <v>7673.65</v>
      </c>
      <c r="V15" s="51">
        <f t="shared" si="17"/>
      </c>
      <c r="W15" s="52">
        <f t="shared" si="0"/>
      </c>
      <c r="X15" s="52">
        <f t="shared" si="36"/>
      </c>
      <c r="Y15" s="53">
        <f t="shared" si="34"/>
      </c>
      <c r="Z15" s="53">
        <f t="shared" si="18"/>
      </c>
      <c r="AA15" s="50">
        <f t="shared" si="3"/>
      </c>
      <c r="AB15" s="70">
        <v>0</v>
      </c>
      <c r="AC15" s="49"/>
      <c r="AD15" s="49"/>
      <c r="AE15" s="48"/>
      <c r="AF15" s="48"/>
      <c r="AG15" s="48"/>
      <c r="AH15" s="49"/>
      <c r="AI15" s="48">
        <v>48872</v>
      </c>
      <c r="AJ15" s="48">
        <v>1309</v>
      </c>
      <c r="AK15" s="48">
        <v>1772</v>
      </c>
      <c r="AL15" s="48">
        <v>434</v>
      </c>
      <c r="AM15" s="48">
        <v>161</v>
      </c>
      <c r="AN15" s="48">
        <v>20</v>
      </c>
      <c r="AO15" s="48">
        <v>194</v>
      </c>
      <c r="AP15" s="49">
        <v>4</v>
      </c>
      <c r="AQ15" s="48"/>
      <c r="AR15" s="53">
        <f t="shared" si="37"/>
      </c>
      <c r="AS15" s="53">
        <f t="shared" si="35"/>
      </c>
      <c r="AT15" s="53">
        <f t="shared" si="38"/>
      </c>
      <c r="AU15" s="55">
        <f t="shared" si="19"/>
      </c>
      <c r="AV15" s="56">
        <f t="shared" si="16"/>
      </c>
      <c r="AW15" s="57"/>
    </row>
    <row r="16">
      <c r="A16" s="58">
        <v>46278</v>
      </c>
      <c r="B16" s="59"/>
      <c r="C16" s="59" t="s">
        <v>124</v>
      </c>
      <c r="D16" s="59">
        <f>D14+D15</f>
      </c>
      <c r="E16" s="59">
        <f>E14+E15</f>
      </c>
      <c r="F16" s="59">
        <f>F14+F15</f>
      </c>
      <c r="G16" s="61">
        <f>G14+G15</f>
      </c>
      <c r="H16" s="62">
        <f>H14+H15</f>
      </c>
      <c r="I16" s="63">
        <f>I14+I15</f>
      </c>
      <c r="J16" s="59">
        <f>J14+J15</f>
      </c>
      <c r="K16" s="59">
        <f>K14+K15</f>
      </c>
      <c r="L16" s="59">
        <f>L14+L15</f>
      </c>
      <c r="M16" s="59">
        <f>M14+M15</f>
      </c>
      <c r="N16" s="59">
        <f>N14+N15</f>
      </c>
      <c r="O16" s="59">
        <f>O14+O15</f>
      </c>
      <c r="P16" s="59">
        <f>P14+P15</f>
      </c>
      <c r="Q16" s="59">
        <f>Q14+Q15</f>
      </c>
      <c r="R16" s="59">
        <f>R14+R15</f>
      </c>
      <c r="S16" s="59">
        <f>S14+S15</f>
      </c>
      <c r="T16" s="59">
        <f>T14+T15</f>
      </c>
      <c r="U16" s="59">
        <f>U14+U15</f>
      </c>
      <c r="V16" s="65">
        <f t="shared" si="17"/>
      </c>
      <c r="W16" s="65">
        <f t="shared" si="0"/>
      </c>
      <c r="X16" s="65">
        <f t="shared" si="36"/>
      </c>
      <c r="Y16" s="65">
        <f t="shared" si="34"/>
      </c>
      <c r="Z16" s="66">
        <f t="shared" si="18"/>
      </c>
      <c r="AA16" s="64">
        <f>SUM(AA14)</f>
      </c>
      <c r="AB16" s="64">
        <f>SUM(AB14)</f>
      </c>
      <c r="AC16" s="64"/>
      <c r="AD16" s="64">
        <f>SUM(AD14)</f>
      </c>
      <c r="AE16" s="64"/>
      <c r="AF16" s="64"/>
      <c r="AG16" s="64"/>
      <c r="AH16" s="67">
        <v>8</v>
      </c>
      <c r="AI16" s="64">
        <f>AI14+AI15</f>
      </c>
      <c r="AJ16" s="64">
        <f>AJ14+AJ15</f>
      </c>
      <c r="AK16" s="64">
        <f>AK14+AK15</f>
      </c>
      <c r="AL16" s="64">
        <f>AL14+AL15</f>
      </c>
      <c r="AM16" s="64">
        <f>AM14+AM15</f>
      </c>
      <c r="AN16" s="64">
        <f>AN14+AN15</f>
      </c>
      <c r="AO16" s="64">
        <f>AO14+AO15</f>
      </c>
      <c r="AP16" s="64">
        <f>AP14+AP15</f>
      </c>
      <c r="AQ16" s="71"/>
      <c r="AR16" s="66">
        <f t="shared" si="37"/>
      </c>
      <c r="AS16" s="66">
        <f t="shared" si="35"/>
      </c>
      <c r="AT16" s="66">
        <f t="shared" si="38"/>
      </c>
      <c r="AU16" s="66">
        <f t="shared" si="19"/>
      </c>
      <c r="AV16" s="68">
        <f t="shared" si="16"/>
      </c>
      <c r="AW16" s="66">
        <f>F16/AM16</f>
      </c>
    </row>
    <row r="17">
      <c r="A17" s="69">
        <v>46279</v>
      </c>
      <c r="B17" s="47" t="s">
        <v>118</v>
      </c>
      <c r="C17" s="47" t="s">
        <v>121</v>
      </c>
      <c r="D17" s="47">
        <v>5</v>
      </c>
      <c r="E17" s="48">
        <v>8</v>
      </c>
      <c r="F17" s="48">
        <v>7</v>
      </c>
      <c r="G17" s="49">
        <v>3</v>
      </c>
      <c r="H17" s="49">
        <v>7</v>
      </c>
      <c r="I17" s="48">
        <v>1908.54</v>
      </c>
      <c r="J17" s="49">
        <v>0</v>
      </c>
      <c r="K17" s="49">
        <v>0</v>
      </c>
      <c r="L17" s="49">
        <v>4</v>
      </c>
      <c r="M17" s="48">
        <v>8436.6</v>
      </c>
      <c r="N17" s="49">
        <v>1</v>
      </c>
      <c r="O17" s="49">
        <v>5150.88</v>
      </c>
      <c r="P17" s="49">
        <v>2</v>
      </c>
      <c r="Q17" s="48">
        <v>9315</v>
      </c>
      <c r="R17" s="49">
        <v>2</v>
      </c>
      <c r="S17" s="49">
        <v>1032.31</v>
      </c>
      <c r="T17" s="42">
        <f t="shared" ref="T17:T18" si="23">I17*12+K17</f>
      </c>
      <c r="U17" s="50">
        <v>8506.78</v>
      </c>
      <c r="V17" s="51">
        <f t="shared" si="17"/>
      </c>
      <c r="W17" s="52">
        <f t="shared" si="0"/>
      </c>
      <c r="X17" s="52">
        <f t="shared" si="36"/>
      </c>
      <c r="Y17" s="53">
        <f t="shared" si="34"/>
      </c>
      <c r="Z17" s="53">
        <f t="shared" si="18"/>
      </c>
      <c r="AA17" s="50">
        <f t="shared" ref="AA17:AA18" si="4">L17</f>
      </c>
      <c r="AB17" s="70">
        <v>2</v>
      </c>
      <c r="AC17" s="49" t="s">
        <v>115</v>
      </c>
      <c r="AD17" s="49">
        <v>8</v>
      </c>
      <c r="AE17" s="48"/>
      <c r="AF17" s="48"/>
      <c r="AG17" s="48" t="s">
        <v>116</v>
      </c>
      <c r="AH17" s="49">
        <v>8</v>
      </c>
      <c r="AI17" s="48">
        <v>24789</v>
      </c>
      <c r="AJ17" s="48">
        <v>2235</v>
      </c>
      <c r="AK17" s="48">
        <v>3384</v>
      </c>
      <c r="AL17" s="48">
        <v>916</v>
      </c>
      <c r="AM17" s="48">
        <v>159</v>
      </c>
      <c r="AN17" s="48">
        <v>36</v>
      </c>
      <c r="AO17" s="48">
        <v>243</v>
      </c>
      <c r="AP17" s="48">
        <v>4</v>
      </c>
      <c r="AQ17" s="54"/>
      <c r="AR17" s="53">
        <f t="shared" si="37"/>
      </c>
      <c r="AS17" s="53">
        <f t="shared" si="35"/>
      </c>
      <c r="AT17" s="53">
        <f t="shared" si="38"/>
      </c>
      <c r="AU17" s="55">
        <f t="shared" si="19"/>
      </c>
      <c r="AV17" s="56">
        <f t="shared" si="16"/>
      </c>
      <c r="AW17" s="57"/>
    </row>
    <row r="18">
      <c r="A18" s="69">
        <v>46279</v>
      </c>
      <c r="B18" s="47" t="s">
        <v>126</v>
      </c>
      <c r="C18" s="47" t="s">
        <v>123</v>
      </c>
      <c r="D18" s="47">
        <v>3</v>
      </c>
      <c r="E18" s="48">
        <v>10</v>
      </c>
      <c r="F18" s="49">
        <v>5</v>
      </c>
      <c r="G18" s="49">
        <v>3</v>
      </c>
      <c r="H18" s="49">
        <v>3</v>
      </c>
      <c r="I18" s="49">
        <v>381.95</v>
      </c>
      <c r="J18" s="49">
        <v>2</v>
      </c>
      <c r="K18" s="49">
        <v>2184.5</v>
      </c>
      <c r="L18" s="49">
        <v>2</v>
      </c>
      <c r="M18" s="49">
        <v>3309.1000000000004</v>
      </c>
      <c r="N18" s="49">
        <v>0</v>
      </c>
      <c r="O18" s="49">
        <v>0</v>
      </c>
      <c r="P18" s="49">
        <v>3</v>
      </c>
      <c r="Q18" s="49">
        <v>3458.7999999999997</v>
      </c>
      <c r="R18" s="49">
        <v>0</v>
      </c>
      <c r="S18" s="49">
        <v>0</v>
      </c>
      <c r="T18" s="42">
        <f t="shared" si="23"/>
      </c>
      <c r="U18" s="50">
        <v>4656.75</v>
      </c>
      <c r="V18" s="51">
        <f t="shared" si="17"/>
      </c>
      <c r="W18" s="52">
        <f t="shared" si="0"/>
      </c>
      <c r="X18" s="52">
        <f t="shared" si="36"/>
      </c>
      <c r="Y18" s="53">
        <f t="shared" si="34"/>
      </c>
      <c r="Z18" s="53">
        <f t="shared" si="18"/>
      </c>
      <c r="AA18" s="50">
        <f t="shared" si="4"/>
      </c>
      <c r="AB18" s="70">
        <v>1</v>
      </c>
      <c r="AC18" s="49"/>
      <c r="AD18" s="49"/>
      <c r="AE18" s="48"/>
      <c r="AF18" s="48"/>
      <c r="AG18" s="48"/>
      <c r="AH18" s="49"/>
      <c r="AI18" s="48">
        <v>14373</v>
      </c>
      <c r="AJ18" s="48">
        <v>900</v>
      </c>
      <c r="AK18" s="48">
        <v>1119</v>
      </c>
      <c r="AL18" s="48">
        <v>280</v>
      </c>
      <c r="AM18" s="48">
        <v>114</v>
      </c>
      <c r="AN18" s="48">
        <v>9</v>
      </c>
      <c r="AO18" s="48">
        <v>142</v>
      </c>
      <c r="AP18" s="49">
        <v>3</v>
      </c>
      <c r="AQ18" s="48"/>
      <c r="AR18" s="53">
        <f t="shared" si="37"/>
      </c>
      <c r="AS18" s="53">
        <f t="shared" si="35"/>
      </c>
      <c r="AT18" s="53">
        <f t="shared" si="38"/>
      </c>
      <c r="AU18" s="55">
        <f t="shared" si="19"/>
      </c>
      <c r="AV18" s="56">
        <f t="shared" si="16"/>
      </c>
      <c r="AW18" s="57"/>
    </row>
    <row r="19">
      <c r="A19" s="58">
        <v>46279</v>
      </c>
      <c r="B19" s="59"/>
      <c r="C19" s="59" t="s">
        <v>124</v>
      </c>
      <c r="D19" s="59">
        <f>D17+D18</f>
      </c>
      <c r="E19" s="59">
        <f>E17+E18</f>
      </c>
      <c r="F19" s="59">
        <f>F17+F18</f>
      </c>
      <c r="G19" s="61">
        <f>G17+G18</f>
      </c>
      <c r="H19" s="62">
        <f>H17+H18</f>
      </c>
      <c r="I19" s="63">
        <f>I17+I18</f>
      </c>
      <c r="J19" s="59">
        <f>J17+J18</f>
      </c>
      <c r="K19" s="59">
        <f>K17+K18</f>
      </c>
      <c r="L19" s="59">
        <f>L17+L18</f>
      </c>
      <c r="M19" s="59">
        <f>M17+M18</f>
      </c>
      <c r="N19" s="59">
        <f>N17+N18</f>
      </c>
      <c r="O19" s="59">
        <f>O17+O18</f>
      </c>
      <c r="P19" s="59">
        <f>P17+P18</f>
      </c>
      <c r="Q19" s="59">
        <f>Q17+Q18</f>
      </c>
      <c r="R19" s="59">
        <f>R17+R18</f>
      </c>
      <c r="S19" s="59">
        <f>S17+S18</f>
      </c>
      <c r="T19" s="59">
        <f>T17+T18</f>
      </c>
      <c r="U19" s="59">
        <f>U17+U18</f>
      </c>
      <c r="V19" s="65">
        <f t="shared" si="17"/>
      </c>
      <c r="W19" s="65">
        <f t="shared" si="0"/>
      </c>
      <c r="X19" s="65">
        <f t="shared" si="36"/>
      </c>
      <c r="Y19" s="65">
        <f t="shared" si="34"/>
      </c>
      <c r="Z19" s="66">
        <f t="shared" si="18"/>
      </c>
      <c r="AA19" s="64">
        <f>SUM(AA17)</f>
      </c>
      <c r="AB19" s="64">
        <f>SUM(AB17)</f>
      </c>
      <c r="AC19" s="64"/>
      <c r="AD19" s="64">
        <f>SUM(AD17)</f>
      </c>
      <c r="AE19" s="64"/>
      <c r="AF19" s="64"/>
      <c r="AG19" s="64"/>
      <c r="AH19" s="67">
        <v>8</v>
      </c>
      <c r="AI19" s="64">
        <f>AI17+AI18</f>
      </c>
      <c r="AJ19" s="64">
        <f>AJ17+AJ18</f>
      </c>
      <c r="AK19" s="64">
        <f>AK17+AK18</f>
      </c>
      <c r="AL19" s="64">
        <f>AL17+AL18</f>
      </c>
      <c r="AM19" s="64">
        <f>AM17+AM18</f>
      </c>
      <c r="AN19" s="64">
        <f>AN17+AN18</f>
      </c>
      <c r="AO19" s="64">
        <f>AO17+AO18</f>
      </c>
      <c r="AP19" s="64">
        <f>AP17+AP18</f>
      </c>
      <c r="AQ19" s="71"/>
      <c r="AR19" s="66">
        <f t="shared" si="37"/>
      </c>
      <c r="AS19" s="66">
        <f t="shared" si="35"/>
      </c>
      <c r="AT19" s="66">
        <f t="shared" si="38"/>
      </c>
      <c r="AU19" s="66">
        <f t="shared" si="19"/>
      </c>
      <c r="AV19" s="68">
        <f t="shared" si="16"/>
      </c>
      <c r="AW19" s="66">
        <f>F19/AM19</f>
      </c>
    </row>
    <row r="20">
      <c r="A20" s="69">
        <v>46280</v>
      </c>
      <c r="B20" s="47" t="s">
        <v>118</v>
      </c>
      <c r="C20" s="47" t="s">
        <v>121</v>
      </c>
      <c r="D20" s="47">
        <v>5</v>
      </c>
      <c r="E20" s="49">
        <v>4</v>
      </c>
      <c r="F20" s="49">
        <v>2</v>
      </c>
      <c r="G20" s="49">
        <v>2</v>
      </c>
      <c r="H20" s="49">
        <v>2</v>
      </c>
      <c r="I20" s="48">
        <v>407.15999999999997</v>
      </c>
      <c r="J20" s="49">
        <v>0</v>
      </c>
      <c r="K20" s="49">
        <v>0</v>
      </c>
      <c r="L20" s="49">
        <v>0</v>
      </c>
      <c r="M20" s="49">
        <v>0</v>
      </c>
      <c r="N20" s="49">
        <v>0</v>
      </c>
      <c r="O20" s="49">
        <v>0</v>
      </c>
      <c r="P20" s="49">
        <v>2</v>
      </c>
      <c r="Q20" s="48">
        <v>4885.92</v>
      </c>
      <c r="R20" s="49">
        <v>0</v>
      </c>
      <c r="S20" s="49">
        <v>0</v>
      </c>
      <c r="T20" s="42">
        <f t="shared" ref="T20:T21" si="24">I20*12+K20</f>
      </c>
      <c r="U20" s="50">
        <v>10981.6</v>
      </c>
      <c r="V20" s="51">
        <f t="shared" si="17"/>
      </c>
      <c r="W20" s="52">
        <f t="shared" si="0"/>
      </c>
      <c r="X20" s="52">
        <f t="shared" si="36"/>
      </c>
      <c r="Y20" s="53">
        <f t="shared" si="34"/>
      </c>
      <c r="Z20" s="53">
        <f t="shared" si="18"/>
      </c>
      <c r="AA20" s="50">
        <f t="shared" ref="AA20:AA21" si="5">L20</f>
      </c>
      <c r="AB20" s="70">
        <v>0</v>
      </c>
      <c r="AC20" s="49" t="s">
        <v>127</v>
      </c>
      <c r="AD20" s="49">
        <v>8</v>
      </c>
      <c r="AE20" s="48"/>
      <c r="AF20" s="48"/>
      <c r="AG20" s="48" t="s">
        <v>116</v>
      </c>
      <c r="AH20" s="49">
        <v>8</v>
      </c>
      <c r="AI20" s="48">
        <v>31256</v>
      </c>
      <c r="AJ20" s="48">
        <v>1940</v>
      </c>
      <c r="AK20" s="48">
        <v>2565</v>
      </c>
      <c r="AL20" s="48">
        <v>749</v>
      </c>
      <c r="AM20" s="48">
        <v>287</v>
      </c>
      <c r="AN20" s="48">
        <v>24</v>
      </c>
      <c r="AO20" s="48">
        <v>243</v>
      </c>
      <c r="AP20" s="48">
        <v>0</v>
      </c>
      <c r="AQ20" s="54"/>
      <c r="AR20" s="53">
        <f t="shared" si="37"/>
      </c>
      <c r="AS20" s="53">
        <f t="shared" si="35"/>
      </c>
      <c r="AT20" s="53">
        <f t="shared" si="38"/>
      </c>
      <c r="AU20" s="55">
        <f t="shared" si="19"/>
      </c>
      <c r="AV20" s="56">
        <f t="shared" si="16"/>
      </c>
      <c r="AW20" s="57"/>
    </row>
    <row r="21">
      <c r="A21" s="69">
        <v>46280</v>
      </c>
      <c r="B21" s="47" t="s">
        <v>128</v>
      </c>
      <c r="C21" s="47" t="s">
        <v>123</v>
      </c>
      <c r="D21" s="47">
        <v>3</v>
      </c>
      <c r="E21" s="49">
        <v>1</v>
      </c>
      <c r="F21" s="49">
        <v>1</v>
      </c>
      <c r="G21" s="49">
        <v>1</v>
      </c>
      <c r="H21" s="49">
        <v>1</v>
      </c>
      <c r="I21" s="49">
        <v>78.57</v>
      </c>
      <c r="J21" s="49">
        <v>0</v>
      </c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1</v>
      </c>
      <c r="Q21" s="49">
        <v>942.8399999999999</v>
      </c>
      <c r="R21" s="49">
        <v>0</v>
      </c>
      <c r="S21" s="49">
        <v>0</v>
      </c>
      <c r="T21" s="42">
        <f t="shared" si="24"/>
      </c>
      <c r="U21" s="50">
        <v>3247.2799999999997</v>
      </c>
      <c r="V21" s="51">
        <f t="shared" si="17"/>
      </c>
      <c r="W21" s="52">
        <f t="shared" si="0"/>
      </c>
      <c r="X21" s="52">
        <f t="shared" si="36"/>
      </c>
      <c r="Y21" s="53">
        <f t="shared" si="34"/>
      </c>
      <c r="Z21" s="53">
        <f t="shared" si="18"/>
      </c>
      <c r="AA21" s="50">
        <f t="shared" si="5"/>
      </c>
      <c r="AB21" s="70">
        <v>0</v>
      </c>
      <c r="AC21" s="49"/>
      <c r="AD21" s="49"/>
      <c r="AE21" s="48"/>
      <c r="AF21" s="48"/>
      <c r="AG21" s="48"/>
      <c r="AH21" s="49"/>
      <c r="AI21" s="48">
        <v>8691</v>
      </c>
      <c r="AJ21" s="48">
        <v>672</v>
      </c>
      <c r="AK21" s="48">
        <v>914</v>
      </c>
      <c r="AL21" s="48">
        <v>251</v>
      </c>
      <c r="AM21" s="48">
        <v>72</v>
      </c>
      <c r="AN21" s="48">
        <v>11</v>
      </c>
      <c r="AO21" s="48">
        <v>58</v>
      </c>
      <c r="AP21" s="49">
        <v>1</v>
      </c>
      <c r="AQ21" s="48"/>
      <c r="AR21" s="53">
        <f t="shared" si="37"/>
      </c>
      <c r="AS21" s="53">
        <f t="shared" si="35"/>
      </c>
      <c r="AT21" s="53">
        <f t="shared" si="38"/>
      </c>
      <c r="AU21" s="55">
        <f t="shared" si="19"/>
      </c>
      <c r="AV21" s="56">
        <f t="shared" si="16"/>
      </c>
      <c r="AW21" s="57"/>
    </row>
    <row customHeight="true" ht="16.071428571428573" r="22">
      <c r="A22" s="58">
        <v>46280</v>
      </c>
      <c r="B22" s="59"/>
      <c r="C22" s="59" t="s">
        <v>124</v>
      </c>
      <c r="D22" s="59">
        <f>D20+D21</f>
      </c>
      <c r="E22" s="59">
        <f>E20+E21</f>
      </c>
      <c r="F22" s="59">
        <f>F20+F21</f>
      </c>
      <c r="G22" s="61">
        <f>G20+G21</f>
      </c>
      <c r="H22" s="62">
        <f>H20+H21</f>
      </c>
      <c r="I22" s="63">
        <f>I20+I21</f>
      </c>
      <c r="J22" s="59">
        <f>J20+J21</f>
      </c>
      <c r="K22" s="59">
        <f>K20+K21</f>
      </c>
      <c r="L22" s="59">
        <f>L20+L21</f>
      </c>
      <c r="M22" s="59">
        <f>M20+M21</f>
      </c>
      <c r="N22" s="59">
        <f>N20+N21</f>
      </c>
      <c r="O22" s="59">
        <f>O20+O21</f>
      </c>
      <c r="P22" s="59">
        <f>P20+P21</f>
      </c>
      <c r="Q22" s="59">
        <f>Q20+Q21</f>
      </c>
      <c r="R22" s="59">
        <f>R20+R21</f>
      </c>
      <c r="S22" s="59">
        <f>S20+S21</f>
      </c>
      <c r="T22" s="59">
        <f>T20+T21</f>
      </c>
      <c r="U22" s="59">
        <f>U20+U21</f>
      </c>
      <c r="V22" s="65">
        <f t="shared" si="17"/>
      </c>
      <c r="W22" s="65">
        <f t="shared" si="0"/>
      </c>
      <c r="X22" s="65">
        <f t="shared" si="36"/>
      </c>
      <c r="Y22" s="65">
        <f t="shared" si="34"/>
      </c>
      <c r="Z22" s="66">
        <f t="shared" si="18"/>
      </c>
      <c r="AA22" s="64">
        <f>SUM(AA20)</f>
      </c>
      <c r="AB22" s="64">
        <f>SUM(AB20)</f>
      </c>
      <c r="AC22" s="64"/>
      <c r="AD22" s="64">
        <f>SUM(AD20)</f>
      </c>
      <c r="AE22" s="64"/>
      <c r="AF22" s="64"/>
      <c r="AG22" s="64"/>
      <c r="AH22" s="67">
        <v>8</v>
      </c>
      <c r="AI22" s="64">
        <f>AI20+AI21</f>
      </c>
      <c r="AJ22" s="64">
        <f>AJ20+AJ21</f>
      </c>
      <c r="AK22" s="64">
        <f>AK20+AK21</f>
      </c>
      <c r="AL22" s="64">
        <f>AL20+AL21</f>
      </c>
      <c r="AM22" s="64">
        <f>AM20+AM21</f>
      </c>
      <c r="AN22" s="64">
        <f>AN20+AN21</f>
      </c>
      <c r="AO22" s="64">
        <f>AO20+AO21</f>
      </c>
      <c r="AP22" s="64">
        <f>AP20+AP21</f>
      </c>
      <c r="AQ22" s="71"/>
      <c r="AR22" s="66">
        <f t="shared" si="37"/>
      </c>
      <c r="AS22" s="66">
        <f t="shared" si="35"/>
      </c>
      <c r="AT22" s="66">
        <f t="shared" si="38"/>
      </c>
      <c r="AU22" s="66">
        <f t="shared" si="19"/>
      </c>
      <c r="AV22" s="68">
        <f t="shared" si="16"/>
      </c>
      <c r="AW22" s="66">
        <f>F22/AM22</f>
      </c>
    </row>
    <row customHeight="true" ht="16.071428571428573" r="23">
      <c r="A23" s="69">
        <v>46281</v>
      </c>
      <c r="B23" s="47" t="s">
        <v>128</v>
      </c>
      <c r="C23" s="47" t="s">
        <v>129</v>
      </c>
      <c r="D23" s="47">
        <v>1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49">
        <v>0</v>
      </c>
      <c r="L23" s="49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2">
        <f>I23*12+K23</f>
      </c>
      <c r="U23" s="50">
        <v>1988.02</v>
      </c>
      <c r="V23" s="51">
        <f t="shared" si="17"/>
      </c>
      <c r="W23" s="52">
        <f t="shared" si="0"/>
      </c>
      <c r="X23" s="52">
        <f t="shared" si="36"/>
      </c>
      <c r="Y23" s="53">
        <f t="shared" si="34"/>
      </c>
      <c r="Z23" s="53">
        <f t="shared" si="18"/>
      </c>
      <c r="AA23" s="50">
        <f>L23</f>
      </c>
      <c r="AB23" s="70">
        <v>0</v>
      </c>
      <c r="AC23" s="49" t="s">
        <v>115</v>
      </c>
      <c r="AD23" s="49">
        <v>1</v>
      </c>
      <c r="AE23" s="48"/>
      <c r="AF23" s="48"/>
      <c r="AG23" s="48" t="s">
        <v>116</v>
      </c>
      <c r="AH23" s="49">
        <v>1</v>
      </c>
      <c r="AI23" s="48">
        <v>5475</v>
      </c>
      <c r="AJ23" s="48">
        <v>388</v>
      </c>
      <c r="AK23" s="48">
        <v>531</v>
      </c>
      <c r="AL23" s="48">
        <v>176</v>
      </c>
      <c r="AM23" s="48">
        <v>36</v>
      </c>
      <c r="AN23" s="48">
        <v>7</v>
      </c>
      <c r="AO23" s="48">
        <v>38</v>
      </c>
      <c r="AP23" s="48">
        <v>0</v>
      </c>
      <c r="AQ23" s="54"/>
      <c r="AR23" s="53">
        <f t="shared" si="37"/>
      </c>
      <c r="AS23" s="53">
        <f t="shared" si="35"/>
      </c>
      <c r="AT23" s="53">
        <f t="shared" si="38"/>
      </c>
      <c r="AU23" s="55">
        <f t="shared" si="19"/>
      </c>
      <c r="AV23" s="56">
        <f t="shared" si="16"/>
      </c>
      <c r="AW23" s="57"/>
    </row>
    <row customHeight="true" ht="16.071428571428573" r="24">
      <c r="A24" s="58">
        <v>46281</v>
      </c>
      <c r="B24" s="59"/>
      <c r="C24" s="60" t="s">
        <v>130</v>
      </c>
      <c r="D24" s="59">
        <f>D23</f>
      </c>
      <c r="E24" s="59">
        <f>E23</f>
      </c>
      <c r="F24" s="59">
        <f>F23</f>
      </c>
      <c r="G24" s="61">
        <f>G23</f>
      </c>
      <c r="H24" s="62">
        <f>H23</f>
      </c>
      <c r="I24" s="63">
        <f>I23</f>
      </c>
      <c r="J24" s="59">
        <f>J23</f>
      </c>
      <c r="K24" s="59">
        <f>K23</f>
      </c>
      <c r="L24" s="59">
        <f>L23</f>
      </c>
      <c r="M24" s="59">
        <f>M23</f>
      </c>
      <c r="N24" s="59">
        <f>N23</f>
      </c>
      <c r="O24" s="59">
        <f>O23</f>
      </c>
      <c r="P24" s="59">
        <f>P23</f>
      </c>
      <c r="Q24" s="59">
        <f>Q23</f>
      </c>
      <c r="R24" s="59">
        <f>R23</f>
      </c>
      <c r="S24" s="59">
        <f>S23</f>
      </c>
      <c r="T24" s="59">
        <f>T23</f>
      </c>
      <c r="U24" s="59">
        <f>U23</f>
      </c>
      <c r="V24" s="65">
        <f t="shared" si="17"/>
      </c>
      <c r="W24" s="65">
        <f t="shared" si="0"/>
      </c>
      <c r="X24" s="65">
        <f t="shared" si="36"/>
      </c>
      <c r="Y24" s="65">
        <f t="shared" si="34"/>
      </c>
      <c r="Z24" s="66">
        <f t="shared" si="18"/>
      </c>
      <c r="AA24" s="64">
        <f>SUM(AA23)</f>
      </c>
      <c r="AB24" s="64">
        <f>SUM(AB23)</f>
      </c>
      <c r="AC24" s="64"/>
      <c r="AD24" s="64">
        <f>AD23</f>
      </c>
      <c r="AE24" s="64"/>
      <c r="AF24" s="64"/>
      <c r="AG24" s="64"/>
      <c r="AH24" s="67">
        <v>1</v>
      </c>
      <c r="AI24" s="64">
        <f>AI23</f>
      </c>
      <c r="AJ24" s="64">
        <f>AJ23</f>
      </c>
      <c r="AK24" s="64">
        <f>AK23</f>
      </c>
      <c r="AL24" s="64">
        <f>AL23</f>
      </c>
      <c r="AM24" s="64">
        <f>AM23</f>
      </c>
      <c r="AN24" s="64">
        <f>AN23</f>
      </c>
      <c r="AO24" s="64">
        <f>AO23</f>
      </c>
      <c r="AP24" s="64">
        <f>AP23</f>
      </c>
      <c r="AQ24" s="71"/>
      <c r="AR24" s="66">
        <f t="shared" si="37"/>
      </c>
      <c r="AS24" s="66">
        <f t="shared" si="35"/>
      </c>
      <c r="AT24" s="66">
        <f t="shared" si="38"/>
      </c>
      <c r="AU24" s="66">
        <f t="shared" si="19"/>
      </c>
      <c r="AV24" s="68">
        <f t="shared" si="16"/>
      </c>
      <c r="AW24" s="66">
        <f>F24/AM24</f>
      </c>
    </row>
    <row customHeight="true" ht="16.071428571428573" r="25">
      <c r="A25" s="69">
        <v>46285</v>
      </c>
      <c r="B25" s="47" t="s">
        <v>128</v>
      </c>
      <c r="C25" s="47" t="s">
        <v>131</v>
      </c>
      <c r="D25" s="47">
        <v>4</v>
      </c>
      <c r="E25" s="49">
        <v>3</v>
      </c>
      <c r="F25" s="49">
        <v>0</v>
      </c>
      <c r="G25" s="49">
        <v>0</v>
      </c>
      <c r="H25" s="49">
        <v>0</v>
      </c>
      <c r="I25" s="49">
        <v>0</v>
      </c>
      <c r="J25" s="49">
        <v>0</v>
      </c>
      <c r="K25" s="49">
        <v>0</v>
      </c>
      <c r="L25" s="49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2">
        <f t="shared" ref="T25:T26" si="25">I25*12+K25</f>
      </c>
      <c r="U25" s="50">
        <v>4621.29</v>
      </c>
      <c r="V25" s="51">
        <f t="shared" si="17"/>
      </c>
      <c r="W25" s="52">
        <f t="shared" si="0"/>
      </c>
      <c r="X25" s="52">
        <f t="shared" si="36"/>
      </c>
      <c r="Y25" s="53">
        <f t="shared" si="34"/>
      </c>
      <c r="Z25" s="53">
        <f t="shared" si="18"/>
      </c>
      <c r="AA25" s="50">
        <f t="shared" ref="AA25:AA26" si="6">L25</f>
      </c>
      <c r="AB25" s="70">
        <v>0</v>
      </c>
      <c r="AC25" s="49" t="s">
        <v>127</v>
      </c>
      <c r="AD25" s="49">
        <v>8</v>
      </c>
      <c r="AE25" s="48"/>
      <c r="AF25" s="48"/>
      <c r="AG25" s="48" t="s">
        <v>116</v>
      </c>
      <c r="AH25" s="49">
        <v>8</v>
      </c>
      <c r="AI25" s="48">
        <v>12316</v>
      </c>
      <c r="AJ25" s="48">
        <v>1250</v>
      </c>
      <c r="AK25" s="48">
        <v>1617</v>
      </c>
      <c r="AL25" s="48">
        <v>466</v>
      </c>
      <c r="AM25" s="48">
        <v>87</v>
      </c>
      <c r="AN25" s="48">
        <v>22</v>
      </c>
      <c r="AO25" s="48">
        <v>92</v>
      </c>
      <c r="AP25" s="48">
        <v>1</v>
      </c>
      <c r="AQ25" s="54"/>
      <c r="AR25" s="53">
        <f t="shared" si="37"/>
      </c>
      <c r="AS25" s="53">
        <f t="shared" si="35"/>
      </c>
      <c r="AT25" s="53">
        <f t="shared" si="38"/>
      </c>
      <c r="AU25" s="55">
        <f t="shared" si="19"/>
      </c>
      <c r="AV25" s="56">
        <f t="shared" si="16"/>
      </c>
      <c r="AW25" s="57"/>
    </row>
    <row customHeight="true" ht="16.071428571428573" r="26">
      <c r="A26" s="69">
        <v>46285</v>
      </c>
      <c r="B26" s="47" t="s">
        <v>126</v>
      </c>
      <c r="C26" s="47" t="s">
        <v>132</v>
      </c>
      <c r="D26" s="47">
        <v>4</v>
      </c>
      <c r="E26" s="49">
        <v>4</v>
      </c>
      <c r="F26" s="49">
        <v>4</v>
      </c>
      <c r="G26" s="49">
        <v>2</v>
      </c>
      <c r="H26" s="49">
        <v>4</v>
      </c>
      <c r="I26" s="49">
        <v>606.27</v>
      </c>
      <c r="J26" s="49">
        <v>0</v>
      </c>
      <c r="K26" s="49">
        <v>0</v>
      </c>
      <c r="L26" s="49">
        <v>3</v>
      </c>
      <c r="M26" s="49">
        <v>6059.16</v>
      </c>
      <c r="N26" s="49">
        <v>0</v>
      </c>
      <c r="O26" s="49">
        <v>0</v>
      </c>
      <c r="P26" s="49">
        <v>1</v>
      </c>
      <c r="Q26" s="49">
        <v>1216.08</v>
      </c>
      <c r="R26" s="49">
        <v>0</v>
      </c>
      <c r="S26" s="49">
        <v>0</v>
      </c>
      <c r="T26" s="42">
        <f t="shared" si="25"/>
      </c>
      <c r="U26" s="50">
        <v>5673.55</v>
      </c>
      <c r="V26" s="51">
        <f t="shared" si="17"/>
      </c>
      <c r="W26" s="52">
        <f t="shared" si="0"/>
      </c>
      <c r="X26" s="52">
        <f t="shared" si="36"/>
      </c>
      <c r="Y26" s="53">
        <f t="shared" si="34"/>
      </c>
      <c r="Z26" s="53">
        <f t="shared" si="18"/>
      </c>
      <c r="AA26" s="50">
        <f t="shared" si="6"/>
      </c>
      <c r="AB26" s="70">
        <v>1</v>
      </c>
      <c r="AC26" s="49"/>
      <c r="AD26" s="49"/>
      <c r="AE26" s="48"/>
      <c r="AF26" s="48"/>
      <c r="AG26" s="48"/>
      <c r="AH26" s="49"/>
      <c r="AI26" s="48">
        <v>16872</v>
      </c>
      <c r="AJ26" s="48">
        <v>1374</v>
      </c>
      <c r="AK26" s="48">
        <v>2015</v>
      </c>
      <c r="AL26" s="48">
        <v>534</v>
      </c>
      <c r="AM26" s="48">
        <v>72</v>
      </c>
      <c r="AN26" s="48">
        <v>17</v>
      </c>
      <c r="AO26" s="48">
        <v>141</v>
      </c>
      <c r="AP26" s="49">
        <v>0</v>
      </c>
      <c r="AQ26" s="48"/>
      <c r="AR26" s="53">
        <f t="shared" si="37"/>
      </c>
      <c r="AS26" s="53">
        <f t="shared" si="35"/>
      </c>
      <c r="AT26" s="53">
        <f t="shared" si="38"/>
      </c>
      <c r="AU26" s="55">
        <f t="shared" si="19"/>
      </c>
      <c r="AV26" s="56">
        <f t="shared" si="16"/>
      </c>
      <c r="AW26" s="57"/>
    </row>
    <row customHeight="true" ht="16.071428571428573" r="27">
      <c r="A27" s="58">
        <v>46285</v>
      </c>
      <c r="B27" s="59"/>
      <c r="C27" s="59" t="s">
        <v>124</v>
      </c>
      <c r="D27" s="59">
        <f>D25+D26</f>
      </c>
      <c r="E27" s="59">
        <f>E25+E26</f>
      </c>
      <c r="F27" s="59">
        <f>F25+F26</f>
      </c>
      <c r="G27" s="61">
        <f>G25+G26</f>
      </c>
      <c r="H27" s="62">
        <f>H25+H26</f>
      </c>
      <c r="I27" s="63">
        <f>I25+I26</f>
      </c>
      <c r="J27" s="59">
        <f>J25+J26</f>
      </c>
      <c r="K27" s="59">
        <f>K25+K26</f>
      </c>
      <c r="L27" s="59">
        <f>L25+L26</f>
      </c>
      <c r="M27" s="59">
        <f>M25+M26</f>
      </c>
      <c r="N27" s="59">
        <f>N25+N26</f>
      </c>
      <c r="O27" s="59">
        <f>O25+O26</f>
      </c>
      <c r="P27" s="59">
        <f>P25+P26</f>
      </c>
      <c r="Q27" s="59">
        <f>Q25+Q26</f>
      </c>
      <c r="R27" s="59">
        <f>R25+R26</f>
      </c>
      <c r="S27" s="59">
        <f>S25+S26</f>
      </c>
      <c r="T27" s="59">
        <f>T25+T26</f>
      </c>
      <c r="U27" s="59">
        <v>10295.01</v>
      </c>
      <c r="V27" s="65">
        <f t="shared" si="17"/>
      </c>
      <c r="W27" s="65">
        <f t="shared" si="0"/>
      </c>
      <c r="X27" s="65">
        <f t="shared" si="36"/>
      </c>
      <c r="Y27" s="65">
        <f t="shared" si="34"/>
      </c>
      <c r="Z27" s="66">
        <f t="shared" si="18"/>
      </c>
      <c r="AA27" s="64">
        <f>SUM(AA25)</f>
      </c>
      <c r="AB27" s="64">
        <f>SUM(AB25)</f>
      </c>
      <c r="AC27" s="64"/>
      <c r="AD27" s="64">
        <f>SUM(AD25)</f>
      </c>
      <c r="AE27" s="64"/>
      <c r="AF27" s="64"/>
      <c r="AG27" s="64"/>
      <c r="AH27" s="67">
        <v>8</v>
      </c>
      <c r="AI27" s="64">
        <f>AI25+AI26</f>
      </c>
      <c r="AJ27" s="64">
        <f>AJ25+AJ26</f>
      </c>
      <c r="AK27" s="64">
        <f>AK25+AK26</f>
      </c>
      <c r="AL27" s="64">
        <f>AL25+AL26</f>
      </c>
      <c r="AM27" s="64">
        <f>AM25+AM26</f>
      </c>
      <c r="AN27" s="64">
        <f>AN25+AN26</f>
      </c>
      <c r="AO27" s="64">
        <f>AO25+AO26</f>
      </c>
      <c r="AP27" s="64">
        <f>AP25+AP26</f>
      </c>
      <c r="AQ27" s="71"/>
      <c r="AR27" s="66">
        <f t="shared" si="37"/>
      </c>
      <c r="AS27" s="66">
        <f t="shared" si="35"/>
      </c>
      <c r="AT27" s="66">
        <f t="shared" si="38"/>
      </c>
      <c r="AU27" s="66">
        <f t="shared" si="19"/>
      </c>
      <c r="AV27" s="68">
        <f t="shared" si="16"/>
      </c>
      <c r="AW27" s="66">
        <f>F27/AM27</f>
      </c>
    </row>
    <row customHeight="true" ht="16.071428571428573" r="28">
      <c r="A28" s="69">
        <v>46286</v>
      </c>
      <c r="B28" s="47" t="s">
        <v>113</v>
      </c>
      <c r="C28" s="47" t="s">
        <v>121</v>
      </c>
      <c r="D28" s="47">
        <v>5</v>
      </c>
      <c r="E28" s="49">
        <v>17</v>
      </c>
      <c r="F28" s="49">
        <v>3</v>
      </c>
      <c r="G28" s="49">
        <v>3</v>
      </c>
      <c r="H28" s="49">
        <v>3</v>
      </c>
      <c r="I28" s="48">
        <v>1173.71</v>
      </c>
      <c r="J28" s="49">
        <v>0</v>
      </c>
      <c r="K28" s="49">
        <v>0</v>
      </c>
      <c r="L28" s="49">
        <v>2</v>
      </c>
      <c r="M28" s="48">
        <v>6163.079999999999</v>
      </c>
      <c r="N28" s="49">
        <v>0</v>
      </c>
      <c r="O28" s="49">
        <v>0</v>
      </c>
      <c r="P28" s="49">
        <v>1</v>
      </c>
      <c r="Q28" s="48">
        <v>7921.4400000000005</v>
      </c>
      <c r="R28" s="49">
        <v>3</v>
      </c>
      <c r="S28" s="48">
        <v>1173.71</v>
      </c>
      <c r="T28" s="42">
        <f t="shared" ref="T28:T29" si="26">I28*12+K28</f>
      </c>
      <c r="U28" s="72">
        <v>8849.59</v>
      </c>
      <c r="V28" s="51">
        <f t="shared" si="17"/>
      </c>
      <c r="W28" s="52">
        <f t="shared" si="0"/>
      </c>
      <c r="X28" s="52">
        <f t="shared" si="36"/>
      </c>
      <c r="Y28" s="53">
        <f t="shared" si="34"/>
      </c>
      <c r="Z28" s="53">
        <f t="shared" si="18"/>
      </c>
      <c r="AA28" s="73">
        <v>2</v>
      </c>
      <c r="AB28" s="73">
        <v>0</v>
      </c>
      <c r="AC28" s="49" t="s">
        <v>133</v>
      </c>
      <c r="AD28" s="49">
        <v>8</v>
      </c>
      <c r="AE28" s="48"/>
      <c r="AF28" s="48"/>
      <c r="AG28" s="48" t="s">
        <v>116</v>
      </c>
      <c r="AH28" s="48">
        <v>8</v>
      </c>
      <c r="AI28" s="48">
        <v>21081</v>
      </c>
      <c r="AJ28" s="48">
        <v>1936</v>
      </c>
      <c r="AK28" s="48">
        <v>2628</v>
      </c>
      <c r="AL28" s="48">
        <v>758</v>
      </c>
      <c r="AM28" s="48">
        <v>161</v>
      </c>
      <c r="AN28" s="48">
        <v>22</v>
      </c>
      <c r="AO28" s="48">
        <v>150</v>
      </c>
      <c r="AP28" s="48">
        <v>2</v>
      </c>
      <c r="AQ28" s="54"/>
      <c r="AR28" s="53">
        <f t="shared" si="37"/>
      </c>
      <c r="AS28" s="53">
        <f t="shared" si="35"/>
      </c>
      <c r="AT28" s="53">
        <f t="shared" si="38"/>
      </c>
      <c r="AU28" s="74">
        <f t="shared" si="19"/>
      </c>
      <c r="AV28" s="56">
        <f t="shared" si="16"/>
      </c>
      <c r="AW28" s="57"/>
    </row>
    <row customHeight="true" ht="16.071428571428573" r="29">
      <c r="A29" s="46">
        <v>46286</v>
      </c>
      <c r="B29" s="42" t="s">
        <v>128</v>
      </c>
      <c r="C29" s="47" t="s">
        <v>123</v>
      </c>
      <c r="D29" s="47">
        <v>3</v>
      </c>
      <c r="E29" s="49">
        <v>14</v>
      </c>
      <c r="F29" s="49">
        <v>4</v>
      </c>
      <c r="G29" s="49">
        <v>2</v>
      </c>
      <c r="H29" s="49">
        <v>4</v>
      </c>
      <c r="I29" s="48">
        <v>630.46</v>
      </c>
      <c r="J29" s="49">
        <v>0</v>
      </c>
      <c r="K29" s="49">
        <v>0</v>
      </c>
      <c r="L29" s="49">
        <v>3</v>
      </c>
      <c r="M29" s="48">
        <v>6827.88</v>
      </c>
      <c r="N29" s="49">
        <v>0</v>
      </c>
      <c r="O29" s="49">
        <v>0</v>
      </c>
      <c r="P29" s="49">
        <v>1</v>
      </c>
      <c r="Q29" s="48">
        <v>737.64</v>
      </c>
      <c r="R29" s="49">
        <v>1</v>
      </c>
      <c r="S29" s="48">
        <v>267.14</v>
      </c>
      <c r="T29" s="42">
        <f t="shared" si="26"/>
      </c>
      <c r="U29" s="72">
        <v>8036.0599999999995</v>
      </c>
      <c r="V29" s="51">
        <f t="shared" si="17"/>
      </c>
      <c r="W29" s="52">
        <f t="shared" si="0"/>
      </c>
      <c r="X29" s="52">
        <f t="shared" si="36"/>
      </c>
      <c r="Y29" s="53">
        <f t="shared" si="34"/>
      </c>
      <c r="Z29" s="53">
        <f t="shared" si="18"/>
      </c>
      <c r="AA29" s="73">
        <v>2</v>
      </c>
      <c r="AB29" s="73">
        <v>0</v>
      </c>
      <c r="AC29" s="48"/>
      <c r="AD29" s="48"/>
      <c r="AE29" s="48"/>
      <c r="AF29" s="48"/>
      <c r="AG29" s="48"/>
      <c r="AH29" s="48"/>
      <c r="AI29" s="48">
        <v>26889</v>
      </c>
      <c r="AJ29" s="48">
        <v>1140</v>
      </c>
      <c r="AK29" s="48">
        <v>1525</v>
      </c>
      <c r="AL29" s="48">
        <v>425</v>
      </c>
      <c r="AM29" s="48">
        <v>203</v>
      </c>
      <c r="AN29" s="48">
        <v>22</v>
      </c>
      <c r="AO29" s="48">
        <v>141</v>
      </c>
      <c r="AP29" s="48">
        <v>1</v>
      </c>
      <c r="AQ29" s="48"/>
      <c r="AR29" s="53">
        <f t="shared" si="37"/>
      </c>
      <c r="AS29" s="53">
        <f t="shared" si="35"/>
      </c>
      <c r="AT29" s="53">
        <f t="shared" si="38"/>
      </c>
      <c r="AU29" s="74">
        <f t="shared" si="19"/>
      </c>
      <c r="AV29" s="56">
        <f t="shared" si="16"/>
      </c>
      <c r="AW29" s="57"/>
    </row>
    <row customHeight="true" ht="16.071428571428573" r="30">
      <c r="A30" s="75">
        <v>46286</v>
      </c>
      <c r="B30" s="59"/>
      <c r="C30" s="59" t="s">
        <v>124</v>
      </c>
      <c r="D30" s="59">
        <f>D28+D29</f>
      </c>
      <c r="E30" s="59">
        <f>E28+E29</f>
      </c>
      <c r="F30" s="59">
        <f>F28+F29</f>
      </c>
      <c r="G30" s="61">
        <f>G28+G29</f>
      </c>
      <c r="H30" s="62">
        <f>H28+H29</f>
      </c>
      <c r="I30" s="63">
        <f>I28+I29</f>
      </c>
      <c r="J30" s="59">
        <f>J28+J29</f>
      </c>
      <c r="K30" s="59">
        <f>K28+K29</f>
      </c>
      <c r="L30" s="59">
        <f>L28+L29</f>
      </c>
      <c r="M30" s="59">
        <f>M28+M29</f>
      </c>
      <c r="N30" s="59">
        <f>N28+N29</f>
      </c>
      <c r="O30" s="59">
        <f>O28+O29</f>
      </c>
      <c r="P30" s="59">
        <f>P28+P29</f>
      </c>
      <c r="Q30" s="59">
        <f>Q28+Q29</f>
      </c>
      <c r="R30" s="59">
        <f>R28+R29</f>
      </c>
      <c r="S30" s="59">
        <f>S28+S29</f>
      </c>
      <c r="T30" s="59">
        <f>T28+T29</f>
      </c>
      <c r="U30" s="59">
        <f>U28+U29</f>
      </c>
      <c r="V30" s="65">
        <f t="shared" si="17"/>
      </c>
      <c r="W30" s="65">
        <f t="shared" si="0"/>
      </c>
      <c r="X30" s="65">
        <f t="shared" si="36"/>
      </c>
      <c r="Y30" s="65">
        <f t="shared" si="34"/>
      </c>
      <c r="Z30" s="66">
        <f t="shared" si="18"/>
      </c>
      <c r="AA30" s="64">
        <f>SUM(AA28)</f>
      </c>
      <c r="AB30" s="64">
        <f>SUM(AB28)</f>
      </c>
      <c r="AC30" s="64"/>
      <c r="AD30" s="64">
        <f>SUM(AD28)</f>
      </c>
      <c r="AE30" s="64"/>
      <c r="AF30" s="64"/>
      <c r="AG30" s="64"/>
      <c r="AH30" s="64">
        <v>8</v>
      </c>
      <c r="AI30" s="64">
        <f>AI28+AI29</f>
      </c>
      <c r="AJ30" s="64">
        <f>AJ28+AJ29</f>
      </c>
      <c r="AK30" s="64">
        <f>AK28+AK29</f>
      </c>
      <c r="AL30" s="64">
        <f>AL28+AL29</f>
      </c>
      <c r="AM30" s="64">
        <f>AM28+AM29</f>
      </c>
      <c r="AN30" s="64">
        <f>AN28+AN29</f>
      </c>
      <c r="AO30" s="64">
        <f>AO28+AO29</f>
      </c>
      <c r="AP30" s="64">
        <f>AP28+AP29</f>
      </c>
      <c r="AQ30" s="71"/>
      <c r="AR30" s="66">
        <f t="shared" si="37"/>
      </c>
      <c r="AS30" s="66">
        <f t="shared" si="35"/>
      </c>
      <c r="AT30" s="66">
        <f t="shared" si="38"/>
      </c>
      <c r="AU30" s="66">
        <f t="shared" si="19"/>
      </c>
      <c r="AV30" s="68">
        <f t="shared" si="16"/>
      </c>
      <c r="AW30" s="66">
        <f>F30/AM30</f>
      </c>
    </row>
    <row customHeight="true" ht="16.071428571428573" r="31">
      <c r="A31" s="69">
        <v>46287</v>
      </c>
      <c r="B31" s="47" t="s">
        <v>118</v>
      </c>
      <c r="C31" s="47" t="s">
        <v>121</v>
      </c>
      <c r="D31" s="47">
        <v>5</v>
      </c>
      <c r="E31" s="49">
        <v>11</v>
      </c>
      <c r="F31" s="49">
        <v>9</v>
      </c>
      <c r="G31" s="49">
        <v>9</v>
      </c>
      <c r="H31" s="49">
        <v>9</v>
      </c>
      <c r="I31" s="48">
        <v>2082.84</v>
      </c>
      <c r="J31" s="49">
        <v>0</v>
      </c>
      <c r="K31" s="49">
        <v>0</v>
      </c>
      <c r="L31" s="49">
        <v>8</v>
      </c>
      <c r="M31" s="49">
        <v>21757.44</v>
      </c>
      <c r="N31" s="49">
        <v>1</v>
      </c>
      <c r="O31" s="49">
        <v>3236.6400000000003</v>
      </c>
      <c r="P31" s="49">
        <v>0</v>
      </c>
      <c r="Q31" s="49">
        <v>0</v>
      </c>
      <c r="R31" s="49">
        <v>2</v>
      </c>
      <c r="S31" s="49">
        <v>924.77</v>
      </c>
      <c r="T31" s="42">
        <f t="shared" ref="T31:T32" si="27">I31*12+K31</f>
      </c>
      <c r="U31" s="50">
        <v>9860.11</v>
      </c>
      <c r="V31" s="51">
        <f t="shared" si="17"/>
      </c>
      <c r="W31" s="52">
        <f t="shared" si="0"/>
      </c>
      <c r="X31" s="52">
        <f t="shared" si="36"/>
      </c>
      <c r="Y31" s="53">
        <f t="shared" si="34"/>
      </c>
      <c r="Z31" s="53">
        <f t="shared" si="18"/>
      </c>
      <c r="AA31" s="50">
        <f t="shared" ref="AA31:AA32" si="7">L31</f>
      </c>
      <c r="AB31" s="70">
        <v>1</v>
      </c>
      <c r="AC31" s="76" t="s">
        <v>134</v>
      </c>
      <c r="AD31" s="49">
        <v>8</v>
      </c>
      <c r="AE31" s="48"/>
      <c r="AF31" s="48"/>
      <c r="AG31" s="48" t="s">
        <v>116</v>
      </c>
      <c r="AH31" s="49">
        <v>8</v>
      </c>
      <c r="AI31" s="48">
        <v>23684</v>
      </c>
      <c r="AJ31" s="48">
        <v>1957</v>
      </c>
      <c r="AK31" s="48">
        <v>2890</v>
      </c>
      <c r="AL31" s="48">
        <v>878</v>
      </c>
      <c r="AM31" s="48">
        <v>162</v>
      </c>
      <c r="AN31" s="48">
        <v>18</v>
      </c>
      <c r="AO31" s="48">
        <v>237</v>
      </c>
      <c r="AP31" s="48">
        <v>1</v>
      </c>
      <c r="AQ31" s="54"/>
      <c r="AR31" s="53">
        <f t="shared" si="37"/>
      </c>
      <c r="AS31" s="53">
        <f t="shared" si="35"/>
      </c>
      <c r="AT31" s="53">
        <f t="shared" si="38"/>
      </c>
      <c r="AU31" s="55">
        <f t="shared" si="19"/>
      </c>
      <c r="AV31" s="56">
        <f t="shared" si="16"/>
      </c>
      <c r="AW31" s="57"/>
    </row>
    <row customHeight="true" ht="16.071428571428573" r="32">
      <c r="A32" s="69">
        <v>46287</v>
      </c>
      <c r="B32" s="47" t="s">
        <v>128</v>
      </c>
      <c r="C32" s="47" t="s">
        <v>123</v>
      </c>
      <c r="D32" s="47">
        <v>3</v>
      </c>
      <c r="E32" s="49">
        <v>5</v>
      </c>
      <c r="F32" s="49">
        <v>3</v>
      </c>
      <c r="G32" s="49">
        <v>3</v>
      </c>
      <c r="H32" s="49">
        <v>3</v>
      </c>
      <c r="I32" s="49">
        <v>712.27</v>
      </c>
      <c r="J32" s="49">
        <v>0</v>
      </c>
      <c r="K32" s="49">
        <v>0</v>
      </c>
      <c r="L32" s="49">
        <v>3</v>
      </c>
      <c r="M32" s="49">
        <v>8547.24</v>
      </c>
      <c r="N32" s="49">
        <v>0</v>
      </c>
      <c r="O32" s="49">
        <v>0</v>
      </c>
      <c r="P32" s="49">
        <v>0</v>
      </c>
      <c r="Q32" s="49">
        <v>0</v>
      </c>
      <c r="R32" s="49">
        <v>0</v>
      </c>
      <c r="S32" s="49">
        <v>0</v>
      </c>
      <c r="T32" s="42">
        <f t="shared" si="27"/>
      </c>
      <c r="U32" s="50">
        <v>10320.2</v>
      </c>
      <c r="V32" s="51">
        <f t="shared" si="17"/>
      </c>
      <c r="W32" s="52">
        <f t="shared" si="0"/>
      </c>
      <c r="X32" s="52">
        <f t="shared" si="36"/>
      </c>
      <c r="Y32" s="53">
        <f t="shared" si="34"/>
      </c>
      <c r="Z32" s="53">
        <f t="shared" si="18"/>
      </c>
      <c r="AA32" s="50">
        <f t="shared" si="7"/>
      </c>
      <c r="AB32" s="70">
        <v>0</v>
      </c>
      <c r="AC32" s="49"/>
      <c r="AD32" s="49"/>
      <c r="AE32" s="48"/>
      <c r="AF32" s="48"/>
      <c r="AG32" s="48"/>
      <c r="AH32" s="49">
        <v>4</v>
      </c>
      <c r="AI32" s="48">
        <v>24063</v>
      </c>
      <c r="AJ32" s="48">
        <v>2538</v>
      </c>
      <c r="AK32" s="48">
        <v>4012</v>
      </c>
      <c r="AL32" s="48">
        <v>1047</v>
      </c>
      <c r="AM32" s="48">
        <v>151</v>
      </c>
      <c r="AN32" s="48">
        <v>30</v>
      </c>
      <c r="AO32" s="48">
        <v>184</v>
      </c>
      <c r="AP32" s="49">
        <v>2</v>
      </c>
      <c r="AQ32" s="48"/>
      <c r="AR32" s="53">
        <f t="shared" si="37"/>
      </c>
      <c r="AS32" s="53">
        <f t="shared" si="35"/>
      </c>
      <c r="AT32" s="53">
        <f t="shared" si="38"/>
      </c>
      <c r="AU32" s="55">
        <f t="shared" si="19"/>
      </c>
      <c r="AV32" s="56">
        <f t="shared" si="16"/>
      </c>
      <c r="AW32" s="57"/>
    </row>
    <row customHeight="true" ht="16.071428571428573" r="33">
      <c r="A33" s="58">
        <v>46287</v>
      </c>
      <c r="B33" s="59"/>
      <c r="C33" s="59" t="s">
        <v>124</v>
      </c>
      <c r="D33" s="59">
        <f>D31+D32</f>
      </c>
      <c r="E33" s="59">
        <f>E31+E32</f>
      </c>
      <c r="F33" s="59">
        <f>F31+F32</f>
      </c>
      <c r="G33" s="61">
        <f>G31+G32</f>
      </c>
      <c r="H33" s="62">
        <f>H31+H32</f>
      </c>
      <c r="I33" s="63">
        <f>I31+I32</f>
      </c>
      <c r="J33" s="59">
        <f>J31+J32</f>
      </c>
      <c r="K33" s="59">
        <f>K31+K32</f>
      </c>
      <c r="L33" s="59">
        <f>L31+L32</f>
      </c>
      <c r="M33" s="59">
        <f>M31+M32</f>
      </c>
      <c r="N33" s="59">
        <f>N31+N32</f>
      </c>
      <c r="O33" s="59">
        <f>O31+O32</f>
      </c>
      <c r="P33" s="59">
        <f>P31+P32</f>
      </c>
      <c r="Q33" s="59">
        <f>Q31+Q32</f>
      </c>
      <c r="R33" s="59">
        <f>R31+R32</f>
      </c>
      <c r="S33" s="59">
        <f>S31+S32</f>
      </c>
      <c r="T33" s="59">
        <f>T31+T32</f>
      </c>
      <c r="U33" s="59">
        <f>U31+U32</f>
      </c>
      <c r="V33" s="65">
        <f t="shared" si="17"/>
      </c>
      <c r="W33" s="65">
        <f t="shared" si="0"/>
      </c>
      <c r="X33" s="65">
        <f t="shared" si="36"/>
      </c>
      <c r="Y33" s="65">
        <f t="shared" si="34"/>
      </c>
      <c r="Z33" s="66">
        <f t="shared" si="18"/>
      </c>
      <c r="AA33" s="64">
        <f>SUM(AA31)</f>
      </c>
      <c r="AB33" s="64">
        <f>SUM(AB31)</f>
      </c>
      <c r="AC33" s="64"/>
      <c r="AD33" s="64">
        <f>SUM(AD31)</f>
      </c>
      <c r="AE33" s="64"/>
      <c r="AF33" s="64"/>
      <c r="AG33" s="64"/>
      <c r="AH33" s="67">
        <v>8</v>
      </c>
      <c r="AI33" s="64">
        <f>AI31+AI32</f>
      </c>
      <c r="AJ33" s="64">
        <f>AJ31+AJ32</f>
      </c>
      <c r="AK33" s="64">
        <f>AK31+AK32</f>
      </c>
      <c r="AL33" s="64">
        <f>AL31+AL32</f>
      </c>
      <c r="AM33" s="64">
        <f>AM31+AM32</f>
      </c>
      <c r="AN33" s="64">
        <f>AN31+AN32</f>
      </c>
      <c r="AO33" s="64">
        <f>AO31+AO32</f>
      </c>
      <c r="AP33" s="64">
        <f>AP31+AP32</f>
      </c>
      <c r="AQ33" s="71"/>
      <c r="AR33" s="66">
        <f t="shared" si="37"/>
      </c>
      <c r="AS33" s="66">
        <f t="shared" si="35"/>
      </c>
      <c r="AT33" s="66">
        <f t="shared" si="38"/>
      </c>
      <c r="AU33" s="66">
        <f t="shared" si="19"/>
      </c>
      <c r="AV33" s="68">
        <f t="shared" si="16"/>
      </c>
      <c r="AW33" s="66">
        <f>F33/AM33</f>
      </c>
    </row>
    <row customHeight="true" ht="16.071428571428573" r="34">
      <c r="A34" s="69">
        <v>46288</v>
      </c>
      <c r="B34" s="47" t="s">
        <v>118</v>
      </c>
      <c r="C34" s="47" t="s">
        <v>121</v>
      </c>
      <c r="D34" s="47">
        <v>5</v>
      </c>
      <c r="E34" s="49">
        <v>5</v>
      </c>
      <c r="F34" s="49">
        <v>3</v>
      </c>
      <c r="G34" s="49">
        <v>3</v>
      </c>
      <c r="H34" s="49">
        <v>3</v>
      </c>
      <c r="I34" s="48">
        <v>306.44</v>
      </c>
      <c r="J34" s="49">
        <v>0</v>
      </c>
      <c r="K34" s="49">
        <v>0</v>
      </c>
      <c r="L34" s="49">
        <v>3</v>
      </c>
      <c r="M34" s="49">
        <v>3677.2799999999997</v>
      </c>
      <c r="N34" s="49">
        <v>0</v>
      </c>
      <c r="O34" s="49">
        <v>0</v>
      </c>
      <c r="P34" s="49">
        <v>0</v>
      </c>
      <c r="Q34" s="49">
        <v>0</v>
      </c>
      <c r="R34" s="49">
        <v>0</v>
      </c>
      <c r="S34" s="49">
        <v>0</v>
      </c>
      <c r="T34" s="42">
        <f t="shared" ref="T34:T35" si="28">I34*12+K34</f>
      </c>
      <c r="U34" s="50">
        <v>8920.43</v>
      </c>
      <c r="V34" s="51">
        <f t="shared" si="17"/>
      </c>
      <c r="W34" s="52">
        <f t="shared" si="0"/>
      </c>
      <c r="X34" s="52">
        <f t="shared" si="36"/>
      </c>
      <c r="Y34" s="53">
        <f t="shared" si="34"/>
      </c>
      <c r="Z34" s="53">
        <f t="shared" si="18"/>
      </c>
      <c r="AA34" s="50">
        <f t="shared" ref="AA34:AA35" si="8">L34</f>
      </c>
      <c r="AB34" s="70">
        <v>0</v>
      </c>
      <c r="AC34" s="49" t="s">
        <v>127</v>
      </c>
      <c r="AD34" s="49">
        <v>8</v>
      </c>
      <c r="AE34" s="48"/>
      <c r="AF34" s="48"/>
      <c r="AG34" s="48" t="s">
        <v>116</v>
      </c>
      <c r="AH34" s="49">
        <v>8</v>
      </c>
      <c r="AI34" s="48">
        <v>23546</v>
      </c>
      <c r="AJ34" s="48">
        <v>1682</v>
      </c>
      <c r="AK34" s="48">
        <v>2365</v>
      </c>
      <c r="AL34" s="48">
        <v>753</v>
      </c>
      <c r="AM34" s="48">
        <v>173</v>
      </c>
      <c r="AN34" s="48">
        <v>21</v>
      </c>
      <c r="AO34" s="48">
        <v>222</v>
      </c>
      <c r="AP34" s="48">
        <v>2</v>
      </c>
      <c r="AQ34" s="54"/>
      <c r="AR34" s="53">
        <f t="shared" si="37"/>
      </c>
      <c r="AS34" s="53">
        <f t="shared" si="35"/>
      </c>
      <c r="AT34" s="53">
        <f t="shared" si="38"/>
      </c>
      <c r="AU34" s="55">
        <f t="shared" si="19"/>
      </c>
      <c r="AV34" s="56">
        <f t="shared" si="16"/>
      </c>
      <c r="AW34" s="57"/>
    </row>
    <row r="35">
      <c r="A35" s="69">
        <v>46288</v>
      </c>
      <c r="B35" s="47" t="s">
        <v>135</v>
      </c>
      <c r="C35" s="47" t="s">
        <v>123</v>
      </c>
      <c r="D35" s="47">
        <v>3</v>
      </c>
      <c r="E35" s="49">
        <v>4</v>
      </c>
      <c r="F35" s="49">
        <v>3</v>
      </c>
      <c r="G35" s="49">
        <v>3</v>
      </c>
      <c r="H35" s="49">
        <v>3</v>
      </c>
      <c r="I35" s="49">
        <v>362.42</v>
      </c>
      <c r="J35" s="49">
        <v>0</v>
      </c>
      <c r="K35" s="49">
        <v>0</v>
      </c>
      <c r="L35" s="49">
        <v>3</v>
      </c>
      <c r="M35" s="49">
        <v>4349.04</v>
      </c>
      <c r="N35" s="49">
        <v>0</v>
      </c>
      <c r="O35" s="49">
        <v>0</v>
      </c>
      <c r="P35" s="49">
        <v>0</v>
      </c>
      <c r="Q35" s="49">
        <v>0</v>
      </c>
      <c r="R35" s="49">
        <v>1</v>
      </c>
      <c r="S35" s="49">
        <v>140.59</v>
      </c>
      <c r="T35" s="42">
        <f t="shared" si="28"/>
      </c>
      <c r="U35" s="50">
        <v>5881.35</v>
      </c>
      <c r="V35" s="51">
        <f t="shared" si="17"/>
      </c>
      <c r="W35" s="52">
        <f t="shared" si="0"/>
      </c>
      <c r="X35" s="52">
        <f t="shared" si="36"/>
      </c>
      <c r="Y35" s="53">
        <f t="shared" si="34"/>
      </c>
      <c r="Z35" s="53">
        <f t="shared" si="18"/>
      </c>
      <c r="AA35" s="50">
        <f t="shared" si="8"/>
      </c>
      <c r="AB35" s="70">
        <v>0</v>
      </c>
      <c r="AC35" s="49"/>
      <c r="AD35" s="49"/>
      <c r="AE35" s="48"/>
      <c r="AF35" s="48"/>
      <c r="AG35" s="48"/>
      <c r="AH35" s="49"/>
      <c r="AI35" s="48">
        <v>13939</v>
      </c>
      <c r="AJ35" s="48">
        <v>1268</v>
      </c>
      <c r="AK35" s="48">
        <v>1589</v>
      </c>
      <c r="AL35" s="48">
        <v>459</v>
      </c>
      <c r="AM35" s="48">
        <v>68</v>
      </c>
      <c r="AN35" s="48">
        <v>17</v>
      </c>
      <c r="AO35" s="48">
        <v>136</v>
      </c>
      <c r="AP35" s="49">
        <v>3</v>
      </c>
      <c r="AQ35" s="48"/>
      <c r="AR35" s="53">
        <f t="shared" si="37"/>
      </c>
      <c r="AS35" s="53">
        <f t="shared" si="35"/>
      </c>
      <c r="AT35" s="53">
        <f t="shared" si="38"/>
      </c>
      <c r="AU35" s="55">
        <f t="shared" si="19"/>
      </c>
      <c r="AV35" s="56">
        <f t="shared" si="16"/>
      </c>
      <c r="AW35" s="57"/>
    </row>
    <row r="36">
      <c r="A36" s="58">
        <v>46288</v>
      </c>
      <c r="B36" s="59"/>
      <c r="C36" s="59" t="s">
        <v>124</v>
      </c>
      <c r="D36" s="59">
        <f>D34+D35</f>
      </c>
      <c r="E36" s="59">
        <f>E34+E35</f>
      </c>
      <c r="F36" s="59">
        <f>F34+F35</f>
      </c>
      <c r="G36" s="61">
        <f>G34+G35</f>
      </c>
      <c r="H36" s="62">
        <f>H34+H35</f>
      </c>
      <c r="I36" s="63">
        <f>I34+I35</f>
      </c>
      <c r="J36" s="59">
        <f>J34+J35</f>
      </c>
      <c r="K36" s="59">
        <f>K34+K35</f>
      </c>
      <c r="L36" s="59">
        <f>L34+L35</f>
      </c>
      <c r="M36" s="59">
        <f>M34+M35</f>
      </c>
      <c r="N36" s="59">
        <f>N34+N35</f>
      </c>
      <c r="O36" s="59">
        <f>O34+O35</f>
      </c>
      <c r="P36" s="59">
        <f>P34+P35</f>
      </c>
      <c r="Q36" s="59">
        <f>Q34+Q35</f>
      </c>
      <c r="R36" s="59">
        <f>R34+R35</f>
      </c>
      <c r="S36" s="59">
        <f>S34+S35</f>
      </c>
      <c r="T36" s="59">
        <f>T34+T35</f>
      </c>
      <c r="U36" s="59">
        <f>U34+U35</f>
      </c>
      <c r="V36" s="65">
        <f t="shared" si="17"/>
      </c>
      <c r="W36" s="65">
        <f t="shared" si="0"/>
      </c>
      <c r="X36" s="65">
        <f t="shared" si="36"/>
      </c>
      <c r="Y36" s="65">
        <f t="shared" si="34"/>
      </c>
      <c r="Z36" s="66">
        <f t="shared" si="18"/>
      </c>
      <c r="AA36" s="64">
        <f>SUM(AA34)</f>
      </c>
      <c r="AB36" s="64">
        <f>SUM(AB34)</f>
      </c>
      <c r="AC36" s="64"/>
      <c r="AD36" s="64">
        <f>SUM(AD34)</f>
      </c>
      <c r="AE36" s="64"/>
      <c r="AF36" s="64"/>
      <c r="AG36" s="64"/>
      <c r="AH36" s="67">
        <v>8</v>
      </c>
      <c r="AI36" s="64">
        <f>AI34+AI35</f>
      </c>
      <c r="AJ36" s="64">
        <f>AJ34+AJ35</f>
      </c>
      <c r="AK36" s="64">
        <f>AK34+AK35</f>
      </c>
      <c r="AL36" s="64">
        <f>AL34+AL35</f>
      </c>
      <c r="AM36" s="64">
        <f>AM34+AM35</f>
      </c>
      <c r="AN36" s="64">
        <f>AN34+AN35</f>
      </c>
      <c r="AO36" s="64">
        <f>AO34+AO35</f>
      </c>
      <c r="AP36" s="64">
        <f>AP34+AP35</f>
      </c>
      <c r="AQ36" s="71"/>
      <c r="AR36" s="66">
        <f t="shared" si="37"/>
      </c>
      <c r="AS36" s="66">
        <f t="shared" si="35"/>
      </c>
      <c r="AT36" s="66">
        <f t="shared" si="38"/>
      </c>
      <c r="AU36" s="66">
        <f t="shared" si="19"/>
      </c>
      <c r="AV36" s="68">
        <f t="shared" si="16"/>
      </c>
      <c r="AW36" s="66">
        <f>F36/AM36</f>
      </c>
    </row>
    <row r="37">
      <c r="A37" s="69">
        <v>46289</v>
      </c>
      <c r="B37" s="47" t="s">
        <v>136</v>
      </c>
      <c r="C37" s="47" t="s">
        <v>121</v>
      </c>
      <c r="D37" s="47">
        <v>5</v>
      </c>
      <c r="E37" s="49">
        <v>5</v>
      </c>
      <c r="F37" s="49">
        <v>1</v>
      </c>
      <c r="G37" s="49">
        <v>1</v>
      </c>
      <c r="H37" s="49">
        <v>1</v>
      </c>
      <c r="I37" s="48">
        <v>76.28</v>
      </c>
      <c r="J37" s="49">
        <v>0</v>
      </c>
      <c r="K37" s="49">
        <v>0</v>
      </c>
      <c r="L37" s="49">
        <v>1</v>
      </c>
      <c r="M37" s="49">
        <v>915.36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2">
        <f t="shared" ref="T37:T38" si="29">I37*12+K37</f>
      </c>
      <c r="U37" s="50">
        <v>6916.620000000001</v>
      </c>
      <c r="V37" s="51">
        <f t="shared" si="17"/>
      </c>
      <c r="W37" s="52">
        <f t="shared" si="0"/>
      </c>
      <c r="X37" s="52">
        <f t="shared" si="36"/>
      </c>
      <c r="Y37" s="53">
        <f t="shared" si="34"/>
      </c>
      <c r="Z37" s="53">
        <f t="shared" si="18"/>
      </c>
      <c r="AA37" s="50">
        <f t="shared" ref="AA37:AA38" si="9">L37</f>
      </c>
      <c r="AB37" s="70">
        <v>0</v>
      </c>
      <c r="AC37" s="49" t="s">
        <v>127</v>
      </c>
      <c r="AD37" s="49">
        <v>8</v>
      </c>
      <c r="AE37" s="48"/>
      <c r="AF37" s="48"/>
      <c r="AG37" s="48" t="s">
        <v>116</v>
      </c>
      <c r="AH37" s="49">
        <v>8</v>
      </c>
      <c r="AI37" s="48">
        <v>15532</v>
      </c>
      <c r="AJ37" s="48">
        <v>2041</v>
      </c>
      <c r="AK37" s="48">
        <v>3163</v>
      </c>
      <c r="AL37" s="48">
        <v>873</v>
      </c>
      <c r="AM37" s="48">
        <v>101</v>
      </c>
      <c r="AN37" s="48">
        <v>37</v>
      </c>
      <c r="AO37" s="48">
        <v>140</v>
      </c>
      <c r="AP37" s="48">
        <v>1</v>
      </c>
      <c r="AQ37" s="54"/>
      <c r="AR37" s="53">
        <f t="shared" si="37"/>
      </c>
      <c r="AS37" s="53">
        <f t="shared" si="35"/>
      </c>
      <c r="AT37" s="53">
        <f t="shared" si="38"/>
      </c>
      <c r="AU37" s="55">
        <f t="shared" si="19"/>
      </c>
      <c r="AV37" s="56">
        <f t="shared" si="16"/>
      </c>
      <c r="AW37" s="57"/>
    </row>
    <row r="38">
      <c r="A38" s="69">
        <v>46289</v>
      </c>
      <c r="B38" s="47" t="s">
        <v>137</v>
      </c>
      <c r="C38" s="47" t="s">
        <v>123</v>
      </c>
      <c r="D38" s="47">
        <v>3</v>
      </c>
      <c r="E38" s="49">
        <v>3</v>
      </c>
      <c r="F38" s="49">
        <v>2</v>
      </c>
      <c r="G38" s="49">
        <v>2</v>
      </c>
      <c r="H38" s="49">
        <v>2</v>
      </c>
      <c r="I38" s="49">
        <v>321.75</v>
      </c>
      <c r="J38" s="49">
        <v>0</v>
      </c>
      <c r="K38" s="49">
        <v>0</v>
      </c>
      <c r="L38" s="49">
        <v>2</v>
      </c>
      <c r="M38" s="49">
        <v>3861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2">
        <f t="shared" si="29"/>
      </c>
      <c r="U38" s="50">
        <v>3097.9000000000005</v>
      </c>
      <c r="V38" s="51">
        <f t="shared" si="17"/>
      </c>
      <c r="W38" s="52">
        <f t="shared" si="0"/>
      </c>
      <c r="X38" s="52">
        <f t="shared" si="36"/>
      </c>
      <c r="Y38" s="53">
        <f t="shared" si="34"/>
      </c>
      <c r="Z38" s="53">
        <f t="shared" si="18"/>
      </c>
      <c r="AA38" s="50">
        <f t="shared" si="9"/>
      </c>
      <c r="AB38" s="70">
        <v>0</v>
      </c>
      <c r="AC38" s="49"/>
      <c r="AD38" s="49"/>
      <c r="AE38" s="48"/>
      <c r="AF38" s="48"/>
      <c r="AG38" s="48"/>
      <c r="AH38" s="49"/>
      <c r="AI38" s="48">
        <v>7561</v>
      </c>
      <c r="AJ38" s="48">
        <v>963</v>
      </c>
      <c r="AK38" s="48">
        <v>1799</v>
      </c>
      <c r="AL38" s="48">
        <v>373</v>
      </c>
      <c r="AM38" s="48">
        <v>45</v>
      </c>
      <c r="AN38" s="48">
        <v>8</v>
      </c>
      <c r="AO38" s="48">
        <v>82</v>
      </c>
      <c r="AP38" s="49">
        <v>0</v>
      </c>
      <c r="AQ38" s="48"/>
      <c r="AR38" s="53">
        <f t="shared" si="37"/>
      </c>
      <c r="AS38" s="53">
        <f t="shared" si="35"/>
      </c>
      <c r="AT38" s="53">
        <f t="shared" si="38"/>
      </c>
      <c r="AU38" s="55">
        <f t="shared" si="19"/>
      </c>
      <c r="AV38" s="56">
        <f t="shared" si="16"/>
      </c>
      <c r="AW38" s="57"/>
    </row>
    <row r="39">
      <c r="A39" s="58">
        <v>46289</v>
      </c>
      <c r="B39" s="59"/>
      <c r="C39" s="59"/>
      <c r="D39" s="59">
        <f>D37+D38</f>
      </c>
      <c r="E39" s="59">
        <f>E37+E38</f>
      </c>
      <c r="F39" s="59">
        <f>F37+F38</f>
      </c>
      <c r="G39" s="59">
        <f>G37+G38</f>
      </c>
      <c r="H39" s="59">
        <f>H37+H38</f>
      </c>
      <c r="I39" s="59">
        <f>I37+I38</f>
      </c>
      <c r="J39" s="59">
        <f>J37+J38</f>
      </c>
      <c r="K39" s="59">
        <f>K37+K38</f>
      </c>
      <c r="L39" s="59">
        <f>L37+L38</f>
      </c>
      <c r="M39" s="59">
        <f>M37+M38</f>
      </c>
      <c r="N39" s="59">
        <f>N37+N38</f>
      </c>
      <c r="O39" s="59">
        <f>O37+O38</f>
      </c>
      <c r="P39" s="59">
        <f>P37+P38</f>
      </c>
      <c r="Q39" s="59">
        <f>Q37+Q38</f>
      </c>
      <c r="R39" s="59">
        <f>R37+R38</f>
      </c>
      <c r="S39" s="59">
        <f>S37+S38</f>
      </c>
      <c r="T39" s="59">
        <f>T37+T38</f>
      </c>
      <c r="U39" s="59">
        <f>U37+U38</f>
      </c>
      <c r="V39" s="65">
        <f t="shared" si="17"/>
      </c>
      <c r="W39" s="65">
        <f t="shared" si="0"/>
      </c>
      <c r="X39" s="65">
        <f t="shared" si="36"/>
      </c>
      <c r="Y39" s="65">
        <f t="shared" si="34"/>
      </c>
      <c r="Z39" s="66">
        <f t="shared" si="18"/>
      </c>
      <c r="AA39" s="64">
        <f>SUM(AA37)</f>
      </c>
      <c r="AB39" s="64">
        <f>SUM(AB37)</f>
      </c>
      <c r="AC39" s="64"/>
      <c r="AD39" s="64">
        <f>SUM(AD37)</f>
      </c>
      <c r="AE39" s="64"/>
      <c r="AF39" s="64"/>
      <c r="AG39" s="64"/>
      <c r="AH39" s="67">
        <v>8</v>
      </c>
      <c r="AI39" s="64">
        <f>AI37+AI38</f>
      </c>
      <c r="AJ39" s="64">
        <f>AJ37+AJ38</f>
      </c>
      <c r="AK39" s="64">
        <f>AK37+AK38</f>
      </c>
      <c r="AL39" s="64">
        <f>AL37+AL38</f>
      </c>
      <c r="AM39" s="64">
        <f>AM37+AM38</f>
      </c>
      <c r="AN39" s="64">
        <f>AN37+AN38</f>
      </c>
      <c r="AO39" s="64">
        <f>AO37+AO38</f>
      </c>
      <c r="AP39" s="64">
        <f>AP37+AP38</f>
      </c>
      <c r="AQ39" s="71"/>
      <c r="AR39" s="66">
        <f t="shared" si="37"/>
      </c>
      <c r="AS39" s="66">
        <f t="shared" si="35"/>
      </c>
      <c r="AT39" s="66">
        <f t="shared" si="38"/>
      </c>
      <c r="AU39" s="66">
        <f t="shared" si="19"/>
      </c>
      <c r="AV39" s="68">
        <f t="shared" si="16"/>
      </c>
      <c r="AW39" s="66">
        <f>F39/AM39</f>
      </c>
    </row>
    <row r="40">
      <c r="A40" s="69">
        <v>46290</v>
      </c>
      <c r="B40" s="47" t="s">
        <v>128</v>
      </c>
      <c r="C40" s="47" t="s">
        <v>121</v>
      </c>
      <c r="D40" s="77">
        <f>5-0.2</f>
      </c>
      <c r="E40" s="49">
        <v>5</v>
      </c>
      <c r="F40" s="49">
        <v>1</v>
      </c>
      <c r="G40" s="49">
        <v>1</v>
      </c>
      <c r="H40" s="49">
        <v>1</v>
      </c>
      <c r="I40" s="49">
        <v>118.88</v>
      </c>
      <c r="J40" s="49">
        <v>0</v>
      </c>
      <c r="K40" s="49">
        <v>0</v>
      </c>
      <c r="L40" s="49">
        <v>1</v>
      </c>
      <c r="M40" s="49">
        <v>1426.56</v>
      </c>
      <c r="N40" s="49">
        <v>0</v>
      </c>
      <c r="O40" s="49">
        <v>0</v>
      </c>
      <c r="P40" s="49">
        <v>0</v>
      </c>
      <c r="Q40" s="49">
        <v>0</v>
      </c>
      <c r="R40" s="49">
        <v>0</v>
      </c>
      <c r="S40" s="49">
        <v>0</v>
      </c>
      <c r="T40" s="47">
        <v>1426.56</v>
      </c>
      <c r="U40" s="50">
        <v>6357.040000000001</v>
      </c>
      <c r="V40" s="51">
        <f t="shared" si="17"/>
      </c>
      <c r="W40" s="52">
        <f t="shared" si="0"/>
      </c>
      <c r="X40" s="52">
        <f t="shared" si="36"/>
      </c>
      <c r="Y40" s="53">
        <f t="shared" si="34"/>
      </c>
      <c r="Z40" s="53">
        <f t="shared" si="18"/>
      </c>
      <c r="AA40" s="50">
        <f t="shared" ref="AA40:AA41" si="10">L40</f>
      </c>
      <c r="AB40" s="70">
        <v>0</v>
      </c>
      <c r="AC40" s="49" t="s">
        <v>138</v>
      </c>
      <c r="AD40" s="49">
        <v>8</v>
      </c>
      <c r="AE40" s="48"/>
      <c r="AF40" s="48"/>
      <c r="AG40" s="48" t="s">
        <v>116</v>
      </c>
      <c r="AH40" s="49">
        <v>8</v>
      </c>
      <c r="AI40" s="48">
        <v>12124</v>
      </c>
      <c r="AJ40" s="48">
        <v>1692</v>
      </c>
      <c r="AK40" s="48">
        <v>2474</v>
      </c>
      <c r="AL40" s="48">
        <v>730</v>
      </c>
      <c r="AM40" s="48">
        <v>86</v>
      </c>
      <c r="AN40" s="49">
        <v>18</v>
      </c>
      <c r="AO40" s="49">
        <v>110</v>
      </c>
      <c r="AP40" s="49">
        <v>0</v>
      </c>
      <c r="AQ40" s="54"/>
      <c r="AR40" s="53">
        <f t="shared" si="37"/>
      </c>
      <c r="AS40" s="53">
        <f t="shared" si="35"/>
      </c>
      <c r="AT40" s="53">
        <f t="shared" si="38"/>
      </c>
      <c r="AU40" s="55">
        <f t="shared" si="19"/>
      </c>
      <c r="AV40" s="56">
        <f t="shared" si="16"/>
      </c>
      <c r="AW40" s="57"/>
    </row>
    <row r="41">
      <c r="A41" s="69">
        <v>46290</v>
      </c>
      <c r="B41" s="47" t="s">
        <v>137</v>
      </c>
      <c r="C41" s="47" t="s">
        <v>123</v>
      </c>
      <c r="D41" s="47">
        <v>3</v>
      </c>
      <c r="E41" s="49">
        <v>3</v>
      </c>
      <c r="F41" s="49">
        <v>1</v>
      </c>
      <c r="G41" s="49">
        <v>1</v>
      </c>
      <c r="H41" s="49">
        <v>1</v>
      </c>
      <c r="I41" s="49">
        <v>72.11</v>
      </c>
      <c r="J41" s="49">
        <v>0</v>
      </c>
      <c r="K41" s="49">
        <v>0</v>
      </c>
      <c r="L41" s="49">
        <v>1</v>
      </c>
      <c r="M41" s="49">
        <v>865.32</v>
      </c>
      <c r="N41" s="49">
        <v>0</v>
      </c>
      <c r="O41" s="49">
        <v>0</v>
      </c>
      <c r="P41" s="49">
        <v>0</v>
      </c>
      <c r="Q41" s="49">
        <v>0</v>
      </c>
      <c r="R41" s="49">
        <v>0</v>
      </c>
      <c r="S41" s="49">
        <v>0</v>
      </c>
      <c r="T41" s="42">
        <v>865.32</v>
      </c>
      <c r="U41" s="50">
        <v>3592.0299999999997</v>
      </c>
      <c r="V41" s="51">
        <f t="shared" si="17"/>
      </c>
      <c r="W41" s="52">
        <f t="shared" si="0"/>
      </c>
      <c r="X41" s="52">
        <f t="shared" si="36"/>
      </c>
      <c r="Y41" s="53">
        <f t="shared" si="34"/>
      </c>
      <c r="Z41" s="53">
        <f t="shared" si="18"/>
      </c>
      <c r="AA41" s="50">
        <f t="shared" si="10"/>
      </c>
      <c r="AB41" s="70">
        <v>0</v>
      </c>
      <c r="AC41" s="49"/>
      <c r="AD41" s="49"/>
      <c r="AE41" s="48"/>
      <c r="AF41" s="48"/>
      <c r="AG41" s="48"/>
      <c r="AH41" s="49"/>
      <c r="AI41" s="48">
        <v>7434</v>
      </c>
      <c r="AJ41" s="48">
        <v>1101</v>
      </c>
      <c r="AK41" s="48">
        <v>1768</v>
      </c>
      <c r="AL41" s="48">
        <v>446</v>
      </c>
      <c r="AM41" s="48">
        <v>42</v>
      </c>
      <c r="AN41" s="49">
        <v>8</v>
      </c>
      <c r="AO41" s="49">
        <v>78</v>
      </c>
      <c r="AP41" s="49">
        <v>1</v>
      </c>
      <c r="AQ41" s="48"/>
      <c r="AR41" s="53">
        <f t="shared" si="37"/>
      </c>
      <c r="AS41" s="53">
        <f t="shared" si="35"/>
      </c>
      <c r="AT41" s="53">
        <f t="shared" si="38"/>
      </c>
      <c r="AU41" s="55">
        <f t="shared" si="19"/>
      </c>
      <c r="AV41" s="56">
        <f t="shared" si="16"/>
      </c>
      <c r="AW41" s="57"/>
    </row>
    <row r="42">
      <c r="A42" s="58">
        <v>46290</v>
      </c>
      <c r="B42" s="59"/>
      <c r="C42" s="59"/>
      <c r="D42" s="59">
        <f>D40+D41</f>
      </c>
      <c r="E42" s="59">
        <f>E40+E41</f>
      </c>
      <c r="F42" s="59">
        <f>F40+F41</f>
      </c>
      <c r="G42" s="59">
        <f>G40+G41</f>
      </c>
      <c r="H42" s="59">
        <f>H40+H41</f>
      </c>
      <c r="I42" s="59">
        <f>I40+I41</f>
      </c>
      <c r="J42" s="59">
        <f>J40+J41</f>
      </c>
      <c r="K42" s="59">
        <f>K40+K41</f>
      </c>
      <c r="L42" s="59">
        <f>L40+L41</f>
      </c>
      <c r="M42" s="59">
        <f>M40+M41</f>
      </c>
      <c r="N42" s="59">
        <f>N40+N41</f>
      </c>
      <c r="O42" s="59">
        <f>O40+O41</f>
      </c>
      <c r="P42" s="59">
        <f>P40+P41</f>
      </c>
      <c r="Q42" s="59">
        <f>Q40+Q41</f>
      </c>
      <c r="R42" s="59">
        <f>R40+R41</f>
      </c>
      <c r="S42" s="59">
        <f>S40+S41</f>
      </c>
      <c r="T42" s="59">
        <f>T40+T41</f>
      </c>
      <c r="U42" s="59">
        <f>U40+U41</f>
      </c>
      <c r="V42" s="65">
        <f t="shared" si="17"/>
      </c>
      <c r="W42" s="65">
        <f t="shared" si="0"/>
      </c>
      <c r="X42" s="65">
        <f t="shared" si="36"/>
      </c>
      <c r="Y42" s="65">
        <f t="shared" si="34"/>
      </c>
      <c r="Z42" s="66">
        <f t="shared" si="18"/>
      </c>
      <c r="AA42" s="64">
        <f>SUM(AA40)</f>
      </c>
      <c r="AB42" s="64">
        <f>SUM(AB40)</f>
      </c>
      <c r="AC42" s="64"/>
      <c r="AD42" s="64">
        <f>SUM(AD40)</f>
      </c>
      <c r="AE42" s="64"/>
      <c r="AF42" s="64"/>
      <c r="AG42" s="64"/>
      <c r="AH42" s="67">
        <v>8</v>
      </c>
      <c r="AI42" s="64">
        <f>AI40+AI41</f>
      </c>
      <c r="AJ42" s="64">
        <f>AJ40+AJ41</f>
      </c>
      <c r="AK42" s="64">
        <f>AK40+AK41</f>
      </c>
      <c r="AL42" s="64">
        <f>AL40+AL41</f>
      </c>
      <c r="AM42" s="64">
        <f>AM40+AM41</f>
      </c>
      <c r="AN42" s="64">
        <f>AN40+AN41</f>
      </c>
      <c r="AO42" s="64">
        <f>AO40+AO41</f>
      </c>
      <c r="AP42" s="64">
        <f>AP40+AP41</f>
      </c>
      <c r="AQ42" s="71"/>
      <c r="AR42" s="66">
        <f t="shared" si="37"/>
      </c>
      <c r="AS42" s="66">
        <f t="shared" si="35"/>
      </c>
      <c r="AT42" s="66">
        <f t="shared" si="38"/>
      </c>
      <c r="AU42" s="66">
        <f t="shared" si="19"/>
      </c>
      <c r="AV42" s="68">
        <f t="shared" si="16"/>
      </c>
      <c r="AW42" s="66">
        <f>F42/AM42</f>
      </c>
    </row>
    <row r="43">
      <c r="A43" s="69">
        <v>46291</v>
      </c>
      <c r="B43" s="47" t="s">
        <v>136</v>
      </c>
      <c r="C43" s="47" t="s">
        <v>121</v>
      </c>
      <c r="D43" s="77">
        <f>5-0.2</f>
      </c>
      <c r="E43" s="49">
        <v>6</v>
      </c>
      <c r="F43" s="49">
        <v>3</v>
      </c>
      <c r="G43" s="49">
        <v>3</v>
      </c>
      <c r="H43" s="49">
        <v>3</v>
      </c>
      <c r="I43" s="48">
        <v>406.93999999999994</v>
      </c>
      <c r="J43" s="49">
        <v>0</v>
      </c>
      <c r="K43" s="49">
        <v>0</v>
      </c>
      <c r="L43" s="49">
        <v>3</v>
      </c>
      <c r="M43" s="49">
        <v>4883.279999999999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2">
        <f t="shared" ref="T43:T44" si="30">I43*12+K43</f>
      </c>
      <c r="U43" s="50">
        <v>5977.07</v>
      </c>
      <c r="V43" s="51">
        <f t="shared" si="17"/>
      </c>
      <c r="W43" s="52">
        <f t="shared" si="0"/>
      </c>
      <c r="X43" s="52">
        <f t="shared" si="36"/>
      </c>
      <c r="Y43" s="53">
        <f t="shared" si="34"/>
      </c>
      <c r="Z43" s="53">
        <f t="shared" si="18"/>
      </c>
      <c r="AA43" s="50">
        <f t="shared" ref="AA43:AA44" si="11">L43</f>
      </c>
      <c r="AB43" s="70">
        <v>0</v>
      </c>
      <c r="AC43" s="49" t="s">
        <v>127</v>
      </c>
      <c r="AD43" s="49">
        <v>8</v>
      </c>
      <c r="AE43" s="48"/>
      <c r="AF43" s="48"/>
      <c r="AG43" s="48" t="s">
        <v>116</v>
      </c>
      <c r="AH43" s="49">
        <v>8</v>
      </c>
      <c r="AI43" s="48">
        <v>12335</v>
      </c>
      <c r="AJ43" s="48">
        <v>1908</v>
      </c>
      <c r="AK43" s="48">
        <v>2837</v>
      </c>
      <c r="AL43" s="48">
        <v>868</v>
      </c>
      <c r="AM43" s="48">
        <v>66</v>
      </c>
      <c r="AN43" s="48">
        <v>21</v>
      </c>
      <c r="AO43" s="48">
        <v>135</v>
      </c>
      <c r="AP43" s="48">
        <v>0</v>
      </c>
      <c r="AQ43" s="54"/>
      <c r="AR43" s="53">
        <f t="shared" si="37"/>
      </c>
      <c r="AS43" s="53">
        <f t="shared" si="35"/>
      </c>
      <c r="AT43" s="53">
        <f t="shared" si="38"/>
      </c>
      <c r="AU43" s="55">
        <f t="shared" si="19"/>
      </c>
      <c r="AV43" s="56">
        <f t="shared" si="16"/>
      </c>
      <c r="AW43" s="57"/>
    </row>
    <row r="44">
      <c r="A44" s="69">
        <v>46291</v>
      </c>
      <c r="B44" s="47" t="s">
        <v>135</v>
      </c>
      <c r="C44" s="47" t="s">
        <v>123</v>
      </c>
      <c r="D44" s="47">
        <v>3</v>
      </c>
      <c r="E44" s="49">
        <v>2</v>
      </c>
      <c r="F44" s="49">
        <v>1</v>
      </c>
      <c r="G44" s="49">
        <v>0</v>
      </c>
      <c r="H44" s="49">
        <v>1</v>
      </c>
      <c r="I44" s="49">
        <v>427.63</v>
      </c>
      <c r="J44" s="49">
        <v>0</v>
      </c>
      <c r="K44" s="49">
        <v>0</v>
      </c>
      <c r="L44" s="49">
        <v>1</v>
      </c>
      <c r="M44" s="49">
        <v>5131.5599999999995</v>
      </c>
      <c r="N44" s="49">
        <v>0</v>
      </c>
      <c r="O44" s="49">
        <v>0</v>
      </c>
      <c r="P44" s="49">
        <v>0</v>
      </c>
      <c r="Q44" s="49">
        <v>0</v>
      </c>
      <c r="R44" s="49">
        <v>1</v>
      </c>
      <c r="S44" s="49">
        <v>427.63</v>
      </c>
      <c r="T44" s="42">
        <f t="shared" si="30"/>
      </c>
      <c r="U44" s="50">
        <v>5472.91</v>
      </c>
      <c r="V44" s="51">
        <f t="shared" si="17"/>
      </c>
      <c r="W44" s="52">
        <f t="shared" si="0"/>
      </c>
      <c r="X44" s="52">
        <f t="shared" si="36"/>
      </c>
      <c r="Y44" s="53">
        <f t="shared" si="34"/>
      </c>
      <c r="Z44" s="53">
        <f t="shared" si="18"/>
      </c>
      <c r="AA44" s="50">
        <f t="shared" si="11"/>
      </c>
      <c r="AB44" s="70">
        <v>0</v>
      </c>
      <c r="AC44" s="49"/>
      <c r="AD44" s="49"/>
      <c r="AE44" s="48"/>
      <c r="AF44" s="48"/>
      <c r="AG44" s="48"/>
      <c r="AH44" s="49"/>
      <c r="AI44" s="48">
        <v>12796</v>
      </c>
      <c r="AJ44" s="48">
        <v>1198</v>
      </c>
      <c r="AK44" s="48">
        <v>1938</v>
      </c>
      <c r="AL44" s="48">
        <v>495</v>
      </c>
      <c r="AM44" s="48">
        <v>57</v>
      </c>
      <c r="AN44" s="48">
        <v>17</v>
      </c>
      <c r="AO44" s="48">
        <v>95</v>
      </c>
      <c r="AP44" s="49">
        <v>1</v>
      </c>
      <c r="AQ44" s="48"/>
      <c r="AR44" s="53">
        <f t="shared" si="37"/>
      </c>
      <c r="AS44" s="53">
        <f t="shared" si="35"/>
      </c>
      <c r="AT44" s="53">
        <f t="shared" si="38"/>
      </c>
      <c r="AU44" s="55">
        <f t="shared" si="19"/>
      </c>
      <c r="AV44" s="56">
        <f t="shared" si="16"/>
      </c>
      <c r="AW44" s="57"/>
    </row>
    <row r="45">
      <c r="A45" s="58">
        <v>46291</v>
      </c>
      <c r="B45" s="59"/>
      <c r="C45" s="59"/>
      <c r="D45" s="59">
        <f>D43+D44</f>
      </c>
      <c r="E45" s="59">
        <f>E43+E44</f>
      </c>
      <c r="F45" s="59">
        <f>F43+F44</f>
      </c>
      <c r="G45" s="59">
        <f>G43+G44</f>
      </c>
      <c r="H45" s="59">
        <f>H43+H44</f>
      </c>
      <c r="I45" s="59">
        <f>I43+I44</f>
      </c>
      <c r="J45" s="59">
        <f>J43+J44</f>
      </c>
      <c r="K45" s="59">
        <f>K43+K44</f>
      </c>
      <c r="L45" s="59">
        <f>L43+L44</f>
      </c>
      <c r="M45" s="59">
        <f>M43+M44</f>
      </c>
      <c r="N45" s="59">
        <f>N43+N44</f>
      </c>
      <c r="O45" s="59">
        <f>O43+O44</f>
      </c>
      <c r="P45" s="59">
        <f>P43+P44</f>
      </c>
      <c r="Q45" s="59">
        <f>Q43+Q44</f>
      </c>
      <c r="R45" s="59">
        <f>R43+R44</f>
      </c>
      <c r="S45" s="59">
        <f>S43+S44</f>
      </c>
      <c r="T45" s="59">
        <f>T43+T44</f>
      </c>
      <c r="U45" s="59">
        <f>U43+U44</f>
      </c>
      <c r="V45" s="65">
        <f t="shared" si="17"/>
      </c>
      <c r="W45" s="65">
        <f t="shared" si="0"/>
      </c>
      <c r="X45" s="65">
        <f t="shared" si="36"/>
      </c>
      <c r="Y45" s="65">
        <f t="shared" si="34"/>
      </c>
      <c r="Z45" s="66">
        <f t="shared" si="18"/>
      </c>
      <c r="AA45" s="64">
        <f>SUM(AA43)</f>
      </c>
      <c r="AB45" s="64">
        <f>SUM(AB43)</f>
      </c>
      <c r="AC45" s="64"/>
      <c r="AD45" s="64">
        <f>SUM(AD43)</f>
      </c>
      <c r="AE45" s="64"/>
      <c r="AF45" s="64"/>
      <c r="AG45" s="64"/>
      <c r="AH45" s="67">
        <v>8</v>
      </c>
      <c r="AI45" s="64">
        <f>AI43+AI44</f>
      </c>
      <c r="AJ45" s="64">
        <f>AJ43+AJ44</f>
      </c>
      <c r="AK45" s="64">
        <f>AK43+AK44</f>
      </c>
      <c r="AL45" s="64">
        <f>AL43+AL44</f>
      </c>
      <c r="AM45" s="64">
        <f>AM43+AM44</f>
      </c>
      <c r="AN45" s="64">
        <f>AN43+AN44</f>
      </c>
      <c r="AO45" s="64">
        <f>AO43+AO44</f>
      </c>
      <c r="AP45" s="64">
        <f>AP43+AP44</f>
      </c>
      <c r="AQ45" s="71"/>
      <c r="AR45" s="66">
        <f t="shared" si="37"/>
      </c>
      <c r="AS45" s="66">
        <f t="shared" si="35"/>
      </c>
      <c r="AT45" s="66">
        <f t="shared" si="38"/>
      </c>
      <c r="AU45" s="66">
        <f t="shared" si="19"/>
      </c>
      <c r="AV45" s="68">
        <f t="shared" si="16"/>
      </c>
      <c r="AW45" s="66">
        <f>F45/AM45</f>
      </c>
    </row>
    <row r="46">
      <c r="A46" s="69">
        <v>46292</v>
      </c>
      <c r="B46" s="47" t="s">
        <v>118</v>
      </c>
      <c r="C46" s="47" t="s">
        <v>121</v>
      </c>
      <c r="D46" s="47">
        <v>5</v>
      </c>
      <c r="E46" s="49">
        <v>8</v>
      </c>
      <c r="F46" s="49">
        <v>4</v>
      </c>
      <c r="G46" s="49">
        <v>4</v>
      </c>
      <c r="H46" s="49">
        <v>4</v>
      </c>
      <c r="I46" s="48">
        <v>992.83</v>
      </c>
      <c r="J46" s="49">
        <v>0</v>
      </c>
      <c r="K46" s="49">
        <v>0</v>
      </c>
      <c r="L46" s="49">
        <v>4</v>
      </c>
      <c r="M46" s="49">
        <v>11913.960000000001</v>
      </c>
      <c r="N46" s="49">
        <v>0</v>
      </c>
      <c r="O46" s="49">
        <v>0</v>
      </c>
      <c r="P46" s="49">
        <v>0</v>
      </c>
      <c r="Q46" s="49">
        <v>0</v>
      </c>
      <c r="R46" s="49">
        <v>1</v>
      </c>
      <c r="S46" s="49">
        <v>476.08</v>
      </c>
      <c r="T46" s="42">
        <f t="shared" ref="T46:T47" si="31">I46*12+K46</f>
      </c>
      <c r="U46" s="50">
        <v>10999.41</v>
      </c>
      <c r="V46" s="51">
        <f t="shared" si="17"/>
      </c>
      <c r="W46" s="52">
        <f t="shared" si="0"/>
      </c>
      <c r="X46" s="52">
        <f t="shared" si="36"/>
      </c>
      <c r="Y46" s="53">
        <f t="shared" si="34"/>
      </c>
      <c r="Z46" s="53">
        <f t="shared" si="18"/>
      </c>
      <c r="AA46" s="50">
        <f t="shared" ref="AA46:AA47" si="12">L46</f>
      </c>
      <c r="AB46" s="70">
        <v>1</v>
      </c>
      <c r="AC46" s="49" t="s">
        <v>127</v>
      </c>
      <c r="AD46" s="49">
        <v>8</v>
      </c>
      <c r="AE46" s="48"/>
      <c r="AF46" s="48"/>
      <c r="AG46" s="48" t="s">
        <v>116</v>
      </c>
      <c r="AH46" s="49">
        <v>8</v>
      </c>
      <c r="AI46" s="48">
        <v>22506</v>
      </c>
      <c r="AJ46" s="48">
        <v>3820</v>
      </c>
      <c r="AK46" s="48">
        <v>6117</v>
      </c>
      <c r="AL46" s="48">
        <v>1726</v>
      </c>
      <c r="AM46" s="48">
        <v>75</v>
      </c>
      <c r="AN46" s="48">
        <v>39</v>
      </c>
      <c r="AO46" s="48">
        <v>253</v>
      </c>
      <c r="AP46" s="48">
        <v>3</v>
      </c>
      <c r="AQ46" s="54"/>
      <c r="AR46" s="53">
        <f t="shared" si="37"/>
      </c>
      <c r="AS46" s="53">
        <f t="shared" si="35"/>
      </c>
      <c r="AT46" s="53">
        <f t="shared" si="38"/>
      </c>
      <c r="AU46" s="55">
        <f t="shared" si="19"/>
      </c>
      <c r="AV46" s="56">
        <f t="shared" si="16"/>
      </c>
      <c r="AW46" s="57"/>
    </row>
    <row r="47">
      <c r="A47" s="69">
        <v>46292</v>
      </c>
      <c r="B47" s="47" t="s">
        <v>135</v>
      </c>
      <c r="C47" s="47" t="s">
        <v>123</v>
      </c>
      <c r="D47" s="47">
        <v>3</v>
      </c>
      <c r="E47" s="49">
        <v>4</v>
      </c>
      <c r="F47" s="49">
        <v>2</v>
      </c>
      <c r="G47" s="49">
        <v>2</v>
      </c>
      <c r="H47" s="49">
        <v>2</v>
      </c>
      <c r="I47" s="49">
        <v>590.14</v>
      </c>
      <c r="J47" s="49">
        <v>0</v>
      </c>
      <c r="K47" s="49">
        <v>0</v>
      </c>
      <c r="L47" s="49">
        <v>2</v>
      </c>
      <c r="M47" s="49">
        <v>7081.68</v>
      </c>
      <c r="N47" s="49">
        <v>0</v>
      </c>
      <c r="O47" s="49">
        <v>0</v>
      </c>
      <c r="P47" s="49">
        <v>0</v>
      </c>
      <c r="Q47" s="49">
        <v>0</v>
      </c>
      <c r="R47" s="49">
        <v>1</v>
      </c>
      <c r="S47" s="49">
        <v>204.94</v>
      </c>
      <c r="T47" s="42">
        <f t="shared" si="31"/>
      </c>
      <c r="U47" s="50">
        <v>5201.37</v>
      </c>
      <c r="V47" s="51">
        <f t="shared" si="17"/>
      </c>
      <c r="W47" s="52">
        <f t="shared" si="0"/>
      </c>
      <c r="X47" s="52">
        <f t="shared" si="36"/>
      </c>
      <c r="Y47" s="53">
        <f t="shared" si="34"/>
      </c>
      <c r="Z47" s="53">
        <f t="shared" si="18"/>
      </c>
      <c r="AA47" s="50">
        <f t="shared" si="12"/>
      </c>
      <c r="AB47" s="70">
        <v>0</v>
      </c>
      <c r="AC47" s="49"/>
      <c r="AD47" s="49"/>
      <c r="AE47" s="48"/>
      <c r="AF47" s="48"/>
      <c r="AG47" s="48"/>
      <c r="AH47" s="49"/>
      <c r="AI47" s="48">
        <v>9767</v>
      </c>
      <c r="AJ47" s="48">
        <v>1430</v>
      </c>
      <c r="AK47" s="48">
        <v>2545</v>
      </c>
      <c r="AL47" s="48">
        <v>672</v>
      </c>
      <c r="AM47" s="48">
        <v>66</v>
      </c>
      <c r="AN47" s="48">
        <v>18</v>
      </c>
      <c r="AO47" s="48">
        <v>129</v>
      </c>
      <c r="AP47" s="49">
        <v>0</v>
      </c>
      <c r="AQ47" s="48"/>
      <c r="AR47" s="53">
        <f t="shared" si="37"/>
      </c>
      <c r="AS47" s="53">
        <f t="shared" si="35"/>
      </c>
      <c r="AT47" s="53">
        <f t="shared" si="38"/>
      </c>
      <c r="AU47" s="55">
        <f t="shared" si="19"/>
      </c>
      <c r="AV47" s="56">
        <f t="shared" si="16"/>
      </c>
      <c r="AW47" s="57"/>
    </row>
    <row r="48">
      <c r="A48" s="58">
        <v>46292</v>
      </c>
      <c r="B48" s="59"/>
      <c r="C48" s="59"/>
      <c r="D48" s="59">
        <f>D46+D47</f>
      </c>
      <c r="E48" s="59">
        <f>E46+E47</f>
      </c>
      <c r="F48" s="59">
        <f>F46+F47</f>
      </c>
      <c r="G48" s="59">
        <f>G46+G47</f>
      </c>
      <c r="H48" s="59">
        <f>H46+H47</f>
      </c>
      <c r="I48" s="59">
        <f>I46+I47</f>
      </c>
      <c r="J48" s="59">
        <f>J46+J47</f>
      </c>
      <c r="K48" s="59">
        <f>K46+K47</f>
      </c>
      <c r="L48" s="59">
        <f>L46+L47</f>
      </c>
      <c r="M48" s="59">
        <f>M46+M47</f>
      </c>
      <c r="N48" s="59">
        <f>N46+N47</f>
      </c>
      <c r="O48" s="59">
        <f>O46+O47</f>
      </c>
      <c r="P48" s="59">
        <f>P46+P47</f>
      </c>
      <c r="Q48" s="59">
        <f>Q46+Q47</f>
      </c>
      <c r="R48" s="59">
        <f>R46+R47</f>
      </c>
      <c r="S48" s="59">
        <f>S46+S47</f>
      </c>
      <c r="T48" s="59">
        <f>T46+T47</f>
      </c>
      <c r="U48" s="59">
        <f>U46+U47</f>
      </c>
      <c r="V48" s="65">
        <f t="shared" si="17"/>
      </c>
      <c r="W48" s="65">
        <f t="shared" si="0"/>
      </c>
      <c r="X48" s="65">
        <f t="shared" si="36"/>
      </c>
      <c r="Y48" s="65">
        <f t="shared" si="34"/>
      </c>
      <c r="Z48" s="66">
        <f t="shared" si="18"/>
      </c>
      <c r="AA48" s="64">
        <f>SUM(AA46)</f>
      </c>
      <c r="AB48" s="64">
        <f>SUM(AB46)</f>
      </c>
      <c r="AC48" s="64"/>
      <c r="AD48" s="64">
        <f>SUM(AD46)</f>
      </c>
      <c r="AE48" s="64"/>
      <c r="AF48" s="64"/>
      <c r="AG48" s="64"/>
      <c r="AH48" s="67">
        <v>8</v>
      </c>
      <c r="AI48" s="64">
        <f>AI46+AI47</f>
      </c>
      <c r="AJ48" s="64">
        <f>AJ46+AJ47</f>
      </c>
      <c r="AK48" s="64">
        <f>AK46+AK47</f>
      </c>
      <c r="AL48" s="64">
        <f>AL46+AL47</f>
      </c>
      <c r="AM48" s="64">
        <f>AM46+AM47</f>
      </c>
      <c r="AN48" s="64">
        <f>AN46+AN47</f>
      </c>
      <c r="AO48" s="64">
        <f>AO46+AO47</f>
      </c>
      <c r="AP48" s="64">
        <f>AP46+AP47</f>
      </c>
      <c r="AQ48" s="71"/>
      <c r="AR48" s="66">
        <f t="shared" si="37"/>
      </c>
      <c r="AS48" s="66">
        <f t="shared" si="35"/>
      </c>
      <c r="AT48" s="66">
        <f t="shared" si="38"/>
      </c>
      <c r="AU48" s="66">
        <f t="shared" si="19"/>
      </c>
      <c r="AV48" s="68">
        <f t="shared" si="16"/>
      </c>
      <c r="AW48" s="66">
        <f>F48/AM48</f>
      </c>
    </row>
    <row r="49">
      <c r="A49" s="69">
        <v>46293</v>
      </c>
      <c r="B49" s="47" t="s">
        <v>118</v>
      </c>
      <c r="C49" s="47" t="s">
        <v>131</v>
      </c>
      <c r="D49" s="47">
        <v>4</v>
      </c>
      <c r="E49" s="49">
        <v>7</v>
      </c>
      <c r="F49" s="49">
        <v>4</v>
      </c>
      <c r="G49" s="49">
        <v>4</v>
      </c>
      <c r="H49" s="49">
        <v>4</v>
      </c>
      <c r="I49" s="48">
        <v>770.8299999999999</v>
      </c>
      <c r="J49" s="49">
        <v>0</v>
      </c>
      <c r="K49" s="49">
        <v>0</v>
      </c>
      <c r="L49" s="49">
        <v>2</v>
      </c>
      <c r="M49" s="49">
        <v>8307.119999999999</v>
      </c>
      <c r="N49" s="49">
        <v>0</v>
      </c>
      <c r="O49" s="49">
        <v>0</v>
      </c>
      <c r="P49" s="49">
        <v>1</v>
      </c>
      <c r="Q49" s="49">
        <v>942.84</v>
      </c>
      <c r="R49" s="49">
        <v>2</v>
      </c>
      <c r="S49" s="49">
        <v>597.53</v>
      </c>
      <c r="T49" s="47">
        <v>9249.96</v>
      </c>
      <c r="U49" s="50">
        <v>9053.99</v>
      </c>
      <c r="V49" s="51">
        <f t="shared" si="17"/>
      </c>
      <c r="W49" s="52">
        <f t="shared" si="0"/>
      </c>
      <c r="X49" s="52">
        <f t="shared" si="36"/>
      </c>
      <c r="Y49" s="53">
        <f t="shared" si="34"/>
      </c>
      <c r="Z49" s="53">
        <f t="shared" si="18"/>
      </c>
      <c r="AA49" s="50">
        <f t="shared" ref="AA49:AA50" si="13">L49</f>
      </c>
      <c r="AB49" s="70">
        <v>0</v>
      </c>
      <c r="AC49" s="49" t="s">
        <v>138</v>
      </c>
      <c r="AD49" s="49">
        <v>8</v>
      </c>
      <c r="AE49" s="48"/>
      <c r="AF49" s="48"/>
      <c r="AG49" s="48" t="s">
        <v>116</v>
      </c>
      <c r="AH49" s="49">
        <v>8</v>
      </c>
      <c r="AI49" s="48">
        <v>20767</v>
      </c>
      <c r="AJ49" s="48">
        <v>2134</v>
      </c>
      <c r="AK49" s="48">
        <v>3083</v>
      </c>
      <c r="AL49" s="48">
        <v>943</v>
      </c>
      <c r="AM49" s="48">
        <v>113</v>
      </c>
      <c r="AN49" s="49">
        <v>15</v>
      </c>
      <c r="AO49" s="49">
        <v>203</v>
      </c>
      <c r="AP49" s="49">
        <v>1</v>
      </c>
      <c r="AQ49" s="54"/>
      <c r="AR49" s="53">
        <f t="shared" si="37"/>
      </c>
      <c r="AS49" s="53">
        <f t="shared" si="35"/>
      </c>
      <c r="AT49" s="53">
        <f t="shared" si="38"/>
      </c>
      <c r="AU49" s="55">
        <f t="shared" si="19"/>
      </c>
      <c r="AV49" s="56">
        <f t="shared" si="16"/>
      </c>
      <c r="AW49" s="57"/>
    </row>
    <row r="50">
      <c r="A50" s="69">
        <v>46293</v>
      </c>
      <c r="B50" s="47" t="s">
        <v>128</v>
      </c>
      <c r="C50" s="47" t="s">
        <v>132</v>
      </c>
      <c r="D50" s="47">
        <v>4</v>
      </c>
      <c r="E50" s="49">
        <v>8</v>
      </c>
      <c r="F50" s="49">
        <v>4</v>
      </c>
      <c r="G50" s="49">
        <v>4</v>
      </c>
      <c r="H50" s="49">
        <v>4</v>
      </c>
      <c r="I50" s="49">
        <v>343.44</v>
      </c>
      <c r="J50" s="49">
        <v>0</v>
      </c>
      <c r="K50" s="49">
        <v>0</v>
      </c>
      <c r="L50" s="49">
        <v>2</v>
      </c>
      <c r="M50" s="49">
        <v>2241.36</v>
      </c>
      <c r="N50" s="49">
        <v>0</v>
      </c>
      <c r="O50" s="49">
        <v>0</v>
      </c>
      <c r="P50" s="49">
        <v>2</v>
      </c>
      <c r="Q50" s="49">
        <v>1879.92</v>
      </c>
      <c r="R50" s="49">
        <v>0</v>
      </c>
      <c r="S50" s="49">
        <v>0</v>
      </c>
      <c r="T50" s="42">
        <v>4121.280000000001</v>
      </c>
      <c r="U50" s="50">
        <v>9151.240000000002</v>
      </c>
      <c r="V50" s="51">
        <f t="shared" si="17"/>
      </c>
      <c r="W50" s="52">
        <f t="shared" si="0"/>
      </c>
      <c r="X50" s="52">
        <f t="shared" si="36"/>
      </c>
      <c r="Y50" s="53">
        <f t="shared" si="34"/>
      </c>
      <c r="Z50" s="53">
        <f t="shared" si="18"/>
      </c>
      <c r="AA50" s="50">
        <f t="shared" si="13"/>
      </c>
      <c r="AB50" s="70">
        <v>1</v>
      </c>
      <c r="AC50" s="49"/>
      <c r="AD50" s="49"/>
      <c r="AE50" s="48"/>
      <c r="AF50" s="48"/>
      <c r="AG50" s="48"/>
      <c r="AH50" s="49"/>
      <c r="AI50" s="48">
        <v>43429</v>
      </c>
      <c r="AJ50" s="48">
        <v>3630</v>
      </c>
      <c r="AK50" s="48">
        <v>5101</v>
      </c>
      <c r="AL50" s="48">
        <v>1579</v>
      </c>
      <c r="AM50" s="48">
        <v>304</v>
      </c>
      <c r="AN50" s="49">
        <v>18</v>
      </c>
      <c r="AO50" s="49">
        <v>189</v>
      </c>
      <c r="AP50" s="49">
        <v>1</v>
      </c>
      <c r="AQ50" s="48"/>
      <c r="AR50" s="53">
        <f t="shared" si="37"/>
      </c>
      <c r="AS50" s="53">
        <f t="shared" si="35"/>
      </c>
      <c r="AT50" s="53">
        <f t="shared" si="38"/>
      </c>
      <c r="AU50" s="55">
        <f t="shared" si="19"/>
      </c>
      <c r="AV50" s="56">
        <f t="shared" si="16"/>
      </c>
      <c r="AW50" s="57"/>
    </row>
    <row r="51">
      <c r="A51" s="58">
        <v>46293</v>
      </c>
      <c r="B51" s="59"/>
      <c r="C51" s="59"/>
      <c r="D51" s="59">
        <f>D49+D50</f>
      </c>
      <c r="E51" s="59">
        <f>E49+E50</f>
      </c>
      <c r="F51" s="59">
        <f>F49+F50</f>
      </c>
      <c r="G51" s="59">
        <f>G49+G50</f>
      </c>
      <c r="H51" s="59">
        <f>H49+H50</f>
      </c>
      <c r="I51" s="59">
        <f>I49+I50</f>
      </c>
      <c r="J51" s="59">
        <f>J49+J50</f>
      </c>
      <c r="K51" s="59">
        <f>K49+K50</f>
      </c>
      <c r="L51" s="59">
        <f>L49+L50</f>
      </c>
      <c r="M51" s="59">
        <f>M49+M50</f>
      </c>
      <c r="N51" s="59">
        <f>N49+N50</f>
      </c>
      <c r="O51" s="59">
        <f>O49+O50</f>
      </c>
      <c r="P51" s="59">
        <f>P49+P50</f>
      </c>
      <c r="Q51" s="59">
        <f>Q49+Q50</f>
      </c>
      <c r="R51" s="59">
        <f>R49+R50</f>
      </c>
      <c r="S51" s="59">
        <f>S49+S50</f>
      </c>
      <c r="T51" s="59">
        <f>T49+T50</f>
      </c>
      <c r="U51" s="59">
        <f>U49+U50</f>
      </c>
      <c r="V51" s="65">
        <f t="shared" si="17"/>
      </c>
      <c r="W51" s="65">
        <f t="shared" si="0"/>
      </c>
      <c r="X51" s="65">
        <f t="shared" si="36"/>
      </c>
      <c r="Y51" s="65">
        <f t="shared" si="34"/>
      </c>
      <c r="Z51" s="66">
        <f t="shared" si="18"/>
      </c>
      <c r="AA51" s="64">
        <f>SUM(AA49)</f>
      </c>
      <c r="AB51" s="64">
        <f>SUM(AB49)</f>
      </c>
      <c r="AC51" s="64"/>
      <c r="AD51" s="64">
        <f>SUM(AD49)</f>
      </c>
      <c r="AE51" s="64"/>
      <c r="AF51" s="64"/>
      <c r="AG51" s="64"/>
      <c r="AH51" s="67">
        <v>8</v>
      </c>
      <c r="AI51" s="64">
        <f>AI49+AI50</f>
      </c>
      <c r="AJ51" s="64">
        <f>AJ49+AJ50</f>
      </c>
      <c r="AK51" s="64">
        <f>AK49+AK50</f>
      </c>
      <c r="AL51" s="64">
        <f>AL49+AL50</f>
      </c>
      <c r="AM51" s="64">
        <f>AM49+AM50</f>
      </c>
      <c r="AN51" s="64">
        <f>AN49+AN50</f>
      </c>
      <c r="AO51" s="64">
        <f>AO49+AO50</f>
      </c>
      <c r="AP51" s="64">
        <f>AP49+AP50</f>
      </c>
      <c r="AQ51" s="71"/>
      <c r="AR51" s="66">
        <f t="shared" si="37"/>
      </c>
      <c r="AS51" s="66">
        <f t="shared" si="35"/>
      </c>
      <c r="AT51" s="66">
        <f t="shared" si="38"/>
      </c>
      <c r="AU51" s="66">
        <f t="shared" si="19"/>
      </c>
      <c r="AV51" s="68">
        <f t="shared" si="16"/>
      </c>
      <c r="AW51" s="66">
        <f>F51/AM51</f>
      </c>
    </row>
    <row r="52">
      <c r="A52" s="69">
        <v>46294</v>
      </c>
      <c r="B52" s="47" t="s">
        <v>118</v>
      </c>
      <c r="C52" s="47" t="s">
        <v>121</v>
      </c>
      <c r="D52" s="47">
        <v>5</v>
      </c>
      <c r="E52" s="49">
        <v>8</v>
      </c>
      <c r="F52" s="49">
        <v>4</v>
      </c>
      <c r="G52" s="49">
        <v>3</v>
      </c>
      <c r="H52" s="49">
        <v>4</v>
      </c>
      <c r="I52" s="48">
        <v>903.7900000000001</v>
      </c>
      <c r="J52" s="49">
        <v>0</v>
      </c>
      <c r="K52" s="49">
        <v>0</v>
      </c>
      <c r="L52" s="49">
        <v>3</v>
      </c>
      <c r="M52" s="49">
        <v>9074.28</v>
      </c>
      <c r="N52" s="49">
        <v>0</v>
      </c>
      <c r="O52" s="49">
        <v>0</v>
      </c>
      <c r="P52" s="49">
        <v>1</v>
      </c>
      <c r="Q52" s="49">
        <v>1771.1999999999998</v>
      </c>
      <c r="R52" s="49">
        <v>2</v>
      </c>
      <c r="S52" s="49">
        <v>614.86</v>
      </c>
      <c r="T52" s="47">
        <f t="shared" ref="T52:T53" si="32">I52*12+K52</f>
      </c>
      <c r="U52" s="50">
        <v>9374.5</v>
      </c>
      <c r="V52" s="51">
        <f t="shared" si="17"/>
      </c>
      <c r="W52" s="52">
        <f t="shared" si="0"/>
      </c>
      <c r="X52" s="52">
        <f t="shared" si="36"/>
      </c>
      <c r="Y52" s="53">
        <f t="shared" si="34"/>
      </c>
      <c r="Z52" s="53">
        <f t="shared" si="18"/>
      </c>
      <c r="AA52" s="50">
        <f t="shared" ref="AA52:AA53" si="14">L52</f>
      </c>
      <c r="AB52" s="70">
        <v>3</v>
      </c>
      <c r="AC52" s="49" t="s">
        <v>115</v>
      </c>
      <c r="AD52" s="49">
        <v>8</v>
      </c>
      <c r="AE52" s="48"/>
      <c r="AF52" s="48"/>
      <c r="AG52" s="48" t="s">
        <v>116</v>
      </c>
      <c r="AH52" s="49">
        <v>8</v>
      </c>
      <c r="AI52" s="48">
        <v>24719</v>
      </c>
      <c r="AJ52" s="48">
        <v>1981</v>
      </c>
      <c r="AK52" s="48">
        <v>3252</v>
      </c>
      <c r="AL52" s="48">
        <v>972</v>
      </c>
      <c r="AM52" s="48">
        <v>208</v>
      </c>
      <c r="AN52" s="49">
        <v>36</v>
      </c>
      <c r="AO52" s="49">
        <v>222</v>
      </c>
      <c r="AP52" s="49">
        <v>1</v>
      </c>
      <c r="AQ52" s="54"/>
      <c r="AR52" s="53">
        <f t="shared" si="37"/>
      </c>
      <c r="AS52" s="53">
        <f t="shared" si="35"/>
      </c>
      <c r="AT52" s="53">
        <f t="shared" si="38"/>
      </c>
      <c r="AU52" s="55">
        <f t="shared" si="19"/>
      </c>
      <c r="AV52" s="56">
        <f t="shared" si="16"/>
      </c>
      <c r="AW52" s="57"/>
    </row>
    <row r="53">
      <c r="A53" s="69">
        <v>46294</v>
      </c>
      <c r="B53" s="47" t="s">
        <v>137</v>
      </c>
      <c r="C53" s="47" t="s">
        <v>123</v>
      </c>
      <c r="D53" s="47">
        <v>3</v>
      </c>
      <c r="E53" s="49">
        <v>8</v>
      </c>
      <c r="F53" s="49">
        <v>2</v>
      </c>
      <c r="G53" s="49">
        <v>1</v>
      </c>
      <c r="H53" s="49">
        <v>2</v>
      </c>
      <c r="I53" s="49">
        <v>993.02</v>
      </c>
      <c r="J53" s="49">
        <v>0</v>
      </c>
      <c r="K53" s="49">
        <v>0</v>
      </c>
      <c r="L53" s="49">
        <v>1</v>
      </c>
      <c r="M53" s="49">
        <v>1733.6399999999999</v>
      </c>
      <c r="N53" s="49">
        <v>0</v>
      </c>
      <c r="O53" s="49">
        <v>0</v>
      </c>
      <c r="P53" s="49">
        <v>1</v>
      </c>
      <c r="Q53" s="49">
        <v>10182.599999999999</v>
      </c>
      <c r="R53" s="49">
        <v>1</v>
      </c>
      <c r="S53" s="49">
        <v>848.55</v>
      </c>
      <c r="T53" s="42">
        <f t="shared" si="32"/>
      </c>
      <c r="U53" s="50">
        <v>4342.91</v>
      </c>
      <c r="V53" s="51">
        <f t="shared" si="17"/>
      </c>
      <c r="W53" s="52">
        <f t="shared" si="0"/>
      </c>
      <c r="X53" s="52">
        <f t="shared" si="36"/>
      </c>
      <c r="Y53" s="53">
        <f t="shared" si="34"/>
      </c>
      <c r="Z53" s="53">
        <f t="shared" si="18"/>
      </c>
      <c r="AA53" s="50">
        <f t="shared" si="14"/>
      </c>
      <c r="AB53" s="70">
        <v>0</v>
      </c>
      <c r="AC53" s="49"/>
      <c r="AD53" s="49"/>
      <c r="AE53" s="48"/>
      <c r="AF53" s="48"/>
      <c r="AG53" s="48"/>
      <c r="AH53" s="49"/>
      <c r="AI53" s="48">
        <v>13138</v>
      </c>
      <c r="AJ53" s="48">
        <v>545</v>
      </c>
      <c r="AK53" s="48">
        <v>753</v>
      </c>
      <c r="AL53" s="48">
        <v>222</v>
      </c>
      <c r="AM53" s="48">
        <v>88</v>
      </c>
      <c r="AN53" s="49">
        <v>16</v>
      </c>
      <c r="AO53" s="49">
        <v>109</v>
      </c>
      <c r="AP53" s="49">
        <v>2</v>
      </c>
      <c r="AQ53" s="48"/>
      <c r="AR53" s="53">
        <f t="shared" si="37"/>
      </c>
      <c r="AS53" s="53">
        <f t="shared" si="35"/>
      </c>
      <c r="AT53" s="53">
        <f t="shared" si="38"/>
      </c>
      <c r="AU53" s="55">
        <f t="shared" si="19"/>
      </c>
      <c r="AV53" s="56">
        <f t="shared" si="16"/>
      </c>
      <c r="AW53" s="57"/>
    </row>
    <row r="54">
      <c r="A54" s="58">
        <v>46294</v>
      </c>
      <c r="B54" s="59"/>
      <c r="C54" s="59"/>
      <c r="D54" s="59">
        <f>D52+D53</f>
      </c>
      <c r="E54" s="59">
        <f>E52+E53</f>
      </c>
      <c r="F54" s="59">
        <f>F52+F53</f>
      </c>
      <c r="G54" s="59">
        <f>G52+G53</f>
      </c>
      <c r="H54" s="59">
        <f>H52+H53</f>
      </c>
      <c r="I54" s="59">
        <f>I52+I53</f>
      </c>
      <c r="J54" s="59">
        <f>J52+J53</f>
      </c>
      <c r="K54" s="59">
        <f>K52+K53</f>
      </c>
      <c r="L54" s="59">
        <f>L52+L53</f>
      </c>
      <c r="M54" s="59">
        <f>M52+M53</f>
      </c>
      <c r="N54" s="59">
        <f>N52+N53</f>
      </c>
      <c r="O54" s="59">
        <f>O52+O53</f>
      </c>
      <c r="P54" s="59">
        <f>P52+P53</f>
      </c>
      <c r="Q54" s="59">
        <f>Q52+Q53</f>
      </c>
      <c r="R54" s="59">
        <f>R52+R53</f>
      </c>
      <c r="S54" s="59">
        <f>S52+S53</f>
      </c>
      <c r="T54" s="59">
        <f>T52+T53</f>
      </c>
      <c r="U54" s="59">
        <f>U52+U53</f>
      </c>
      <c r="V54" s="65">
        <f t="shared" si="17"/>
      </c>
      <c r="W54" s="65">
        <f t="shared" si="0"/>
      </c>
      <c r="X54" s="65">
        <f t="shared" si="36"/>
      </c>
      <c r="Y54" s="65">
        <f t="shared" si="34"/>
      </c>
      <c r="Z54" s="66">
        <f t="shared" si="18"/>
      </c>
      <c r="AA54" s="64">
        <f>SUM(AA52)</f>
      </c>
      <c r="AB54" s="64">
        <f>SUM(AB52)</f>
      </c>
      <c r="AC54" s="64"/>
      <c r="AD54" s="64">
        <f>SUM(AD52)</f>
      </c>
      <c r="AE54" s="64"/>
      <c r="AF54" s="64"/>
      <c r="AG54" s="64"/>
      <c r="AH54" s="67">
        <v>8</v>
      </c>
      <c r="AI54" s="64">
        <f>AI52+AI53</f>
      </c>
      <c r="AJ54" s="64">
        <f>AJ52+AJ53</f>
      </c>
      <c r="AK54" s="64">
        <f>AK52+AK53</f>
      </c>
      <c r="AL54" s="64">
        <f>AL52+AL53</f>
      </c>
      <c r="AM54" s="64">
        <f>AM52+AM53</f>
      </c>
      <c r="AN54" s="64">
        <f>AN52+AN53</f>
      </c>
      <c r="AO54" s="64">
        <f>AO52+AO53</f>
      </c>
      <c r="AP54" s="64">
        <f>AP52+AP53</f>
      </c>
      <c r="AQ54" s="71"/>
      <c r="AR54" s="66">
        <f t="shared" si="37"/>
      </c>
      <c r="AS54" s="66">
        <f t="shared" si="35"/>
      </c>
      <c r="AT54" s="66">
        <f t="shared" si="38"/>
      </c>
      <c r="AU54" s="66">
        <f t="shared" si="19"/>
      </c>
      <c r="AV54" s="68">
        <f t="shared" si="16"/>
      </c>
      <c r="AW54" s="66">
        <f>F54/AM54</f>
      </c>
    </row>
    <row r="55">
      <c r="A55" s="69">
        <v>46295</v>
      </c>
      <c r="B55" s="47" t="s">
        <v>118</v>
      </c>
      <c r="C55" s="47" t="s">
        <v>121</v>
      </c>
      <c r="D55" s="47">
        <v>5</v>
      </c>
      <c r="E55" s="49">
        <v>9</v>
      </c>
      <c r="F55" s="49">
        <v>5</v>
      </c>
      <c r="G55" s="49">
        <v>5</v>
      </c>
      <c r="H55" s="49">
        <v>5</v>
      </c>
      <c r="I55" s="48">
        <v>539.18</v>
      </c>
      <c r="J55" s="49">
        <v>0</v>
      </c>
      <c r="K55" s="49">
        <v>0</v>
      </c>
      <c r="L55" s="49">
        <v>3</v>
      </c>
      <c r="M55" s="49">
        <v>3897.5999999999995</v>
      </c>
      <c r="N55" s="49">
        <v>0</v>
      </c>
      <c r="O55" s="49">
        <v>0</v>
      </c>
      <c r="P55" s="49">
        <v>2</v>
      </c>
      <c r="Q55" s="49">
        <v>2572.56</v>
      </c>
      <c r="R55" s="49">
        <v>0</v>
      </c>
      <c r="S55" s="49">
        <v>0</v>
      </c>
      <c r="T55" s="47">
        <f t="shared" ref="T55:T56" si="33">I55*12+K55</f>
      </c>
      <c r="U55" s="50">
        <v>9862.59</v>
      </c>
      <c r="V55" s="51">
        <f t="shared" si="17"/>
      </c>
      <c r="W55" s="52">
        <f t="shared" si="0"/>
      </c>
      <c r="X55" s="52">
        <f t="shared" si="36"/>
      </c>
      <c r="Y55" s="53">
        <f t="shared" si="34"/>
      </c>
      <c r="Z55" s="53">
        <f t="shared" si="18"/>
      </c>
      <c r="AA55" s="50">
        <f t="shared" ref="AA55:AA56" si="15">L55</f>
      </c>
      <c r="AB55" s="70">
        <v>0</v>
      </c>
      <c r="AC55" s="49" t="s">
        <v>115</v>
      </c>
      <c r="AD55" s="49">
        <v>8</v>
      </c>
      <c r="AE55" s="48"/>
      <c r="AF55" s="48"/>
      <c r="AG55" s="48" t="s">
        <v>116</v>
      </c>
      <c r="AH55" s="49">
        <v>8</v>
      </c>
      <c r="AI55" s="48">
        <v>28509</v>
      </c>
      <c r="AJ55" s="48">
        <v>1858</v>
      </c>
      <c r="AK55" s="48">
        <v>2618</v>
      </c>
      <c r="AL55" s="48">
        <v>744</v>
      </c>
      <c r="AM55" s="48">
        <v>132</v>
      </c>
      <c r="AN55" s="49">
        <v>53</v>
      </c>
      <c r="AO55" s="49">
        <v>285</v>
      </c>
      <c r="AP55" s="49">
        <v>2</v>
      </c>
      <c r="AQ55" s="54"/>
      <c r="AR55" s="53">
        <f t="shared" si="37"/>
      </c>
      <c r="AS55" s="53">
        <f t="shared" si="35"/>
      </c>
      <c r="AT55" s="53">
        <f t="shared" si="38"/>
      </c>
      <c r="AU55" s="55">
        <f t="shared" si="19"/>
      </c>
      <c r="AV55" s="56">
        <f t="shared" si="16"/>
      </c>
      <c r="AW55" s="57"/>
    </row>
    <row r="56">
      <c r="A56" s="69">
        <v>46295</v>
      </c>
      <c r="B56" s="47" t="s">
        <v>135</v>
      </c>
      <c r="C56" s="47" t="s">
        <v>123</v>
      </c>
      <c r="D56" s="47">
        <v>3</v>
      </c>
      <c r="E56" s="49">
        <v>7</v>
      </c>
      <c r="F56" s="49">
        <v>3</v>
      </c>
      <c r="G56" s="49">
        <v>2</v>
      </c>
      <c r="H56" s="49">
        <v>3</v>
      </c>
      <c r="I56" s="49">
        <v>471.36</v>
      </c>
      <c r="J56" s="49">
        <v>0</v>
      </c>
      <c r="K56" s="49">
        <v>0</v>
      </c>
      <c r="L56" s="49">
        <v>3</v>
      </c>
      <c r="M56" s="49">
        <v>5656.32</v>
      </c>
      <c r="N56" s="49">
        <v>0</v>
      </c>
      <c r="O56" s="49">
        <v>0</v>
      </c>
      <c r="P56" s="49">
        <v>0</v>
      </c>
      <c r="Q56" s="49">
        <v>0</v>
      </c>
      <c r="R56" s="49">
        <v>1</v>
      </c>
      <c r="S56" s="49">
        <v>239.66</v>
      </c>
      <c r="T56" s="42">
        <f t="shared" si="33"/>
      </c>
      <c r="U56" s="50">
        <v>6217.58</v>
      </c>
      <c r="V56" s="51">
        <f t="shared" si="17"/>
      </c>
      <c r="W56" s="52">
        <f t="shared" si="0"/>
      </c>
      <c r="X56" s="52">
        <f t="shared" si="36"/>
      </c>
      <c r="Y56" s="53">
        <f t="shared" si="34"/>
      </c>
      <c r="Z56" s="53">
        <f t="shared" si="18"/>
      </c>
      <c r="AA56" s="50">
        <f t="shared" si="15"/>
      </c>
      <c r="AB56" s="70">
        <v>0</v>
      </c>
      <c r="AC56" s="49"/>
      <c r="AD56" s="49"/>
      <c r="AE56" s="48"/>
      <c r="AF56" s="48"/>
      <c r="AG56" s="48"/>
      <c r="AH56" s="49"/>
      <c r="AI56" s="48">
        <v>17387</v>
      </c>
      <c r="AJ56" s="48">
        <v>922</v>
      </c>
      <c r="AK56" s="48">
        <v>1344</v>
      </c>
      <c r="AL56" s="48">
        <v>346</v>
      </c>
      <c r="AM56" s="48">
        <v>70</v>
      </c>
      <c r="AN56" s="49">
        <v>18</v>
      </c>
      <c r="AO56" s="49">
        <v>130</v>
      </c>
      <c r="AP56" s="49">
        <v>0</v>
      </c>
      <c r="AQ56" s="48"/>
      <c r="AR56" s="53">
        <f t="shared" si="37"/>
      </c>
      <c r="AS56" s="53">
        <f t="shared" si="35"/>
      </c>
      <c r="AT56" s="53">
        <f t="shared" si="38"/>
      </c>
      <c r="AU56" s="55">
        <f t="shared" si="19"/>
      </c>
      <c r="AV56" s="56">
        <f t="shared" si="16"/>
      </c>
      <c r="AW56" s="57"/>
    </row>
    <row r="57">
      <c r="A57" s="58">
        <v>46295</v>
      </c>
      <c r="B57" s="59"/>
      <c r="C57" s="59"/>
      <c r="D57" s="59">
        <f>D55+D56</f>
      </c>
      <c r="E57" s="59">
        <f>E55+E56</f>
      </c>
      <c r="F57" s="59">
        <f>F55+F56</f>
      </c>
      <c r="G57" s="59">
        <f>G55+G56</f>
      </c>
      <c r="H57" s="59">
        <f>H55+H56</f>
      </c>
      <c r="I57" s="59">
        <f>I55+I56</f>
      </c>
      <c r="J57" s="59">
        <f>J55+J56</f>
      </c>
      <c r="K57" s="59">
        <f>K55+K56</f>
      </c>
      <c r="L57" s="59">
        <f>L55+L56</f>
      </c>
      <c r="M57" s="59">
        <f>M55+M56</f>
      </c>
      <c r="N57" s="59">
        <f>N55+N56</f>
      </c>
      <c r="O57" s="59">
        <f>O55+O56</f>
      </c>
      <c r="P57" s="59">
        <f>P55+P56</f>
      </c>
      <c r="Q57" s="59">
        <f>Q55+Q56</f>
      </c>
      <c r="R57" s="59">
        <f>R55+R56</f>
      </c>
      <c r="S57" s="59">
        <f>S55+S56</f>
      </c>
      <c r="T57" s="59">
        <f>T55+T56</f>
      </c>
      <c r="U57" s="59">
        <f>U55+U56</f>
      </c>
      <c r="V57" s="65">
        <f t="shared" si="17"/>
      </c>
      <c r="W57" s="65">
        <f t="shared" si="0"/>
      </c>
      <c r="X57" s="65">
        <f t="shared" si="36"/>
      </c>
      <c r="Y57" s="65">
        <f t="shared" si="34"/>
      </c>
      <c r="Z57" s="66">
        <f t="shared" si="18"/>
      </c>
      <c r="AA57" s="64">
        <f>SUM(AA55)</f>
      </c>
      <c r="AB57" s="64">
        <f>SUM(AB55)</f>
      </c>
      <c r="AC57" s="64"/>
      <c r="AD57" s="64">
        <f>SUM(AD55)</f>
      </c>
      <c r="AE57" s="64"/>
      <c r="AF57" s="64"/>
      <c r="AG57" s="64"/>
      <c r="AH57" s="67">
        <v>8</v>
      </c>
      <c r="AI57" s="64">
        <f>AI55+AI56</f>
      </c>
      <c r="AJ57" s="64">
        <f>AJ55+AJ56</f>
      </c>
      <c r="AK57" s="64">
        <f>AK55+AK56</f>
      </c>
      <c r="AL57" s="64">
        <f>AL55+AL56</f>
      </c>
      <c r="AM57" s="64">
        <f>AM55+AM56</f>
      </c>
      <c r="AN57" s="64">
        <f>AN55+AN56</f>
      </c>
      <c r="AO57" s="64">
        <f>AO55+AO56</f>
      </c>
      <c r="AP57" s="64">
        <f>AP55+AP56</f>
      </c>
      <c r="AQ57" s="71"/>
      <c r="AR57" s="66">
        <f t="shared" si="37"/>
      </c>
      <c r="AS57" s="66">
        <f t="shared" si="35"/>
      </c>
      <c r="AT57" s="66">
        <f t="shared" si="38"/>
      </c>
      <c r="AU57" s="66">
        <f t="shared" si="19"/>
      </c>
      <c r="AV57" s="68">
        <f t="shared" si="16"/>
      </c>
      <c r="AW57" s="66">
        <f>F57/AM57</f>
      </c>
    </row>
    <row r="58">
      <c r="AI58">
        <f>AI59-AI57</f>
      </c>
      <c r="AJ58">
        <f>AJ59-AJ57</f>
      </c>
      <c r="AK58">
        <f>AK59-AK57</f>
      </c>
      <c r="AL58">
        <f>AL59-AL57</f>
      </c>
      <c r="AM58">
        <f>AM59-AM57</f>
      </c>
      <c r="AN58">
        <f>AN59-AN57</f>
      </c>
      <c r="AO58">
        <f>AO59-AO57</f>
      </c>
      <c r="AP58">
        <f>AP59-AP57</f>
      </c>
      <c r="AQ58" s="78"/>
    </row>
    <row r="59">
      <c r="AI59">
        <v>45896</v>
      </c>
      <c r="AJ59">
        <v>2780</v>
      </c>
      <c r="AK59">
        <v>3962</v>
      </c>
      <c r="AL59">
        <v>1090</v>
      </c>
      <c r="AM59">
        <v>202</v>
      </c>
      <c r="AN59">
        <v>71</v>
      </c>
      <c r="AO59">
        <v>415</v>
      </c>
      <c r="AP59">
        <v>2</v>
      </c>
      <c r="AQ59" s="78"/>
    </row>
    <row r="60">
      <c r="AQ60" s="78"/>
    </row>
    <row r="61">
      <c r="AQ61" s="78"/>
    </row>
    <row r="62">
      <c r="L62" t="s">
        <v>94</v>
      </c>
      <c r="M62" t="s">
        <v>139</v>
      </c>
      <c r="AK62" s="79"/>
      <c r="AQ62" s="78"/>
    </row>
    <row r="63">
      <c r="L63" t="s">
        <v>134</v>
      </c>
      <c r="M63">
        <v>8</v>
      </c>
      <c r="AQ63" s="78"/>
    </row>
    <row r="64">
      <c r="L64" t="s">
        <v>127</v>
      </c>
      <c r="M64">
        <v>48</v>
      </c>
      <c r="AQ64" s="78"/>
    </row>
    <row r="65">
      <c r="L65" t="s">
        <v>133</v>
      </c>
      <c r="M65">
        <v>8</v>
      </c>
      <c r="AQ65" s="78"/>
    </row>
    <row r="66">
      <c r="L66" t="s">
        <v>115</v>
      </c>
      <c r="M66">
        <v>62</v>
      </c>
      <c r="AQ66" s="78"/>
    </row>
    <row r="67">
      <c r="L67" t="s">
        <v>138</v>
      </c>
      <c r="M67">
        <v>16</v>
      </c>
      <c r="AQ67" s="78"/>
    </row>
    <row r="68">
      <c r="L68" t="s">
        <v>140</v>
      </c>
      <c r="M68">
        <v>142</v>
      </c>
      <c r="AQ68" s="78"/>
    </row>
    <row r="69">
      <c r="AM69" s="80"/>
      <c r="AQ69" s="78"/>
    </row>
    <row r="70">
      <c r="AQ70" s="78"/>
    </row>
    <row r="71">
      <c r="AQ71" s="78"/>
    </row>
    <row r="72">
      <c r="AQ72" s="78"/>
    </row>
    <row r="73">
      <c r="AQ73" s="78"/>
    </row>
    <row r="74">
      <c r="AQ74" s="78"/>
    </row>
    <row r="75">
      <c r="AF75" s="79"/>
      <c r="AQ75" s="78"/>
    </row>
    <row r="76">
      <c r="AQ76" s="78"/>
    </row>
    <row r="77">
      <c r="AQ77" s="78"/>
    </row>
    <row r="78">
      <c r="AQ78" s="78"/>
    </row>
    <row r="79">
      <c r="AQ79" s="78"/>
    </row>
    <row r="80">
      <c r="AQ80" s="78"/>
    </row>
    <row r="81">
      <c r="AQ81" s="78"/>
    </row>
    <row r="82">
      <c r="AQ82" s="78"/>
    </row>
    <row r="83">
      <c r="AQ83" s="78"/>
    </row>
    <row r="84">
      <c r="AQ84" s="78"/>
    </row>
    <row r="85">
      <c r="AQ85" s="78"/>
    </row>
    <row r="86">
      <c r="AQ86" s="78"/>
    </row>
    <row r="87">
      <c r="AQ87" s="78"/>
    </row>
    <row r="88">
      <c r="AQ88" s="78"/>
    </row>
    <row r="89">
      <c r="AQ89" s="78"/>
    </row>
    <row r="90">
      <c r="AQ90" s="78"/>
    </row>
    <row r="91">
      <c r="AQ91" s="78"/>
    </row>
    <row r="92">
      <c r="AQ92" s="78"/>
    </row>
    <row r="93">
      <c r="AQ93" s="78"/>
    </row>
    <row r="94">
      <c r="AQ94" s="78"/>
    </row>
    <row r="95">
      <c r="AQ95" s="78"/>
    </row>
    <row r="96">
      <c r="AQ96" s="78"/>
    </row>
    <row r="97">
      <c r="AQ97" s="78"/>
    </row>
    <row r="98">
      <c r="AQ98" s="78"/>
    </row>
    <row r="99">
      <c r="AQ99" s="78"/>
    </row>
    <row r="100">
      <c r="AQ100" s="78"/>
    </row>
    <row r="101">
      <c r="AQ101" s="78"/>
    </row>
    <row r="102">
      <c r="AQ102" s="78"/>
    </row>
    <row r="103">
      <c r="AQ103" s="78"/>
    </row>
    <row r="104">
      <c r="AQ104" s="78"/>
    </row>
    <row r="105">
      <c r="AQ105" s="78"/>
    </row>
    <row r="106">
      <c r="AQ106" s="78"/>
    </row>
    <row r="107">
      <c r="AQ107" s="78"/>
    </row>
    <row r="108">
      <c r="AQ108" s="78"/>
    </row>
    <row r="109">
      <c r="AQ109" s="78"/>
    </row>
    <row r="110">
      <c r="AQ110" s="78"/>
    </row>
    <row r="111">
      <c r="AQ111" s="78"/>
    </row>
    <row r="112">
      <c r="AQ112" s="78"/>
    </row>
    <row r="113">
      <c r="AQ113" s="78"/>
    </row>
    <row r="114">
      <c r="AQ114" s="78"/>
    </row>
    <row r="115">
      <c r="AQ115" s="78"/>
    </row>
    <row r="116">
      <c r="AQ116" s="78"/>
    </row>
    <row r="117">
      <c r="AQ117" s="78"/>
    </row>
    <row r="118">
      <c r="AQ118" s="78"/>
    </row>
    <row r="119">
      <c r="AQ119" s="78"/>
    </row>
    <row r="120">
      <c r="AQ120" s="78"/>
    </row>
    <row r="121">
      <c r="AQ121" s="78"/>
    </row>
    <row r="122">
      <c r="AQ122" s="78"/>
    </row>
    <row r="123">
      <c r="AQ123" s="78"/>
    </row>
    <row r="124">
      <c r="AQ124" s="78"/>
    </row>
    <row r="125">
      <c r="AQ125" s="78"/>
    </row>
    <row r="126">
      <c r="AQ126" s="78"/>
    </row>
    <row r="127">
      <c r="AQ127" s="78"/>
    </row>
    <row r="128">
      <c r="AQ128" s="78"/>
    </row>
    <row r="129">
      <c r="AQ129" s="78"/>
    </row>
    <row r="130">
      <c r="AQ130" s="78"/>
    </row>
    <row r="131">
      <c r="AQ131" s="78"/>
    </row>
    <row r="132">
      <c r="AQ132" s="78"/>
    </row>
    <row r="133">
      <c r="AQ133" s="78"/>
    </row>
    <row r="134">
      <c r="AQ134" s="78"/>
    </row>
    <row r="135">
      <c r="AQ135" s="78"/>
    </row>
    <row r="136">
      <c r="AQ136" s="78"/>
    </row>
    <row r="137">
      <c r="AQ137" s="78"/>
    </row>
    <row r="138">
      <c r="AQ138" s="78"/>
    </row>
    <row r="139">
      <c r="AQ139" s="78"/>
    </row>
    <row r="140">
      <c r="AQ140" s="78"/>
    </row>
    <row r="141">
      <c r="AQ141" s="78"/>
    </row>
    <row r="142">
      <c r="AQ142" s="78"/>
    </row>
    <row r="143">
      <c r="AQ143" s="78"/>
    </row>
    <row r="144">
      <c r="AQ144" s="78"/>
    </row>
    <row r="145">
      <c r="AQ145" s="78"/>
    </row>
    <row r="146">
      <c r="AQ146" s="78"/>
    </row>
    <row r="147">
      <c r="AQ147" s="78"/>
    </row>
    <row r="148">
      <c r="AQ148" s="78"/>
    </row>
    <row r="149">
      <c r="AQ149" s="78"/>
    </row>
    <row r="150">
      <c r="AQ150" s="78"/>
    </row>
    <row r="151">
      <c r="AQ151" s="78"/>
    </row>
    <row r="152">
      <c r="AQ152" s="78"/>
    </row>
    <row r="153">
      <c r="AQ153" s="78"/>
    </row>
    <row r="154">
      <c r="AQ154" s="78"/>
    </row>
    <row r="155">
      <c r="AQ155" s="78"/>
    </row>
    <row r="156">
      <c r="AQ156" s="78"/>
    </row>
    <row r="157">
      <c r="AQ157" s="78"/>
    </row>
    <row r="158">
      <c r="AQ158" s="78"/>
    </row>
    <row r="159">
      <c r="AQ159" s="78"/>
    </row>
    <row r="160">
      <c r="AQ160" s="78"/>
    </row>
    <row r="161">
      <c r="AQ161" s="78"/>
    </row>
    <row r="162">
      <c r="AQ162" s="78"/>
    </row>
    <row r="163">
      <c r="AQ163" s="78"/>
    </row>
    <row r="164">
      <c r="AQ164" s="78"/>
    </row>
    <row r="165">
      <c r="AQ165" s="78"/>
    </row>
    <row r="166">
      <c r="AQ166" s="78"/>
    </row>
    <row r="167">
      <c r="AQ167" s="78"/>
    </row>
    <row r="168">
      <c r="AQ168" s="78"/>
    </row>
    <row r="169">
      <c r="AQ169" s="78"/>
    </row>
    <row r="170">
      <c r="AQ170" s="78"/>
    </row>
    <row r="171">
      <c r="AQ171" s="78"/>
    </row>
    <row r="172">
      <c r="AQ172" s="78"/>
    </row>
    <row r="173">
      <c r="AQ173" s="78"/>
    </row>
    <row r="174">
      <c r="AQ174" s="78"/>
    </row>
    <row r="175">
      <c r="AQ175" s="78"/>
    </row>
    <row r="176">
      <c r="AQ176" s="78"/>
    </row>
    <row r="177">
      <c r="AQ177" s="78"/>
    </row>
    <row r="178">
      <c r="AQ178" s="78"/>
    </row>
    <row r="179">
      <c r="AQ179" s="78"/>
    </row>
    <row r="180">
      <c r="AQ180" s="78"/>
    </row>
    <row r="181">
      <c r="AQ181" s="78"/>
    </row>
    <row r="182">
      <c r="AQ182" s="78"/>
    </row>
    <row r="183">
      <c r="AQ183" s="78"/>
    </row>
    <row r="184">
      <c r="AQ184" s="78"/>
    </row>
    <row r="185">
      <c r="AQ185" s="78"/>
    </row>
    <row r="186">
      <c r="AQ186" s="78"/>
    </row>
    <row r="187">
      <c r="AQ187" s="78"/>
    </row>
    <row r="188">
      <c r="AQ188" s="78"/>
    </row>
    <row r="189">
      <c r="AQ189" s="78"/>
    </row>
    <row r="190">
      <c r="AQ190" s="78"/>
    </row>
    <row r="191">
      <c r="AQ191" s="78"/>
    </row>
    <row r="192">
      <c r="AQ192" s="78"/>
    </row>
    <row r="193">
      <c r="AQ193" s="78"/>
    </row>
    <row r="194">
      <c r="AQ194" s="78"/>
    </row>
    <row r="195">
      <c r="AQ195" s="78"/>
    </row>
    <row r="196">
      <c r="AQ196" s="78"/>
    </row>
    <row r="197">
      <c r="AQ197" s="78"/>
    </row>
    <row r="198">
      <c r="AQ198" s="78"/>
    </row>
    <row r="199">
      <c r="AQ199" s="78"/>
    </row>
    <row r="200">
      <c r="AQ200" s="78"/>
    </row>
    <row r="201">
      <c r="AQ201" s="78"/>
    </row>
    <row r="202">
      <c r="AQ202" s="78"/>
    </row>
    <row r="203">
      <c r="AQ203" s="78"/>
    </row>
    <row r="204">
      <c r="AQ204" s="78"/>
    </row>
    <row r="205">
      <c r="AQ205" s="78"/>
    </row>
    <row r="206">
      <c r="AQ206" s="78"/>
    </row>
    <row r="207">
      <c r="AQ207" s="78"/>
    </row>
    <row r="208">
      <c r="AQ208" s="78"/>
    </row>
    <row r="209"/>
    <row r="210"/>
    <row r="211"/>
    <row r="212"/>
    <row r="213"/>
    <row r="214">
      <c r="AQ214" s="78"/>
    </row>
    <row r="215">
      <c r="AQ215" s="78"/>
    </row>
    <row customHeight="true" ht="16.071428571428573" r="216">
      <c r="AQ216" s="78"/>
    </row>
    <row customHeight="true" ht="16.071428571428573" r="217">
      <c r="AQ217" s="78"/>
    </row>
    <row customHeight="true" ht="16.071428571428573" r="218">
      <c r="AQ218" s="78"/>
    </row>
    <row customHeight="true" ht="16.071428571428573" r="219">
      <c r="AQ219" s="78"/>
    </row>
    <row customHeight="true" ht="16.071428571428573" r="220">
      <c r="AQ220" s="78"/>
    </row>
    <row customHeight="true" ht="16.071428571428573" r="221">
      <c r="AQ221" s="78"/>
    </row>
    <row customHeight="true" ht="16.071428571428573" r="222">
      <c r="AQ222" s="78"/>
    </row>
    <row customHeight="true" ht="16.071428571428573" r="223">
      <c r="AQ223" s="78"/>
    </row>
    <row customHeight="true" ht="16.071428571428573" r="224">
      <c r="AQ224" s="78"/>
    </row>
    <row customHeight="true" ht="16.071428571428573" r="225">
      <c r="AQ225" s="78"/>
    </row>
    <row customHeight="true" ht="16.071428571428573" r="226">
      <c r="AQ226" s="78"/>
    </row>
    <row customHeight="true" ht="16.071428571428573" r="227">
      <c r="AQ227" s="78"/>
    </row>
    <row customHeight="true" ht="16.071428571428573" r="228">
      <c r="AQ228" s="78"/>
    </row>
    <row customHeight="true" ht="16.071428571428573" r="229">
      <c r="AQ229" s="78"/>
    </row>
    <row customHeight="true" ht="16.071428571428573" r="230">
      <c r="AQ230" s="78"/>
    </row>
    <row customHeight="true" ht="16.071428571428573" r="231">
      <c r="AQ231" s="78"/>
    </row>
    <row customHeight="true" ht="16.071428571428573" r="232">
      <c r="AQ232" s="78"/>
    </row>
    <row customHeight="true" ht="16.071428571428573" r="233">
      <c r="AQ233" s="78"/>
    </row>
    <row customHeight="true" ht="16.071428571428573" r="234">
      <c r="AQ234" s="78"/>
    </row>
    <row customHeight="true" ht="16.071428571428573" r="235">
      <c r="AQ235" s="78"/>
    </row>
    <row customHeight="true" ht="16.071428571428573" r="236">
      <c r="AQ236" s="78"/>
    </row>
    <row customHeight="true" ht="16.071428571428573" r="237">
      <c r="AQ237" s="78"/>
    </row>
    <row customHeight="true" ht="16.071428571428573" r="238">
      <c r="AQ238" s="78"/>
    </row>
    <row customHeight="true" ht="16.071428571428573" r="239">
      <c r="AQ239" s="78"/>
    </row>
    <row customHeight="true" ht="16.071428571428573" r="240">
      <c r="AQ240" s="78"/>
    </row>
    <row customHeight="true" ht="16.071428571428573" r="241">
      <c r="AQ241" s="78"/>
    </row>
    <row customHeight="true" ht="16.071428571428573" r="242">
      <c r="AQ242" s="78"/>
    </row>
    <row customHeight="true" ht="16.071428571428573" r="243">
      <c r="AQ243" s="78"/>
    </row>
    <row customHeight="true" ht="16.071428571428573" r="244">
      <c r="AQ244" s="78"/>
    </row>
    <row customHeight="true" ht="16.071428571428573" r="245">
      <c r="AQ245" s="78"/>
    </row>
    <row customHeight="true" ht="16.071428571428573" r="246">
      <c r="AQ246" s="78"/>
    </row>
    <row customHeight="true" ht="16.071428571428573" r="247">
      <c r="AQ247" s="78"/>
    </row>
    <row customHeight="true" ht="16.071428571428573" r="248">
      <c r="AQ248" s="78"/>
    </row>
    <row customHeight="true" ht="16.071428571428573" r="249">
      <c r="AQ249" s="78"/>
    </row>
    <row customHeight="true" ht="16.071428571428573" r="250">
      <c r="AQ250" s="78"/>
    </row>
    <row customHeight="true" ht="16.071428571428573" r="251">
      <c r="AQ251" s="78"/>
    </row>
    <row customHeight="true" ht="16.071428571428573" r="252">
      <c r="AQ252" s="78"/>
    </row>
    <row customHeight="true" ht="16.071428571428573" r="253">
      <c r="AQ253" s="78"/>
    </row>
    <row customHeight="true" ht="16.071428571428573" r="254">
      <c r="AQ254" s="78"/>
    </row>
    <row customHeight="true" ht="16.071428571428573" r="255">
      <c r="AQ255" s="78"/>
    </row>
    <row customHeight="true" ht="16.071428571428573" r="256">
      <c r="AQ256" s="78"/>
    </row>
    <row customHeight="true" ht="16.071428571428573" r="257">
      <c r="AQ257" s="78"/>
    </row>
    <row customHeight="true" ht="16.071428571428573" r="258">
      <c r="AQ258" s="78"/>
    </row>
    <row customHeight="true" ht="16.071428571428573" r="259">
      <c r="AQ259" s="78"/>
    </row>
    <row customHeight="true" ht="16.071428571428573" r="260">
      <c r="AQ260" s="78"/>
    </row>
    <row customHeight="true" ht="16.071428571428573" r="261">
      <c r="AQ261" s="78"/>
    </row>
    <row customHeight="true" ht="16.071428571428573" r="262">
      <c r="AQ262" s="78"/>
    </row>
    <row customHeight="true" ht="16.071428571428573" r="263">
      <c r="AQ263" s="78"/>
    </row>
    <row customHeight="true" ht="16.071428571428573" r="264">
      <c r="AQ264" s="78"/>
    </row>
    <row customHeight="true" ht="16.071428571428573" r="265">
      <c r="AQ265" s="78"/>
    </row>
    <row customHeight="true" ht="16.071428571428573" r="266">
      <c r="AQ266" s="78"/>
    </row>
    <row customHeight="true" ht="16.071428571428573" r="267">
      <c r="AQ267" s="78"/>
    </row>
    <row customHeight="true" ht="16.071428571428573" r="268">
      <c r="AQ268" s="78"/>
    </row>
    <row customHeight="true" ht="16.071428571428573" r="269">
      <c r="AQ269" s="78"/>
    </row>
    <row customHeight="true" ht="16.071428571428573" r="270">
      <c r="AQ270" s="78"/>
    </row>
    <row customHeight="true" ht="16.071428571428573" r="271">
      <c r="AQ271" s="78"/>
    </row>
    <row customHeight="true" ht="16.071428571428573" r="272">
      <c r="AQ272" s="78"/>
    </row>
    <row customHeight="true" ht="16.071428571428573" r="273">
      <c r="AQ273" s="78"/>
    </row>
    <row customHeight="true" ht="16.071428571428573" r="274">
      <c r="AQ274" s="78"/>
    </row>
    <row customHeight="true" ht="16.071428571428573" r="275">
      <c r="AQ275" s="78"/>
    </row>
    <row customHeight="true" ht="16.071428571428573" r="276">
      <c r="AQ276" s="78"/>
    </row>
    <row customHeight="true" ht="16.071428571428573" r="277">
      <c r="AQ277" s="78"/>
    </row>
    <row customHeight="true" ht="16.071428571428573" r="278">
      <c r="AQ278" s="78"/>
    </row>
    <row customHeight="true" ht="16.071428571428573" r="279">
      <c r="AQ279" s="78"/>
    </row>
    <row customHeight="true" ht="16.071428571428573" r="280">
      <c r="AQ280" s="78"/>
    </row>
    <row customHeight="true" ht="16.071428571428573" r="281">
      <c r="AQ281" s="78"/>
    </row>
    <row customHeight="true" ht="16.071428571428573" r="282">
      <c r="AQ282" s="78"/>
    </row>
    <row customHeight="true" ht="16.071428571428573" r="283">
      <c r="AQ283" s="78"/>
    </row>
    <row customHeight="true" ht="16.071428571428573" r="284">
      <c r="AQ284" s="78"/>
    </row>
    <row customHeight="true" ht="16.071428571428573" r="285">
      <c r="AQ285" s="78"/>
    </row>
    <row customHeight="true" ht="16.071428571428573" r="286">
      <c r="AQ286" s="78"/>
    </row>
    <row customHeight="true" ht="16.071428571428573" r="287">
      <c r="AQ287" s="78"/>
    </row>
    <row customHeight="true" ht="16.071428571428573" r="288">
      <c r="AQ288" s="78"/>
    </row>
    <row customHeight="true" ht="16.071428571428573" r="289">
      <c r="AQ289" s="78"/>
    </row>
    <row customHeight="true" ht="16.071428571428573" r="290">
      <c r="AQ290" s="78"/>
    </row>
    <row customHeight="true" ht="16.071428571428573" r="291">
      <c r="AQ291" s="78"/>
    </row>
    <row customHeight="true" ht="16.071428571428573" r="292">
      <c r="AQ292" s="78"/>
    </row>
    <row customHeight="true" ht="16.071428571428573" r="293">
      <c r="AQ293" s="78"/>
    </row>
    <row customHeight="true" ht="16.071428571428573" r="294">
      <c r="AQ294" s="78"/>
    </row>
    <row customHeight="true" ht="16.071428571428573" r="295">
      <c r="AQ295" s="78"/>
    </row>
    <row customHeight="true" ht="16.071428571428573" r="296">
      <c r="AQ296" s="78"/>
    </row>
    <row customHeight="true" ht="16.071428571428573" r="297">
      <c r="AQ297" s="78"/>
    </row>
    <row customHeight="true" ht="16.071428571428573" r="298">
      <c r="AQ298" s="78"/>
    </row>
    <row customHeight="true" ht="16.071428571428573" r="299">
      <c r="AQ299" s="78"/>
    </row>
    <row customHeight="true" ht="16.071428571428573" r="300">
      <c r="AQ300" s="78"/>
    </row>
    <row customHeight="true" ht="16.071428571428573" r="301">
      <c r="AQ301" s="78"/>
    </row>
    <row customHeight="true" ht="16.071428571428573" r="302">
      <c r="AQ302" s="78"/>
    </row>
    <row customHeight="true" ht="16.071428571428573" r="303">
      <c r="AQ303" s="78"/>
    </row>
    <row customHeight="true" ht="16.071428571428573" r="304">
      <c r="AQ304" s="78"/>
    </row>
    <row customHeight="true" ht="16.071428571428573" r="305">
      <c r="AQ305" s="78"/>
    </row>
    <row customHeight="true" ht="16.071428571428573" r="306">
      <c r="AQ306" s="78"/>
    </row>
    <row customHeight="true" ht="16.071428571428573" r="307">
      <c r="AQ307" s="78"/>
    </row>
    <row customHeight="true" ht="16.071428571428573" r="308">
      <c r="AQ308" s="78"/>
    </row>
    <row customHeight="true" ht="16.071428571428573" r="309">
      <c r="AQ309" s="78"/>
    </row>
    <row customHeight="true" ht="16.071428571428573" r="310">
      <c r="AQ310" s="78"/>
    </row>
    <row customHeight="true" ht="16.071428571428573" r="311">
      <c r="AQ311" s="78"/>
    </row>
    <row customHeight="true" ht="16.071428571428573" r="312">
      <c r="AQ312" s="78"/>
    </row>
    <row customHeight="true" ht="16.071428571428573" r="313">
      <c r="AQ313" s="78"/>
    </row>
    <row customHeight="true" ht="16.071428571428573" r="314">
      <c r="AQ314" s="78"/>
    </row>
    <row customHeight="true" ht="16.071428571428573" r="315">
      <c r="AQ315" s="78"/>
    </row>
    <row r="316">
      <c r="AQ316" s="78"/>
    </row>
    <row r="317">
      <c r="B317" s="81" t="s">
        <v>66</v>
      </c>
      <c r="C317" s="81" t="s">
        <v>67</v>
      </c>
      <c r="D317" s="81" t="s">
        <v>69</v>
      </c>
      <c r="AQ317" s="78"/>
    </row>
    <row r="318">
      <c r="B318" s="46">
        <v>46275</v>
      </c>
      <c r="C318" s="47" t="s">
        <v>118</v>
      </c>
      <c r="D318" s="47">
        <v>5</v>
      </c>
      <c r="AQ318" s="78"/>
    </row>
    <row r="319">
      <c r="B319" s="69">
        <v>46278</v>
      </c>
      <c r="C319" s="47" t="s">
        <v>118</v>
      </c>
      <c r="D319" s="47">
        <v>5</v>
      </c>
      <c r="AQ319" s="78"/>
    </row>
    <row r="320">
      <c r="B320" s="69">
        <v>46279</v>
      </c>
      <c r="C320" s="47" t="s">
        <v>118</v>
      </c>
      <c r="D320" s="47">
        <v>5</v>
      </c>
      <c r="AQ320" s="78"/>
    </row>
    <row r="321">
      <c r="B321" s="69">
        <v>46280</v>
      </c>
      <c r="C321" s="47" t="s">
        <v>118</v>
      </c>
      <c r="D321" s="47">
        <v>5</v>
      </c>
      <c r="AQ321" s="78"/>
    </row>
    <row r="322">
      <c r="AQ322" s="78"/>
    </row>
    <row r="323">
      <c r="AQ323" s="78"/>
    </row>
    <row r="324">
      <c r="AQ324" s="78"/>
    </row>
    <row r="325">
      <c r="AQ325" s="78"/>
    </row>
    <row r="326">
      <c r="AQ326" s="78"/>
    </row>
    <row r="327">
      <c r="AQ327" s="78"/>
    </row>
    <row r="328">
      <c r="AQ328" s="78"/>
    </row>
    <row r="329">
      <c r="AQ329" s="78"/>
    </row>
    <row r="330">
      <c r="AQ330" s="78"/>
    </row>
    <row r="331">
      <c r="AQ331" s="78"/>
    </row>
    <row r="332">
      <c r="AQ332" s="78"/>
    </row>
    <row r="333">
      <c r="AQ333" s="78"/>
    </row>
    <row r="334">
      <c r="AQ334" s="78"/>
    </row>
    <row r="335">
      <c r="AQ335" s="78"/>
    </row>
    <row r="336">
      <c r="AQ336" s="78"/>
    </row>
    <row r="337">
      <c r="AQ337" s="78"/>
    </row>
    <row r="338">
      <c r="AQ338" s="78"/>
    </row>
    <row r="339">
      <c r="AQ339" s="78"/>
    </row>
    <row r="340">
      <c r="AQ340" s="78"/>
    </row>
    <row r="341">
      <c r="AQ341" s="78"/>
    </row>
    <row r="342">
      <c r="AQ342" s="78"/>
    </row>
    <row r="343">
      <c r="AQ343" s="78"/>
    </row>
    <row r="344">
      <c r="AQ344" s="78"/>
    </row>
    <row r="345">
      <c r="AQ345" s="78"/>
    </row>
    <row r="346">
      <c r="AQ346" s="78"/>
    </row>
    <row r="347">
      <c r="AQ347" s="78"/>
    </row>
    <row r="348">
      <c r="AQ348" s="78"/>
    </row>
    <row r="349">
      <c r="AQ349" s="78"/>
    </row>
    <row r="350">
      <c r="AQ350" s="78"/>
    </row>
    <row r="351">
      <c r="AQ351" s="78"/>
    </row>
    <row r="352">
      <c r="AQ352" s="78"/>
    </row>
    <row r="353">
      <c r="AQ353" s="78"/>
    </row>
    <row r="354">
      <c r="AQ354" s="78"/>
    </row>
    <row r="355">
      <c r="AQ355" s="78"/>
    </row>
    <row r="356">
      <c r="AQ356" s="78"/>
    </row>
    <row r="357">
      <c r="AQ357" s="78"/>
    </row>
    <row r="358">
      <c r="AQ358" s="78"/>
    </row>
    <row r="359">
      <c r="AQ359" s="78"/>
    </row>
    <row r="360">
      <c r="AQ360" s="78"/>
    </row>
    <row r="361">
      <c r="AQ361" s="78"/>
    </row>
    <row r="362">
      <c r="AQ362" s="78"/>
    </row>
    <row r="363">
      <c r="AQ363" s="78"/>
    </row>
    <row r="364">
      <c r="AQ364" s="78"/>
    </row>
    <row r="365">
      <c r="AQ365" s="78"/>
    </row>
    <row r="366">
      <c r="AQ366" s="78"/>
    </row>
    <row r="367">
      <c r="AQ367" s="78"/>
    </row>
    <row r="368">
      <c r="AQ368" s="78"/>
    </row>
    <row r="369">
      <c r="AQ369" s="78"/>
    </row>
    <row r="370">
      <c r="AQ370" s="78"/>
    </row>
    <row r="371">
      <c r="AQ371" s="78"/>
    </row>
    <row r="372">
      <c r="AQ372" s="78"/>
    </row>
    <row r="373">
      <c r="AQ373" s="78"/>
    </row>
    <row r="374">
      <c r="AQ374" s="78"/>
    </row>
    <row r="375">
      <c r="AQ375" s="78"/>
    </row>
    <row r="376">
      <c r="AQ376" s="78"/>
    </row>
    <row r="377">
      <c r="AQ377" s="78"/>
    </row>
    <row r="378">
      <c r="AQ378" s="78"/>
    </row>
    <row r="379">
      <c r="AQ379" s="78"/>
    </row>
    <row r="380">
      <c r="AQ380" s="78"/>
    </row>
    <row r="381">
      <c r="AQ381" s="78"/>
    </row>
    <row r="382">
      <c r="AQ382" s="78"/>
    </row>
    <row r="383">
      <c r="AQ383" s="78"/>
    </row>
    <row r="384">
      <c r="AQ384" s="78"/>
    </row>
    <row r="385">
      <c r="AQ385" s="78"/>
    </row>
    <row r="386">
      <c r="AQ386" s="78"/>
    </row>
    <row r="387">
      <c r="AQ387" s="78"/>
    </row>
    <row r="388">
      <c r="AQ388" s="78"/>
    </row>
    <row r="389">
      <c r="AQ389" s="78"/>
    </row>
    <row r="390">
      <c r="AQ390" s="78"/>
    </row>
    <row r="391">
      <c r="AQ391" s="78"/>
    </row>
    <row r="392">
      <c r="AQ392" s="78"/>
    </row>
    <row r="393">
      <c r="AQ393" s="78"/>
    </row>
    <row r="394">
      <c r="AQ394" s="78"/>
    </row>
    <row r="395">
      <c r="AQ395" s="78"/>
    </row>
    <row r="396">
      <c r="AQ396" s="78"/>
    </row>
    <row r="397">
      <c r="AQ397" s="78"/>
    </row>
    <row r="398">
      <c r="AQ398" s="78"/>
    </row>
    <row r="399">
      <c r="AQ399" s="78"/>
    </row>
    <row r="400">
      <c r="AQ400" s="78"/>
    </row>
    <row r="401">
      <c r="AQ401" s="78"/>
    </row>
    <row r="402">
      <c r="AQ402" s="78"/>
    </row>
    <row r="403">
      <c r="AQ403" s="78"/>
    </row>
    <row r="404">
      <c r="AQ404" s="78"/>
    </row>
    <row r="405">
      <c r="AQ405" s="78"/>
    </row>
    <row r="406">
      <c r="AQ406" s="78"/>
    </row>
    <row r="407">
      <c r="AQ407" s="78"/>
    </row>
    <row r="408">
      <c r="AQ408" s="78"/>
    </row>
    <row r="409">
      <c r="AQ409" s="78"/>
    </row>
    <row r="410">
      <c r="AQ410" s="78"/>
    </row>
    <row r="411">
      <c r="AQ411" s="78"/>
    </row>
    <row r="412">
      <c r="AQ412" s="78"/>
    </row>
    <row r="413">
      <c r="AQ413" s="78"/>
    </row>
    <row r="414">
      <c r="AQ414" s="78"/>
    </row>
    <row r="415">
      <c r="AQ415" s="78"/>
    </row>
    <row r="416">
      <c r="AQ416" s="78"/>
    </row>
    <row r="417">
      <c r="AQ417" s="78"/>
    </row>
    <row r="418">
      <c r="AQ418" s="78"/>
    </row>
    <row r="419">
      <c r="AQ419" s="78"/>
    </row>
    <row r="420">
      <c r="AQ420" s="78"/>
    </row>
    <row r="421">
      <c r="AQ421" s="78"/>
    </row>
    <row r="422">
      <c r="AQ422" s="78"/>
    </row>
    <row r="423">
      <c r="AQ423" s="78"/>
    </row>
    <row r="424">
      <c r="AQ424" s="78"/>
    </row>
    <row r="425">
      <c r="AQ425" s="78"/>
    </row>
    <row r="426">
      <c r="AQ426" s="78"/>
    </row>
    <row r="427">
      <c r="AQ427" s="78"/>
    </row>
    <row r="428">
      <c r="AQ428" s="78"/>
    </row>
    <row r="429">
      <c r="AQ429" s="78"/>
    </row>
    <row r="430">
      <c r="AQ430" s="78"/>
    </row>
    <row r="431">
      <c r="AQ431" s="78"/>
    </row>
    <row r="432">
      <c r="AQ432" s="78"/>
    </row>
    <row r="433">
      <c r="AQ433" s="78"/>
    </row>
    <row r="434">
      <c r="AQ434" s="78"/>
    </row>
    <row r="435">
      <c r="AQ435" s="78"/>
    </row>
    <row r="436">
      <c r="AQ436" s="78"/>
    </row>
    <row r="437">
      <c r="AQ437" s="78"/>
    </row>
    <row r="438">
      <c r="AQ438" s="78"/>
    </row>
    <row r="439">
      <c r="AQ439" s="78"/>
    </row>
    <row r="440">
      <c r="AQ440" s="78"/>
    </row>
    <row r="441">
      <c r="AQ441" s="78"/>
    </row>
    <row r="442">
      <c r="AQ442" s="78"/>
    </row>
    <row r="443">
      <c r="AQ443" s="78"/>
    </row>
    <row r="444">
      <c r="AQ444" s="78"/>
    </row>
    <row r="445">
      <c r="AQ445" s="78"/>
    </row>
    <row r="446">
      <c r="AQ446" s="78"/>
    </row>
    <row r="447">
      <c r="AQ447" s="78"/>
    </row>
    <row r="448">
      <c r="AQ448" s="78"/>
    </row>
    <row r="449">
      <c r="AQ449" s="78"/>
    </row>
    <row r="450">
      <c r="AQ450" s="78"/>
    </row>
    <row r="451">
      <c r="AQ451" s="78"/>
    </row>
    <row r="452">
      <c r="AQ452" s="78"/>
    </row>
    <row r="453">
      <c r="AQ453" s="78"/>
    </row>
    <row r="454">
      <c r="AQ454" s="78"/>
    </row>
    <row r="455">
      <c r="AQ455" s="78"/>
    </row>
    <row r="456">
      <c r="AQ456" s="78"/>
    </row>
    <row r="457">
      <c r="AQ457" s="78"/>
    </row>
    <row r="458">
      <c r="AQ458" s="78"/>
    </row>
    <row r="459">
      <c r="AQ459" s="78"/>
    </row>
    <row r="460">
      <c r="AQ460" s="78"/>
    </row>
    <row r="461">
      <c r="AQ461" s="78"/>
    </row>
    <row r="462">
      <c r="AQ462" s="78"/>
    </row>
    <row r="463">
      <c r="AQ463" s="78"/>
    </row>
    <row r="464">
      <c r="AQ464" s="78"/>
    </row>
    <row r="465">
      <c r="AQ465" s="78"/>
    </row>
    <row r="466">
      <c r="AQ466" s="78"/>
    </row>
    <row r="467">
      <c r="AQ467" s="78"/>
    </row>
    <row r="468">
      <c r="AQ468" s="78"/>
    </row>
    <row r="469">
      <c r="AQ469" s="78"/>
    </row>
    <row r="470">
      <c r="AQ470" s="78"/>
    </row>
    <row r="471">
      <c r="AQ471" s="78"/>
    </row>
    <row r="472">
      <c r="AQ472" s="78"/>
    </row>
    <row r="473">
      <c r="AQ473" s="78"/>
    </row>
    <row r="474">
      <c r="AQ474" s="78"/>
    </row>
    <row r="475">
      <c r="AQ475" s="78"/>
    </row>
    <row r="476">
      <c r="AQ476" s="78"/>
    </row>
    <row r="477">
      <c r="AQ477" s="78"/>
    </row>
    <row r="478">
      <c r="AQ478" s="78"/>
    </row>
    <row r="479">
      <c r="AQ479" s="78"/>
    </row>
    <row r="480">
      <c r="AQ480" s="78"/>
    </row>
    <row r="481">
      <c r="AQ481" s="78"/>
    </row>
    <row r="482">
      <c r="AQ482" s="78"/>
    </row>
    <row r="483">
      <c r="AQ483" s="78"/>
    </row>
    <row r="484">
      <c r="AQ484" s="78"/>
    </row>
    <row r="485">
      <c r="AQ485" s="78"/>
    </row>
    <row r="486">
      <c r="AQ486" s="78"/>
    </row>
    <row r="487">
      <c r="AQ487" s="78"/>
    </row>
    <row r="488">
      <c r="AQ488" s="78"/>
    </row>
    <row r="489">
      <c r="AQ489" s="78"/>
    </row>
    <row r="490">
      <c r="AQ490" s="78"/>
    </row>
    <row r="491">
      <c r="AQ491" s="78"/>
    </row>
    <row r="492">
      <c r="AQ492" s="78"/>
    </row>
    <row r="493">
      <c r="AQ493" s="78"/>
    </row>
    <row r="494">
      <c r="AQ494" s="78"/>
    </row>
    <row r="495">
      <c r="AQ495" s="78"/>
    </row>
    <row r="496">
      <c r="AQ496" s="78"/>
    </row>
    <row r="497">
      <c r="AQ497" s="78"/>
    </row>
    <row r="498">
      <c r="AQ498" s="78"/>
    </row>
    <row r="499">
      <c r="AQ499" s="78"/>
    </row>
    <row r="500">
      <c r="AQ500" s="78"/>
    </row>
    <row r="501">
      <c r="AQ501" s="78"/>
    </row>
    <row r="502">
      <c r="AQ502" s="78"/>
    </row>
    <row r="503">
      <c r="AQ503" s="78"/>
    </row>
    <row r="504">
      <c r="AQ504" s="78"/>
    </row>
  </sheetData>
  <autoFilter ref="A1:AW504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customHeight="true" ht="16.071428571428573" r="1">
      <c r="A1" s="82" t="s">
        <v>141</v>
      </c>
      <c r="B1" s="82" t="s">
        <v>142</v>
      </c>
      <c r="C1" s="82" t="s">
        <v>143</v>
      </c>
      <c r="D1" s="82" t="s">
        <v>144</v>
      </c>
      <c r="E1" s="82" t="s">
        <v>145</v>
      </c>
      <c r="F1" s="82" t="s">
        <v>146</v>
      </c>
      <c r="G1" s="82" t="s">
        <v>147</v>
      </c>
      <c r="H1" s="83" t="s">
        <v>148</v>
      </c>
      <c r="I1" s="83" t="s">
        <v>149</v>
      </c>
      <c r="J1" s="83" t="s">
        <v>150</v>
      </c>
      <c r="K1" s="83" t="s">
        <v>151</v>
      </c>
      <c r="L1" s="82" t="s">
        <v>152</v>
      </c>
      <c r="M1" s="82" t="s">
        <v>153</v>
      </c>
      <c r="N1" s="82" t="s">
        <v>154</v>
      </c>
      <c r="O1" s="82" t="s">
        <v>155</v>
      </c>
      <c r="P1" s="82" t="s">
        <v>156</v>
      </c>
      <c r="Q1" s="82" t="s">
        <v>157</v>
      </c>
      <c r="R1" s="83" t="s">
        <v>158</v>
      </c>
      <c r="S1" s="82" t="s">
        <v>159</v>
      </c>
      <c r="T1" s="82" t="s">
        <v>160</v>
      </c>
      <c r="U1" s="82" t="s">
        <v>161</v>
      </c>
      <c r="V1" s="82" t="s">
        <v>162</v>
      </c>
      <c r="W1" s="82" t="s">
        <v>163</v>
      </c>
      <c r="X1" s="82" t="s">
        <v>164</v>
      </c>
      <c r="Y1" s="82" t="s">
        <v>165</v>
      </c>
      <c r="Z1" s="82" t="s">
        <v>166</v>
      </c>
      <c r="AA1" s="82" t="s">
        <v>167</v>
      </c>
      <c r="AB1" s="82" t="s">
        <v>168</v>
      </c>
      <c r="AC1" s="82" t="s">
        <v>169</v>
      </c>
      <c r="AD1" s="82" t="s">
        <v>170</v>
      </c>
      <c r="AE1" s="82" t="s">
        <v>171</v>
      </c>
      <c r="AF1" s="82" t="s">
        <v>170</v>
      </c>
      <c r="AG1" s="82" t="s">
        <v>172</v>
      </c>
      <c r="AH1" s="82" t="s">
        <v>144</v>
      </c>
      <c r="AI1" s="84" t="s">
        <v>173</v>
      </c>
      <c r="AJ1" s="84" t="s">
        <v>174</v>
      </c>
      <c r="AK1" s="84" t="s">
        <v>175</v>
      </c>
      <c r="AL1" s="84" t="s">
        <v>176</v>
      </c>
      <c r="AM1" s="84" t="s">
        <v>177</v>
      </c>
      <c r="AN1" s="84" t="s">
        <v>178</v>
      </c>
      <c r="AO1" s="84" t="s">
        <v>179</v>
      </c>
      <c r="AP1" s="84" t="s">
        <v>180</v>
      </c>
      <c r="AQ1" s="84" t="s">
        <v>181</v>
      </c>
      <c r="AR1" s="85" t="s">
        <v>182</v>
      </c>
      <c r="AS1" s="85" t="s">
        <v>183</v>
      </c>
      <c r="AT1" s="85" t="s">
        <v>184</v>
      </c>
      <c r="AU1" s="85" t="s">
        <v>185</v>
      </c>
      <c r="AV1" s="85" t="s">
        <v>186</v>
      </c>
      <c r="AW1" s="85" t="s">
        <v>187</v>
      </c>
    </row>
    <row r="2">
      <c r="A2" s="86">
        <v>46285</v>
      </c>
      <c r="B2" s="87" t="s">
        <v>188</v>
      </c>
      <c r="C2" s="87" t="s">
        <v>189</v>
      </c>
      <c r="D2" s="87">
        <v>4</v>
      </c>
      <c r="E2" s="88"/>
      <c r="F2" s="88"/>
      <c r="G2" s="88"/>
      <c r="H2" s="88"/>
      <c r="I2" s="89"/>
      <c r="J2" s="88"/>
      <c r="K2" s="88"/>
      <c r="L2" s="88"/>
      <c r="M2" s="88"/>
      <c r="N2" s="88"/>
      <c r="O2" s="88"/>
      <c r="P2" s="88"/>
      <c r="Q2" s="89"/>
      <c r="R2" s="88"/>
      <c r="S2" s="88"/>
      <c r="T2" s="82">
        <f t="shared" ref="T2:T3" si="2">I2*12+K2</f>
      </c>
      <c r="U2" s="90"/>
      <c r="V2" s="91">
        <f t="shared" ref="V2:V7" si="13">T2/U2</f>
      </c>
      <c r="W2" s="92">
        <f t="shared" ref="W2:W7" si="10">T2/F2</f>
      </c>
      <c r="X2" s="92">
        <f t="shared" ref="X2:X7" si="6">U2/F2</f>
      </c>
      <c r="Y2" s="93">
        <f t="shared" ref="Y2:Y7" si="0">AA2/F2</f>
      </c>
      <c r="Z2" s="93">
        <f t="shared" ref="Z2:Z7" si="11">R2/F2</f>
      </c>
      <c r="AA2" s="90">
        <f t="shared" ref="AA2:AA3" si="7">L2</f>
      </c>
      <c r="AB2" s="94"/>
      <c r="AC2" s="88" t="s">
        <v>190</v>
      </c>
      <c r="AD2" s="88">
        <v>8</v>
      </c>
      <c r="AE2" s="89"/>
      <c r="AF2" s="89"/>
      <c r="AG2" s="89" t="s">
        <v>191</v>
      </c>
      <c r="AH2" s="88">
        <v>8</v>
      </c>
      <c r="AI2" s="89"/>
      <c r="AJ2" s="89"/>
      <c r="AK2" s="89"/>
      <c r="AL2" s="89"/>
      <c r="AM2" s="89"/>
      <c r="AN2" s="89"/>
      <c r="AO2" s="89"/>
      <c r="AP2" s="89"/>
      <c r="AQ2" s="95"/>
      <c r="AR2" s="93">
        <f t="shared" ref="AR2:AR7" si="4">AJ2/AI2</f>
      </c>
      <c r="AS2" s="93">
        <f t="shared" ref="AS2:AS7" si="1">(AN2+AO2+AP2)/AK2</f>
      </c>
      <c r="AT2" s="93">
        <f t="shared" ref="AT2:AT7" si="5">AL2/AK2</f>
      </c>
      <c r="AU2" s="96">
        <f t="shared" ref="AU2:AU7" si="12">AO2/AK2</f>
      </c>
      <c r="AV2" s="97">
        <f t="shared" ref="AV2:AV7" si="9">U2/AM2</f>
      </c>
      <c r="AW2" s="98"/>
    </row>
    <row r="3">
      <c r="A3" s="86">
        <v>46285</v>
      </c>
      <c r="B3" s="87" t="s">
        <v>192</v>
      </c>
      <c r="C3" s="87" t="s">
        <v>193</v>
      </c>
      <c r="D3" s="87">
        <v>4</v>
      </c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2">
        <f t="shared" si="2"/>
      </c>
      <c r="U3" s="90"/>
      <c r="V3" s="91">
        <f t="shared" si="13"/>
      </c>
      <c r="W3" s="92">
        <f t="shared" si="10"/>
      </c>
      <c r="X3" s="92">
        <f t="shared" si="6"/>
      </c>
      <c r="Y3" s="93">
        <f t="shared" si="0"/>
      </c>
      <c r="Z3" s="93">
        <f t="shared" si="11"/>
      </c>
      <c r="AA3" s="90">
        <f t="shared" si="7"/>
      </c>
      <c r="AB3" s="94"/>
      <c r="AC3" s="88"/>
      <c r="AD3" s="88"/>
      <c r="AE3" s="89"/>
      <c r="AF3" s="89"/>
      <c r="AG3" s="89"/>
      <c r="AH3" s="88"/>
      <c r="AI3" s="89"/>
      <c r="AJ3" s="89"/>
      <c r="AK3" s="89"/>
      <c r="AL3" s="89"/>
      <c r="AM3" s="89"/>
      <c r="AN3" s="89"/>
      <c r="AO3" s="89"/>
      <c r="AP3" s="88"/>
      <c r="AQ3" s="89"/>
      <c r="AR3" s="93">
        <f t="shared" si="4"/>
      </c>
      <c r="AS3" s="93">
        <f t="shared" si="1"/>
      </c>
      <c r="AT3" s="93">
        <f t="shared" si="5"/>
      </c>
      <c r="AU3" s="96">
        <f t="shared" si="12"/>
      </c>
      <c r="AV3" s="97">
        <f t="shared" si="9"/>
      </c>
      <c r="AW3" s="98"/>
    </row>
    <row r="4">
      <c r="A4" s="99">
        <v>46285</v>
      </c>
      <c r="B4" s="100"/>
      <c r="C4" s="100"/>
      <c r="D4" s="100">
        <f>D2+D3</f>
      </c>
      <c r="E4" s="100">
        <f>E2+E3</f>
      </c>
      <c r="F4" s="100">
        <f>F2+F3</f>
      </c>
      <c r="G4" s="100">
        <f>G2+G3</f>
      </c>
      <c r="H4" s="100">
        <f>H2+H3</f>
      </c>
      <c r="I4" s="100">
        <f>I2+I3</f>
      </c>
      <c r="J4" s="100">
        <f>J2+J3</f>
      </c>
      <c r="K4" s="100">
        <f>K2+K3</f>
      </c>
      <c r="L4" s="100">
        <f>L2+L3</f>
      </c>
      <c r="M4" s="100">
        <f>M2+M3</f>
      </c>
      <c r="N4" s="100">
        <f>N2+N3</f>
      </c>
      <c r="O4" s="100">
        <f>O2+O3</f>
      </c>
      <c r="P4" s="100">
        <f>P2+P3</f>
      </c>
      <c r="Q4" s="100">
        <f>Q2+Q3</f>
      </c>
      <c r="R4" s="100">
        <f>R2+R3</f>
      </c>
      <c r="S4" s="100">
        <f>S2+S3</f>
      </c>
      <c r="T4" s="100">
        <f>T2+T3</f>
      </c>
      <c r="U4" s="100">
        <f>U2+U3</f>
      </c>
      <c r="V4" s="101">
        <f t="shared" si="13"/>
      </c>
      <c r="W4" s="101">
        <f t="shared" si="10"/>
      </c>
      <c r="X4" s="101">
        <f t="shared" si="6"/>
      </c>
      <c r="Y4" s="101">
        <f t="shared" si="0"/>
      </c>
      <c r="Z4" s="102">
        <f t="shared" si="11"/>
      </c>
      <c r="AA4" s="103">
        <f>SUM(AA2)</f>
      </c>
      <c r="AB4" s="103">
        <f>SUM(AB2)</f>
      </c>
      <c r="AC4" s="103"/>
      <c r="AD4" s="103">
        <f>SUM(AD2)</f>
      </c>
      <c r="AE4" s="103"/>
      <c r="AF4" s="103"/>
      <c r="AG4" s="103"/>
      <c r="AH4" s="104">
        <v>8</v>
      </c>
      <c r="AI4" s="103">
        <f>AI2+AI3</f>
      </c>
      <c r="AJ4" s="103">
        <f>AJ2+AJ3</f>
      </c>
      <c r="AK4" s="103">
        <f>AK2+AK3</f>
      </c>
      <c r="AL4" s="103">
        <f>AL2+AL3</f>
      </c>
      <c r="AM4" s="103">
        <f>AM2+AM3</f>
      </c>
      <c r="AN4" s="103">
        <f>AN2+AN3</f>
      </c>
      <c r="AO4" s="103">
        <f>AO2+AO3</f>
      </c>
      <c r="AP4" s="103">
        <f>AP2+AP3</f>
      </c>
      <c r="AQ4" s="105"/>
      <c r="AR4" s="102">
        <f t="shared" si="4"/>
      </c>
      <c r="AS4" s="102">
        <f t="shared" si="1"/>
      </c>
      <c r="AT4" s="102">
        <f t="shared" si="5"/>
      </c>
      <c r="AU4" s="102">
        <f t="shared" si="12"/>
      </c>
      <c r="AV4" s="106">
        <f t="shared" si="9"/>
      </c>
      <c r="AW4" s="102">
        <f>F4/AM4</f>
      </c>
    </row>
    <row r="5">
      <c r="A5" s="86">
        <v>46285</v>
      </c>
      <c r="B5" s="87" t="s">
        <v>194</v>
      </c>
      <c r="C5" s="87" t="s">
        <v>195</v>
      </c>
      <c r="D5" s="87">
        <v>5</v>
      </c>
      <c r="E5" s="88"/>
      <c r="F5" s="88"/>
      <c r="G5" s="88"/>
      <c r="H5" s="88"/>
      <c r="I5" s="89"/>
      <c r="J5" s="88"/>
      <c r="K5" s="88"/>
      <c r="L5" s="88"/>
      <c r="M5" s="88"/>
      <c r="N5" s="88"/>
      <c r="O5" s="88"/>
      <c r="P5" s="88"/>
      <c r="Q5" s="89"/>
      <c r="R5" s="88"/>
      <c r="S5" s="88"/>
      <c r="T5" s="82">
        <f t="shared" ref="T5:T6" si="3">I5*12+K5</f>
      </c>
      <c r="U5" s="90"/>
      <c r="V5" s="91">
        <f t="shared" si="13"/>
      </c>
      <c r="W5" s="92">
        <f t="shared" si="10"/>
      </c>
      <c r="X5" s="92">
        <f t="shared" si="6"/>
      </c>
      <c r="Y5" s="93">
        <f t="shared" si="0"/>
      </c>
      <c r="Z5" s="93">
        <f t="shared" si="11"/>
      </c>
      <c r="AA5" s="90">
        <f t="shared" ref="AA5:AA6" si="8">L5</f>
      </c>
      <c r="AB5" s="94"/>
      <c r="AC5" s="88" t="s">
        <v>190</v>
      </c>
      <c r="AD5" s="88">
        <v>8</v>
      </c>
      <c r="AE5" s="89"/>
      <c r="AF5" s="89"/>
      <c r="AG5" s="89" t="s">
        <v>191</v>
      </c>
      <c r="AH5" s="88">
        <v>8</v>
      </c>
      <c r="AI5" s="89"/>
      <c r="AJ5" s="89"/>
      <c r="AK5" s="89"/>
      <c r="AL5" s="89"/>
      <c r="AM5" s="89"/>
      <c r="AN5" s="89"/>
      <c r="AO5" s="89"/>
      <c r="AP5" s="89"/>
      <c r="AQ5" s="95"/>
      <c r="AR5" s="93">
        <f t="shared" si="4"/>
      </c>
      <c r="AS5" s="93">
        <f t="shared" si="1"/>
      </c>
      <c r="AT5" s="93">
        <f t="shared" si="5"/>
      </c>
      <c r="AU5" s="96">
        <f t="shared" si="12"/>
      </c>
      <c r="AV5" s="97">
        <f t="shared" si="9"/>
      </c>
      <c r="AW5" s="98"/>
    </row>
    <row r="6">
      <c r="A6" s="86">
        <v>46285</v>
      </c>
      <c r="B6" s="87" t="s">
        <v>188</v>
      </c>
      <c r="C6" s="87" t="s">
        <v>196</v>
      </c>
      <c r="D6" s="87">
        <v>3</v>
      </c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2">
        <f t="shared" si="3"/>
      </c>
      <c r="U6" s="90"/>
      <c r="V6" s="91">
        <f t="shared" si="13"/>
      </c>
      <c r="W6" s="92">
        <f t="shared" si="10"/>
      </c>
      <c r="X6" s="92">
        <f t="shared" si="6"/>
      </c>
      <c r="Y6" s="93">
        <f t="shared" si="0"/>
      </c>
      <c r="Z6" s="93">
        <f t="shared" si="11"/>
      </c>
      <c r="AA6" s="90">
        <f t="shared" si="8"/>
      </c>
      <c r="AB6" s="94"/>
      <c r="AC6" s="88"/>
      <c r="AD6" s="88"/>
      <c r="AE6" s="89"/>
      <c r="AF6" s="89"/>
      <c r="AG6" s="89"/>
      <c r="AH6" s="88"/>
      <c r="AI6" s="89"/>
      <c r="AJ6" s="89"/>
      <c r="AK6" s="89"/>
      <c r="AL6" s="89"/>
      <c r="AM6" s="89"/>
      <c r="AN6" s="89"/>
      <c r="AO6" s="89"/>
      <c r="AP6" s="88"/>
      <c r="AQ6" s="89"/>
      <c r="AR6" s="93">
        <f t="shared" si="4"/>
      </c>
      <c r="AS6" s="93">
        <f t="shared" si="1"/>
      </c>
      <c r="AT6" s="93">
        <f t="shared" si="5"/>
      </c>
      <c r="AU6" s="96">
        <f t="shared" si="12"/>
      </c>
      <c r="AV6" s="97">
        <f t="shared" si="9"/>
      </c>
      <c r="AW6" s="98"/>
    </row>
    <row r="7">
      <c r="A7" s="99">
        <v>46285</v>
      </c>
      <c r="B7" s="100"/>
      <c r="C7" s="100"/>
      <c r="D7" s="100">
        <f>D5+D6</f>
      </c>
      <c r="E7" s="100">
        <f>E5+E6</f>
      </c>
      <c r="F7" s="100">
        <f>F5+F6</f>
      </c>
      <c r="G7" s="100">
        <f>G5+G6</f>
      </c>
      <c r="H7" s="100">
        <f>H5+H6</f>
      </c>
      <c r="I7" s="100">
        <f>I5+I6</f>
      </c>
      <c r="J7" s="100">
        <f>J5+J6</f>
      </c>
      <c r="K7" s="100">
        <f>K5+K6</f>
      </c>
      <c r="L7" s="100">
        <f>L5+L6</f>
      </c>
      <c r="M7" s="100">
        <f>M5+M6</f>
      </c>
      <c r="N7" s="100">
        <f>N5+N6</f>
      </c>
      <c r="O7" s="100">
        <f>O5+O6</f>
      </c>
      <c r="P7" s="100">
        <f>P5+P6</f>
      </c>
      <c r="Q7" s="100">
        <f>Q5+Q6</f>
      </c>
      <c r="R7" s="100">
        <f>R5+R6</f>
      </c>
      <c r="S7" s="100">
        <f>S5+S6</f>
      </c>
      <c r="T7" s="100">
        <f>T5+T6</f>
      </c>
      <c r="U7" s="100">
        <f>U5+U6</f>
      </c>
      <c r="V7" s="101">
        <f t="shared" si="13"/>
      </c>
      <c r="W7" s="101">
        <f t="shared" si="10"/>
      </c>
      <c r="X7" s="101">
        <f t="shared" si="6"/>
      </c>
      <c r="Y7" s="101">
        <f t="shared" si="0"/>
      </c>
      <c r="Z7" s="102">
        <f t="shared" si="11"/>
      </c>
      <c r="AA7" s="103">
        <f>SUM(AA5)</f>
      </c>
      <c r="AB7" s="103">
        <f>SUM(AB5)</f>
      </c>
      <c r="AC7" s="103"/>
      <c r="AD7" s="103">
        <f>SUM(AD5)</f>
      </c>
      <c r="AE7" s="103"/>
      <c r="AF7" s="103"/>
      <c r="AG7" s="103"/>
      <c r="AH7" s="104">
        <v>8</v>
      </c>
      <c r="AI7" s="103">
        <f>AI5+AI6</f>
      </c>
      <c r="AJ7" s="103">
        <f>AJ5+AJ6</f>
      </c>
      <c r="AK7" s="103">
        <f>AK5+AK6</f>
      </c>
      <c r="AL7" s="103">
        <f>AL5+AL6</f>
      </c>
      <c r="AM7" s="103">
        <f>AM5+AM6</f>
      </c>
      <c r="AN7" s="103">
        <f>AN5+AN6</f>
      </c>
      <c r="AO7" s="103">
        <f>AO5+AO6</f>
      </c>
      <c r="AP7" s="103">
        <f>AP5+AP6</f>
      </c>
      <c r="AQ7" s="105"/>
      <c r="AR7" s="102">
        <f t="shared" si="4"/>
      </c>
      <c r="AS7" s="102">
        <f t="shared" si="1"/>
      </c>
      <c r="AT7" s="102">
        <f t="shared" si="5"/>
      </c>
      <c r="AU7" s="102">
        <f t="shared" si="12"/>
      </c>
      <c r="AV7" s="106">
        <f t="shared" si="9"/>
      </c>
      <c r="AW7" s="102">
        <f>F7/AM7</f>
      </c>
    </row>
    <row r="8">
      <c r="AI8">
        <f>AI9-AI7</f>
      </c>
      <c r="AJ8">
        <f>AJ9-AJ7</f>
      </c>
      <c r="AK8">
        <f>AK9-AK7</f>
      </c>
      <c r="AL8">
        <f>AL9-AL7</f>
      </c>
      <c r="AM8">
        <f>AM9-AM7</f>
      </c>
      <c r="AN8">
        <f>AN9-AN7</f>
      </c>
      <c r="AO8">
        <f>AO9-AO7</f>
      </c>
      <c r="AP8">
        <f>AP9-AP7</f>
      </c>
      <c r="AQ8">
        <f>AQ9-AQ7</f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