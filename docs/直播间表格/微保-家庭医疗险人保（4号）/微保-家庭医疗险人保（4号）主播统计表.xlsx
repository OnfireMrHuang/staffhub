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9"/>
    <sheet name="2026.7" sheetId="5" r:id="rId11"/>
    <sheet name="2026.6" sheetId="6" r:id="rId13"/>
    <sheet name="2026.5" sheetId="7" r:id="rId15"/>
    <sheet name="2026.4" sheetId="8" r:id="rId17"/>
  </sheets>
  <calcPr calcMode="auto"/>
  <pivotCaches>
    <pivotCache cacheId="1" r:id="rId7"/>
    <pivotCache cacheId="2" r:id="rId8"/>
    <pivotCache cacheId="3" r:id="rId10"/>
    <pivotCache cacheId="4" r:id="rId12"/>
    <pivotCache cacheId="5" r:id="rId14"/>
    <pivotCache cacheId="6" r:id="rId16"/>
    <pivotCache cacheId="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<sst xmlns="http://schemas.openxmlformats.org/spreadsheetml/2006/main" count="597" uniqueCount="597">
  <si>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</si>
  <si>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</si>
  <si>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</si>
  <si>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</si>
  <si>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</si>
  <si>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</si>
  <si>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</si>
  <si>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</si>
  <si>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</si>
  <si>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</si>
  <si>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</si>
  <si>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</si>
  <si>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</si>
  <si>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</si>
  <si>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</si>
  <si>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</si>
  <si>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</si>
  <si>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2026/10/1</t>
  </si>
  <si>
    <t xml:space="preserve">杜思利</t>
  </si>
  <si>
    <t xml:space="preserve">06:00-10:00</t>
  </si>
  <si>
    <t xml:space="preserve">郭斯元</t>
  </si>
  <si>
    <t xml:space="preserve">于慧</t>
  </si>
  <si>
    <t xml:space="preserve">10:00-14:00</t>
  </si>
  <si>
    <t xml:space="preserve">王悦暄</t>
  </si>
  <si>
    <t xml:space="preserve">江勇</t>
  </si>
  <si>
    <t xml:space="preserve">李雅琪</t>
  </si>
  <si>
    <t xml:space="preserve">14:00-18:00</t>
  </si>
  <si>
    <t xml:space="preserve">闫小姗双</t>
  </si>
  <si>
    <t xml:space="preserve">杨明</t>
  </si>
  <si>
    <t xml:space="preserve">葛鑫然</t>
  </si>
  <si>
    <t xml:space="preserve">18:00-22:00</t>
  </si>
  <si>
    <t xml:space="preserve">高琎梅双</t>
  </si>
  <si>
    <t xml:space="preserve">王雨帆</t>
  </si>
  <si>
    <t xml:space="preserve">22:00-02:00</t>
  </si>
  <si>
    <t xml:space="preserve">2026/10/2</t>
  </si>
  <si>
    <t xml:space="preserve">06:00-11:00</t>
  </si>
  <si>
    <t xml:space="preserve">王悦暄早</t>
  </si>
  <si>
    <t xml:space="preserve">11:00-16:00</t>
  </si>
  <si>
    <t xml:space="preserve">16:00-21:00</t>
  </si>
  <si>
    <t xml:space="preserve">张嘉懿晚</t>
  </si>
  <si>
    <t xml:space="preserve">21:00-02:00</t>
  </si>
  <si>
    <t xml:space="preserve">2026/10/3</t>
  </si>
  <si>
    <t xml:space="preserve">2026/10/4</t>
  </si>
  <si>
    <t xml:space="preserve">郭斯元晚</t>
  </si>
  <si>
    <t xml:space="preserve">2026/10/5</t>
  </si>
  <si>
    <t xml:space="preserve">2026/10/6</t>
  </si>
  <si>
    <t xml:space="preserve">07:00-10:00</t>
  </si>
  <si>
    <t xml:space="preserve">王悦暄双</t>
  </si>
  <si>
    <t xml:space="preserve">蔡露露</t>
  </si>
  <si>
    <t xml:space="preserve">2026/10/7</t>
  </si>
  <si>
    <t xml:space="preserve">2026/10/8</t>
  </si>
  <si>
    <t xml:space="preserve">董柯言双</t>
  </si>
  <si>
    <t xml:space="preserve">2026/10/9</t>
  </si>
  <si>
    <t xml:space="preserve">张嘉懿早</t>
  </si>
  <si>
    <t xml:space="preserve">王悦暄晚</t>
  </si>
  <si>
    <t xml:space="preserve">2026/10/10</t>
  </si>
  <si>
    <t xml:space="preserve">陈思钰早</t>
  </si>
  <si>
    <t xml:space="preserve">2026/10/11</t>
  </si>
  <si>
    <t xml:space="preserve">2026/10/12</t>
  </si>
  <si>
    <t xml:space="preserve">2026/10/13</t>
  </si>
  <si>
    <t xml:space="preserve">张滋怡晚</t>
  </si>
  <si>
    <t xml:space="preserve">2026/10/14</t>
  </si>
  <si>
    <t xml:space="preserve">高娟</t>
  </si>
  <si>
    <t xml:space="preserve">2026/10/15</t>
  </si>
  <si>
    <t xml:space="preserve">2026/10/16</t>
  </si>
  <si>
    <t xml:space="preserve">2026/10/17</t>
  </si>
  <si>
    <t xml:space="preserve">李哲双</t>
  </si>
  <si>
    <t xml:space="preserve">2026/10/18</t>
  </si>
  <si>
    <t xml:space="preserve">罗丽洋早</t>
  </si>
  <si>
    <t xml:space="preserve">任子硕晚</t>
  </si>
  <si>
    <t xml:space="preserve">2026/10/19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</si>
  <si>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</si>
  <si>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</si>
  <si>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</si>
  <si>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</si>
  <si>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</si>
  <si>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</si>
  <si>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</si>
  <si>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</si>
  <si>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</si>
  <si>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</si>
  <si>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</si>
  <si>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</si>
  <si>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</si>
  <si>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</si>
  <si>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</si>
  <si>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</si>
  <si>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2026/9/1</t>
  </si>
  <si>
    <t xml:space="preserve">于慧</t>
  </si>
  <si>
    <t xml:space="preserve">06:00-10:00</t>
  </si>
  <si>
    <t xml:space="preserve">郭斯元早</t>
  </si>
  <si>
    <t xml:space="preserve">李雅琪</t>
  </si>
  <si>
    <t xml:space="preserve">10:00-14:00</t>
  </si>
  <si>
    <t xml:space="preserve">谢镇雨</t>
  </si>
  <si>
    <t xml:space="preserve">葛鑫然</t>
  </si>
  <si>
    <t xml:space="preserve">14:00-18:00</t>
  </si>
  <si>
    <t xml:space="preserve">江勇</t>
  </si>
  <si>
    <t xml:space="preserve">杜思利</t>
  </si>
  <si>
    <t xml:space="preserve">18:00-22:00</t>
  </si>
  <si>
    <t xml:space="preserve">贾占通晚</t>
  </si>
  <si>
    <t xml:space="preserve">张伟娜</t>
  </si>
  <si>
    <t xml:space="preserve">22:00-02:00</t>
  </si>
  <si>
    <t xml:space="preserve">2026/9/2</t>
  </si>
  <si>
    <t xml:space="preserve">郭斯元双</t>
  </si>
  <si>
    <t xml:space="preserve">蔡露露</t>
  </si>
  <si>
    <t xml:space="preserve">2026/9/3</t>
  </si>
  <si>
    <t xml:space="preserve">2026/9/4</t>
  </si>
  <si>
    <t xml:space="preserve">陈思钰早</t>
  </si>
  <si>
    <t xml:space="preserve">张滋怡双</t>
  </si>
  <si>
    <t xml:space="preserve">2026/9/5</t>
  </si>
  <si>
    <t xml:space="preserve">李子健</t>
  </si>
  <si>
    <t xml:space="preserve">李子健双</t>
  </si>
  <si>
    <t xml:space="preserve">2026/9/6</t>
  </si>
  <si>
    <t xml:space="preserve">李哲早</t>
  </si>
  <si>
    <t xml:space="preserve">张嘉懿晚</t>
  </si>
  <si>
    <t xml:space="preserve">2026/9/7</t>
  </si>
  <si>
    <t xml:space="preserve">10:00-15:00</t>
  </si>
  <si>
    <t xml:space="preserve">15:00-20:00</t>
  </si>
  <si>
    <t xml:space="preserve">20:00-01:00</t>
  </si>
  <si>
    <t xml:space="preserve">张嘉懿</t>
  </si>
  <si>
    <t xml:space="preserve">2026/9/8</t>
  </si>
  <si>
    <t xml:space="preserve">2026/9/9</t>
  </si>
  <si>
    <t xml:space="preserve">李哲双</t>
  </si>
  <si>
    <t xml:space="preserve">2026/9/10</t>
  </si>
  <si>
    <t xml:space="preserve">张嘉懿双</t>
  </si>
  <si>
    <t xml:space="preserve">2026/9/11</t>
  </si>
  <si>
    <t xml:space="preserve">06:00-11:00</t>
  </si>
  <si>
    <t xml:space="preserve">11:00-15:00</t>
  </si>
  <si>
    <t xml:space="preserve">王雨帆</t>
  </si>
  <si>
    <t xml:space="preserve">15:00-17:00</t>
  </si>
  <si>
    <t xml:space="preserve">17:00-22:00</t>
  </si>
  <si>
    <t xml:space="preserve">2026/9/12</t>
  </si>
  <si>
    <t xml:space="preserve">11:00-14:00</t>
  </si>
  <si>
    <t xml:space="preserve">14:00-17:00</t>
  </si>
  <si>
    <t xml:space="preserve">2026/9/13</t>
  </si>
  <si>
    <t xml:space="preserve">贾占通早</t>
  </si>
  <si>
    <t xml:space="preserve">郭斯元晚</t>
  </si>
  <si>
    <t xml:space="preserve">2026/9/14</t>
  </si>
  <si>
    <t xml:space="preserve">2026/9/15</t>
  </si>
  <si>
    <t xml:space="preserve">魏迪双</t>
  </si>
  <si>
    <t xml:space="preserve">2026/9/16</t>
  </si>
  <si>
    <t xml:space="preserve">2026/9/17</t>
  </si>
  <si>
    <t xml:space="preserve">陈思钰</t>
  </si>
  <si>
    <t xml:space="preserve">董柯言双</t>
  </si>
  <si>
    <t xml:space="preserve">2026/9/18</t>
  </si>
  <si>
    <t xml:space="preserve">2026/9/19</t>
  </si>
  <si>
    <t xml:space="preserve">魏迪早</t>
  </si>
  <si>
    <t xml:space="preserve">董柯言晚</t>
  </si>
  <si>
    <t xml:space="preserve">2026/9/23</t>
  </si>
  <si>
    <t xml:space="preserve">陈思钰双</t>
  </si>
  <si>
    <t xml:space="preserve">高琎梅双</t>
  </si>
  <si>
    <t xml:space="preserve">2026/9/24</t>
  </si>
  <si>
    <t xml:space="preserve">杨明</t>
  </si>
  <si>
    <t xml:space="preserve">闫小姗双</t>
  </si>
  <si>
    <t xml:space="preserve">2026/9/25</t>
  </si>
  <si>
    <t xml:space="preserve">11:00-16:00</t>
  </si>
  <si>
    <t xml:space="preserve">16:00-21:00</t>
  </si>
  <si>
    <t xml:space="preserve">21:00-2:00</t>
  </si>
  <si>
    <t xml:space="preserve">2026/9/26</t>
  </si>
  <si>
    <t xml:space="preserve">22:00-2:00</t>
  </si>
  <si>
    <t xml:space="preserve">魏迪晚</t>
  </si>
  <si>
    <t xml:space="preserve">2026/9/27</t>
  </si>
  <si>
    <t xml:space="preserve">2026/9/28</t>
  </si>
  <si>
    <t xml:space="preserve">14:00-16:00</t>
  </si>
  <si>
    <t xml:space="preserve">2026/9/29</t>
  </si>
  <si>
    <t xml:space="preserve">2026/9/30</t>
  </si>
  <si>
    <t xml:space="preserve">求和项:助播时长</t>
  </si>
  <si>
    <t xml:space="preserve">总计</t>
  </si>
  <si>
    <t xml:space="preserve">24号谢镇雨换成杨明</t>
  </si>
  <si>
    <t xml:space="preserve">roi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</si>
  <si>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</si>
  <si>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</si>
  <si>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</si>
  <si>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</si>
  <si>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</si>
  <si>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</si>
  <si>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</si>
  <si>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</si>
  <si>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</si>
  <si>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</si>
  <si>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</si>
  <si>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</si>
  <si>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</si>
  <si>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</si>
  <si>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</si>
  <si>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</si>
  <si>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2026/8/1</t>
  </si>
  <si>
    <t xml:space="preserve">于慧</t>
  </si>
  <si>
    <t xml:space="preserve">06:00-11:00</t>
  </si>
  <si>
    <t xml:space="preserve">张嘉懿早</t>
  </si>
  <si>
    <t xml:space="preserve">江勇</t>
  </si>
  <si>
    <t xml:space="preserve">杜思利</t>
  </si>
  <si>
    <t xml:space="preserve">11:00-16:00</t>
  </si>
  <si>
    <t xml:space="preserve">李雅琪</t>
  </si>
  <si>
    <t xml:space="preserve">16:00-21:00</t>
  </si>
  <si>
    <t xml:space="preserve">贾占通晚</t>
  </si>
  <si>
    <t xml:space="preserve">谢镇雨</t>
  </si>
  <si>
    <t xml:space="preserve">葛鑫然</t>
  </si>
  <si>
    <t xml:space="preserve">21:00-02:00</t>
  </si>
  <si>
    <t xml:space="preserve">2026/8/2</t>
  </si>
  <si>
    <t xml:space="preserve">2026/8/3</t>
  </si>
  <si>
    <t xml:space="preserve">21:00-2:00</t>
  </si>
  <si>
    <t xml:space="preserve">2026/8/4</t>
  </si>
  <si>
    <t xml:space="preserve">郜洁</t>
  </si>
  <si>
    <t xml:space="preserve">16:00-18:00</t>
  </si>
  <si>
    <t xml:space="preserve">18:00-22:00</t>
  </si>
  <si>
    <t xml:space="preserve">22:00-2:00</t>
  </si>
  <si>
    <t xml:space="preserve">2026/8/5</t>
  </si>
  <si>
    <t xml:space="preserve">田宇尚</t>
  </si>
  <si>
    <t xml:space="preserve">2026/8/6</t>
  </si>
  <si>
    <t xml:space="preserve">11:00-15:00</t>
  </si>
  <si>
    <t xml:space="preserve">15:00-18:00</t>
  </si>
  <si>
    <t xml:space="preserve">2026/8/7</t>
  </si>
  <si>
    <t xml:space="preserve">陈雯</t>
  </si>
  <si>
    <t xml:space="preserve">2026/8/8</t>
  </si>
  <si>
    <t xml:space="preserve">蔡露露</t>
  </si>
  <si>
    <t xml:space="preserve">2026/8/9</t>
  </si>
  <si>
    <t xml:space="preserve">2026/8/10</t>
  </si>
  <si>
    <t xml:space="preserve">06:00-10:00</t>
  </si>
  <si>
    <t xml:space="preserve">10:00-14:00</t>
  </si>
  <si>
    <t xml:space="preserve">14:00-18:00</t>
  </si>
  <si>
    <t xml:space="preserve">2026/8/11</t>
  </si>
  <si>
    <t xml:space="preserve">任子硕</t>
  </si>
  <si>
    <t xml:space="preserve">郭斯元双</t>
  </si>
  <si>
    <t xml:space="preserve">2026/8/12</t>
  </si>
  <si>
    <t xml:space="preserve">22:00-24:00</t>
  </si>
  <si>
    <t xml:space="preserve">2026/8/13</t>
  </si>
  <si>
    <t xml:space="preserve">李哲早</t>
  </si>
  <si>
    <t xml:space="preserve">张嘉懿晚</t>
  </si>
  <si>
    <t xml:space="preserve">2026/8/14</t>
  </si>
  <si>
    <t xml:space="preserve">董柯言早</t>
  </si>
  <si>
    <t xml:space="preserve">2026/8/15</t>
  </si>
  <si>
    <t xml:space="preserve">魏迪双</t>
  </si>
  <si>
    <t xml:space="preserve">2026/8/16</t>
  </si>
  <si>
    <t xml:space="preserve">宋亚锰双</t>
  </si>
  <si>
    <t xml:space="preserve">2026/8/17</t>
  </si>
  <si>
    <t xml:space="preserve">2026/8/18</t>
  </si>
  <si>
    <t xml:space="preserve">刘子斌</t>
  </si>
  <si>
    <t xml:space="preserve">2026/8/19</t>
  </si>
  <si>
    <t xml:space="preserve">2026/8/20</t>
  </si>
  <si>
    <t xml:space="preserve">2026/8/21</t>
  </si>
  <si>
    <t xml:space="preserve">11:00-12:30</t>
  </si>
  <si>
    <t xml:space="preserve">2026/8/22</t>
  </si>
  <si>
    <t xml:space="preserve">陈思钰早</t>
  </si>
  <si>
    <t xml:space="preserve">张嘉懿</t>
  </si>
  <si>
    <t xml:space="preserve">贾占通双</t>
  </si>
  <si>
    <t xml:space="preserve">2026/8/23</t>
  </si>
  <si>
    <t xml:space="preserve">2026/8/24</t>
  </si>
  <si>
    <t xml:space="preserve">2026/8/25</t>
  </si>
  <si>
    <t xml:space="preserve">张嘉懿双</t>
  </si>
  <si>
    <t xml:space="preserve">张伟娜</t>
  </si>
  <si>
    <t xml:space="preserve">22:00-02:00</t>
  </si>
  <si>
    <t xml:space="preserve">2026/8/26</t>
  </si>
  <si>
    <t xml:space="preserve">2026/8/27</t>
  </si>
  <si>
    <t xml:space="preserve">张滋怡双</t>
  </si>
  <si>
    <t xml:space="preserve">2026/8/28</t>
  </si>
  <si>
    <t xml:space="preserve">李哲双</t>
  </si>
  <si>
    <t xml:space="preserve">2026/8/29</t>
  </si>
  <si>
    <t xml:space="preserve">李子健</t>
  </si>
  <si>
    <t xml:space="preserve">2026/8/30</t>
  </si>
  <si>
    <t xml:space="preserve">郭斯元早</t>
  </si>
  <si>
    <t xml:space="preserve">2026/8/31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</si>
  <si>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</si>
  <si>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</si>
  <si>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</si>
  <si>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</si>
  <si>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</si>
  <si>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</si>
  <si>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</si>
  <si>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</si>
  <si>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</si>
  <si>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</si>
  <si>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</si>
  <si>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</si>
  <si>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</si>
  <si>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</si>
  <si>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</si>
  <si>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</si>
  <si>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2026/7/1</t>
  </si>
  <si>
    <t xml:space="preserve">蔡露露</t>
  </si>
  <si>
    <t xml:space="preserve">06:00-11:00</t>
  </si>
  <si>
    <t xml:space="preserve">董柯言早</t>
  </si>
  <si>
    <t xml:space="preserve">谢镇雨</t>
  </si>
  <si>
    <t xml:space="preserve">段雨诺</t>
  </si>
  <si>
    <t xml:space="preserve">11:00-14:00</t>
  </si>
  <si>
    <t xml:space="preserve">田宇尚</t>
  </si>
  <si>
    <t xml:space="preserve">14:00-18:00</t>
  </si>
  <si>
    <t xml:space="preserve">葛鑫然</t>
  </si>
  <si>
    <t xml:space="preserve">18:00-22:00</t>
  </si>
  <si>
    <t xml:space="preserve">张嘉懿晚</t>
  </si>
  <si>
    <t xml:space="preserve">江勇</t>
  </si>
  <si>
    <t xml:space="preserve">杜思利</t>
  </si>
  <si>
    <t xml:space="preserve">22:00-02:00</t>
  </si>
  <si>
    <t xml:space="preserve">2026/7/2</t>
  </si>
  <si>
    <t xml:space="preserve">11:00-13:00</t>
  </si>
  <si>
    <t xml:space="preserve">13:00-17:00</t>
  </si>
  <si>
    <t xml:space="preserve">17:00-21:00</t>
  </si>
  <si>
    <t xml:space="preserve">21:00-02:00</t>
  </si>
  <si>
    <t xml:space="preserve">2026/7/3</t>
  </si>
  <si>
    <t xml:space="preserve">06:00-10:00</t>
  </si>
  <si>
    <t xml:space="preserve">贾占通双</t>
  </si>
  <si>
    <t xml:space="preserve">10:00-14:00</t>
  </si>
  <si>
    <t xml:space="preserve">李雅琪</t>
  </si>
  <si>
    <t xml:space="preserve">2026/7/4</t>
  </si>
  <si>
    <t xml:space="preserve">贾占通早</t>
  </si>
  <si>
    <t xml:space="preserve">2026/7/5</t>
  </si>
  <si>
    <t xml:space="preserve">2026/7/6</t>
  </si>
  <si>
    <t xml:space="preserve">11:00-16:00</t>
  </si>
  <si>
    <t xml:space="preserve">16:00-21:00</t>
  </si>
  <si>
    <t xml:space="preserve">张嘉懿双</t>
  </si>
  <si>
    <t xml:space="preserve">21:00-23:00</t>
  </si>
  <si>
    <t xml:space="preserve">2026/7/7</t>
  </si>
  <si>
    <t xml:space="preserve">张嘉懿</t>
  </si>
  <si>
    <t xml:space="preserve">郭斯元双</t>
  </si>
  <si>
    <t xml:space="preserve">18:00-21:00</t>
  </si>
  <si>
    <t xml:space="preserve">王悦暄晚</t>
  </si>
  <si>
    <t xml:space="preserve">2026/7/8</t>
  </si>
  <si>
    <t xml:space="preserve">21:00-01:00</t>
  </si>
  <si>
    <t xml:space="preserve">2026/7/9</t>
  </si>
  <si>
    <t xml:space="preserve">2026/7/10</t>
  </si>
  <si>
    <t xml:space="preserve">22:00-24:00</t>
  </si>
  <si>
    <t xml:space="preserve">2026/7/11</t>
  </si>
  <si>
    <t xml:space="preserve">2026/7/12</t>
  </si>
  <si>
    <t xml:space="preserve">2026/7/13</t>
  </si>
  <si>
    <t xml:space="preserve">于慧</t>
  </si>
  <si>
    <t xml:space="preserve">2026/7/14</t>
  </si>
  <si>
    <t xml:space="preserve">2026/7/15</t>
  </si>
  <si>
    <t xml:space="preserve">10:00-15:00</t>
  </si>
  <si>
    <t xml:space="preserve">15:00-20:00</t>
  </si>
  <si>
    <t xml:space="preserve">贾占通</t>
  </si>
  <si>
    <t xml:space="preserve">20:00-01:00</t>
  </si>
  <si>
    <t xml:space="preserve">2026/7/16</t>
  </si>
  <si>
    <t xml:space="preserve">贾占通晚</t>
  </si>
  <si>
    <t xml:space="preserve">2026/7/17</t>
  </si>
  <si>
    <t xml:space="preserve">2026/7/18</t>
  </si>
  <si>
    <t xml:space="preserve">郭斯元</t>
  </si>
  <si>
    <t xml:space="preserve">2026/7/19</t>
  </si>
  <si>
    <t xml:space="preserve">2026/7/20</t>
  </si>
  <si>
    <t xml:space="preserve">郭斯元早</t>
  </si>
  <si>
    <t xml:space="preserve">2026/7/21</t>
  </si>
  <si>
    <t xml:space="preserve">2026/7/22</t>
  </si>
  <si>
    <t xml:space="preserve">董柯言双</t>
  </si>
  <si>
    <t xml:space="preserve">董柯言</t>
  </si>
  <si>
    <t xml:space="preserve">2026/7/23</t>
  </si>
  <si>
    <t xml:space="preserve">2026/7/24</t>
  </si>
  <si>
    <t xml:space="preserve">魏迪双</t>
  </si>
  <si>
    <t xml:space="preserve">李哲</t>
  </si>
  <si>
    <t xml:space="preserve">2026/7/25</t>
  </si>
  <si>
    <t xml:space="preserve">李哲晚</t>
  </si>
  <si>
    <t xml:space="preserve">2026/7/26</t>
  </si>
  <si>
    <t xml:space="preserve">2026/7/27</t>
  </si>
  <si>
    <t xml:space="preserve">郭斯元晚</t>
  </si>
  <si>
    <t xml:space="preserve">2026/7/28</t>
  </si>
  <si>
    <t xml:space="preserve">2026/7/29</t>
  </si>
  <si>
    <t xml:space="preserve">2026/7/30</t>
  </si>
  <si>
    <t xml:space="preserve">2026/7/31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</si>
  <si>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</si>
  <si>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</si>
  <si>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</si>
  <si>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</si>
  <si>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</si>
  <si>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</si>
  <si>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</si>
  <si>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</si>
  <si>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</si>
  <si>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</si>
  <si>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</si>
  <si>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</si>
  <si>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</si>
  <si>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</si>
  <si>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</si>
  <si>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</si>
  <si>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2026/6/1</t>
  </si>
  <si>
    <t xml:space="preserve">刘梦</t>
  </si>
  <si>
    <t xml:space="preserve">7:00-11:00</t>
  </si>
  <si>
    <t xml:space="preserve">葛鑫然</t>
  </si>
  <si>
    <t xml:space="preserve">江勇</t>
  </si>
  <si>
    <t xml:space="preserve">蔡露露</t>
  </si>
  <si>
    <t xml:space="preserve">11:00-15:00</t>
  </si>
  <si>
    <t xml:space="preserve">2026/6/2</t>
  </si>
  <si>
    <t xml:space="preserve">杜思利</t>
  </si>
  <si>
    <t xml:space="preserve">葛鑫然双</t>
  </si>
  <si>
    <t xml:space="preserve">2026/6/3</t>
  </si>
  <si>
    <t xml:space="preserve">12:00-17:00</t>
  </si>
  <si>
    <t xml:space="preserve">李哲双</t>
  </si>
  <si>
    <t xml:space="preserve">李哲</t>
  </si>
  <si>
    <t xml:space="preserve">2026/6/4</t>
  </si>
  <si>
    <t xml:space="preserve">07:00-12:00</t>
  </si>
  <si>
    <t xml:space="preserve">董柯言</t>
  </si>
  <si>
    <t xml:space="preserve">2026/6/5</t>
  </si>
  <si>
    <t xml:space="preserve">12:00-16:00</t>
  </si>
  <si>
    <t xml:space="preserve">16:00-20:00</t>
  </si>
  <si>
    <t xml:space="preserve">贾占通双</t>
  </si>
  <si>
    <t xml:space="preserve">田宇尚</t>
  </si>
  <si>
    <t xml:space="preserve">20:00-24:00</t>
  </si>
  <si>
    <t xml:space="preserve">2026/6/6</t>
  </si>
  <si>
    <t xml:space="preserve">任子硕双</t>
  </si>
  <si>
    <t xml:space="preserve">2026/6/7</t>
  </si>
  <si>
    <t xml:space="preserve">何彩樱</t>
  </si>
  <si>
    <t xml:space="preserve">2026/6/8</t>
  </si>
  <si>
    <t xml:space="preserve">董柯言双</t>
  </si>
  <si>
    <t xml:space="preserve">2026/6/9</t>
  </si>
  <si>
    <t xml:space="preserve">张嘉懿</t>
  </si>
  <si>
    <t xml:space="preserve">张嘉懿双</t>
  </si>
  <si>
    <t xml:space="preserve">20:00-22:00</t>
  </si>
  <si>
    <t xml:space="preserve">2026/6/10</t>
  </si>
  <si>
    <t xml:space="preserve">2026/6/11</t>
  </si>
  <si>
    <t xml:space="preserve">07:00-11:00</t>
  </si>
  <si>
    <t xml:space="preserve">郭斯元</t>
  </si>
  <si>
    <t xml:space="preserve">11:00-16:00</t>
  </si>
  <si>
    <t xml:space="preserve">16:00-21:00</t>
  </si>
  <si>
    <t xml:space="preserve">李雅琪</t>
  </si>
  <si>
    <t xml:space="preserve">21:00-01:00</t>
  </si>
  <si>
    <t xml:space="preserve">2026/6/12</t>
  </si>
  <si>
    <t xml:space="preserve">郭斯元双</t>
  </si>
  <si>
    <t xml:space="preserve">2026/6/13</t>
  </si>
  <si>
    <t xml:space="preserve">2026/6/14</t>
  </si>
  <si>
    <t xml:space="preserve">2026/6/15</t>
  </si>
  <si>
    <t xml:space="preserve">谢镇雨</t>
  </si>
  <si>
    <t xml:space="preserve">2026/6/16</t>
  </si>
  <si>
    <t xml:space="preserve">何彩樱双</t>
  </si>
  <si>
    <t xml:space="preserve">2026/6/18</t>
  </si>
  <si>
    <t xml:space="preserve">09:00-13:00</t>
  </si>
  <si>
    <t xml:space="preserve">13:00-18:00</t>
  </si>
  <si>
    <t xml:space="preserve">18:00-23:00</t>
  </si>
  <si>
    <t xml:space="preserve">、</t>
  </si>
  <si>
    <t xml:space="preserve">2026/6/19</t>
  </si>
  <si>
    <t xml:space="preserve">宋亚锰</t>
  </si>
  <si>
    <t xml:space="preserve">魏迪</t>
  </si>
  <si>
    <t xml:space="preserve">22:00-02:00</t>
  </si>
  <si>
    <t xml:space="preserve">2026/6/20</t>
  </si>
  <si>
    <t xml:space="preserve">2026/6/21</t>
  </si>
  <si>
    <t xml:space="preserve">2026/6/22</t>
  </si>
  <si>
    <t xml:space="preserve">2026/6/23</t>
  </si>
  <si>
    <t xml:space="preserve">06:00-11:00</t>
  </si>
  <si>
    <t xml:space="preserve">董柯言早</t>
  </si>
  <si>
    <t xml:space="preserve">16:00-19:00</t>
  </si>
  <si>
    <t xml:space="preserve">19:00-24:00</t>
  </si>
  <si>
    <t xml:space="preserve">2026/6/24</t>
  </si>
  <si>
    <t xml:space="preserve">20:00-01:00</t>
  </si>
  <si>
    <t xml:space="preserve">2026/6/25</t>
  </si>
  <si>
    <t xml:space="preserve">2026/6/26</t>
  </si>
  <si>
    <t xml:space="preserve">段雨诺</t>
  </si>
  <si>
    <t xml:space="preserve">15:00-17:00</t>
  </si>
  <si>
    <t xml:space="preserve">17:00-21:00</t>
  </si>
  <si>
    <t xml:space="preserve">张嘉懿晚</t>
  </si>
  <si>
    <t xml:space="preserve">21:00-02:00</t>
  </si>
  <si>
    <t xml:space="preserve">2026/6/27</t>
  </si>
  <si>
    <t xml:space="preserve">2026/6/28</t>
  </si>
  <si>
    <t xml:space="preserve">贾占通早</t>
  </si>
  <si>
    <t xml:space="preserve">曲缘奥</t>
  </si>
  <si>
    <t xml:space="preserve">11:00-13:00</t>
  </si>
  <si>
    <t xml:space="preserve">13:00-17:00</t>
  </si>
  <si>
    <t xml:space="preserve">2026/6/29</t>
  </si>
  <si>
    <t xml:space="preserve">2026/6/30</t>
  </si>
  <si>
    <t xml:space="preserve">11:00-14:00</t>
  </si>
  <si>
    <t xml:space="preserve">14:00-18:00</t>
  </si>
  <si>
    <t xml:space="preserve">18:00-22:00</t>
  </si>
  <si>
    <t xml:space="preserve">总时长</t>
  </si>
  <si>
    <t xml:space="preserve">微保4 </t>
  </si>
  <si>
    <t xml:space="preserve">保单数量</t>
  </si>
  <si>
    <t xml:space="preserve">时耗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</si>
  <si>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</si>
  <si>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</si>
  <si>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</si>
  <si>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</si>
  <si>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</si>
  <si>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</si>
  <si>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</si>
  <si>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</si>
  <si>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</si>
  <si>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</si>
  <si>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</si>
  <si>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</si>
  <si>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</si>
  <si>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</si>
  <si>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</si>
  <si>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</si>
  <si>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</si>
  <si>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2026/5/1</t>
  </si>
  <si>
    <t xml:space="preserve">蔡露露</t>
  </si>
  <si>
    <t xml:space="preserve">14:00-19:00</t>
  </si>
  <si>
    <t xml:space="preserve">葛鑫然双</t>
  </si>
  <si>
    <t xml:space="preserve">谢振雨</t>
  </si>
  <si>
    <t xml:space="preserve">连贝贝</t>
  </si>
  <si>
    <t xml:space="preserve">19:00-21:00</t>
  </si>
  <si>
    <t xml:space="preserve">葛鑫然</t>
  </si>
  <si>
    <t xml:space="preserve">2026/5/2</t>
  </si>
  <si>
    <t xml:space="preserve">2026/5/3</t>
  </si>
  <si>
    <t xml:space="preserve">19:00-24:00</t>
  </si>
  <si>
    <t xml:space="preserve">2026/5/4</t>
  </si>
  <si>
    <t xml:space="preserve">2026/5/5</t>
  </si>
  <si>
    <t xml:space="preserve">2026/5/6</t>
  </si>
  <si>
    <t xml:space="preserve">郝泽晗双</t>
  </si>
  <si>
    <t xml:space="preserve">2026/5/7</t>
  </si>
  <si>
    <t xml:space="preserve">杜思利</t>
  </si>
  <si>
    <t xml:space="preserve">2026/5/8</t>
  </si>
  <si>
    <t xml:space="preserve">2026/5/9</t>
  </si>
  <si>
    <t xml:space="preserve">李子健双</t>
  </si>
  <si>
    <t xml:space="preserve">李子健</t>
  </si>
  <si>
    <t xml:space="preserve">2026/5/10</t>
  </si>
  <si>
    <t xml:space="preserve">贾占通</t>
  </si>
  <si>
    <t xml:space="preserve">贾占通双</t>
  </si>
  <si>
    <t xml:space="preserve">2026/5/11</t>
  </si>
  <si>
    <t xml:space="preserve">2026/5/12</t>
  </si>
  <si>
    <t xml:space="preserve">2026/5/13</t>
  </si>
  <si>
    <t xml:space="preserve">魏迪</t>
  </si>
  <si>
    <t xml:space="preserve">2026/5/14</t>
  </si>
  <si>
    <t xml:space="preserve">2026/5/15</t>
  </si>
  <si>
    <t xml:space="preserve">2026/5/16</t>
  </si>
  <si>
    <t xml:space="preserve">2026/5/17</t>
  </si>
  <si>
    <t xml:space="preserve">2026/5/18</t>
  </si>
  <si>
    <t xml:space="preserve">2026/5/19</t>
  </si>
  <si>
    <t xml:space="preserve">2026/5/20</t>
  </si>
  <si>
    <t xml:space="preserve">2026/5/21</t>
  </si>
  <si>
    <t xml:space="preserve">2026/5/22</t>
  </si>
  <si>
    <t xml:space="preserve">2026/5/23</t>
  </si>
  <si>
    <t xml:space="preserve">19:00-22:00</t>
  </si>
  <si>
    <t xml:space="preserve">2026/5/24</t>
  </si>
  <si>
    <t xml:space="preserve">2026/5/25</t>
  </si>
  <si>
    <t xml:space="preserve">2026/5/27</t>
  </si>
  <si>
    <t xml:space="preserve">07:00-11:00</t>
  </si>
  <si>
    <t xml:space="preserve">任子硕</t>
  </si>
  <si>
    <t xml:space="preserve">江勇</t>
  </si>
  <si>
    <t xml:space="preserve">11:00-15:00</t>
  </si>
  <si>
    <t xml:space="preserve">2026/5/28</t>
  </si>
  <si>
    <t xml:space="preserve">2026/5/29</t>
  </si>
  <si>
    <t xml:space="preserve">2026/5/30</t>
  </si>
  <si>
    <t xml:space="preserve">2026/5/31</t>
  </si>
  <si>
    <t xml:space="preserve">董柯言双</t>
  </si>
  <si>
    <t xml:space="preserve">日期</t>
  </si>
  <si>
    <t xml:space="preserve">主播</t>
  </si>
  <si>
    <t xml:space="preserve">直播时段</t>
  </si>
  <si>
    <t xml:space="preserve">直播时长</t>
  </si>
  <si>
    <t xml:space="preserve">总保单数量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</si>
  <si>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</si>
  <si>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</si>
  <si>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</si>
  <si>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</si>
  <si>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</si>
  <si>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T0脱退单数量</t>
  </si>
  <si>
    <t xml:space="preserve">T0脱退保费</t>
  </si>
  <si>
    <t xml:space="preserve">助播</t>
  </si>
  <si>
    <t xml:space="preserve">助播时长</t>
  </si>
  <si>
    <t xml:space="preserve">投手</t>
  </si>
  <si>
    <t xml:space="preserve">时长</t>
  </si>
  <si>
    <t xml:space="preserve">2026/4/12</t>
  </si>
  <si>
    <t xml:space="preserve">孟郁倩</t>
  </si>
  <si>
    <t xml:space="preserve">9:00-14:00</t>
  </si>
  <si>
    <t xml:space="preserve">郝泽晗</t>
  </si>
  <si>
    <t xml:space="preserve">谢振雨</t>
  </si>
  <si>
    <t xml:space="preserve">姜可心</t>
  </si>
  <si>
    <t xml:space="preserve">14:00-19:00</t>
  </si>
  <si>
    <t xml:space="preserve">蔡露露</t>
  </si>
  <si>
    <t xml:space="preserve">19:00-24:00</t>
  </si>
  <si>
    <t xml:space="preserve">葛鑫然</t>
  </si>
  <si>
    <t xml:space="preserve">2026/4/13</t>
  </si>
  <si>
    <t xml:space="preserve">杨得草</t>
  </si>
  <si>
    <t xml:space="preserve">2026/4/14</t>
  </si>
  <si>
    <t xml:space="preserve">路鑫鑫</t>
  </si>
  <si>
    <t xml:space="preserve">李哲双</t>
  </si>
  <si>
    <t xml:space="preserve">杨得草双</t>
  </si>
  <si>
    <t xml:space="preserve">19:00-19:30</t>
  </si>
  <si>
    <t xml:space="preserve">李哲</t>
  </si>
  <si>
    <t xml:space="preserve">2026/4/15</t>
  </si>
  <si>
    <t xml:space="preserve">2026/4/16</t>
  </si>
  <si>
    <t xml:space="preserve">2026/4/17</t>
  </si>
  <si>
    <t xml:space="preserve">2026/4/18</t>
  </si>
  <si>
    <t xml:space="preserve">2026/4/19</t>
  </si>
  <si>
    <t xml:space="preserve">14:00-18:00</t>
  </si>
  <si>
    <t xml:space="preserve">18:00-24:00</t>
  </si>
  <si>
    <t xml:space="preserve">2026/4/20</t>
  </si>
  <si>
    <t xml:space="preserve">2026/4/21</t>
  </si>
  <si>
    <t xml:space="preserve">2026/4/22</t>
  </si>
  <si>
    <t xml:space="preserve">08:00-12:00</t>
  </si>
  <si>
    <t xml:space="preserve">任子硕</t>
  </si>
  <si>
    <t xml:space="preserve">谢镇雨</t>
  </si>
  <si>
    <t xml:space="preserve">刘梦</t>
  </si>
  <si>
    <t xml:space="preserve">12:00-16:00</t>
  </si>
  <si>
    <t xml:space="preserve">刘杰宇</t>
  </si>
  <si>
    <t xml:space="preserve">16:00-20:00</t>
  </si>
  <si>
    <t xml:space="preserve">20:00-24:00</t>
  </si>
  <si>
    <t xml:space="preserve">2026/4/23</t>
  </si>
  <si>
    <t xml:space="preserve">郝泽晗双</t>
  </si>
  <si>
    <t xml:space="preserve">王硕硕</t>
  </si>
  <si>
    <t xml:space="preserve">郭斯元双</t>
  </si>
  <si>
    <t xml:space="preserve">2026/4/24</t>
  </si>
  <si>
    <t xml:space="preserve">魏迪</t>
  </si>
  <si>
    <t xml:space="preserve">2026/4/25</t>
  </si>
  <si>
    <t xml:space="preserve">2026/4/27</t>
  </si>
  <si>
    <t xml:space="preserve">葛鑫然双</t>
  </si>
  <si>
    <t xml:space="preserve">2026/4/28</t>
  </si>
  <si>
    <t xml:space="preserve">2026/4/29</t>
  </si>
  <si>
    <t xml:space="preserve">2026/4/30</t>
  </si>
  <si>
    <t xml:space="preserve">微保4</t>
  </si>
  <si>
    <t xml:space="preserve">roi</t>
  </si>
  <si>
    <t xml:space="preserve">时耗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</si>
</sst>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4" formatCode="@"/>
    <numFmt numFmtId="165" formatCode="0.00_);[Red](0.00)"/>
    <numFmt numFmtId="166" formatCode="0.00"/>
    <numFmt numFmtId="167" formatCode="0.00_);(0.00)"/>
    <numFmt numFmtId="168" formatCode="@"/>
    <numFmt numFmtId="169" formatCode="0.00_);[Red](0.00)"/>
    <numFmt numFmtId="170" formatCode="0.00"/>
    <numFmt numFmtId="171" formatCode="0.00_);(0.00)"/>
    <numFmt numFmtId="172" formatCode="General"/>
    <numFmt numFmtId="173" formatCode="#,##0.00"/>
    <numFmt numFmtId="174" formatCode="@"/>
    <numFmt numFmtId="175" formatCode="0.00_);[Red](0.00)"/>
    <numFmt numFmtId="176" formatCode="0.00"/>
    <numFmt numFmtId="177" formatCode="0.00_);(0.00)"/>
    <numFmt numFmtId="178" formatCode="#,##0.00"/>
    <numFmt numFmtId="179" formatCode="@"/>
    <numFmt numFmtId="180" formatCode="0.00_);[Red](0.00)"/>
    <numFmt numFmtId="181" formatCode="0.00"/>
    <numFmt numFmtId="182" formatCode="yyyy/m/d"/>
    <numFmt numFmtId="183" formatCode="0.00_);(0.00)"/>
    <numFmt numFmtId="184" formatCode="General"/>
    <numFmt numFmtId="185" formatCode="#,##0.00"/>
    <numFmt numFmtId="186" formatCode="@"/>
    <numFmt numFmtId="187" formatCode="0.00_);[Red](0.00)"/>
    <numFmt numFmtId="188" formatCode="0.00"/>
    <numFmt numFmtId="189" formatCode="yyyy/m/d"/>
    <numFmt numFmtId="190" formatCode="0.00_);(0.00)"/>
    <numFmt numFmtId="191" formatCode="@"/>
    <numFmt numFmtId="192" formatCode="0.00_);[Red](0.00)"/>
    <numFmt numFmtId="193" formatCode="0.00"/>
    <numFmt numFmtId="194" formatCode="yyyy/m/d"/>
    <numFmt numFmtId="195" formatCode="#,##0.00"/>
    <numFmt numFmtId="196" formatCode="0.00_);(0.00)"/>
    <numFmt numFmtId="197" formatCode="@"/>
    <numFmt numFmtId="198" formatCode="0.00_);[Red](0.00)"/>
    <numFmt numFmtId="199" formatCode="0.00"/>
    <numFmt numFmtId="200" formatCode="yyyy/m/d"/>
  </numFmts>
  <fonts count="13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0"/>
      <color rgb="FFC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30"/>
      <color rgb="FFF54A45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color rgb="FF8F959E"/>
      <name val="Calibri"/>
      <family val="2"/>
      <scheme val="minor"/>
    </font>
  </fonts>
  <fills count="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258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258"/>
        <bgColor/>
      </patternFill>
    </fill>
    <fill>
      <patternFill patternType="solid">
        <fgColor rgb="FFF0F4FF"/>
        <bgColor/>
      </patternFill>
    </fill>
    <fill>
      <patternFill patternType="solid">
        <fgColor rgb="FF1C4CBA"/>
        <bgColor/>
      </patternFill>
    </fill>
    <fill>
      <patternFill patternType="solid">
        <fgColor rgb="FFF8F9FA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BA84"/>
        <bgColor/>
      </patternFill>
    </fill>
    <fill>
      <patternFill patternType="solid">
        <fgColor rgb="FF99BEFF"/>
        <bgColor/>
      </patternFill>
    </fill>
    <fill>
      <patternFill patternType="solid">
        <fgColor rgb="FFFFF258"/>
        <bgColor/>
      </patternFill>
    </fill>
    <fill>
      <patternFill patternType="solid">
        <fgColor rgb="FF4E83FD"/>
        <bgColor/>
      </patternFill>
    </fill>
    <fill>
      <patternFill patternType="solid">
        <fgColor rgb="FFE1EAFF"/>
        <bgColor/>
      </patternFill>
    </fill>
    <fill>
      <patternFill patternType="solid">
        <fgColor rgb="FFF5F6F7"/>
        <bgColor/>
      </patternFill>
    </fill>
  </fills>
  <borders count="3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C4CBA"/>
      </top>
      <bottom style="thin">
        <color rgb="FF1F2329"/>
      </bottom>
      <diagonal/>
    </border>
    <border>
      <left/>
      <right/>
      <top style="thin">
        <color rgb="FF1C4CBA"/>
      </top>
      <bottom style="thin">
        <color rgb="FF1F2329"/>
      </bottom>
      <diagonal/>
    </border>
    <border>
      <left/>
      <right style="thin">
        <color rgb="FF1F2329"/>
      </right>
      <top style="thin">
        <color rgb="FF1C4CBA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true" applyProtection="false" borderId="1" fillId="0" fontId="2" numFmtId="164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true" applyFont="true" applyNumberFormat="true" applyProtection="false" borderId="1" fillId="3" fontId="4" numFmtId="164" xfId="0">
      <alignment horizontal="center" vertical="center"/>
    </xf>
    <xf applyAlignment="true" applyBorder="false" applyFill="true" applyFont="true" applyNumberFormat="false" applyProtection="false" borderId="1" fillId="3" fontId="2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true" applyFont="true" applyNumberFormat="true" applyProtection="false" borderId="1" fillId="3" fontId="5" numFmtId="167" xfId="0">
      <alignment horizontal="center" vertical="center"/>
    </xf>
    <xf applyAlignment="true" applyBorder="false" applyFill="true" applyFont="true" applyNumberFormat="false" applyProtection="false" borderId="1" fillId="3" fontId="6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6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true" applyFont="true" applyNumberFormat="true" applyProtection="false" borderId="2" fillId="3" fontId="4" numFmtId="164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true" applyFont="true" applyNumberFormat="false" applyProtection="false" borderId="2" fillId="3" fontId="5" numFmtId="0" xfId="0">
      <alignment horizontal="center" vertical="center"/>
    </xf>
    <xf applyAlignment="true" applyBorder="false" applyFill="true" applyFont="true" applyNumberFormat="true" applyProtection="false" borderId="2" fillId="3" fontId="5" numFmtId="167" xfId="0">
      <alignment horizontal="center" vertical="center"/>
    </xf>
    <xf applyAlignment="true" applyBorder="false" applyFill="true" applyFont="true" applyNumberFormat="false" applyProtection="false" borderId="2" fillId="3" fontId="6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true" applyFont="true" applyNumberFormat="true" applyProtection="false" borderId="3" fillId="4" fontId="1" numFmtId="168" xfId="0">
      <alignment horizontal="center" vertical="center"/>
    </xf>
    <xf applyAlignment="true" applyBorder="false" applyFill="true" applyFont="true" applyNumberFormat="false" applyProtection="false" borderId="3" fillId="4" fontId="1" numFmtId="0" xfId="0">
      <alignment horizontal="center" vertical="center"/>
    </xf>
    <xf applyAlignment="true" applyBorder="false" applyFill="true" applyFont="true" applyNumberFormat="true" applyProtection="false" borderId="3" fillId="4" fontId="1" numFmtId="169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4" fillId="0" fontId="2" numFmtId="168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68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true" applyProtection="false" borderId="5" fillId="5" fontId="4" numFmtId="168" xfId="0">
      <alignment horizontal="center" vertical="center"/>
    </xf>
    <xf applyAlignment="true" applyBorder="false" applyFill="true" applyFont="true" applyNumberFormat="false" applyProtection="false" borderId="5" fillId="5" fontId="2" numFmtId="0" xfId="0">
      <alignment horizontal="center" vertical="center"/>
    </xf>
    <xf applyAlignment="true" applyBorder="false" applyFill="true" applyFont="true" applyNumberFormat="false" applyProtection="false" borderId="5" fillId="5" fontId="5" numFmtId="0" xfId="0">
      <alignment horizontal="center" vertical="center"/>
    </xf>
    <xf applyAlignment="true" applyBorder="false" applyFill="true" applyFont="true" applyNumberFormat="true" applyProtection="false" borderId="5" fillId="5" fontId="5" numFmtId="171" xfId="0">
      <alignment horizontal="center" vertical="center"/>
    </xf>
    <xf applyAlignment="true" applyBorder="false" applyFill="true" applyFont="true" applyNumberFormat="false" applyProtection="false" borderId="5" fillId="5" fontId="6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false" applyFont="true" applyNumberFormat="true" applyProtection="false" borderId="4" fillId="0" fontId="2" numFmtId="168" xfId="0">
      <alignment horizontal="center" vertical="center"/>
    </xf>
    <xf applyAlignment="true" applyBorder="false" applyFill="false" applyFont="true" applyNumberFormat="true" applyProtection="false" borderId="3" fillId="0" fontId="2" numFmtId="168" xfId="0">
      <alignment horizontal="center" vertical="center"/>
    </xf>
    <xf applyAlignment="true" applyBorder="false" applyFill="false" applyFont="true" applyNumberFormat="true" applyProtection="false" borderId="3" fillId="0" fontId="2" numFmtId="168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2" numFmtId="17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true" applyFont="true" applyNumberFormat="true" applyProtection="false" borderId="3" fillId="5" fontId="4" numFmtId="168" xfId="0">
      <alignment horizontal="center" vertical="center"/>
    </xf>
    <xf applyAlignment="true" applyBorder="false" applyFill="true" applyFont="true" applyNumberFormat="false" applyProtection="false" borderId="3" fillId="5" fontId="2" numFmtId="0" xfId="0">
      <alignment horizontal="center" vertical="center"/>
    </xf>
    <xf applyAlignment="true" applyBorder="false" applyFill="true" applyFont="true" applyNumberFormat="false" applyProtection="false" borderId="3" fillId="5" fontId="5" numFmtId="0" xfId="0">
      <alignment horizontal="center" vertical="center"/>
    </xf>
    <xf applyAlignment="true" applyBorder="false" applyFill="true" applyFont="true" applyNumberFormat="true" applyProtection="false" borderId="3" fillId="5" fontId="5" numFmtId="171" xfId="0">
      <alignment horizontal="center" vertical="center"/>
    </xf>
    <xf applyAlignment="true" applyBorder="false" applyFill="true" applyFont="true" applyNumberFormat="false" applyProtection="false" borderId="3" fillId="5" fontId="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3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2" numFmtId="171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70" xfId="0">
      <alignment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true" applyFont="true" applyNumberFormat="false" applyProtection="false" borderId="0" fillId="6" fontId="7" numFmtId="0" xfId="0">
      <alignment horizontal="center" vertical="center"/>
    </xf>
    <xf applyAlignment="true" applyBorder="false" applyFill="false" applyFont="true" applyNumberFormat="true" applyProtection="false" borderId="0" fillId="0" fontId="2" numFmtId="171" xfId="0">
      <alignment vertical="center"/>
    </xf>
    <xf applyAlignment="true" applyBorder="false" applyFill="false" applyFont="true" applyNumberFormat="true" applyProtection="false" borderId="0" fillId="0" fontId="2" numFmtId="173" xfId="0">
      <alignment vertical="center"/>
    </xf>
    <xf applyAlignment="true" applyBorder="false" applyFill="true" applyFont="true" applyNumberFormat="true" applyProtection="false" borderId="8" fillId="7" fontId="1" numFmtId="174" xfId="0">
      <alignment horizontal="center" vertical="center"/>
    </xf>
    <xf applyAlignment="true" applyBorder="false" applyFill="true" applyFont="true" applyNumberFormat="false" applyProtection="false" borderId="8" fillId="7" fontId="1" numFmtId="0" xfId="0">
      <alignment horizontal="center" vertical="center"/>
    </xf>
    <xf applyAlignment="true" applyBorder="false" applyFill="true" applyFont="true" applyNumberFormat="true" applyProtection="false" borderId="8" fillId="7" fontId="1" numFmtId="175" xfId="0">
      <alignment horizontal="center" vertical="center"/>
    </xf>
    <xf applyAlignment="true" applyBorder="false" applyFill="false" applyFont="true" applyNumberFormat="true" applyProtection="false" borderId="9" fillId="0" fontId="2" numFmtId="174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10" fillId="0" fontId="2" numFmtId="176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true" applyProtection="false" borderId="10" fillId="0" fontId="2" numFmtId="174" xfId="0">
      <alignment horizontal="center" vertical="center"/>
    </xf>
    <xf applyAlignment="true" applyBorder="false" applyFill="true" applyFont="true" applyNumberFormat="true" applyProtection="false" borderId="10" fillId="8" fontId="4" numFmtId="174" xfId="0">
      <alignment horizontal="center" vertical="center"/>
    </xf>
    <xf applyAlignment="true" applyBorder="false" applyFill="true" applyFont="true" applyNumberFormat="false" applyProtection="false" borderId="10" fillId="8" fontId="2" numFmtId="0" xfId="0">
      <alignment horizontal="center" vertical="center"/>
    </xf>
    <xf applyAlignment="true" applyBorder="false" applyFill="true" applyFont="true" applyNumberFormat="false" applyProtection="false" borderId="10" fillId="8" fontId="5" numFmtId="0" xfId="0">
      <alignment horizontal="center" vertical="center"/>
    </xf>
    <xf applyAlignment="true" applyBorder="false" applyFill="true" applyFont="true" applyNumberFormat="true" applyProtection="false" borderId="10" fillId="8" fontId="5" numFmtId="177" xfId="0">
      <alignment horizontal="center" vertical="center"/>
    </xf>
    <xf applyAlignment="true" applyBorder="false" applyFill="true" applyFont="true" applyNumberFormat="false" applyProtection="false" borderId="10" fillId="8" fontId="6" numFmtId="0" xfId="0">
      <alignment horizontal="center" vertical="center"/>
    </xf>
    <xf applyAlignment="true" applyBorder="false" applyFill="false" applyFont="true" applyNumberFormat="true" applyProtection="false" borderId="9" fillId="0" fontId="2" numFmtId="174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center"/>
    </xf>
    <xf applyAlignment="true" applyBorder="false" applyFill="true" applyFont="true" applyNumberFormat="true" applyProtection="false" borderId="10" fillId="8" fontId="4" numFmtId="174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8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78" xfId="0">
      <alignment vertical="center"/>
    </xf>
    <xf applyAlignment="true" applyBorder="false" applyFill="false" applyFont="true" applyNumberFormat="true" applyProtection="false" borderId="0" fillId="0" fontId="3" numFmtId="176" xfId="0">
      <alignment vertical="center"/>
    </xf>
    <xf applyAlignment="true" applyBorder="false" applyFill="false" applyFont="true" applyNumberFormat="true" applyProtection="false" borderId="0" fillId="0" fontId="3" numFmtId="177" xfId="0">
      <alignment vertical="center"/>
    </xf>
    <xf applyAlignment="true" applyBorder="false" applyFill="false" applyFont="true" applyNumberFormat="true" applyProtection="false" borderId="0" fillId="0" fontId="3" numFmtId="177" xfId="0">
      <alignment vertical="center"/>
    </xf>
    <xf applyAlignment="true" applyBorder="false" applyFill="false" applyFont="true" applyNumberFormat="true" applyProtection="false" borderId="0" fillId="0" fontId="3" numFmtId="178" xfId="0">
      <alignment horizontal="center" vertical="center"/>
    </xf>
    <xf applyAlignment="true" applyBorder="false" applyFill="true" applyFont="true" applyNumberFormat="true" applyProtection="false" borderId="13" fillId="9" fontId="1" numFmtId="179" xfId="0">
      <alignment horizontal="center" vertical="center"/>
    </xf>
    <xf applyAlignment="true" applyBorder="false" applyFill="true" applyFont="true" applyNumberFormat="false" applyProtection="false" borderId="13" fillId="9" fontId="1" numFmtId="0" xfId="0">
      <alignment horizontal="center" vertical="center"/>
    </xf>
    <xf applyAlignment="true" applyBorder="false" applyFill="true" applyFont="true" applyNumberFormat="true" applyProtection="false" borderId="13" fillId="9" fontId="1" numFmtId="180" xfId="0">
      <alignment horizontal="center" vertical="center"/>
    </xf>
    <xf applyAlignment="true" applyBorder="false" applyFill="false" applyFont="true" applyNumberFormat="true" applyProtection="false" borderId="13" fillId="0" fontId="2" numFmtId="179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true" applyProtection="false" borderId="13" fillId="0" fontId="2" numFmtId="181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true" applyFont="true" applyNumberFormat="true" applyProtection="false" borderId="13" fillId="10" fontId="4" numFmtId="182" xfId="0">
      <alignment horizontal="center" vertical="center"/>
    </xf>
    <xf applyAlignment="true" applyBorder="false" applyFill="true" applyFont="true" applyNumberFormat="false" applyProtection="false" borderId="13" fillId="10" fontId="2" numFmtId="0" xfId="0">
      <alignment horizontal="center" vertical="center"/>
    </xf>
    <xf applyAlignment="true" applyBorder="false" applyFill="true" applyFont="true" applyNumberFormat="false" applyProtection="false" borderId="13" fillId="10" fontId="5" numFmtId="0" xfId="0">
      <alignment horizontal="center" vertical="center"/>
    </xf>
    <xf applyAlignment="true" applyBorder="false" applyFill="true" applyFont="true" applyNumberFormat="true" applyProtection="false" borderId="13" fillId="10" fontId="5" numFmtId="183" xfId="0">
      <alignment horizontal="center" vertical="center"/>
    </xf>
    <xf applyAlignment="true" applyBorder="false" applyFill="true" applyFont="true" applyNumberFormat="false" applyProtection="false" borderId="13" fillId="10" fontId="6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4" fillId="0" fontId="2" numFmtId="179" xfId="0">
      <alignment horizontal="center" vertical="center"/>
    </xf>
    <xf applyAlignment="true" applyBorder="false" applyFill="false" applyFont="true" applyNumberFormat="true" applyProtection="false" borderId="14" fillId="0" fontId="2" numFmtId="181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7" fillId="0" fontId="2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/>
    </xf>
    <xf applyAlignment="true" applyBorder="false" applyFill="true" applyFont="true" applyNumberFormat="false" applyProtection="false" borderId="14" fillId="10" fontId="2" numFmtId="0" xfId="0">
      <alignment horizontal="center" vertical="center"/>
    </xf>
    <xf applyAlignment="true" applyBorder="false" applyFill="true" applyFont="true" applyNumberFormat="false" applyProtection="false" borderId="14" fillId="10" fontId="5" numFmtId="0" xfId="0">
      <alignment horizontal="center" vertical="center"/>
    </xf>
    <xf applyAlignment="true" applyBorder="false" applyFill="true" applyFont="true" applyNumberFormat="true" applyProtection="false" borderId="14" fillId="10" fontId="5" numFmtId="183" xfId="0">
      <alignment horizontal="center" vertical="center"/>
    </xf>
    <xf applyAlignment="true" applyBorder="false" applyFill="true" applyFont="true" applyNumberFormat="false" applyProtection="false" borderId="14" fillId="10" fontId="6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true" applyProtection="false" borderId="14" fillId="0" fontId="2" numFmtId="179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4" fillId="0" fontId="4" numFmtId="0" xfId="0">
      <alignment horizontal="center" vertical="center"/>
    </xf>
    <xf applyAlignment="true" applyBorder="false" applyFill="false" applyFont="true" applyNumberFormat="false" applyProtection="false" borderId="14" fillId="0" fontId="4" numFmtId="0" xfId="0">
      <alignment horizontal="center" vertical="center"/>
    </xf>
    <xf applyAlignment="true" applyBorder="false" applyFill="true" applyFont="true" applyNumberFormat="true" applyProtection="false" borderId="14" fillId="10" fontId="4" numFmtId="184" xfId="0">
      <alignment horizontal="center" vertical="center"/>
    </xf>
    <xf applyAlignment="true" applyBorder="false" applyFill="true" applyFont="true" applyNumberFormat="true" applyProtection="false" borderId="14" fillId="10" fontId="4" numFmtId="179" xfId="0">
      <alignment horizontal="center" vertical="center"/>
    </xf>
    <xf applyAlignment="true" applyBorder="false" applyFill="false" applyFont="true" applyNumberFormat="true" applyProtection="false" borderId="0" fillId="0" fontId="3" numFmtId="183" xfId="0">
      <alignment vertical="center"/>
    </xf>
    <xf applyAlignment="true" applyBorder="false" applyFill="false" applyFont="true" applyNumberFormat="true" applyProtection="false" borderId="0" fillId="0" fontId="9" numFmtId="183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85" xfId="0">
      <alignment vertical="center"/>
    </xf>
    <xf applyAlignment="true" applyBorder="false" applyFill="true" applyFont="true" applyNumberFormat="true" applyProtection="false" borderId="22" fillId="11" fontId="1" numFmtId="186" xfId="0">
      <alignment horizontal="center" vertical="center"/>
    </xf>
    <xf applyAlignment="true" applyBorder="false" applyFill="true" applyFont="true" applyNumberFormat="false" applyProtection="false" borderId="22" fillId="11" fontId="1" numFmtId="0" xfId="0">
      <alignment horizontal="center" vertical="center"/>
    </xf>
    <xf applyAlignment="true" applyBorder="false" applyFill="true" applyFont="true" applyNumberFormat="true" applyProtection="false" borderId="22" fillId="11" fontId="1" numFmtId="187" xfId="0">
      <alignment horizontal="center" vertical="center"/>
    </xf>
    <xf applyAlignment="true" applyBorder="false" applyFill="false" applyFont="true" applyNumberFormat="true" applyProtection="false" borderId="22" fillId="0" fontId="2" numFmtId="186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true" applyProtection="false" borderId="22" fillId="0" fontId="2" numFmtId="188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true" applyFont="true" applyNumberFormat="true" applyProtection="false" borderId="22" fillId="12" fontId="4" numFmtId="189" xfId="0">
      <alignment horizontal="center" vertical="center"/>
    </xf>
    <xf applyAlignment="true" applyBorder="false" applyFill="true" applyFont="true" applyNumberFormat="false" applyProtection="false" borderId="22" fillId="12" fontId="2" numFmtId="0" xfId="0">
      <alignment horizontal="center" vertical="center"/>
    </xf>
    <xf applyAlignment="true" applyBorder="false" applyFill="true" applyFont="true" applyNumberFormat="false" applyProtection="false" borderId="22" fillId="12" fontId="5" numFmtId="0" xfId="0">
      <alignment horizontal="center" vertical="center"/>
    </xf>
    <xf applyAlignment="true" applyBorder="false" applyFill="true" applyFont="true" applyNumberFormat="true" applyProtection="false" borderId="22" fillId="12" fontId="5" numFmtId="188" xfId="0">
      <alignment horizontal="center" vertical="center"/>
    </xf>
    <xf applyAlignment="true" applyBorder="false" applyFill="true" applyFont="true" applyNumberFormat="false" applyProtection="false" borderId="22" fillId="12" fontId="6" numFmtId="0" xfId="0">
      <alignment horizontal="center" vertical="center"/>
    </xf>
    <xf applyAlignment="true" applyBorder="false" applyFill="true" applyFont="true" applyNumberFormat="false" applyProtection="false" borderId="22" fillId="12" fontId="5" numFmtId="0" xfId="0">
      <alignment horizontal="center" vertical="center"/>
    </xf>
    <xf applyAlignment="true" applyBorder="false" applyFill="true" applyFont="true" applyNumberFormat="true" applyProtection="false" borderId="22" fillId="12" fontId="5" numFmtId="190" xfId="0">
      <alignment horizontal="center" vertical="center"/>
    </xf>
    <xf applyAlignment="true" applyBorder="false" applyFill="false" applyFont="true" applyNumberFormat="false" applyProtection="false" borderId="22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88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22" fillId="13" fontId="3" numFmtId="0" xfId="0">
      <alignment horizontal="center" vertical="center"/>
    </xf>
    <xf applyAlignment="true" applyBorder="false" applyFill="true" applyFont="true" applyNumberFormat="false" applyProtection="false" borderId="22" fillId="13" fontId="3" numFmtId="0" xfId="0">
      <alignment horizontal="center" vertical="center"/>
    </xf>
    <xf applyAlignment="true" applyBorder="false" applyFill="true" applyFont="true" applyNumberFormat="false" applyProtection="false" borderId="23" fillId="14" fontId="10" numFmtId="0" xfId="0">
      <alignment horizontal="center" vertical="center"/>
    </xf>
    <xf applyAlignment="true" applyBorder="false" applyFill="true" applyFont="true" applyNumberFormat="false" applyProtection="false" borderId="0" fillId="15" fontId="11" numFmtId="0" xfId="0">
      <alignment horizontal="center" vertical="center"/>
    </xf>
    <xf applyAlignment="true" applyBorder="false" applyFill="true" applyFont="true" applyNumberFormat="false" applyProtection="false" borderId="24" fillId="15" fontId="11" numFmtId="0" xfId="0">
      <alignment horizontal="center" vertical="center"/>
    </xf>
    <xf applyAlignment="true" applyBorder="false" applyFill="true" applyFont="true" applyNumberFormat="false" applyProtection="false" borderId="23" fillId="16" fontId="10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90" xfId="0">
      <alignment horizontal="center" vertical="center"/>
    </xf>
    <xf applyAlignment="true" applyBorder="false" applyFill="false" applyFont="true" applyNumberFormat="true" applyProtection="false" borderId="24" fillId="0" fontId="3" numFmtId="19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true" applyFont="true" applyNumberFormat="false" applyProtection="false" borderId="25" fillId="14" fontId="10" numFmtId="0" xfId="0">
      <alignment horizontal="center" vertical="center"/>
    </xf>
    <xf applyAlignment="true" applyBorder="false" applyFill="true" applyFont="true" applyNumberFormat="false" applyProtection="false" borderId="26" fillId="14" fontId="10" numFmtId="0" xfId="0">
      <alignment horizontal="center" vertical="center"/>
    </xf>
    <xf applyAlignment="true" applyBorder="false" applyFill="true" applyFont="true" applyNumberFormat="true" applyProtection="false" borderId="26" fillId="14" fontId="10" numFmtId="190" xfId="0">
      <alignment horizontal="center" vertical="center"/>
    </xf>
    <xf applyAlignment="true" applyBorder="false" applyFill="true" applyFont="true" applyNumberFormat="true" applyProtection="false" borderId="27" fillId="14" fontId="10" numFmtId="190" xfId="0">
      <alignment horizontal="center" vertical="center"/>
    </xf>
    <xf applyAlignment="true" applyBorder="false" applyFill="true" applyFont="true" applyNumberFormat="true" applyProtection="false" borderId="28" fillId="17" fontId="1" numFmtId="191" xfId="0">
      <alignment horizontal="center" vertical="center"/>
    </xf>
    <xf applyAlignment="true" applyBorder="false" applyFill="true" applyFont="true" applyNumberFormat="false" applyProtection="false" borderId="28" fillId="17" fontId="1" numFmtId="0" xfId="0">
      <alignment horizontal="center" vertical="center"/>
    </xf>
    <xf applyAlignment="true" applyBorder="false" applyFill="true" applyFont="true" applyNumberFormat="true" applyProtection="false" borderId="28" fillId="17" fontId="1" numFmtId="192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28" fillId="0" fontId="2" numFmtId="191" xfId="0">
      <alignment horizontal="center" vertical="center"/>
    </xf>
    <xf applyAlignment="true" applyBorder="false" applyFill="false" applyFont="true" applyNumberFormat="false" applyProtection="false" borderId="28" fillId="0" fontId="2" numFmtId="0" xfId="0">
      <alignment horizontal="center" vertical="center"/>
    </xf>
    <xf applyAlignment="true" applyBorder="false" applyFill="false" applyFont="true" applyNumberFormat="true" applyProtection="false" borderId="28" fillId="0" fontId="2" numFmtId="193" xfId="0">
      <alignment horizontal="center" vertical="center"/>
    </xf>
    <xf applyAlignment="true" applyBorder="false" applyFill="false" applyFont="true" applyNumberFormat="false" applyProtection="false" borderId="28" fillId="0" fontId="2" numFmtId="0" xfId="0">
      <alignment horizontal="center" vertical="center"/>
    </xf>
    <xf applyAlignment="true" applyBorder="false" applyFill="true" applyFont="true" applyNumberFormat="true" applyProtection="false" borderId="28" fillId="18" fontId="4" numFmtId="194" xfId="0">
      <alignment horizontal="center" vertical="center"/>
    </xf>
    <xf applyAlignment="true" applyBorder="false" applyFill="true" applyFont="true" applyNumberFormat="false" applyProtection="false" borderId="28" fillId="18" fontId="2" numFmtId="0" xfId="0">
      <alignment horizontal="center" vertical="center"/>
    </xf>
    <xf applyAlignment="true" applyBorder="false" applyFill="true" applyFont="true" applyNumberFormat="false" applyProtection="false" borderId="28" fillId="18" fontId="5" numFmtId="0" xfId="0">
      <alignment horizontal="center" vertical="center"/>
    </xf>
    <xf applyAlignment="true" applyBorder="false" applyFill="true" applyFont="true" applyNumberFormat="true" applyProtection="false" borderId="28" fillId="18" fontId="5" numFmtId="193" xfId="0">
      <alignment horizontal="center" vertical="center"/>
    </xf>
    <xf applyAlignment="true" applyBorder="false" applyFill="true" applyFont="true" applyNumberFormat="false" applyProtection="false" borderId="28" fillId="18" fontId="6" numFmtId="0" xfId="0">
      <alignment horizontal="center" vertical="center"/>
    </xf>
    <xf applyAlignment="true" applyBorder="false" applyFill="true" applyFont="true" applyNumberFormat="false" applyProtection="false" borderId="28" fillId="18" fontId="5" numFmtId="0" xfId="0">
      <alignment horizontal="center" vertical="center"/>
    </xf>
    <xf applyAlignment="true" applyBorder="false" applyFill="true" applyFont="true" applyNumberFormat="true" applyProtection="false" borderId="29" fillId="18" fontId="4" numFmtId="194" xfId="0">
      <alignment horizontal="center" vertical="center"/>
    </xf>
    <xf applyAlignment="true" applyBorder="false" applyFill="true" applyFont="true" applyNumberFormat="false" applyProtection="false" borderId="29" fillId="18" fontId="2" numFmtId="0" xfId="0">
      <alignment horizontal="center" vertical="center"/>
    </xf>
    <xf applyAlignment="true" applyBorder="false" applyFill="true" applyFont="true" applyNumberFormat="false" applyProtection="false" borderId="29" fillId="18" fontId="5" numFmtId="0" xfId="0">
      <alignment horizontal="center" vertical="center"/>
    </xf>
    <xf applyAlignment="true" applyBorder="false" applyFill="true" applyFont="true" applyNumberFormat="true" applyProtection="false" borderId="29" fillId="18" fontId="5" numFmtId="193" xfId="0">
      <alignment horizontal="center" vertical="center"/>
    </xf>
    <xf applyAlignment="true" applyBorder="false" applyFill="true" applyFont="true" applyNumberFormat="false" applyProtection="false" borderId="29" fillId="18" fontId="6" numFmtId="0" xfId="0">
      <alignment horizontal="center" vertical="center"/>
    </xf>
    <xf applyAlignment="true" applyBorder="false" applyFill="true" applyFont="true" applyNumberFormat="false" applyProtection="false" borderId="29" fillId="18" fontId="5" numFmtId="0" xfId="0">
      <alignment horizontal="center" vertical="center"/>
    </xf>
    <xf applyAlignment="true" applyBorder="false" applyFill="false" applyFont="true" applyNumberFormat="false" applyProtection="false" borderId="28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95" xfId="0">
      <alignment vertical="center"/>
    </xf>
    <xf applyAlignment="true" applyBorder="false" applyFill="false" applyFont="true" applyNumberFormat="true" applyProtection="false" borderId="0" fillId="0" fontId="3" numFmtId="196" xfId="0">
      <alignment vertical="center"/>
    </xf>
    <xf applyAlignment="true" applyBorder="false" applyFill="true" applyFont="true" applyNumberFormat="true" applyProtection="false" borderId="30" fillId="19" fontId="1" numFmtId="197" xfId="0">
      <alignment horizontal="center" vertical="center"/>
    </xf>
    <xf applyAlignment="true" applyBorder="false" applyFill="true" applyFont="true" applyNumberFormat="false" applyProtection="false" borderId="30" fillId="19" fontId="1" numFmtId="0" xfId="0">
      <alignment horizontal="center" vertical="center"/>
    </xf>
    <xf applyAlignment="true" applyBorder="false" applyFill="true" applyFont="true" applyNumberFormat="true" applyProtection="false" borderId="30" fillId="19" fontId="1" numFmtId="198" xfId="0">
      <alignment horizontal="center" vertical="center"/>
    </xf>
    <xf applyAlignment="true" applyBorder="false" applyFill="false" applyFont="true" applyNumberFormat="true" applyProtection="false" borderId="30" fillId="0" fontId="2" numFmtId="197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2" numFmtId="199" xfId="0">
      <alignment horizontal="center" vertical="center"/>
    </xf>
    <xf applyAlignment="true" applyBorder="false" applyFill="false" applyFont="true" applyNumberFormat="false" applyProtection="false" borderId="30" fillId="0" fontId="3" numFmtId="0" xfId="0">
      <alignment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true" applyFont="true" applyNumberFormat="false" applyProtection="false" borderId="30" fillId="20" fontId="4" numFmtId="0" xfId="0">
      <alignment horizontal="center" vertical="center"/>
    </xf>
    <xf applyAlignment="true" applyBorder="false" applyFill="true" applyFont="true" applyNumberFormat="false" applyProtection="false" borderId="30" fillId="20" fontId="2" numFmtId="0" xfId="0">
      <alignment horizontal="center" vertical="center"/>
    </xf>
    <xf applyAlignment="true" applyBorder="false" applyFill="true" applyFont="true" applyNumberFormat="false" applyProtection="false" borderId="30" fillId="20" fontId="5" numFmtId="0" xfId="0">
      <alignment horizontal="center" vertical="center"/>
    </xf>
    <xf applyAlignment="true" applyBorder="false" applyFill="true" applyFont="true" applyNumberFormat="true" applyProtection="false" borderId="30" fillId="20" fontId="5" numFmtId="199" xfId="0">
      <alignment horizontal="center" vertical="center"/>
    </xf>
    <xf applyAlignment="true" applyBorder="false" applyFill="true" applyFont="true" applyNumberFormat="false" applyProtection="false" borderId="30" fillId="20" fontId="6" numFmtId="0" xfId="0">
      <alignment horizontal="center" vertical="center"/>
    </xf>
    <xf applyAlignment="true" applyBorder="false" applyFill="true" applyFont="true" applyNumberFormat="true" applyProtection="false" borderId="30" fillId="20" fontId="4" numFmtId="20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vertical="center"/>
    </xf>
    <xf applyAlignment="true" applyBorder="false" applyFill="true" applyFont="true" applyNumberFormat="false" applyProtection="false" borderId="30" fillId="20" fontId="4" numFmtId="0" xfId="0">
      <alignment horizontal="center" vertical="center"/>
    </xf>
    <xf applyAlignment="true" applyBorder="false" applyFill="false" applyFont="true" applyNumberFormat="false" applyProtection="false" borderId="30" fillId="0" fontId="4" numFmtId="0" xfId="0">
      <alignment horizontal="center" vertical="center"/>
    </xf>
    <xf applyAlignment="true" applyBorder="false" applyFill="true" applyFont="true" applyNumberFormat="false" applyProtection="false" borderId="30" fillId="20" fontId="5" numFmtId="0" xfId="0">
      <alignment horizontal="center" vertical="center"/>
    </xf>
    <xf applyAlignment="true" applyBorder="false" applyFill="true" applyFont="true" applyNumberFormat="true" applyProtection="false" borderId="31" fillId="20" fontId="4" numFmtId="200" xfId="0">
      <alignment horizontal="center" vertical="center"/>
    </xf>
    <xf applyAlignment="true" applyBorder="false" applyFill="true" applyFont="true" applyNumberFormat="false" applyProtection="false" borderId="31" fillId="20" fontId="2" numFmtId="0" xfId="0">
      <alignment horizontal="center" vertical="center"/>
    </xf>
    <xf applyAlignment="true" applyBorder="false" applyFill="true" applyFont="true" applyNumberFormat="false" applyProtection="false" borderId="31" fillId="20" fontId="5" numFmtId="0" xfId="0">
      <alignment horizontal="center" vertical="center"/>
    </xf>
    <xf applyAlignment="true" applyBorder="false" applyFill="true" applyFont="true" applyNumberFormat="true" applyProtection="false" borderId="31" fillId="20" fontId="5" numFmtId="199" xfId="0">
      <alignment horizontal="center" vertical="center"/>
    </xf>
    <xf applyAlignment="true" applyBorder="false" applyFill="true" applyFont="true" applyNumberFormat="false" applyProtection="false" borderId="31" fillId="20" fontId="6" numFmtId="0" xfId="0">
      <alignment horizontal="center" vertical="center"/>
    </xf>
    <xf applyAlignment="true" applyBorder="false" applyFill="true" applyFont="true" applyNumberFormat="false" applyProtection="false" borderId="31" fillId="20" fontId="5" numFmtId="0" xfId="0">
      <alignment horizontal="center" vertical="center"/>
    </xf>
    <xf applyAlignment="true" applyBorder="false" applyFill="true" applyFont="true" applyNumberFormat="false" applyProtection="false" borderId="0" fillId="21" fontId="3" numFmtId="0" xfId="0">
      <alignment horizontal="center" vertical="center"/>
    </xf>
    <xf applyAlignment="true" applyBorder="false" applyFill="true" applyFont="true" applyNumberFormat="false" applyProtection="false" borderId="0" fillId="21" fontId="3" numFmtId="0" xfId="0">
      <alignment horizontal="center" vertical="center"/>
    </xf>
    <xf applyAlignment="true" applyBorder="false" applyFill="true" applyFont="true" applyNumberFormat="false" applyProtection="false" borderId="0" fillId="22" fontId="3" numFmtId="0" xfId="0">
      <alignment vertical="center"/>
    </xf>
    <xf applyAlignment="true" applyBorder="false" applyFill="false" applyFont="true" applyNumberFormat="true" applyProtection="false" borderId="0" fillId="0" fontId="3" numFmtId="199" xfId="0">
      <alignment vertical="center"/>
    </xf>
    <xf applyAlignment="true" applyBorder="false" applyFill="true" applyFont="true" applyNumberFormat="true" applyProtection="false" borderId="0" fillId="23" fontId="3" numFmtId="199" xfId="0">
      <alignment vertical="center"/>
    </xf>
    <xf applyAlignment="true" applyBorder="false" applyFill="true" applyFont="true" applyNumberFormat="false" applyProtection="false" borderId="0" fillId="23" fontId="3" numFmtId="0" xfId="0">
      <alignment vertical="center"/>
    </xf>
    <xf applyAlignment="true" applyBorder="false" applyFill="true" applyFont="true" applyNumberFormat="false" applyProtection="false" borderId="0" fillId="24" fontId="1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Relationship Id="rId13" Target="worksheets/sheet6.xml" Type="http://schemas.openxmlformats.org/officeDocument/2006/relationships/worksheet"></Relationship><Relationship Id="rId14" Target="/xl/pivotCache/pivotCacheDefinition5.xml" Type="http://schemas.openxmlformats.org/officeDocument/2006/relationships/pivotCacheDefinition"></Relationship><Relationship Id="rId15" Target="worksheets/sheet7.xml" Type="http://schemas.openxmlformats.org/officeDocument/2006/relationships/worksheet"></Relationship><Relationship Id="rId16" Target="/xl/pivotCache/pivotCacheDefinition6.xml" Type="http://schemas.openxmlformats.org/officeDocument/2006/relationships/pivotCacheDefinition"></Relationship><Relationship Id="rId17" Target="worksheets/sheet8.xml" Type="http://schemas.openxmlformats.org/officeDocument/2006/relationships/worksheet"></Relationship><Relationship Id="rId18" Target="/xl/pivotCache/pivotCacheDefinition7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0" sheet="2026.9"/>
  </cacheSource>
  <cacheFields count="16">
    <cacheField name="日期" numFmtId="0">
      <sharedItems count="0"/>
    </cacheField>
    <cacheField name="主播" numFmtId="0">
      <sharedItems containsBlank="true" count="8">
        <s v="于慧"/>
        <s v="李雅琪"/>
        <s v="葛鑫然"/>
        <s v="杜思利"/>
        <s v="张伟娜"/>
        <m/>
        <s v="蔡露露"/>
        <s v="王雨帆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5">
        <n v="4"/>
        <n v="20"/>
        <n v="3.75"/>
        <n v="19.75"/>
        <n v="5"/>
        <n v="19"/>
        <n v="2"/>
        <n v="3"/>
        <n v="15"/>
        <n v="3.8"/>
        <n v="19.8"/>
        <n v="2.75"/>
        <n v="3.5"/>
        <n v="3.7"/>
        <n v="17.75"/>
      </sharedItems>
    </cacheField>
    <cacheField name="总保单数量" numFmtId="0">
      <sharedItems containsString="false" containsBlank="true" containsNumber="true" containsInteger="true" minValue="0" maxValue="81" count="0"/>
    </cacheField>
    <cacheField name="年化保费" numFmtId="0">
      <sharedItems containsString="false" containsBlank="true" containsNumber="true" minValue="0" maxValue="104979.6" count="158">
        <n v="2426.4"/>
        <n v="22036.6"/>
        <n v="8933.999999999998"/>
        <n v="3674.4000000000015"/>
        <n v="4462.799999999998"/>
        <n v="41534.2"/>
        <n v="10075.2"/>
        <n v="8139.6"/>
        <n v="3312"/>
        <n v="9680.2"/>
        <n v="5022"/>
        <n v="36229"/>
        <n v="444"/>
        <n v="3311.28"/>
        <n v="5824.320000000001"/>
        <n v="1156.8"/>
        <n v="2143.2000000000007"/>
        <n v="12879.6"/>
        <n v="3345.6"/>
        <n v="4473.4"/>
        <n v="692"/>
        <n v="11400"/>
        <n v="13839.6"/>
        <n v="33750.6"/>
        <n v="3001.2"/>
        <n v="10194"/>
        <n v="3877.2"/>
        <n v="12724.8"/>
        <n v="11214"/>
        <n v="41011.2"/>
        <n v="11754"/>
        <n v="12416.400000000001"/>
        <n v="14420.400000000001"/>
        <n v="4099.199999999997"/>
        <n v="7476"/>
        <n v="50166"/>
        <n v="16381.2"/>
        <n v="27851.999999999996"/>
        <n v="19458"/>
        <n v="21296.199999999997"/>
        <n v="84987.4"/>
        <n v="5024.2"/>
        <n v="15664.8"/>
        <n v="4329.5999999999985"/>
        <n v="2925.600000000002"/>
        <n v="4687.200000000001"/>
        <n v="32631.4"/>
        <n v="2118"/>
        <n v="5560.8"/>
        <n v="12228"/>
        <n v="1663.2000000000007"/>
        <n v="6054"/>
        <n v="27624"/>
        <n v="12064.8"/>
        <n v="763.2000000000007"/>
        <n v="5053.919999999998"/>
        <n v="5462.4000000000015"/>
        <n v="27018.72"/>
        <n v="15175.2"/>
        <n v="20674.399999999998"/>
        <n v="9248.400000000001"/>
        <n v="35093.8"/>
        <n v="20865.59999999999"/>
        <n v="101057.4"/>
        <n v="22584.98"/>
        <n v="8757.600000000002"/>
        <n v="8517.6"/>
        <n v="9342"/>
        <n v="14228.2"/>
        <n v="63430.380000000005"/>
        <n v="5260.8"/>
        <n v="8689.2"/>
        <n v="4382.4"/>
        <n v="13513.6"/>
        <n v="11315.36"/>
        <n v="43161.36"/>
        <n v="6315.6"/>
        <n v="23916"/>
        <n v="16971.4"/>
        <n v="9855.84"/>
        <n v="5366.4"/>
        <n v="62425.24"/>
        <n v="7598.16"/>
        <n v="4582.799999999999"/>
        <n v="1786.8"/>
        <n v="6800.52"/>
        <n v="5637.6"/>
        <n v="26405.879999999997"/>
        <n v="9259.2"/>
        <n v="14450.399999999998"/>
        <n v="2882.4"/>
        <n v="10760.2"/>
        <n v="19968"/>
        <n v="57320.2"/>
        <n v="18578.2"/>
        <n v="11728.599999999999"/>
        <n v="20631.600000000002"/>
        <n v="29535.999999999993"/>
        <n v="24505.20000000001"/>
        <n v="104979.6"/>
        <n v="32498.2"/>
        <n v="28605.2"/>
        <n v="8593.200000000004"/>
        <n v="12403.199999999997"/>
        <n v="6030"/>
        <n v="88129.8"/>
        <n v="4495.2"/>
        <n v="5834.2"/>
        <n v="691.2000000000007"/>
        <n v="5414.4"/>
        <n v="16770.28"/>
        <n v="33205.28"/>
        <n v="382.8"/>
        <n v="3078"/>
        <n v="4610.4"/>
        <n v="620.4000000000005"/>
        <n v="8691.6"/>
        <n v="4507.2"/>
        <n v="0"/>
        <n v="2510.4000000000005"/>
        <n v="16539"/>
        <n v="19634.200000000004"/>
        <n v="43190.8"/>
        <n v="14803.199999999999"/>
        <n v="11696.4"/>
        <n v="16250.400000000001"/>
        <n v="18295.199999999997"/>
        <n v="61045.2"/>
        <n v="11889.6"/>
        <n v="7110"/>
        <n v="2866.8"/>
        <n v="15652.8"/>
        <n v="16499.4"/>
        <n v="54018.6"/>
        <n v="27228.4"/>
        <n v="9546"/>
        <n v="16736.199999999997"/>
        <n v="23775.6"/>
        <n v="14989.199999999997"/>
        <n v="92275.4"/>
        <n v="5894.4"/>
        <n v="21779.800000000003"/>
        <n v="2266.7999999999956"/>
        <n v="9315.919999999998"/>
        <n v="32778.15000000001"/>
        <m/>
        <n v="22784.2"/>
        <n v="6208.799999999999"/>
        <n v="25902"/>
        <n v="11121.800000000003"/>
        <n v="9644.399999999994"/>
        <n v="75661.2"/>
        <n v="9072"/>
        <n v="4946.4"/>
        <n v="1534.800000000001"/>
        <n v="2462.399999999998"/>
        <n v="5253.600000000002"/>
        <n v="23269.2"/>
      </sharedItems>
    </cacheField>
    <cacheField name="投流消耗" numFmtId="0">
      <sharedItems containsString="false" containsBlank="true" containsNumber="true" minValue="1102.86" maxValue="66859.73000000001" count="159">
        <n v="4315.11"/>
        <n v="13220.37"/>
        <n v="6251.76"/>
        <n v="4818.69"/>
        <n v="4737.61"/>
        <n v="33343.53999999999"/>
        <n v="7858.77"/>
        <n v="10134.87"/>
        <n v="5061.81"/>
        <n v="4559.93"/>
        <n v="2947.1199999999994"/>
        <n v="30562.5"/>
        <n v="1939.79"/>
        <n v="1896.0700000000002"/>
        <n v="4014.34"/>
        <n v="1911.3600000000001"/>
        <n v="3735.51"/>
        <n v="13497.070000000002"/>
        <n v="5350.259999999999"/>
        <n v="4967.77"/>
        <n v="2400.96"/>
        <n v="7019.38"/>
        <n v="10060.97"/>
        <n v="29799.339999999997"/>
        <n v="6062.890000000001"/>
        <n v="5446.5"/>
        <n v="5251.66"/>
        <n v="7449.26"/>
        <n v="5445.030000000001"/>
        <n v="29655.340000000004"/>
        <n v="11822.62"/>
        <n v="8731.630000000001"/>
        <n v="13028.57"/>
        <n v="5636.67"/>
        <n v="5212.599999999999"/>
        <n v="44432.09"/>
        <n v="6917.679999999999"/>
        <n v="24853.629999999997"/>
        <n v="15811.57"/>
        <n v="16475.659999999996"/>
        <n v="64058.53999999999"/>
        <n v="5600.18"/>
        <n v="10922.84"/>
        <n v="6644.99"/>
        <n v="5713.950000000001"/>
        <n v="2812.1800000000003"/>
        <n v="31694.140000000003"/>
        <n v="6130.1900000000005"/>
        <n v="4826.4"/>
        <n v="8940.12"/>
        <n v="2940.33"/>
        <n v="2986.81"/>
        <n v="25823.850000000002"/>
        <n v="5613.5199999999995"/>
        <n v="6218.670000000001"/>
        <n v="1255.6299999999999"/>
        <n v="4022.3300000000004"/>
        <n v="3633.69"/>
        <n v="20743.84"/>
        <n v="9228.11"/>
        <n v="12030.29"/>
        <n v="6448.5599999999995"/>
        <n v="27249.870000000003"/>
        <n v="10152.67"/>
        <n v="65109.5"/>
        <n v="18726.51"/>
        <n v="7022.75"/>
        <n v="6560.11"/>
        <n v="7327.39"/>
        <n v="11211.36"/>
        <n v="50848.12"/>
        <n v="4976.07"/>
        <n v="5043.95"/>
        <n v="5857.92"/>
        <n v="8075.22"/>
        <n v="9241.6"/>
        <n v="33194.76"/>
        <n v="8084.299999999999"/>
        <n v="14544.869999999999"/>
        <n v="16448.91"/>
        <n v="15734.38"/>
        <n v="6714.58"/>
        <n v="61527.04"/>
        <n v="5733.2300000000005"/>
        <n v="5515.01"/>
        <n v="1781.55"/>
        <n v="4883.26"/>
        <n v="3802.94"/>
        <n v="21715.99"/>
        <n v="8238.49"/>
        <n v="12613.609999999999"/>
        <n v="2191.88"/>
        <n v="9865.72"/>
        <n v="11660.15"/>
        <n v="44569.85"/>
        <n v="16190.990000000002"/>
        <n v="6343.2300000000005"/>
        <n v="9799.34"/>
        <n v="24142.82"/>
        <n v="10383.35"/>
        <n v="66859.73000000001"/>
        <n v="26084.630000000005"/>
        <n v="14704.72"/>
        <n v="7637.840000000001"/>
        <n v="11092.199999999999"/>
        <n v="5503.889999999999"/>
        <n v="65023.280000000006"/>
        <n v="4126.29"/>
        <n v="2367.75"/>
        <n v="1102.86"/>
        <n v="4307.900000000001"/>
        <n v="8383.73"/>
        <n v="20288.53"/>
        <n v="1961.9100000000003"/>
        <n v="1375.9"/>
        <n v="7290.16"/>
        <n v="3028.1899999999996"/>
        <n v="13656.16"/>
        <n v="3150.9"/>
        <n v="2333.1400000000003"/>
        <n v="2586.76"/>
        <n v="16799.4"/>
        <n v="13877.499999999998"/>
        <n v="38747.700000000004"/>
        <n v="12976.08"/>
        <n v="14198.5"/>
        <n v="15666.84"/>
        <n v="17197.629999999997"/>
        <n v="60039.049999999996"/>
        <n v="7502.48"/>
        <n v="6944.69"/>
        <n v="2645.77"/>
        <n v="6029.58"/>
        <n v="8704.03"/>
        <n v="31826.549999999996"/>
        <n v="13505.32"/>
        <n v="10039.96"/>
        <n v="13594.069999999998"/>
        <n v="14121.729999999998"/>
        <n v="11771"/>
        <n v="63032.079999999994"/>
        <n v="4809.110000000001"/>
        <n v="8348.83"/>
        <n v="5112.82"/>
        <n v="6418.099999999999"/>
        <n v="19171.940000000002"/>
        <m/>
        <n v="13828.970000000001"/>
        <n v="7754.389999999999"/>
        <n v="20635.64"/>
        <n v="14306.670000000002"/>
        <n v="7684.570000000001"/>
        <n v="64210.24"/>
        <n v="7140.629999999999"/>
        <n v="3558.82"/>
        <n v="3211.7300000000005"/>
        <n v="3174.7900000000004"/>
        <n v="7620.52"/>
        <n v="24706.49"/>
      </sharedItems>
    </cacheField>
    <cacheField name="ROI" numFmtId="0">
      <sharedItems containsMixedTypes="true" containsNumber="true" minValue="0" maxValue="2.608724815333406" count="0"/>
    </cacheField>
    <cacheField name="单均" numFmtId="0">
      <sharedItems containsMixedTypes="true" containsNumber="true" minValue="382.8" maxValue="2370" count="0"/>
    </cacheField>
    <cacheField name="保单成本" numFmtId="0">
      <sharedItems containsMixedTypes="true" containsNumber="true" minValue="196.55714285714288" maxValue="3109.3350000000005" count="0"/>
    </cacheField>
    <cacheField name="T0脱退单数量" numFmtId="0">
      <sharedItems containsSemiMixedTypes="false" containsString="false" containsNumber="true" containsInteger="true" minValue="0" maxValue="25" count="0"/>
    </cacheField>
    <cacheField name="T0脱退保费" numFmtId="0">
      <sharedItems containsSemiMixedTypes="false" containsString="false" containsNumber="true" minValue="0" maxValue="28410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10" maxValue="20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08" sheet="2026.9"/>
  </cacheSource>
  <cacheFields count="16">
    <cacheField name="日期" numFmtId="0">
      <sharedItems count="0"/>
    </cacheField>
    <cacheField name="主播" numFmtId="0">
      <sharedItems containsBlank="true" count="8">
        <s v="于慧"/>
        <s v="李雅琪"/>
        <s v="葛鑫然"/>
        <s v="杜思利"/>
        <s v="张伟娜"/>
        <m/>
        <s v="蔡露露"/>
        <s v="王雨帆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8">
        <n v="4"/>
        <n v="20"/>
        <n v="3.75"/>
        <n v="19.75"/>
        <n v="5"/>
        <n v="19"/>
        <n v="2"/>
        <n v="3"/>
      </sharedItems>
    </cacheField>
    <cacheField name="总保单数量" numFmtId="0">
      <sharedItems containsSemiMixedTypes="false" containsString="false" containsNumber="true" containsInteger="true" minValue="1" maxValue="81" count="36">
        <n v="2"/>
        <n v="18"/>
        <n v="6"/>
        <n v="34"/>
        <n v="10"/>
        <n v="9"/>
        <n v="4"/>
        <n v="7"/>
        <n v="1"/>
        <n v="5"/>
        <n v="3"/>
        <n v="16"/>
        <n v="12"/>
        <n v="30"/>
        <n v="8"/>
        <n v="31"/>
        <n v="14"/>
        <n v="13"/>
        <n v="46"/>
        <n v="25"/>
        <n v="20"/>
        <n v="19"/>
        <n v="77"/>
        <n v="32"/>
        <n v="27"/>
        <n v="81"/>
        <n v="22"/>
        <n v="60"/>
        <n v="11"/>
        <n v="15"/>
        <n v="45"/>
        <n v="17"/>
        <n v="54"/>
        <n v="47"/>
        <n v="21"/>
        <n v="70"/>
      </sharedItems>
    </cacheField>
    <cacheField name="年化保费" numFmtId="0">
      <sharedItems containsSemiMixedTypes="false" containsString="false" containsNumber="true" minValue="444" maxValue="104979.6" count="106">
        <n v="2426.4"/>
        <n v="22036.6"/>
        <n v="8933.999999999998"/>
        <n v="3674.4000000000015"/>
        <n v="4462.799999999998"/>
        <n v="41534.2"/>
        <n v="10075.2"/>
        <n v="8139.6"/>
        <n v="3312"/>
        <n v="9680.2"/>
        <n v="5022"/>
        <n v="36229"/>
        <n v="444"/>
        <n v="3311.28"/>
        <n v="5824.320000000001"/>
        <n v="1156.8"/>
        <n v="2143.2000000000007"/>
        <n v="12879.6"/>
        <n v="3345.6"/>
        <n v="4473.4"/>
        <n v="692"/>
        <n v="11400"/>
        <n v="13839.6"/>
        <n v="33750.6"/>
        <n v="3001.2"/>
        <n v="10194"/>
        <n v="3877.2"/>
        <n v="12724.8"/>
        <n v="11214"/>
        <n v="41011.2"/>
        <n v="11754"/>
        <n v="12416.400000000001"/>
        <n v="14420.400000000001"/>
        <n v="4099.199999999997"/>
        <n v="7476"/>
        <n v="50166"/>
        <n v="16381.2"/>
        <n v="27851.999999999996"/>
        <n v="19458"/>
        <n v="21296.199999999997"/>
        <n v="84987.4"/>
        <n v="5024.2"/>
        <n v="15664.8"/>
        <n v="4329.5999999999985"/>
        <n v="2925.600000000002"/>
        <n v="4687.200000000001"/>
        <n v="32631.4"/>
        <n v="2118"/>
        <n v="5560.8"/>
        <n v="12228"/>
        <n v="1663.2000000000007"/>
        <n v="6054"/>
        <n v="27624"/>
        <n v="12064.8"/>
        <n v="763.2000000000007"/>
        <n v="5053.919999999998"/>
        <n v="5462.4000000000015"/>
        <n v="27018.72"/>
        <n v="15175.2"/>
        <n v="20674.399999999998"/>
        <n v="9248.400000000001"/>
        <n v="35093.8"/>
        <n v="20865.59999999999"/>
        <n v="101057.4"/>
        <n v="22584.98"/>
        <n v="8757.600000000002"/>
        <n v="8517.6"/>
        <n v="9342"/>
        <n v="14228.2"/>
        <n v="63430.380000000005"/>
        <n v="5260.8"/>
        <n v="8689.2"/>
        <n v="4382.4"/>
        <n v="13513.6"/>
        <n v="11315.36"/>
        <n v="43161.36"/>
        <n v="6315.6"/>
        <n v="23916"/>
        <n v="16971.4"/>
        <n v="9855.84"/>
        <n v="5366.4"/>
        <n v="62425.24"/>
        <n v="7598.16"/>
        <n v="4582.799999999999"/>
        <n v="1786.8"/>
        <n v="6800.52"/>
        <n v="5637.6"/>
        <n v="26405.879999999997"/>
        <n v="9259.2"/>
        <n v="14450.399999999998"/>
        <n v="2882.4"/>
        <n v="10760.2"/>
        <n v="19968"/>
        <n v="57320.2"/>
        <n v="18578.2"/>
        <n v="11728.599999999999"/>
        <n v="20631.600000000002"/>
        <n v="29535.999999999993"/>
        <n v="24505.20000000001"/>
        <n v="104979.6"/>
        <n v="32498.2"/>
        <n v="28605.2"/>
        <n v="8593.200000000004"/>
        <n v="12403.199999999997"/>
        <n v="6030"/>
        <n v="88129.8"/>
      </sharedItems>
    </cacheField>
    <cacheField name="投流消耗" numFmtId="0">
      <sharedItems containsSemiMixedTypes="false" containsString="false" containsNumber="true" minValue="1255.6299999999999" maxValue="66859.73000000001" count="107">
        <n v="4315.11"/>
        <n v="13220.37"/>
        <n v="6251.76"/>
        <n v="4818.69"/>
        <n v="4737.61"/>
        <n v="33343.53999999999"/>
        <n v="7858.77"/>
        <n v="10134.87"/>
        <n v="5061.81"/>
        <n v="4559.93"/>
        <n v="2947.1199999999994"/>
        <n v="30562.5"/>
        <n v="1939.79"/>
        <n v="1896.0700000000002"/>
        <n v="4014.34"/>
        <n v="1911.3600000000001"/>
        <n v="3735.51"/>
        <n v="13497.070000000002"/>
        <n v="5350.259999999999"/>
        <n v="4967.77"/>
        <n v="2400.96"/>
        <n v="7019.38"/>
        <n v="10060.97"/>
        <n v="29799.339999999997"/>
        <n v="6062.890000000001"/>
        <n v="5446.5"/>
        <n v="5251.66"/>
        <n v="7449.26"/>
        <n v="5445.030000000001"/>
        <n v="29655.340000000004"/>
        <n v="11822.62"/>
        <n v="8731.630000000001"/>
        <n v="13028.57"/>
        <n v="5636.67"/>
        <n v="5212.599999999999"/>
        <n v="44432.09"/>
        <n v="6917.679999999999"/>
        <n v="24853.629999999997"/>
        <n v="15811.57"/>
        <n v="16475.659999999996"/>
        <n v="64058.53999999999"/>
        <n v="5600.18"/>
        <n v="10922.84"/>
        <n v="6644.99"/>
        <n v="5713.950000000001"/>
        <n v="2812.1800000000003"/>
        <n v="31694.140000000003"/>
        <n v="6130.1900000000005"/>
        <n v="4826.4"/>
        <n v="8940.12"/>
        <n v="2940.33"/>
        <n v="2986.81"/>
        <n v="25823.850000000002"/>
        <n v="5613.5199999999995"/>
        <n v="6218.670000000001"/>
        <n v="1255.6299999999999"/>
        <n v="4022.3300000000004"/>
        <n v="3633.69"/>
        <n v="20743.84"/>
        <n v="9228.11"/>
        <n v="12030.29"/>
        <n v="6448.5599999999995"/>
        <n v="27249.870000000003"/>
        <n v="10152.67"/>
        <n v="65109.5"/>
        <n v="18726.51"/>
        <n v="7022.75"/>
        <n v="6560.11"/>
        <n v="7327.39"/>
        <n v="11211.36"/>
        <n v="50848.12"/>
        <n v="4976.07"/>
        <n v="5043.95"/>
        <n v="5857.92"/>
        <n v="8075.22"/>
        <n v="9241.6"/>
        <n v="33194.76"/>
        <n v="8084.299999999999"/>
        <n v="14544.869999999999"/>
        <n v="16448.91"/>
        <n v="15734.38"/>
        <n v="6714.58"/>
        <n v="61527.04"/>
        <n v="5733.2300000000005"/>
        <n v="5515.01"/>
        <n v="1781.55"/>
        <n v="4883.26"/>
        <n v="3802.94"/>
        <n v="21715.99"/>
        <n v="8238.49"/>
        <n v="12613.609999999999"/>
        <n v="2191.88"/>
        <n v="9865.72"/>
        <n v="11660.15"/>
        <n v="44569.85"/>
        <n v="16190.990000000002"/>
        <n v="6343.2300000000005"/>
        <n v="9799.34"/>
        <n v="24142.82"/>
        <n v="10383.35"/>
        <n v="66859.73000000001"/>
        <n v="26084.630000000005"/>
        <n v="14704.72"/>
        <n v="7637.840000000001"/>
        <n v="11092.199999999999"/>
        <n v="5503.889999999999"/>
        <n v="65023.280000000006"/>
      </sharedItems>
    </cacheField>
    <cacheField name="ROI" numFmtId="0">
      <sharedItems containsSemiMixedTypes="false" containsString="false" containsNumber="true" minValue="0.22889075621587904" maxValue="2.3680193359623463" count="0"/>
    </cacheField>
    <cacheField name="单均" numFmtId="0">
      <sharedItems containsSemiMixedTypes="false" containsString="false" containsNumber="true" minValue="385.59999999999997" maxValue="1879.2" count="0"/>
    </cacheField>
    <cacheField name="保单成本" numFmtId="0">
      <sharedItems containsSemiMixedTypes="false" containsString="false" containsNumber="true" minValue="474.01750000000004" maxValue="3109.3350000000005" count="0"/>
    </cacheField>
    <cacheField name="T0脱退单数量" numFmtId="0">
      <sharedItems containsSemiMixedTypes="false" containsString="false" containsNumber="true" containsInteger="true" minValue="0" maxValue="25" count="0"/>
    </cacheField>
    <cacheField name="T0脱退保费" numFmtId="0">
      <sharedItems containsSemiMixedTypes="false" containsString="false" containsNumber="true" minValue="0" maxValue="28410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10" maxValue="20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70" sheet="2026.8"/>
  </cacheSource>
  <cacheFields count="16">
    <cacheField name="日期" numFmtId="0">
      <sharedItems count="0"/>
    </cacheField>
    <cacheField name="主播" numFmtId="0">
      <sharedItems containsBlank="true" count="11">
        <s v="于慧"/>
        <s v="杜思利"/>
        <s v="李雅琪"/>
        <s v="葛鑫然"/>
        <m/>
        <s v="郜洁"/>
        <s v="田宇尚"/>
        <s v="陈雯"/>
        <s v="蔡露露"/>
        <s v="刘子斌"/>
        <s v="张伟娜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.5" maxValue="20" count="15">
        <n v="5"/>
        <n v="20"/>
        <n v="2"/>
        <n v="4"/>
        <n v="3"/>
        <n v="3.75"/>
        <n v="19.75"/>
        <n v="18"/>
        <n v="1.5"/>
        <n v="16.5"/>
        <n v="16"/>
        <n v="3.5"/>
        <n v="4.75"/>
        <n v="4.5"/>
        <n v="17.75"/>
      </sharedItems>
    </cacheField>
    <cacheField name="总保单数量" numFmtId="0">
      <sharedItems containsSemiMixedTypes="false" containsString="false" containsNumber="true" containsInteger="true" minValue="0" maxValue="72" count="0"/>
    </cacheField>
    <cacheField name="年化保费" numFmtId="0">
      <sharedItems containsSemiMixedTypes="false" containsString="false" containsNumber="true" minValue="0" maxValue="84820.32" count="0"/>
    </cacheField>
    <cacheField name="投流消耗" numFmtId="0">
      <sharedItems containsSemiMixedTypes="false" containsString="false" containsNumber="true" minValue="800.21" maxValue="71105.56" count="0"/>
    </cacheField>
    <cacheField name="ROI" numFmtId="0">
      <sharedItems containsSemiMixedTypes="false" containsString="false" containsNumber="true" minValue="0" maxValue="4.076059429343239" count="0"/>
    </cacheField>
    <cacheField name="单均" numFmtId="0">
      <sharedItems containsMixedTypes="true" containsNumber="true" minValue="402" maxValue="2575.2000000000003" count="0"/>
    </cacheField>
    <cacheField name="保单成本" numFmtId="0">
      <sharedItems containsMixedTypes="true" containsNumber="true" minValue="263.96166666666664" maxValue="7045.74" count="0"/>
    </cacheField>
    <cacheField name="T0脱退单数量" numFmtId="0">
      <sharedItems containsSemiMixedTypes="false" containsString="false" containsNumber="true" containsInteger="true" minValue="0" maxValue="20" count="0"/>
    </cacheField>
    <cacheField name="T0脱退保费" numFmtId="0">
      <sharedItems containsString="false" containsBlank="true" containsNumber="true" minValue="0" maxValue="17720.399999999998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minValue="6" maxValue="2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6" sheet="2026.7"/>
  </cacheSource>
  <cacheFields count="16">
    <cacheField name="日期" numFmtId="0">
      <sharedItems containsDate="true" containsMixedTypes="true" minDate="2026-07-03T00:00:00.000Z" maxDate="2026-07-07T00:00:00.000Z" count="0"/>
    </cacheField>
    <cacheField name="主播" numFmtId="0">
      <sharedItems containsBlank="true" count="8">
        <s v="蔡露露"/>
        <s v="段雨诺"/>
        <s v="田宇尚"/>
        <s v="葛鑫然"/>
        <s v="杜思利"/>
        <m/>
        <s v="李雅琪"/>
        <s v="于慧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20" count="17">
        <n v="5"/>
        <n v="3"/>
        <n v="4"/>
        <n v="20"/>
        <n v="2"/>
        <n v="17"/>
        <n v="19"/>
        <n v="18"/>
        <n v="3.75"/>
        <n v="19.75"/>
        <n v="3.5"/>
        <n v="19.5"/>
        <n v="4.25"/>
        <n v="19.25"/>
        <n v="4.5"/>
        <n v="4.75"/>
        <n v="17.25"/>
      </sharedItems>
    </cacheField>
    <cacheField name="总保单数量" numFmtId="0">
      <sharedItems containsSemiMixedTypes="false" containsString="false" containsNumber="true" containsInteger="true" minValue="0" maxValue="111" count="0"/>
    </cacheField>
    <cacheField name="年化保费" numFmtId="0">
      <sharedItems containsSemiMixedTypes="false" containsString="false" containsNumber="true" minValue="0" maxValue="125143.6" count="165">
        <n v="31111.2"/>
        <n v="29687.2"/>
        <n v="11837.999999999993"/>
        <n v="36085.20000000001"/>
        <n v="16422"/>
        <n v="125143.6"/>
        <n v="37675.2"/>
        <n v="7608"/>
        <n v="19966.800000000003"/>
        <n v="32942"/>
        <n v="21202.800000000003"/>
        <n v="119394.8"/>
        <n v="34470"/>
        <n v="9093.800000000003"/>
        <n v="25624.199999999997"/>
        <n v="5125.199999999997"/>
        <n v="16089.600000000006"/>
        <n v="90402.8"/>
        <n v="7910.4"/>
        <n v="20161.199999999997"/>
        <n v="26757.6"/>
        <n v="10538.400000000001"/>
        <n v="22626.000000000007"/>
        <n v="87993.6"/>
        <n v="29511"/>
        <n v="28396.800000000003"/>
        <n v="15748.800000000003"/>
        <n v="5266.799999999988"/>
        <n v="15228"/>
        <n v="94151.4"/>
        <n v="29811.6"/>
        <n v="19644"/>
        <n v="10754.400000000001"/>
        <n v="10548"/>
        <n v="70758"/>
        <n v="9868.8"/>
        <n v="16985.8"/>
        <n v="22871.8"/>
        <n v="7834.8"/>
        <n v="36704.4"/>
        <n v="94265.6"/>
        <n v="29670"/>
        <n v="15062.400000000001"/>
        <n v="29235.200000000004"/>
        <n v="21805.199999999997"/>
        <n v="95772.8"/>
        <n v="16676.4"/>
        <n v="5744.399999999998"/>
        <n v="14313.600000000002"/>
        <n v="17799.6"/>
        <n v="9170"/>
        <n v="63704"/>
        <n v="6916.8"/>
        <n v="6059.999999999999"/>
        <n v="6312"/>
        <n v="8709.600000000002"/>
        <n v="1017.5999999999985"/>
        <n v="29016"/>
        <n v="2726.4"/>
        <n v="10992"/>
        <n v="5050.800000000001"/>
        <n v="6792"/>
        <n v="11353.2"/>
        <n v="36914.4"/>
        <n v="3036"/>
        <n v="6444"/>
        <n v="12337.2"/>
        <n v="8869.2"/>
        <n v="16036.799999999996"/>
        <n v="46723.2"/>
        <n v="8223.6"/>
        <n v="13264.8"/>
        <n v="2701.199999999997"/>
        <n v="4011.600000000002"/>
        <n v="28201.2"/>
        <n v="4224"/>
        <n v="20539.2"/>
        <n v="9565.2"/>
        <n v="15130.799999999996"/>
        <n v="49459.2"/>
        <n v="9212.4"/>
        <n v="2064"/>
        <n v="5425.199999999999"/>
        <n v="12861.600000000002"/>
        <n v="29563.2"/>
        <n v="11364"/>
        <n v="8073.5999999999985"/>
        <n v="5922"/>
        <n v="6218.4000000000015"/>
        <n v="31578"/>
        <n v="12847.2"/>
        <n v="16546.8"/>
        <n v="4503.5999999999985"/>
        <n v="13558"/>
        <n v="47455.6"/>
        <n v="11098.8"/>
        <n v="13549.2"/>
        <n v="4524"/>
        <n v="3705.5999999999985"/>
        <n v="32877.6"/>
        <n v="7752"/>
        <n v="5641.8"/>
        <n v="1790.4000000000015"/>
        <n v="8556"/>
        <n v="23740.2"/>
        <n v="2686.8"/>
        <n v="13131"/>
        <n v="816"/>
        <n v="5268"/>
        <n v="21901.8"/>
        <n v="6450"/>
        <n v="12571.2"/>
        <n v="13798.600000000002"/>
        <n v="13193.599999999999"/>
        <n v="46013.4"/>
        <n v="11568"/>
        <n v="20070"/>
        <n v="14092.800000000003"/>
        <n v="24117.59999999999"/>
        <n v="69848.4"/>
        <n v="5868"/>
        <n v="4662"/>
        <n v="2136"/>
        <n v="10512"/>
        <n v="23178"/>
        <n v="5590.8"/>
        <n v="1692"/>
        <n v="3827.999999999999"/>
        <n v="13692"/>
        <n v="24802.8"/>
        <n v="14200.8"/>
        <n v="8154"/>
        <n v="6249.600000000002"/>
        <n v="16650.799999999996"/>
        <n v="45255.2"/>
        <n v="11336.4"/>
        <n v="8160.000000000002"/>
        <n v="8652"/>
        <n v="11496"/>
        <n v="39644.4"/>
        <n v="9876"/>
        <n v="14179.2"/>
        <n v="372"/>
        <n v="21919.6"/>
        <n v="46346.8"/>
        <n v="10440"/>
        <n v="11779.2"/>
        <n v="8650.8"/>
        <n v="8526"/>
        <n v="39396"/>
        <n v="31171.2"/>
        <n v="20941.2"/>
        <n v="18393.6"/>
        <n v="9513.6"/>
        <n v="80019.6"/>
        <n v="12708.6"/>
        <n v="13526.4"/>
        <n v="0"/>
        <n v="5361.6"/>
        <n v="31596.6"/>
        <n v="15019.2"/>
        <n v="7377.6"/>
        <n v="1800"/>
        <n v="4106.4"/>
        <n v="28303.200000000004"/>
      </sharedItems>
    </cacheField>
    <cacheField name="投流消耗" numFmtId="0">
      <sharedItems containsSemiMixedTypes="false" containsString="false" containsNumber="true" minValue="1502.35" maxValue="102131.05" count="165">
        <n v="27965.89"/>
        <n v="19860.4"/>
        <n v="18454.24"/>
        <n v="19323.02"/>
        <n v="16527.5"/>
        <n v="102131.05"/>
        <n v="27190.139999999996"/>
        <n v="11406.99"/>
        <n v="18574.129999999997"/>
        <n v="18601.98"/>
        <n v="20703.28"/>
        <n v="96476.51999999999"/>
        <n v="18230.82"/>
        <n v="17217.25"/>
        <n v="14946.550000000001"/>
        <n v="11976.68"/>
        <n v="13700.130000000001"/>
        <n v="76071.43000000001"/>
        <n v="14365.69"/>
        <n v="13184.9"/>
        <n v="16655.71"/>
        <n v="11546.59"/>
        <n v="14227.8"/>
        <n v="69980.69"/>
        <n v="16509.85"/>
        <n v="20909.45"/>
        <n v="18490.800000000003"/>
        <n v="11385.75"/>
        <n v="16148.5"/>
        <n v="83444.35"/>
        <n v="18264.79"/>
        <n v="19213.210000000003"/>
        <n v="13239.82"/>
        <n v="3691.79"/>
        <n v="54409.61"/>
        <n v="7989.46"/>
        <n v="13153.35"/>
        <n v="15140.1"/>
        <n v="7079.44"/>
        <n v="16890.75"/>
        <n v="60253.100000000006"/>
        <n v="20509.07"/>
        <n v="18672.640000000003"/>
        <n v="17319.87"/>
        <n v="18263.510000000002"/>
        <n v="74765.09"/>
        <n v="10666.939999999999"/>
        <n v="10973.93"/>
        <n v="8836.859999999999"/>
        <n v="8558.07"/>
        <n v="10643.550000000001"/>
        <n v="49679.35"/>
        <n v="8463.130000000001"/>
        <n v="7247.400000000001"/>
        <n v="6115.24"/>
        <n v="6066.34"/>
        <n v="3370.49"/>
        <n v="31262.600000000006"/>
        <n v="1502.35"/>
        <n v="3566.54"/>
        <n v="2931.9399999999996"/>
        <n v="3349.13"/>
        <n v="5792.889999999999"/>
        <n v="17142.85"/>
        <n v="3634.25"/>
        <n v="7203.77"/>
        <n v="6488.530000000001"/>
        <n v="11319.4"/>
        <n v="7107.22"/>
        <n v="35753.170000000006"/>
        <n v="11223.599999999999"/>
        <n v="8569.13"/>
        <n v="4730.26"/>
        <n v="5261.97"/>
        <n v="29784.96"/>
        <n v="6244.970000000001"/>
        <n v="11390"/>
        <n v="9550.96"/>
        <n v="11432.98"/>
        <n v="38618.91"/>
        <n v="4008.3499999999995"/>
        <n v="3448.8599999999997"/>
        <n v="3793.07"/>
        <n v="5865"/>
        <n v="17115.28"/>
        <n v="5806.91"/>
        <n v="4912.43"/>
        <n v="3935.0100000000007"/>
        <n v="4894.4400000000005"/>
        <n v="19548.79"/>
        <n v="6406.9400000000005"/>
        <n v="6656.9800000000005"/>
        <n v="4464.09"/>
        <n v="8169.950000000001"/>
        <n v="25697.960000000003"/>
        <n v="5947.31"/>
        <n v="5418.85"/>
        <n v="3689.51"/>
        <n v="4447.71"/>
        <n v="19503.38"/>
        <n v="7106.5199999999995"/>
        <n v="4519.69"/>
        <n v="2633.06"/>
        <n v="4842.550000000001"/>
        <n v="19101.82"/>
        <n v="4172.17"/>
        <n v="5461.299999999999"/>
        <n v="2203.9"/>
        <n v="5587.95"/>
        <n v="17425.32"/>
        <n v="6051.26"/>
        <n v="10381.330000000002"/>
        <n v="9497.859999999999"/>
        <n v="9407.16"/>
        <n v="35337.61"/>
        <n v="6603.299999999999"/>
        <n v="8754.5"/>
        <n v="7968.63"/>
        <n v="14829.2"/>
        <n v="38155.630000000005"/>
        <n v="6710.92"/>
        <n v="5103.07"/>
        <n v="3736.5000000000005"/>
        <n v="5481.47"/>
        <n v="21031.96"/>
        <n v="4810.36"/>
        <n v="5700.63"/>
        <n v="2638.9699999999993"/>
        <n v="5354.2"/>
        <n v="18504.16"/>
        <n v="6402.959999999999"/>
        <n v="6397.2"/>
        <n v="5210.46"/>
        <n v="8200.88"/>
        <n v="26211.5"/>
        <n v="7930.67"/>
        <n v="6860.48"/>
        <n v="5414.92"/>
        <n v="7868.4400000000005"/>
        <n v="28074.510000000002"/>
        <n v="8808.89"/>
        <n v="10208.97"/>
        <n v="3899.62"/>
        <n v="8966.98"/>
        <n v="31884.46"/>
        <n v="5714"/>
        <n v="5605.74"/>
        <n v="5322.73"/>
        <n v="8290.3"/>
        <n v="24932.77"/>
        <n v="16699.05"/>
        <n v="16494.77"/>
        <n v="7913.74"/>
        <n v="9971.87"/>
        <n v="51079.43"/>
        <n v="5863.32"/>
        <n v="8505.1"/>
        <n v="5304.94"/>
        <n v="6100.05"/>
        <n v="25773.41"/>
        <n v="4394.46"/>
        <n v="4512.25"/>
        <n v="2214.15"/>
        <n v="3487.67"/>
        <n v="14608.529999999999"/>
      </sharedItems>
    </cacheField>
    <cacheField name="ROI" numFmtId="0">
      <sharedItems containsSemiMixedTypes="false" containsString="false" containsNumber="true" minValue="0" maxValue="3.417757813246679" count="0"/>
    </cacheField>
    <cacheField name="单均" numFmtId="0">
      <sharedItems containsMixedTypes="true" containsNumber="true" minValue="358.08000000000027" maxValue="1916" count="0"/>
    </cacheField>
    <cacheField name="保单成本" numFmtId="0">
      <sharedItems containsMixedTypes="true" containsNumber="true" minValue="399.49636363636364" maxValue="5700.63" count="0"/>
    </cacheField>
    <cacheField name="T0脱退单数量" numFmtId="0">
      <sharedItems containsSemiMixedTypes="false" containsString="false" containsNumber="true" containsInteger="true" minValue="0" maxValue="24" count="0"/>
    </cacheField>
    <cacheField name="T0脱退保费" numFmtId="0">
      <sharedItems containsSemiMixedTypes="false" containsString="false" containsNumber="true" minValue="0" maxValue="26419.2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7" maxValue="20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45" sheet="2026.6"/>
  </cacheSource>
  <cacheFields count="16">
    <cacheField name="日期" numFmtId="0">
      <sharedItems containsDate="true" containsBlank="true" containsMixedTypes="true" minDate="2026-06-01T00:00:00.000Z" maxDate="2026-06-30T00:00:00.000Z" count="0"/>
    </cacheField>
    <cacheField name="主播" numFmtId="0">
      <sharedItems containsBlank="true" count="9">
        <s v="刘梦"/>
        <s v="蔡露露"/>
        <m/>
        <s v="杜思利"/>
        <s v="田宇尚"/>
        <s v="李雅琪"/>
        <s v="葛鑫然"/>
        <s v="段雨诺"/>
        <s v="曲缘奥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2" maxValue="20" count="19">
        <n v="4"/>
        <n v="8"/>
        <n v="5"/>
        <m/>
        <n v="10"/>
        <n v="17"/>
        <n v="2"/>
        <n v="15"/>
        <n v="18"/>
        <n v="3.75"/>
        <n v="12.75"/>
        <n v="14"/>
        <n v="19"/>
        <n v="3"/>
        <n v="20"/>
        <n v="4.5"/>
        <n v="19.5"/>
        <n v="4.75"/>
        <n v="19.25"/>
      </sharedItems>
    </cacheField>
    <cacheField name="总保单数量" numFmtId="0">
      <sharedItems containsString="false" containsBlank="true" containsNumber="true" containsInteger="true" minValue="1" maxValue="164" count="0"/>
    </cacheField>
    <cacheField name="年化保费" numFmtId="0">
      <sharedItems containsString="false" containsBlank="true" containsNumber="true" minValue="396" maxValue="176883.6" count="0"/>
    </cacheField>
    <cacheField name="投流消耗" numFmtId="0">
      <sharedItems containsString="false" containsBlank="true" containsNumber="true" minValue="2711.61" maxValue="140344.15" count="0"/>
    </cacheField>
    <cacheField name="ROI" numFmtId="0">
      <sharedItems containsString="false" containsBlank="true" containsNumber="true" minValue="0.10608942588474832" maxValue="2.677671827066286" count="0"/>
    </cacheField>
    <cacheField name="单均" numFmtId="0">
      <sharedItems containsString="false" containsBlank="true" containsNumber="true" minValue="396" maxValue="1956" count="0"/>
    </cacheField>
    <cacheField name="保单成本" numFmtId="0">
      <sharedItems containsString="false" containsBlank="true" containsNumber="true" minValue="388.90846153846155" maxValue="3732.7" count="0"/>
    </cacheField>
    <cacheField name="T0脱退单数量" numFmtId="0">
      <sharedItems containsBlank="true" containsMixedTypes="true" containsNumber="true" containsInteger="true" minValue="0" maxValue="37" count="0"/>
    </cacheField>
    <cacheField name="T0脱退保费" numFmtId="0">
      <sharedItems containsString="false" containsBlank="true" containsNumber="true" minValue="0" maxValue="46850.40000000001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2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4" maxValue="20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90" sheet="2026.5"/>
  </cacheSource>
  <cacheFields count="16">
    <cacheField name="日期" numFmtId="0">
      <sharedItems containsDate="true" containsMixedTypes="true" minDate="2026-05-01T00:00:00.000Z" maxDate="2026-05-30T00:00:00.000Z" count="0"/>
    </cacheField>
    <cacheField name="主播" numFmtId="0">
      <sharedItems containsBlank="true" count="4">
        <s v="蔡露露"/>
        <s v="连贝贝"/>
        <m/>
        <s v="杜思利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1.75" maxValue="10" count="10">
        <n v="5"/>
        <n v="2"/>
        <n v="7"/>
        <m/>
        <n v="1.75"/>
        <n v="6.75"/>
        <n v="10"/>
        <n v="3"/>
        <n v="8"/>
        <n v="4"/>
      </sharedItems>
    </cacheField>
    <cacheField name="总保单数量" numFmtId="0">
      <sharedItems containsString="false" containsBlank="true" containsNumber="true" containsInteger="true" minValue="0" maxValue="21" count="0"/>
    </cacheField>
    <cacheField name="年化保费" numFmtId="0">
      <sharedItems containsString="false" containsBlank="true" containsNumber="true" minValue="0" maxValue="23052" count="60">
        <n v="15034.8"/>
        <n v="0"/>
        <n v="2383.2"/>
        <n v="1663.2000000000003"/>
        <n v="4046.4"/>
        <n v="3873.6"/>
        <n v="5383.2"/>
        <m/>
        <n v="1788"/>
        <n v="2354.4"/>
        <n v="1159.2"/>
        <n v="1663.2"/>
        <n v="4358.2"/>
        <n v="604.8"/>
        <n v="1411.2"/>
        <n v="2016"/>
        <n v="2702.4"/>
        <n v="715.2"/>
        <n v="4947.24"/>
        <n v="5662.44"/>
        <n v="802.8"/>
        <n v="3703.2"/>
        <n v="4506"/>
        <n v="3302.3999999999996"/>
        <n v="17677.199999999997"/>
        <n v="20979.6"/>
        <n v="6100.8"/>
        <n v="6415.199999999999"/>
        <n v="12516"/>
        <n v="15369.6"/>
        <n v="2011.2"/>
        <n v="8883.599999999999"/>
        <n v="10894.8"/>
        <n v="4495.2"/>
        <n v="18556.8"/>
        <n v="23052"/>
        <n v="7382"/>
        <n v="3279.6000000000004"/>
        <n v="10661.6"/>
        <n v="4466.4"/>
        <n v="372"/>
        <n v="4838.4"/>
        <n v="8013.6"/>
        <n v="8503.199999999999"/>
        <n v="16516.8"/>
        <n v="2511"/>
        <n v="15739.2"/>
        <n v="18250.2"/>
        <n v="2136"/>
        <n v="865.1999999999998"/>
        <n v="3001.2"/>
        <n v="2448"/>
        <n v="8834.4"/>
        <n v="11282.4"/>
        <n v="456"/>
        <n v="12765.6"/>
        <n v="13221.6"/>
        <n v="6372"/>
        <n v="9454.8"/>
        <n v="15826.8"/>
      </sharedItems>
    </cacheField>
    <cacheField name="投流消耗" numFmtId="0">
      <sharedItems containsString="false" containsBlank="true" containsNumber="true" minValue="564.4200000000001" maxValue="15878.51" count="79">
        <n v="7179.08"/>
        <n v="1277.51"/>
        <n v="8456.59"/>
        <n v="3997.63"/>
        <n v="579.69"/>
        <n v="4577.32"/>
        <n v="4639.96"/>
        <n v="2430.7599999999998"/>
        <m/>
        <n v="2242.06"/>
        <n v="564.4200000000001"/>
        <n v="2806.48"/>
        <n v="4144.860000000001"/>
        <n v="659.61"/>
        <n v="4804.47"/>
        <n v="3697.7"/>
        <n v="1167.73"/>
        <n v="4865.43"/>
        <n v="1819.22"/>
        <n v="2657.37"/>
        <n v="2636.91"/>
        <n v="1570.22"/>
        <n v="2384.51"/>
        <n v="3954.7300000000005"/>
        <n v="965.22"/>
        <n v="2398.63"/>
        <n v="3363.8500000000004"/>
        <n v="2236.68"/>
        <n v="3535.86"/>
        <n v="5772.54"/>
        <n v="1331.02"/>
        <n v="2224.63"/>
        <n v="1755.7"/>
        <n v="3980.33"/>
        <n v="1402.9699999999998"/>
        <n v="1772.51"/>
        <n v="3175.4799999999996"/>
        <n v="1311.76"/>
        <n v="9956.05"/>
        <n v="11267.81"/>
        <n v="3695.81"/>
        <n v="6583.26"/>
        <n v="10279.07"/>
        <n v="2381.95"/>
        <n v="9718.58"/>
        <n v="12100.529999999999"/>
        <n v="2709.8300000000004"/>
        <n v="6226.45"/>
        <n v="8936.28"/>
        <n v="3081.34"/>
        <n v="7652.62"/>
        <n v="10733.96"/>
        <n v="7882.6"/>
        <n v="3690.17"/>
        <n v="11572.77"/>
        <n v="2747.26"/>
        <n v="1797.13"/>
        <n v="4544.39"/>
        <n v="2785.09"/>
        <n v="13093.42"/>
        <n v="15878.51"/>
        <n v="6290.750000000001"/>
        <n v="6492.540000000001"/>
        <n v="12783.29"/>
        <n v="1226.3400000000001"/>
        <n v="2685.8599999999997"/>
        <n v="3912.2"/>
        <n v="1037.21"/>
        <n v="1217.38"/>
        <n v="2254.59"/>
        <n v="4387.33"/>
        <n v="6031.38"/>
        <n v="10418.71"/>
        <n v="4089.66"/>
        <n v="9311.33"/>
        <n v="13400.99"/>
        <n v="4916.44"/>
        <n v="5346.490000000001"/>
        <n v="10262.93"/>
      </sharedItems>
    </cacheField>
    <cacheField name="ROI" numFmtId="0">
      <sharedItems containsString="false" containsBlank="true" containsNumber="true" minValue="0" maxValue="2.877321738256214" count="0"/>
    </cacheField>
    <cacheField name="单均" numFmtId="0">
      <sharedItems containsBlank="true" containsMixedTypes="true" containsNumber="true" minValue="288.3999999999999" maxValue="2247.6" count="0"/>
    </cacheField>
    <cacheField name="保单成本" numFmtId="0">
      <sharedItems containsBlank="true" containsMixedTypes="true" containsNumber="true" minValue="356.4326666666667" maxValue="4089.66" count="0"/>
    </cacheField>
    <cacheField name="T0脱退单数量" numFmtId="0">
      <sharedItems containsString="false" containsBlank="true" containsNumber="true" containsInteger="true" minValue="0" maxValue="5" count="0"/>
    </cacheField>
    <cacheField name="T0脱退保费" numFmtId="0">
      <sharedItems containsString="false" containsBlank="true" containsNumber="true" minValue="0" maxValue="6873.599999999999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0" count="0"/>
    </cacheField>
    <cacheField name="投手" numFmtId="0">
      <sharedItems containsBlank="true" count="0"/>
    </cacheField>
    <cacheField name="时长" numFmtId="0">
      <sharedItems containsString="false" containsBlank="true" containsNumber="true" containsInteger="true" minValue="5" maxValue="10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94" sheet="2026.6"/>
  </cacheSource>
  <cacheFields count="14">
    <cacheField name="日期" numFmtId="0">
      <sharedItems containsDate="true" containsBlank="true" containsMixedTypes="true" minDate="2026-06-01T00:00:00.000Z" maxDate="2026-06-20T00:00:00.000Z" count="0"/>
    </cacheField>
    <cacheField name="主播" numFmtId="0">
      <sharedItems containsBlank="true" count="7">
        <s v="刘梦"/>
        <s v="蔡露露"/>
        <m/>
        <s v="杜思利"/>
        <s v="田宇尚"/>
        <s v="李雅琪"/>
        <s v="葛鑫然"/>
      </sharedItems>
    </cacheField>
    <cacheField name="直播时段" numFmtId="0">
      <sharedItems containsBlank="true" count="0"/>
    </cacheField>
    <cacheField name="直播时长" numFmtId="0">
      <sharedItems containsString="false" containsBlank="true" containsNumber="true" minValue="2" maxValue="19" count="13">
        <n v="4"/>
        <n v="8"/>
        <n v="5"/>
        <m/>
        <n v="10"/>
        <n v="17"/>
        <n v="2"/>
        <n v="15"/>
        <n v="18"/>
        <n v="3.75"/>
        <n v="12.75"/>
        <n v="14"/>
        <n v="19"/>
      </sharedItems>
    </cacheField>
    <cacheField name="总保单数量" numFmtId="0">
      <sharedItems containsString="false" containsBlank="true" containsNumber="true" containsInteger="true" minValue="1" maxValue="109" count="46">
        <n v="5"/>
        <n v="1"/>
        <n v="6"/>
        <n v="3"/>
        <n v="4"/>
        <n v="7"/>
        <m/>
        <n v="8"/>
        <n v="9"/>
        <n v="15"/>
        <n v="32"/>
        <n v="12"/>
        <n v="33"/>
        <n v="11"/>
        <n v="14"/>
        <n v="44"/>
        <n v="16"/>
        <n v="46"/>
        <n v="10"/>
        <n v="13"/>
        <n v="38"/>
        <n v="37"/>
        <n v="17"/>
        <n v="43"/>
        <n v="26"/>
        <n v="49"/>
        <n v="22"/>
        <n v="24"/>
        <n v="25"/>
        <n v="84"/>
        <n v="20"/>
        <n v="19"/>
        <n v="31"/>
        <n v="30"/>
        <n v="100"/>
        <n v="35"/>
        <n v="23"/>
        <n v="95"/>
        <n v="29"/>
        <n v="80"/>
        <n v="27"/>
        <n v="109"/>
        <n v="98"/>
        <n v="28"/>
        <n v="21"/>
        <n v="107"/>
      </sharedItems>
    </cacheField>
    <cacheField name="年化保费" numFmtId="0">
      <sharedItems containsString="false" containsBlank="true" containsNumber="true" minValue="396" maxValue="134723.9" count="92">
        <n v="5770.8"/>
        <n v="396"/>
        <n v="6166.8"/>
        <n v="1692"/>
        <n v="4872"/>
        <n v="6564"/>
        <n v="8004"/>
        <m/>
        <n v="4776"/>
        <n v="6792"/>
        <n v="11568"/>
        <n v="5868"/>
        <n v="6612"/>
        <n v="14768.400000000001"/>
        <n v="12234.199999999997"/>
        <n v="39482.6"/>
        <n v="13293.6"/>
        <n v="10979.999999999998"/>
        <n v="5820"/>
        <n v="10937"/>
        <n v="41030.6"/>
        <n v="10825.2"/>
        <n v="18855.8"/>
        <n v="9152.599999999999"/>
        <n v="9778.800000000003"/>
        <n v="48612.4"/>
        <n v="18975.2"/>
        <n v="5919.5999999999985"/>
        <n v="9901.2"/>
        <n v="22002"/>
        <n v="56798"/>
        <n v="16260"/>
        <n v="13327.2"/>
        <n v="9828.600000000002"/>
        <n v="2626"/>
        <n v="42041.8"/>
        <n v="7896"/>
        <n v="14886"/>
        <n v="16557.6"/>
        <n v="9996"/>
        <n v="49335.6"/>
        <n v="23796"/>
        <n v="7725.6"/>
        <n v="7260"/>
        <n v="17664"/>
        <n v="56445.6"/>
        <n v="11731.2"/>
        <n v="11078.4"/>
        <n v="9684"/>
        <n v="27075.6"/>
        <n v="59569.2"/>
        <n v="27294.2"/>
        <n v="22146.200000000004"/>
        <n v="15907.19999999999"/>
        <n v="29006.4"/>
        <n v="94354"/>
        <n v="23010.4"/>
        <n v="16405.9"/>
        <n v="24153.6"/>
        <n v="30129.6"/>
        <n v="93699.5"/>
        <n v="6981.6"/>
        <n v="40892.4"/>
        <n v="31270.399999999994"/>
        <n v="23472"/>
        <n v="102616.4"/>
        <n v="36309.6"/>
        <n v="34090.8"/>
        <n v="17112"/>
        <n v="87512.4"/>
        <n v="13198.800000000001"/>
        <n v="18081.799999999996"/>
        <n v="17494.6"/>
        <n v="48775.2"/>
        <n v="35776.3"/>
        <n v="35567.8"/>
        <n v="17810.4"/>
        <n v="15405.4"/>
        <n v="30164"/>
        <n v="134723.9"/>
        <n v="22735.2"/>
        <n v="17942.8"/>
        <n v="20455"/>
        <n v="12900"/>
        <n v="33278.4"/>
        <n v="107311.4"/>
        <n v="20756.4"/>
        <n v="14043.6"/>
        <n v="24782.4"/>
        <n v="27723.6"/>
        <n v="23011.2"/>
        <n v="110317.2"/>
      </sharedItems>
    </cacheField>
    <cacheField name="投流消耗" numFmtId="0">
      <sharedItems containsString="false" containsBlank="true" containsNumber="true" minValue="2711.61" maxValue="96737.73" count="92">
        <n v="6200.67"/>
        <n v="3732.7"/>
        <n v="9933.369999999999"/>
        <n v="2711.61"/>
        <n v="3355.51"/>
        <n v="6067.120000000001"/>
        <n v="3052.45"/>
        <m/>
        <n v="6096.41"/>
        <n v="5525.28"/>
        <n v="11621.689999999999"/>
        <n v="4003.44"/>
        <n v="4137.43"/>
        <n v="6314.540000000001"/>
        <n v="9840.390000000001"/>
        <n v="24295.800000000003"/>
        <n v="8959.47"/>
        <n v="8885.71"/>
        <n v="5567.099999999999"/>
        <n v="6383.720000000001"/>
        <n v="29796"/>
        <n v="9313.48"/>
        <n v="8551.78"/>
        <n v="9812.94"/>
        <n v="11716.18"/>
        <n v="39394.380000000005"/>
        <n v="11485.489999999998"/>
        <n v="7952.85"/>
        <n v="9626.42"/>
        <n v="12485.75"/>
        <n v="41550.509999999995"/>
        <n v="10304.990000000002"/>
        <n v="7425.97"/>
        <n v="8743.56"/>
        <n v="3910.87"/>
        <n v="30385.390000000003"/>
        <n v="9893.98"/>
        <n v="12657.21"/>
        <n v="7859.429999999999"/>
        <n v="8753.39"/>
        <n v="39164.009999999995"/>
        <n v="9450.29"/>
        <n v="9604.17"/>
        <n v="6779.18"/>
        <n v="9566.65"/>
        <n v="35400.29"/>
        <n v="6821.78"/>
        <n v="8315.56"/>
        <n v="6969.1900000000005"/>
        <n v="10111.62"/>
        <n v="32218.15"/>
        <n v="10435.439999999999"/>
        <n v="17684.22"/>
        <n v="13241.94"/>
        <n v="17413.350000000002"/>
        <n v="58774.95"/>
        <n v="19375.960000000003"/>
        <n v="17289.01"/>
        <n v="19322.66"/>
        <n v="27710.02"/>
        <n v="83697.65000000001"/>
        <n v="9393.82"/>
        <n v="20533.879999999997"/>
        <n v="19213.91"/>
        <n v="18898.48"/>
        <n v="68040.09"/>
        <n v="26778.79"/>
        <n v="32558.73"/>
        <n v="15752.85"/>
        <n v="75090.37000000001"/>
        <n v="15584.5"/>
        <n v="9578.45"/>
        <n v="10045.46"/>
        <n v="35208.41"/>
        <n v="18673.71"/>
        <n v="19451.92"/>
        <n v="13868.87"/>
        <n v="8446.99"/>
        <n v="14152"/>
        <n v="74593.48999999999"/>
        <n v="28244.63"/>
        <n v="17864.38"/>
        <n v="16663.21"/>
        <n v="8070.92"/>
        <n v="23014.06"/>
        <n v="93857.2"/>
        <n v="22554.35"/>
        <n v="14284.22"/>
        <n v="20342"/>
        <n v="18386.35"/>
        <n v="21170.81"/>
        <n v="96737.73"/>
      </sharedItems>
    </cacheField>
    <cacheField name="ROI" numFmtId="0">
      <sharedItems containsString="false" containsBlank="true" containsNumber="true" minValue="0.10608942588474832" maxValue="2.677671827066286" count="0"/>
    </cacheField>
    <cacheField name="单均" numFmtId="0">
      <sharedItems containsString="false" containsBlank="true" containsNumber="true" minValue="396" maxValue="1956" count="0"/>
    </cacheField>
    <cacheField name="保单成本" numFmtId="0">
      <sharedItems containsString="false" containsBlank="true" containsNumber="true" minValue="388.90846153846155" maxValue="3732.7" count="0"/>
    </cacheField>
    <cacheField name="T0脱退单数量" numFmtId="0">
      <sharedItems containsBlank="true" containsMixedTypes="true" containsNumber="true" containsInteger="true" minValue="0" maxValue="26" count="0"/>
    </cacheField>
    <cacheField name="T0脱退保费" numFmtId="0">
      <sharedItems containsString="false" containsBlank="true" containsNumber="true" minValue="0" maxValue="29051.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9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67:$F$175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dataField="true" compact="false" outline="false" showAll="false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dataField="true" compact="false" outline="false" showAll="false">
      <items count="1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264:$H$272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true" compact="false" outline="false" showAll="false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dataField="true" compact="false" outline="false" showAll="false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75:$D$186" firstHeaderRow="1" firstDataRow="1" firstDataCol="1"/>
  <pivotFields count="16">
    <pivotField compact="false" outline="false" showAll="false"/>
    <pivotField axis="axisRow" compact="false" outline="false" showAll="false">
      <items count="12">
        <item x="0"/>
        <item x="1"/>
        <item x="2"/>
        <item x="3"/>
        <item h="true"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170:$F$178" firstHeaderRow="1" firstDataRow="1" firstDataCol="1"/>
  <pivotFields count="16">
    <pivotField compact="false" outline="false" showAll="false"/>
    <pivotField axis="axisRow" compact="false" outline="false" showAll="false">
      <items count="9">
        <item x="0"/>
        <item x="1"/>
        <item x="2"/>
        <item x="3"/>
        <item x="4"/>
        <item h="true"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false" outline="false" showAll="false"/>
    <pivotField dataField="true" compact="false" outline="false" showAll="false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dataField="true" compact="false" outline="false" showAll="false">
      <items count="1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A$151:$B$160" firstHeaderRow="1" firstDataRow="1" firstDataCol="1"/>
  <pivotFields count="16">
    <pivotField compact="false" outline="false" showAll="false"/>
    <pivotField axis="axisRow" compact="false" outline="false" showAll="false">
      <items count="10">
        <item x="0"/>
        <item x="1"/>
        <item h="true"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E$95:$H$99" firstHeaderRow="1" firstDataRow="1" firstDataCol="1"/>
  <pivotFields count="16">
    <pivotField compact="false" outline="false" showAll="false"/>
    <pivotField axis="axisRow" compact="false" outline="false" showAll="false">
      <items count="5">
        <item x="0"/>
        <item x="1"/>
        <item h="true" x="2"/>
        <item x="3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E$75:$I$82" firstHeaderRow="1" firstDataRow="1" firstDataCol="1"/>
  <pivotFields count="14">
    <pivotField compact="false" outline="false" showAll="false"/>
    <pivotField axis="axisRow" compact="false" outline="false" showAll="false">
      <items count="8">
        <item x="0"/>
        <item x="1"/>
        <item h="true"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true" compact="false" outline="false" showAll="false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true" compact="false" outline="false" showAll="false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true" compact="false" outline="false" showAll="false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总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7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13" min="13" style="0" width="11.211267605633802"/>
    <col collapsed="false" customWidth="true" hidden="false" max="3" min="3" style="0" width="11.211267605633802"/>
    <col collapsed="false" customWidth="true" hidden="false" max="5" min="5" style="0" width="10.76056338028169"/>
    <col collapsed="false" customWidth="true" hidden="false" max="7" min="7" style="0" width="10.422535211267606"/>
    <col collapsed="false" customWidth="true" hidden="false" max="9" min="9" style="0" width="11.211267605633802"/>
    <col collapsed="false" customWidth="true" hidden="false" max="11" min="11" style="0" width="10.19718309859155"/>
    <col collapsed="false" customWidth="true" hidden="false" max="12" min="12" style="0" width="11.460039683830448"/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4" min="4" style="0" width="12.63050176056338"/>
    <col collapsed="false" customWidth="true" hidden="false" max="6" min="6" style="0" width="11.211267605633802"/>
    <col collapsed="false" customWidth="true" hidden="false" max="8" min="8" style="0" width="12.82075264084507"/>
    <col collapsed="false" customWidth="true" hidden="false" max="10" min="10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>
      <c r="A2" s="4" t="s">
        <v>17</v>
      </c>
      <c r="B2" s="5" t="s">
        <v>18</v>
      </c>
      <c r="C2" s="6" t="s">
        <v>19</v>
      </c>
      <c r="D2" s="6">
        <v>4</v>
      </c>
      <c r="E2" s="6">
        <v>6</v>
      </c>
      <c r="F2" s="6">
        <v>7898.16</v>
      </c>
      <c r="G2" s="6">
        <v>7350.81</v>
      </c>
      <c r="H2" s="7">
        <f t="shared" ref="H2:H110" si="0">F2/G2</f>
      </c>
      <c r="I2" s="7">
        <f t="shared" ref="I2:I110" si="1">F2/E2</f>
      </c>
      <c r="J2" s="7">
        <f t="shared" ref="J2:J110" si="2">G2/E2</f>
      </c>
      <c r="K2" s="6">
        <v>1</v>
      </c>
      <c r="L2" s="6">
        <v>598.8</v>
      </c>
      <c r="M2" s="6" t="s">
        <v>20</v>
      </c>
      <c r="N2" s="6">
        <v>1</v>
      </c>
      <c r="O2" s="8"/>
      <c r="P2" s="6"/>
    </row>
    <row r="3">
      <c r="A3" s="4" t="s">
        <v>17</v>
      </c>
      <c r="B3" s="5" t="s">
        <v>21</v>
      </c>
      <c r="C3" s="6" t="s">
        <v>22</v>
      </c>
      <c r="D3" s="6">
        <v>4</v>
      </c>
      <c r="E3" s="6">
        <v>4</v>
      </c>
      <c r="F3" s="6">
        <v>5335</v>
      </c>
      <c r="G3" s="6">
        <v>3863.95</v>
      </c>
      <c r="H3" s="7">
        <f t="shared" si="0"/>
      </c>
      <c r="I3" s="7">
        <f t="shared" si="1"/>
      </c>
      <c r="J3" s="7">
        <f t="shared" si="2"/>
      </c>
      <c r="K3" s="6">
        <v>0</v>
      </c>
      <c r="L3" s="6">
        <v>0</v>
      </c>
      <c r="M3" s="6" t="s">
        <v>23</v>
      </c>
      <c r="N3" s="6">
        <v>9</v>
      </c>
      <c r="O3" s="6" t="s">
        <v>24</v>
      </c>
      <c r="P3" s="8">
        <v>10</v>
      </c>
    </row>
    <row r="4">
      <c r="A4" s="4" t="s">
        <v>17</v>
      </c>
      <c r="B4" s="5" t="s">
        <v>25</v>
      </c>
      <c r="C4" s="6" t="s">
        <v>26</v>
      </c>
      <c r="D4" s="6">
        <v>4</v>
      </c>
      <c r="E4" s="6">
        <v>3</v>
      </c>
      <c r="F4" s="6">
        <v>4010.2000000000007</v>
      </c>
      <c r="G4" s="6">
        <v>2147.7</v>
      </c>
      <c r="H4" s="7">
        <f t="shared" si="0"/>
      </c>
      <c r="I4" s="7">
        <f t="shared" si="1"/>
      </c>
      <c r="J4" s="7">
        <f t="shared" si="2"/>
      </c>
      <c r="K4" s="6">
        <v>0</v>
      </c>
      <c r="L4" s="6">
        <v>0</v>
      </c>
      <c r="M4" s="6" t="s">
        <v>27</v>
      </c>
      <c r="N4" s="6">
        <v>1</v>
      </c>
      <c r="O4" s="6" t="s">
        <v>28</v>
      </c>
      <c r="P4" s="6">
        <v>10</v>
      </c>
    </row>
    <row r="5">
      <c r="A5" s="4" t="s">
        <v>17</v>
      </c>
      <c r="B5" s="5" t="s">
        <v>29</v>
      </c>
      <c r="C5" s="6" t="s">
        <v>30</v>
      </c>
      <c r="D5" s="6">
        <v>4</v>
      </c>
      <c r="E5" s="6">
        <v>1</v>
      </c>
      <c r="F5" s="6">
        <v>324</v>
      </c>
      <c r="G5" s="6">
        <v>1623.2499999999998</v>
      </c>
      <c r="H5" s="7">
        <f t="shared" si="0"/>
      </c>
      <c r="I5" s="7">
        <f t="shared" si="1"/>
      </c>
      <c r="J5" s="7">
        <f t="shared" si="2"/>
      </c>
      <c r="K5" s="6">
        <v>0</v>
      </c>
      <c r="L5" s="6">
        <v>0</v>
      </c>
      <c r="M5" s="6" t="s">
        <v>31</v>
      </c>
      <c r="N5" s="9">
        <v>9</v>
      </c>
      <c r="O5" s="8"/>
      <c r="P5" s="8"/>
    </row>
    <row r="6">
      <c r="A6" s="4" t="s">
        <v>17</v>
      </c>
      <c r="B6" s="5" t="s">
        <v>32</v>
      </c>
      <c r="C6" s="6" t="s">
        <v>33</v>
      </c>
      <c r="D6" s="6">
        <v>4</v>
      </c>
      <c r="E6" s="6">
        <v>11</v>
      </c>
      <c r="F6" s="8">
        <v>6120.0999999999985</v>
      </c>
      <c r="G6" s="8">
        <v>4506.88</v>
      </c>
      <c r="H6" s="7">
        <f t="shared" si="0"/>
      </c>
      <c r="I6" s="7">
        <f t="shared" si="1"/>
      </c>
      <c r="J6" s="7">
        <f t="shared" si="2"/>
      </c>
      <c r="K6" s="6">
        <v>3</v>
      </c>
      <c r="L6" s="6">
        <v>2066.2</v>
      </c>
      <c r="M6" s="6"/>
      <c r="N6" s="6"/>
      <c r="O6" s="8"/>
      <c r="P6" s="8"/>
    </row>
    <row r="7">
      <c r="A7" s="10" t="s">
        <v>17</v>
      </c>
      <c r="B7" s="11"/>
      <c r="C7" s="11"/>
      <c r="D7" s="12">
        <f>SUM(D2:D6)</f>
      </c>
      <c r="E7" s="12">
        <f>SUM(E2:E6)</f>
      </c>
      <c r="F7" s="12">
        <f>SUM(F2:F6)</f>
      </c>
      <c r="G7" s="12">
        <f>SUM(G2:G6)</f>
      </c>
      <c r="H7" s="13">
        <f t="shared" si="0"/>
      </c>
      <c r="I7" s="13">
        <f t="shared" si="1"/>
      </c>
      <c r="J7" s="13">
        <f t="shared" si="2"/>
      </c>
      <c r="K7" s="12">
        <f>SUM(K2:K6)</f>
      </c>
      <c r="L7" s="12">
        <f>SUM(L2:L6)</f>
      </c>
      <c r="M7" s="14"/>
      <c r="N7" s="12">
        <f>SUM(N2:N6)</f>
      </c>
      <c r="O7" s="14"/>
      <c r="P7" s="12">
        <f>SUM(P2:P6)</f>
      </c>
    </row>
    <row r="8">
      <c r="A8" s="4" t="s">
        <v>34</v>
      </c>
      <c r="B8" s="5" t="s">
        <v>21</v>
      </c>
      <c r="C8" s="6" t="s">
        <v>35</v>
      </c>
      <c r="D8" s="6">
        <v>5</v>
      </c>
      <c r="E8" s="6">
        <v>9</v>
      </c>
      <c r="F8" s="6">
        <v>8716.6</v>
      </c>
      <c r="G8" s="6">
        <v>7943.9</v>
      </c>
      <c r="H8" s="7">
        <f t="shared" si="0"/>
      </c>
      <c r="I8" s="7">
        <f t="shared" si="1"/>
      </c>
      <c r="J8" s="7">
        <f t="shared" si="2"/>
      </c>
      <c r="K8" s="6">
        <v>2</v>
      </c>
      <c r="L8" s="6">
        <v>1099.2</v>
      </c>
      <c r="M8" s="6" t="s">
        <v>36</v>
      </c>
      <c r="N8" s="6">
        <v>10</v>
      </c>
      <c r="O8" s="8"/>
      <c r="P8" s="6"/>
    </row>
    <row r="9">
      <c r="A9" s="4" t="s">
        <v>34</v>
      </c>
      <c r="B9" s="5" t="s">
        <v>25</v>
      </c>
      <c r="C9" s="6" t="s">
        <v>37</v>
      </c>
      <c r="D9" s="6">
        <v>5</v>
      </c>
      <c r="E9" s="6">
        <v>5</v>
      </c>
      <c r="F9" s="6">
        <v>5601.6</v>
      </c>
      <c r="G9" s="6">
        <v>5746.43</v>
      </c>
      <c r="H9" s="7">
        <f t="shared" si="0"/>
      </c>
      <c r="I9" s="7">
        <f t="shared" si="1"/>
      </c>
      <c r="J9" s="7">
        <f t="shared" si="2"/>
      </c>
      <c r="K9" s="6">
        <v>4</v>
      </c>
      <c r="L9" s="6">
        <v>3530.3999999999996</v>
      </c>
      <c r="M9" s="6"/>
      <c r="N9" s="6"/>
      <c r="O9" s="6" t="s">
        <v>24</v>
      </c>
      <c r="P9" s="8">
        <v>10</v>
      </c>
    </row>
    <row r="10">
      <c r="A10" s="4" t="s">
        <v>34</v>
      </c>
      <c r="B10" s="5" t="s">
        <v>29</v>
      </c>
      <c r="C10" s="6" t="s">
        <v>38</v>
      </c>
      <c r="D10" s="6">
        <v>5</v>
      </c>
      <c r="E10" s="6">
        <v>2</v>
      </c>
      <c r="F10" s="6">
        <v>1068</v>
      </c>
      <c r="G10" s="6">
        <v>4007.41</v>
      </c>
      <c r="H10" s="7">
        <f t="shared" si="0"/>
      </c>
      <c r="I10" s="7">
        <f t="shared" si="1"/>
      </c>
      <c r="J10" s="7">
        <f t="shared" si="2"/>
      </c>
      <c r="K10" s="6">
        <v>0</v>
      </c>
      <c r="L10" s="6">
        <v>0</v>
      </c>
      <c r="M10" s="6" t="s">
        <v>39</v>
      </c>
      <c r="N10" s="6">
        <v>10</v>
      </c>
      <c r="O10" s="6" t="s">
        <v>28</v>
      </c>
      <c r="P10" s="6">
        <v>10</v>
      </c>
    </row>
    <row r="11">
      <c r="A11" s="4" t="s">
        <v>34</v>
      </c>
      <c r="B11" s="5" t="s">
        <v>32</v>
      </c>
      <c r="C11" s="6" t="s">
        <v>40</v>
      </c>
      <c r="D11" s="6">
        <v>5</v>
      </c>
      <c r="E11" s="6">
        <v>14</v>
      </c>
      <c r="F11" s="6">
        <v>19814.399999999998</v>
      </c>
      <c r="G11" s="6">
        <v>7706.79</v>
      </c>
      <c r="H11" s="7">
        <f t="shared" si="0"/>
      </c>
      <c r="I11" s="7">
        <f t="shared" si="1"/>
      </c>
      <c r="J11" s="7">
        <f t="shared" si="2"/>
      </c>
      <c r="K11" s="6">
        <v>2</v>
      </c>
      <c r="L11" s="6">
        <v>2024.4</v>
      </c>
      <c r="M11" s="6"/>
      <c r="N11" s="9"/>
      <c r="O11" s="8"/>
      <c r="P11" s="8"/>
    </row>
    <row r="12">
      <c r="A12" s="10" t="s">
        <v>34</v>
      </c>
      <c r="B12" s="11"/>
      <c r="C12" s="11"/>
      <c r="D12" s="12">
        <f>SUM(D8:D11)</f>
      </c>
      <c r="E12" s="12">
        <f>SUM(E8:E11)</f>
      </c>
      <c r="F12" s="12">
        <f>SUM(F8:F11)</f>
      </c>
      <c r="G12" s="12">
        <f>SUM(G8:G11)</f>
      </c>
      <c r="H12" s="13">
        <f t="shared" si="0"/>
      </c>
      <c r="I12" s="13">
        <f t="shared" si="1"/>
      </c>
      <c r="J12" s="13">
        <f t="shared" si="2"/>
      </c>
      <c r="K12" s="12">
        <f>SUM(K8:K11)</f>
      </c>
      <c r="L12" s="12">
        <f>SUM(L8:L11)</f>
      </c>
      <c r="M12" s="14"/>
      <c r="N12" s="12">
        <f>SUM(N8:N11)</f>
      </c>
      <c r="O12" s="14"/>
      <c r="P12" s="12">
        <f>SUM(P8:P11)</f>
      </c>
    </row>
    <row r="13">
      <c r="A13" s="4" t="s">
        <v>41</v>
      </c>
      <c r="B13" s="5" t="s">
        <v>21</v>
      </c>
      <c r="C13" s="6" t="s">
        <v>35</v>
      </c>
      <c r="D13" s="6">
        <v>5</v>
      </c>
      <c r="E13" s="6">
        <v>10</v>
      </c>
      <c r="F13" s="6">
        <v>9858.3</v>
      </c>
      <c r="G13" s="6">
        <v>8619.06</v>
      </c>
      <c r="H13" s="7">
        <f t="shared" si="0"/>
      </c>
      <c r="I13" s="7">
        <f t="shared" si="1"/>
      </c>
      <c r="J13" s="7">
        <f t="shared" si="2"/>
      </c>
      <c r="K13" s="6">
        <v>4</v>
      </c>
      <c r="L13" s="6">
        <v>4260</v>
      </c>
      <c r="M13" s="6" t="s">
        <v>36</v>
      </c>
      <c r="N13" s="6">
        <v>10</v>
      </c>
      <c r="O13" s="8"/>
      <c r="P13" s="6"/>
    </row>
    <row r="14">
      <c r="A14" s="4" t="s">
        <v>41</v>
      </c>
      <c r="B14" s="5" t="s">
        <v>29</v>
      </c>
      <c r="C14" s="6" t="s">
        <v>37</v>
      </c>
      <c r="D14" s="6">
        <v>5</v>
      </c>
      <c r="E14" s="6">
        <v>8</v>
      </c>
      <c r="F14" s="6">
        <v>12260.400000000001</v>
      </c>
      <c r="G14" s="6">
        <v>11358.949999999999</v>
      </c>
      <c r="H14" s="7">
        <f t="shared" si="0"/>
      </c>
      <c r="I14" s="7">
        <f t="shared" si="1"/>
      </c>
      <c r="J14" s="7">
        <f t="shared" si="2"/>
      </c>
      <c r="K14" s="6">
        <v>3</v>
      </c>
      <c r="L14" s="6">
        <v>4610.4</v>
      </c>
      <c r="M14" s="6"/>
      <c r="N14" s="6"/>
      <c r="O14" s="6" t="s">
        <v>24</v>
      </c>
      <c r="P14" s="8">
        <v>10</v>
      </c>
    </row>
    <row r="15">
      <c r="A15" s="4" t="s">
        <v>41</v>
      </c>
      <c r="B15" s="5" t="s">
        <v>32</v>
      </c>
      <c r="C15" s="6" t="s">
        <v>38</v>
      </c>
      <c r="D15" s="6">
        <v>5</v>
      </c>
      <c r="E15" s="6">
        <v>10</v>
      </c>
      <c r="F15" s="6">
        <v>14811.600000000002</v>
      </c>
      <c r="G15" s="6">
        <v>9323.1</v>
      </c>
      <c r="H15" s="7">
        <f t="shared" si="0"/>
      </c>
      <c r="I15" s="7">
        <f t="shared" si="1"/>
      </c>
      <c r="J15" s="7">
        <f t="shared" si="2"/>
      </c>
      <c r="K15" s="6">
        <v>2</v>
      </c>
      <c r="L15" s="6">
        <v>1359.6</v>
      </c>
      <c r="M15" s="6" t="s">
        <v>39</v>
      </c>
      <c r="N15" s="6">
        <v>10</v>
      </c>
      <c r="O15" s="6" t="s">
        <v>28</v>
      </c>
      <c r="P15" s="6">
        <v>10</v>
      </c>
    </row>
    <row r="16">
      <c r="A16" s="4" t="s">
        <v>41</v>
      </c>
      <c r="B16" s="5" t="s">
        <v>25</v>
      </c>
      <c r="C16" s="6" t="s">
        <v>40</v>
      </c>
      <c r="D16" s="6">
        <v>5</v>
      </c>
      <c r="E16" s="6">
        <v>13</v>
      </c>
      <c r="F16" s="6">
        <v>13648</v>
      </c>
      <c r="G16" s="6">
        <v>12902.34</v>
      </c>
      <c r="H16" s="7">
        <f t="shared" si="0"/>
      </c>
      <c r="I16" s="7">
        <f t="shared" si="1"/>
      </c>
      <c r="J16" s="7">
        <f t="shared" si="2"/>
      </c>
      <c r="K16" s="6">
        <v>0</v>
      </c>
      <c r="L16" s="6">
        <v>0</v>
      </c>
      <c r="M16" s="6"/>
      <c r="N16" s="9"/>
      <c r="O16" s="8"/>
      <c r="P16" s="8"/>
    </row>
    <row r="17">
      <c r="A17" s="10" t="s">
        <v>41</v>
      </c>
      <c r="B17" s="11"/>
      <c r="C17" s="11"/>
      <c r="D17" s="12">
        <f>SUM(D13:D16)</f>
      </c>
      <c r="E17" s="12">
        <f>SUM(E13:E16)</f>
      </c>
      <c r="F17" s="12">
        <f>SUM(F13:F16)</f>
      </c>
      <c r="G17" s="12">
        <f>SUM(G13:G16)</f>
      </c>
      <c r="H17" s="13">
        <f t="shared" si="0"/>
      </c>
      <c r="I17" s="13">
        <f t="shared" si="1"/>
      </c>
      <c r="J17" s="13">
        <f t="shared" si="2"/>
      </c>
      <c r="K17" s="12">
        <f>SUM(K13:K16)</f>
      </c>
      <c r="L17" s="12">
        <f>SUM(L13:L16)</f>
      </c>
      <c r="M17" s="14"/>
      <c r="N17" s="12">
        <f>SUM(N13:N16)</f>
      </c>
      <c r="O17" s="14"/>
      <c r="P17" s="12">
        <f>SUM(P13:P16)</f>
      </c>
    </row>
    <row r="18">
      <c r="A18" s="4" t="s">
        <v>42</v>
      </c>
      <c r="B18" s="5" t="s">
        <v>21</v>
      </c>
      <c r="C18" s="6" t="s">
        <v>35</v>
      </c>
      <c r="D18" s="6">
        <v>5</v>
      </c>
      <c r="E18" s="6">
        <v>12</v>
      </c>
      <c r="F18" s="6">
        <v>15337.2</v>
      </c>
      <c r="G18" s="6">
        <v>15671.81</v>
      </c>
      <c r="H18" s="7">
        <f t="shared" si="0"/>
      </c>
      <c r="I18" s="7">
        <f t="shared" si="1"/>
      </c>
      <c r="J18" s="7">
        <f t="shared" si="2"/>
      </c>
      <c r="K18" s="6">
        <v>3</v>
      </c>
      <c r="L18" s="6">
        <v>1920</v>
      </c>
      <c r="M18" s="6" t="s">
        <v>36</v>
      </c>
      <c r="N18" s="6">
        <v>10</v>
      </c>
      <c r="O18" s="8"/>
      <c r="P18" s="6"/>
    </row>
    <row r="19">
      <c r="A19" s="4" t="s">
        <v>42</v>
      </c>
      <c r="B19" s="5" t="s">
        <v>29</v>
      </c>
      <c r="C19" s="6" t="s">
        <v>37</v>
      </c>
      <c r="D19" s="6">
        <v>5</v>
      </c>
      <c r="E19" s="6">
        <v>7</v>
      </c>
      <c r="F19" s="6">
        <v>7000.6</v>
      </c>
      <c r="G19" s="6">
        <v>13065</v>
      </c>
      <c r="H19" s="7">
        <f t="shared" si="0"/>
      </c>
      <c r="I19" s="7">
        <f t="shared" si="1"/>
      </c>
      <c r="J19" s="7">
        <f t="shared" si="2"/>
      </c>
      <c r="K19" s="6">
        <v>2</v>
      </c>
      <c r="L19" s="6">
        <v>1279</v>
      </c>
      <c r="M19" s="6"/>
      <c r="N19" s="6"/>
      <c r="O19" s="6" t="s">
        <v>24</v>
      </c>
      <c r="P19" s="8">
        <v>10</v>
      </c>
    </row>
    <row r="20">
      <c r="A20" s="4" t="s">
        <v>42</v>
      </c>
      <c r="B20" s="5" t="s">
        <v>32</v>
      </c>
      <c r="C20" s="6" t="s">
        <v>38</v>
      </c>
      <c r="D20" s="6">
        <v>5</v>
      </c>
      <c r="E20" s="6">
        <v>4</v>
      </c>
      <c r="F20" s="6">
        <v>6657.6</v>
      </c>
      <c r="G20" s="6">
        <v>4234.25</v>
      </c>
      <c r="H20" s="7">
        <f t="shared" si="0"/>
      </c>
      <c r="I20" s="7">
        <f t="shared" si="1"/>
      </c>
      <c r="J20" s="7">
        <f t="shared" si="2"/>
      </c>
      <c r="K20" s="6">
        <v>1</v>
      </c>
      <c r="L20" s="6">
        <v>715.2</v>
      </c>
      <c r="M20" s="6" t="s">
        <v>43</v>
      </c>
      <c r="N20" s="6">
        <v>10</v>
      </c>
      <c r="O20" s="6" t="s">
        <v>28</v>
      </c>
      <c r="P20" s="6">
        <v>10</v>
      </c>
    </row>
    <row r="21">
      <c r="A21" s="4" t="s">
        <v>42</v>
      </c>
      <c r="B21" s="5" t="s">
        <v>25</v>
      </c>
      <c r="C21" s="6" t="s">
        <v>40</v>
      </c>
      <c r="D21" s="6">
        <v>5</v>
      </c>
      <c r="E21" s="6">
        <v>8</v>
      </c>
      <c r="F21" s="6">
        <v>10426.8</v>
      </c>
      <c r="G21" s="6">
        <v>6060.82</v>
      </c>
      <c r="H21" s="7">
        <f t="shared" si="0"/>
      </c>
      <c r="I21" s="7">
        <f t="shared" si="1"/>
      </c>
      <c r="J21" s="7">
        <f t="shared" si="2"/>
      </c>
      <c r="K21" s="6">
        <v>3</v>
      </c>
      <c r="L21" s="6">
        <v>2737.2</v>
      </c>
      <c r="M21" s="6"/>
      <c r="N21" s="9"/>
      <c r="O21" s="8"/>
      <c r="P21" s="8"/>
    </row>
    <row r="22">
      <c r="A22" s="10" t="s">
        <v>42</v>
      </c>
      <c r="B22" s="11"/>
      <c r="C22" s="11"/>
      <c r="D22" s="12">
        <f>SUM(D18:D21)</f>
      </c>
      <c r="E22" s="12">
        <f>SUM(E18:E21)</f>
      </c>
      <c r="F22" s="12">
        <f>SUM(F18:F21)</f>
      </c>
      <c r="G22" s="12">
        <f>SUM(G18:G21)</f>
      </c>
      <c r="H22" s="13">
        <f t="shared" si="0"/>
      </c>
      <c r="I22" s="13">
        <f t="shared" si="1"/>
      </c>
      <c r="J22" s="13">
        <f t="shared" si="2"/>
      </c>
      <c r="K22" s="12">
        <f>SUM(K18:K21)</f>
      </c>
      <c r="L22" s="12">
        <f>SUM(L18:L21)</f>
      </c>
      <c r="M22" s="14"/>
      <c r="N22" s="12">
        <f>SUM(N18:N21)</f>
      </c>
      <c r="O22" s="14"/>
      <c r="P22" s="12">
        <f>SUM(P18:P21)</f>
      </c>
    </row>
    <row r="23">
      <c r="A23" s="4" t="s">
        <v>44</v>
      </c>
      <c r="B23" s="5" t="s">
        <v>29</v>
      </c>
      <c r="C23" s="6" t="s">
        <v>19</v>
      </c>
      <c r="D23" s="6">
        <v>4</v>
      </c>
      <c r="E23" s="6">
        <v>3</v>
      </c>
      <c r="F23" s="6">
        <v>4358.2</v>
      </c>
      <c r="G23" s="6">
        <v>5952.6</v>
      </c>
      <c r="H23" s="7">
        <f t="shared" si="0"/>
      </c>
      <c r="I23" s="7">
        <f t="shared" si="1"/>
      </c>
      <c r="J23" s="7">
        <f t="shared" si="2"/>
      </c>
      <c r="K23" s="6">
        <v>1</v>
      </c>
      <c r="L23" s="6">
        <v>1723.2</v>
      </c>
      <c r="M23" s="6" t="s">
        <v>36</v>
      </c>
      <c r="N23" s="6">
        <v>10</v>
      </c>
      <c r="O23" s="8"/>
      <c r="P23" s="6"/>
    </row>
    <row r="24">
      <c r="A24" s="4" t="s">
        <v>44</v>
      </c>
      <c r="B24" s="5" t="s">
        <v>21</v>
      </c>
      <c r="C24" s="6" t="s">
        <v>22</v>
      </c>
      <c r="D24" s="6">
        <v>4</v>
      </c>
      <c r="E24" s="6">
        <v>6</v>
      </c>
      <c r="F24" s="6">
        <v>5212</v>
      </c>
      <c r="G24" s="6">
        <v>4332.65</v>
      </c>
      <c r="H24" s="7">
        <f t="shared" si="0"/>
      </c>
      <c r="I24" s="7">
        <f t="shared" si="1"/>
      </c>
      <c r="J24" s="7">
        <f t="shared" si="2"/>
      </c>
      <c r="K24" s="6">
        <v>3</v>
      </c>
      <c r="L24" s="6">
        <v>3258</v>
      </c>
      <c r="M24" s="6"/>
      <c r="N24" s="6"/>
      <c r="O24" s="6" t="s">
        <v>24</v>
      </c>
      <c r="P24" s="8">
        <v>10</v>
      </c>
    </row>
    <row r="25">
      <c r="A25" s="4" t="s">
        <v>44</v>
      </c>
      <c r="B25" s="5" t="s">
        <v>32</v>
      </c>
      <c r="C25" s="6" t="s">
        <v>26</v>
      </c>
      <c r="D25" s="6">
        <v>4</v>
      </c>
      <c r="E25" s="6">
        <v>5</v>
      </c>
      <c r="F25" s="6">
        <v>7020</v>
      </c>
      <c r="G25" s="6">
        <v>3020.29</v>
      </c>
      <c r="H25" s="7">
        <f t="shared" si="0"/>
      </c>
      <c r="I25" s="7">
        <f t="shared" si="1"/>
      </c>
      <c r="J25" s="7">
        <f t="shared" si="2"/>
      </c>
      <c r="K25" s="6">
        <v>3</v>
      </c>
      <c r="L25" s="6">
        <v>3196.8</v>
      </c>
      <c r="M25" s="15"/>
      <c r="N25" s="6"/>
      <c r="O25" s="6" t="s">
        <v>28</v>
      </c>
      <c r="P25" s="6">
        <v>10</v>
      </c>
    </row>
    <row r="26">
      <c r="A26" s="4" t="s">
        <v>44</v>
      </c>
      <c r="B26" s="5" t="s">
        <v>25</v>
      </c>
      <c r="C26" s="6" t="s">
        <v>30</v>
      </c>
      <c r="D26" s="6">
        <v>4</v>
      </c>
      <c r="E26" s="6">
        <v>4</v>
      </c>
      <c r="F26" s="6">
        <v>5793.6</v>
      </c>
      <c r="G26" s="6">
        <v>2380.81</v>
      </c>
      <c r="H26" s="7">
        <f t="shared" si="0"/>
      </c>
      <c r="I26" s="7">
        <f t="shared" si="1"/>
      </c>
      <c r="J26" s="7">
        <f t="shared" si="2"/>
      </c>
      <c r="K26" s="6">
        <v>3</v>
      </c>
      <c r="L26" s="6">
        <v>3722.4</v>
      </c>
      <c r="M26" s="6" t="s">
        <v>43</v>
      </c>
      <c r="N26" s="9">
        <v>10</v>
      </c>
      <c r="O26" s="8"/>
      <c r="P26" s="8"/>
    </row>
    <row customHeight="true" ht="16.071428571428573" r="27">
      <c r="A27" s="4" t="s">
        <v>44</v>
      </c>
      <c r="B27" s="5" t="s">
        <v>18</v>
      </c>
      <c r="C27" s="6" t="s">
        <v>33</v>
      </c>
      <c r="D27" s="6">
        <v>4</v>
      </c>
      <c r="E27" s="6">
        <v>11</v>
      </c>
      <c r="F27" s="6">
        <v>12942</v>
      </c>
      <c r="G27" s="6">
        <v>5301.1</v>
      </c>
      <c r="H27" s="7">
        <f t="shared" si="0"/>
      </c>
      <c r="I27" s="7">
        <f t="shared" si="1"/>
      </c>
      <c r="J27" s="7">
        <f t="shared" si="2"/>
      </c>
      <c r="K27" s="6">
        <v>1</v>
      </c>
      <c r="L27" s="6">
        <v>620.4</v>
      </c>
      <c r="M27" s="6"/>
      <c r="N27" s="9"/>
      <c r="O27" s="8"/>
      <c r="P27" s="8"/>
    </row>
    <row r="28">
      <c r="A28" s="10" t="s">
        <v>44</v>
      </c>
      <c r="B28" s="11"/>
      <c r="C28" s="11"/>
      <c r="D28" s="12">
        <f>SUM(D23:D27)</f>
      </c>
      <c r="E28" s="12">
        <f>SUM(E23:E27)</f>
      </c>
      <c r="F28" s="12">
        <f>SUM(F23:F27)</f>
      </c>
      <c r="G28" s="12">
        <f>SUM(G23:G27)</f>
      </c>
      <c r="H28" s="13">
        <f t="shared" si="0"/>
      </c>
      <c r="I28" s="13">
        <f t="shared" si="1"/>
      </c>
      <c r="J28" s="13">
        <f t="shared" si="2"/>
      </c>
      <c r="K28" s="12">
        <f>SUM(K23:K27)</f>
      </c>
      <c r="L28" s="12">
        <f>SUM(L23:L27)</f>
      </c>
      <c r="M28" s="14"/>
      <c r="N28" s="12">
        <f>SUM(N23:N27)</f>
      </c>
      <c r="O28" s="14"/>
      <c r="P28" s="12">
        <f>SUM(P23:P27)</f>
      </c>
    </row>
    <row r="29">
      <c r="A29" s="4" t="s">
        <v>45</v>
      </c>
      <c r="B29" s="5" t="s">
        <v>29</v>
      </c>
      <c r="C29" s="6" t="s">
        <v>46</v>
      </c>
      <c r="D29" s="6">
        <v>3</v>
      </c>
      <c r="E29" s="6">
        <v>4</v>
      </c>
      <c r="F29" s="6">
        <v>2948.4</v>
      </c>
      <c r="G29" s="6">
        <v>5649.87</v>
      </c>
      <c r="H29" s="7">
        <f t="shared" si="0"/>
      </c>
      <c r="I29" s="7">
        <f t="shared" si="1"/>
      </c>
      <c r="J29" s="7">
        <f t="shared" si="2"/>
      </c>
      <c r="K29" s="6">
        <v>0</v>
      </c>
      <c r="L29" s="6">
        <v>0</v>
      </c>
      <c r="M29" s="6" t="s">
        <v>47</v>
      </c>
      <c r="N29" s="6">
        <v>9</v>
      </c>
      <c r="O29" s="8"/>
      <c r="P29" s="6"/>
    </row>
    <row r="30">
      <c r="A30" s="4" t="s">
        <v>45</v>
      </c>
      <c r="B30" s="5" t="s">
        <v>21</v>
      </c>
      <c r="C30" s="6" t="s">
        <v>22</v>
      </c>
      <c r="D30" s="6">
        <v>4</v>
      </c>
      <c r="E30" s="6">
        <v>3</v>
      </c>
      <c r="F30" s="6">
        <v>6261.6</v>
      </c>
      <c r="G30" s="6">
        <v>4298.96</v>
      </c>
      <c r="H30" s="7">
        <f t="shared" si="0"/>
      </c>
      <c r="I30" s="7">
        <f t="shared" si="1"/>
      </c>
      <c r="J30" s="7">
        <f t="shared" si="2"/>
      </c>
      <c r="K30" s="6">
        <v>0</v>
      </c>
      <c r="L30" s="6">
        <v>0</v>
      </c>
      <c r="M30" s="6"/>
      <c r="N30" s="6"/>
      <c r="O30" s="6" t="s">
        <v>24</v>
      </c>
      <c r="P30" s="8">
        <v>10</v>
      </c>
    </row>
    <row r="31">
      <c r="A31" s="4" t="s">
        <v>45</v>
      </c>
      <c r="B31" s="5" t="s">
        <v>32</v>
      </c>
      <c r="C31" s="6" t="s">
        <v>26</v>
      </c>
      <c r="D31" s="6">
        <v>4</v>
      </c>
      <c r="E31" s="6">
        <v>2</v>
      </c>
      <c r="F31" s="6">
        <v>1937.2</v>
      </c>
      <c r="G31" s="6">
        <v>3385.45</v>
      </c>
      <c r="H31" s="7">
        <f t="shared" si="0"/>
      </c>
      <c r="I31" s="7">
        <f t="shared" si="1"/>
      </c>
      <c r="J31" s="7">
        <f t="shared" si="2"/>
      </c>
      <c r="K31" s="6">
        <v>0</v>
      </c>
      <c r="L31" s="6">
        <v>0</v>
      </c>
      <c r="M31" s="15"/>
      <c r="N31" s="6"/>
      <c r="O31" s="6" t="s">
        <v>28</v>
      </c>
      <c r="P31" s="6">
        <v>10</v>
      </c>
    </row>
    <row r="32">
      <c r="A32" s="4" t="s">
        <v>45</v>
      </c>
      <c r="B32" s="5" t="s">
        <v>18</v>
      </c>
      <c r="C32" s="6" t="s">
        <v>30</v>
      </c>
      <c r="D32" s="6">
        <v>4</v>
      </c>
      <c r="E32" s="6">
        <v>4</v>
      </c>
      <c r="F32" s="6">
        <v>4543.2</v>
      </c>
      <c r="G32" s="6">
        <v>4096.47</v>
      </c>
      <c r="H32" s="7">
        <f t="shared" si="0"/>
      </c>
      <c r="I32" s="7">
        <f t="shared" si="1"/>
      </c>
      <c r="J32" s="7">
        <f t="shared" si="2"/>
      </c>
      <c r="K32" s="6">
        <v>1</v>
      </c>
      <c r="L32" s="6">
        <v>468</v>
      </c>
      <c r="M32" s="6" t="s">
        <v>43</v>
      </c>
      <c r="N32" s="9">
        <v>10</v>
      </c>
      <c r="O32" s="8"/>
      <c r="P32" s="8"/>
    </row>
    <row r="33">
      <c r="A33" s="4" t="s">
        <v>45</v>
      </c>
      <c r="B33" s="5" t="s">
        <v>48</v>
      </c>
      <c r="C33" s="6" t="s">
        <v>33</v>
      </c>
      <c r="D33" s="6">
        <v>4</v>
      </c>
      <c r="E33" s="6">
        <v>7</v>
      </c>
      <c r="F33" s="6">
        <v>3399.6</v>
      </c>
      <c r="G33" s="6">
        <v>6486.83</v>
      </c>
      <c r="H33" s="7">
        <f t="shared" si="0"/>
      </c>
      <c r="I33" s="7">
        <f t="shared" si="1"/>
      </c>
      <c r="J33" s="7">
        <f t="shared" si="2"/>
      </c>
      <c r="K33" s="6">
        <v>0</v>
      </c>
      <c r="L33" s="6">
        <v>0</v>
      </c>
      <c r="M33" s="6"/>
      <c r="N33" s="9"/>
      <c r="O33" s="8"/>
      <c r="P33" s="8"/>
    </row>
    <row r="34">
      <c r="A34" s="10" t="s">
        <v>45</v>
      </c>
      <c r="B34" s="11"/>
      <c r="C34" s="11"/>
      <c r="D34" s="12">
        <f>SUM(D29:D33)</f>
      </c>
      <c r="E34" s="12">
        <f>SUM(E29:E33)</f>
      </c>
      <c r="F34" s="12">
        <f>SUM(F29:F33)</f>
      </c>
      <c r="G34" s="12">
        <f>SUM(G29:G33)</f>
      </c>
      <c r="H34" s="13">
        <f t="shared" si="0"/>
      </c>
      <c r="I34" s="13">
        <f t="shared" si="1"/>
      </c>
      <c r="J34" s="13">
        <f t="shared" si="2"/>
      </c>
      <c r="K34" s="12">
        <f>SUM(K29:K33)</f>
      </c>
      <c r="L34" s="12">
        <f>SUM(L29:L33)</f>
      </c>
      <c r="M34" s="14"/>
      <c r="N34" s="12">
        <f>SUM(N29:N33)</f>
      </c>
      <c r="O34" s="14"/>
      <c r="P34" s="12">
        <f>SUM(P29:P33)</f>
      </c>
    </row>
    <row r="35">
      <c r="A35" s="4" t="s">
        <v>49</v>
      </c>
      <c r="B35" s="5" t="s">
        <v>21</v>
      </c>
      <c r="C35" s="6" t="s">
        <v>19</v>
      </c>
      <c r="D35" s="6">
        <v>4</v>
      </c>
      <c r="E35" s="6">
        <v>10</v>
      </c>
      <c r="F35" s="6">
        <v>11216.4</v>
      </c>
      <c r="G35" s="6">
        <v>8494.6</v>
      </c>
      <c r="H35" s="7">
        <f t="shared" si="0"/>
      </c>
      <c r="I35" s="7">
        <f t="shared" si="1"/>
      </c>
      <c r="J35" s="7">
        <f t="shared" si="2"/>
      </c>
      <c r="K35" s="6">
        <v>2</v>
      </c>
      <c r="L35" s="6">
        <v>2935.2</v>
      </c>
      <c r="M35" s="6" t="s">
        <v>36</v>
      </c>
      <c r="N35" s="6">
        <v>10</v>
      </c>
      <c r="O35" s="8"/>
      <c r="P35" s="6"/>
    </row>
    <row r="36">
      <c r="A36" s="4" t="s">
        <v>49</v>
      </c>
      <c r="B36" s="5" t="s">
        <v>32</v>
      </c>
      <c r="C36" s="6" t="s">
        <v>22</v>
      </c>
      <c r="D36" s="6">
        <v>4</v>
      </c>
      <c r="E36" s="6">
        <v>4</v>
      </c>
      <c r="F36" s="6">
        <v>6874.8</v>
      </c>
      <c r="G36" s="6">
        <v>5380.75</v>
      </c>
      <c r="H36" s="7">
        <f t="shared" si="0"/>
      </c>
      <c r="I36" s="7">
        <f t="shared" si="1"/>
      </c>
      <c r="J36" s="7">
        <f t="shared" si="2"/>
      </c>
      <c r="K36" s="6">
        <v>1</v>
      </c>
      <c r="L36" s="6">
        <v>2652</v>
      </c>
      <c r="M36" s="6"/>
      <c r="N36" s="6"/>
      <c r="O36" s="6" t="s">
        <v>24</v>
      </c>
      <c r="P36" s="8">
        <v>10</v>
      </c>
    </row>
    <row r="37">
      <c r="A37" s="4" t="s">
        <v>49</v>
      </c>
      <c r="B37" s="5" t="s">
        <v>25</v>
      </c>
      <c r="C37" s="6" t="s">
        <v>26</v>
      </c>
      <c r="D37" s="6">
        <v>4</v>
      </c>
      <c r="E37" s="6">
        <v>4</v>
      </c>
      <c r="F37" s="6">
        <v>6873.6</v>
      </c>
      <c r="G37" s="6">
        <v>3020.66</v>
      </c>
      <c r="H37" s="7">
        <f t="shared" si="0"/>
      </c>
      <c r="I37" s="7">
        <f t="shared" si="1"/>
      </c>
      <c r="J37" s="7">
        <f t="shared" si="2"/>
      </c>
      <c r="K37" s="6">
        <v>2</v>
      </c>
      <c r="L37" s="6">
        <v>1939.2</v>
      </c>
      <c r="M37" s="15"/>
      <c r="N37" s="6"/>
      <c r="O37" s="6" t="s">
        <v>28</v>
      </c>
      <c r="P37" s="6">
        <v>10</v>
      </c>
    </row>
    <row r="38">
      <c r="A38" s="4" t="s">
        <v>49</v>
      </c>
      <c r="B38" s="5" t="s">
        <v>18</v>
      </c>
      <c r="C38" s="6" t="s">
        <v>30</v>
      </c>
      <c r="D38" s="6">
        <v>4</v>
      </c>
      <c r="E38" s="6">
        <v>3</v>
      </c>
      <c r="F38" s="6">
        <v>4422</v>
      </c>
      <c r="G38" s="6">
        <v>5032.45</v>
      </c>
      <c r="H38" s="7">
        <f t="shared" si="0"/>
      </c>
      <c r="I38" s="7">
        <f t="shared" si="1"/>
      </c>
      <c r="J38" s="7">
        <f t="shared" si="2"/>
      </c>
      <c r="K38" s="6">
        <v>1</v>
      </c>
      <c r="L38" s="6">
        <v>2071.2</v>
      </c>
      <c r="M38" s="6" t="s">
        <v>43</v>
      </c>
      <c r="N38" s="9">
        <v>10</v>
      </c>
      <c r="O38" s="8"/>
      <c r="P38" s="8"/>
    </row>
    <row r="39">
      <c r="A39" s="4" t="s">
        <v>49</v>
      </c>
      <c r="B39" s="5" t="s">
        <v>48</v>
      </c>
      <c r="C39" s="6" t="s">
        <v>33</v>
      </c>
      <c r="D39" s="6">
        <v>4</v>
      </c>
      <c r="E39" s="6">
        <v>1</v>
      </c>
      <c r="F39" s="6">
        <v>1152</v>
      </c>
      <c r="G39" s="6">
        <v>4275.36</v>
      </c>
      <c r="H39" s="7">
        <f t="shared" si="0"/>
      </c>
      <c r="I39" s="7">
        <f t="shared" si="1"/>
      </c>
      <c r="J39" s="7">
        <f t="shared" si="2"/>
      </c>
      <c r="K39" s="6">
        <v>0</v>
      </c>
      <c r="L39" s="6">
        <v>0</v>
      </c>
      <c r="M39" s="6"/>
      <c r="N39" s="9"/>
      <c r="O39" s="8"/>
      <c r="P39" s="8"/>
    </row>
    <row r="40">
      <c r="A40" s="10" t="s">
        <v>49</v>
      </c>
      <c r="B40" s="11"/>
      <c r="C40" s="11"/>
      <c r="D40" s="12">
        <f>SUM(D35:D39)</f>
      </c>
      <c r="E40" s="12">
        <f>SUM(E35:E39)</f>
      </c>
      <c r="F40" s="12">
        <f>SUM(F35:F39)</f>
      </c>
      <c r="G40" s="12">
        <f>SUM(G35:G39)</f>
      </c>
      <c r="H40" s="13">
        <f t="shared" si="0"/>
      </c>
      <c r="I40" s="13">
        <f t="shared" si="1"/>
      </c>
      <c r="J40" s="13">
        <f t="shared" si="2"/>
      </c>
      <c r="K40" s="12">
        <f>SUM(K35:K39)</f>
      </c>
      <c r="L40" s="12">
        <f>SUM(L35:L39)</f>
      </c>
      <c r="M40" s="14"/>
      <c r="N40" s="12">
        <f>SUM(N35:N39)</f>
      </c>
      <c r="O40" s="14"/>
      <c r="P40" s="12">
        <f>SUM(P35:P39)</f>
      </c>
    </row>
    <row r="41">
      <c r="A41" s="4" t="s">
        <v>50</v>
      </c>
      <c r="B41" s="5" t="s">
        <v>21</v>
      </c>
      <c r="C41" s="6" t="s">
        <v>19</v>
      </c>
      <c r="D41" s="6">
        <v>4</v>
      </c>
      <c r="E41" s="6">
        <v>9</v>
      </c>
      <c r="F41" s="6">
        <v>14224.6</v>
      </c>
      <c r="G41" s="6">
        <v>5233.37</v>
      </c>
      <c r="H41" s="7">
        <f t="shared" si="0"/>
      </c>
      <c r="I41" s="7">
        <f t="shared" si="1"/>
      </c>
      <c r="J41" s="7">
        <f t="shared" si="2"/>
      </c>
      <c r="K41" s="6">
        <v>3</v>
      </c>
      <c r="L41" s="6">
        <v>4593.600000000004</v>
      </c>
      <c r="M41" s="6" t="s">
        <v>36</v>
      </c>
      <c r="N41" s="6">
        <v>10</v>
      </c>
      <c r="O41" s="8"/>
      <c r="P41" s="6"/>
    </row>
    <row r="42">
      <c r="A42" s="4" t="s">
        <v>50</v>
      </c>
      <c r="B42" s="5" t="s">
        <v>32</v>
      </c>
      <c r="C42" s="6" t="s">
        <v>22</v>
      </c>
      <c r="D42" s="6">
        <v>4</v>
      </c>
      <c r="E42" s="6">
        <v>13</v>
      </c>
      <c r="F42" s="6">
        <v>15093.85</v>
      </c>
      <c r="G42" s="6">
        <v>9297.66</v>
      </c>
      <c r="H42" s="7">
        <f t="shared" si="0"/>
      </c>
      <c r="I42" s="7">
        <f t="shared" si="1"/>
      </c>
      <c r="J42" s="7">
        <f t="shared" si="2"/>
      </c>
      <c r="K42" s="6">
        <v>3</v>
      </c>
      <c r="L42" s="6">
        <v>3573.5999999999995</v>
      </c>
      <c r="M42" s="6"/>
      <c r="N42" s="6"/>
      <c r="O42" s="6" t="s">
        <v>24</v>
      </c>
      <c r="P42" s="8">
        <v>10</v>
      </c>
    </row>
    <row r="43">
      <c r="A43" s="4" t="s">
        <v>50</v>
      </c>
      <c r="B43" s="5" t="s">
        <v>25</v>
      </c>
      <c r="C43" s="6" t="s">
        <v>26</v>
      </c>
      <c r="D43" s="6">
        <v>4</v>
      </c>
      <c r="E43" s="6">
        <v>5</v>
      </c>
      <c r="F43" s="6">
        <v>5231.999999999996</v>
      </c>
      <c r="G43" s="6">
        <v>6367.210000000001</v>
      </c>
      <c r="H43" s="7">
        <f t="shared" si="0"/>
      </c>
      <c r="I43" s="7">
        <f t="shared" si="1"/>
      </c>
      <c r="J43" s="7">
        <f t="shared" si="2"/>
      </c>
      <c r="K43" s="6">
        <v>2</v>
      </c>
      <c r="L43" s="6">
        <v>2203.199999999997</v>
      </c>
      <c r="M43" s="15"/>
      <c r="N43" s="6"/>
      <c r="O43" s="6" t="s">
        <v>28</v>
      </c>
      <c r="P43" s="6">
        <v>10</v>
      </c>
    </row>
    <row r="44">
      <c r="A44" s="4" t="s">
        <v>50</v>
      </c>
      <c r="B44" s="5" t="s">
        <v>48</v>
      </c>
      <c r="C44" s="6" t="s">
        <v>30</v>
      </c>
      <c r="D44" s="6">
        <v>4</v>
      </c>
      <c r="E44" s="6">
        <v>5</v>
      </c>
      <c r="F44" s="6">
        <v>6272.199999999997</v>
      </c>
      <c r="G44" s="6">
        <v>6243.609999999999</v>
      </c>
      <c r="H44" s="7">
        <f t="shared" si="0"/>
      </c>
      <c r="I44" s="7">
        <f t="shared" si="1"/>
      </c>
      <c r="J44" s="7">
        <f t="shared" si="2"/>
      </c>
      <c r="K44" s="6">
        <v>2</v>
      </c>
      <c r="L44" s="6">
        <v>1169.9999999999993</v>
      </c>
      <c r="M44" s="6" t="s">
        <v>51</v>
      </c>
      <c r="N44" s="9">
        <v>10</v>
      </c>
      <c r="O44" s="8"/>
      <c r="P44" s="8"/>
    </row>
    <row r="45">
      <c r="A45" s="4" t="s">
        <v>50</v>
      </c>
      <c r="B45" s="5" t="s">
        <v>18</v>
      </c>
      <c r="C45" s="6" t="s">
        <v>33</v>
      </c>
      <c r="D45" s="6">
        <v>4</v>
      </c>
      <c r="E45" s="6">
        <v>9</v>
      </c>
      <c r="F45" s="6">
        <v>14956.800000000003</v>
      </c>
      <c r="G45" s="6">
        <v>6879.160000000001</v>
      </c>
      <c r="H45" s="7">
        <f t="shared" si="0"/>
      </c>
      <c r="I45" s="7">
        <f t="shared" si="1"/>
      </c>
      <c r="J45" s="7">
        <f t="shared" si="2"/>
      </c>
      <c r="K45" s="6">
        <v>3</v>
      </c>
      <c r="L45" s="6">
        <v>3274.7999999999993</v>
      </c>
      <c r="M45" s="6"/>
      <c r="N45" s="9"/>
      <c r="O45" s="8"/>
      <c r="P45" s="8"/>
    </row>
    <row r="46">
      <c r="A46" s="10" t="s">
        <v>50</v>
      </c>
      <c r="B46" s="11"/>
      <c r="C46" s="11"/>
      <c r="D46" s="12">
        <f>SUM(D41:D45)</f>
      </c>
      <c r="E46" s="12">
        <f>SUM(E41:E45)</f>
      </c>
      <c r="F46" s="12">
        <f>SUM(F41:F45)</f>
      </c>
      <c r="G46" s="12">
        <f>SUM(G41:G45)</f>
      </c>
      <c r="H46" s="13">
        <f t="shared" si="0"/>
      </c>
      <c r="I46" s="13">
        <f t="shared" si="1"/>
      </c>
      <c r="J46" s="13">
        <f t="shared" si="2"/>
      </c>
      <c r="K46" s="12">
        <f>SUM(K41:K45)</f>
      </c>
      <c r="L46" s="12">
        <f>SUM(L41:L45)</f>
      </c>
      <c r="M46" s="14"/>
      <c r="N46" s="12">
        <f>SUM(N41:N45)</f>
      </c>
      <c r="O46" s="14"/>
      <c r="P46" s="12">
        <f>SUM(P41:P45)</f>
      </c>
    </row>
    <row r="47">
      <c r="A47" s="4" t="s">
        <v>52</v>
      </c>
      <c r="B47" s="5" t="s">
        <v>32</v>
      </c>
      <c r="C47" s="6" t="s">
        <v>35</v>
      </c>
      <c r="D47" s="6">
        <v>5</v>
      </c>
      <c r="E47" s="6">
        <v>2</v>
      </c>
      <c r="F47" s="6">
        <v>3182.4</v>
      </c>
      <c r="G47" s="6">
        <v>5664.77</v>
      </c>
      <c r="H47" s="7">
        <f t="shared" si="0"/>
      </c>
      <c r="I47" s="7">
        <f t="shared" si="1"/>
      </c>
      <c r="J47" s="7">
        <f t="shared" si="2"/>
      </c>
      <c r="K47" s="6">
        <v>1</v>
      </c>
      <c r="L47" s="6">
        <v>2467.2</v>
      </c>
      <c r="M47" s="6" t="s">
        <v>53</v>
      </c>
      <c r="N47" s="6">
        <v>10</v>
      </c>
      <c r="O47" s="8"/>
      <c r="P47" s="6"/>
    </row>
    <row r="48">
      <c r="A48" s="4" t="s">
        <v>52</v>
      </c>
      <c r="B48" s="5" t="s">
        <v>21</v>
      </c>
      <c r="C48" s="6" t="s">
        <v>37</v>
      </c>
      <c r="D48" s="6">
        <v>5</v>
      </c>
      <c r="E48" s="6">
        <v>7</v>
      </c>
      <c r="F48" s="6">
        <v>9088.6</v>
      </c>
      <c r="G48" s="6">
        <v>6481.5</v>
      </c>
      <c r="H48" s="7">
        <f t="shared" si="0"/>
      </c>
      <c r="I48" s="7">
        <f t="shared" si="1"/>
      </c>
      <c r="J48" s="7">
        <f t="shared" si="2"/>
      </c>
      <c r="K48" s="6">
        <v>1</v>
      </c>
      <c r="L48" s="6">
        <v>1752</v>
      </c>
      <c r="M48" s="6"/>
      <c r="N48" s="6"/>
      <c r="O48" s="6" t="s">
        <v>24</v>
      </c>
      <c r="P48" s="8">
        <v>10</v>
      </c>
    </row>
    <row r="49">
      <c r="A49" s="4" t="s">
        <v>52</v>
      </c>
      <c r="B49" s="5" t="s">
        <v>29</v>
      </c>
      <c r="C49" s="6" t="s">
        <v>38</v>
      </c>
      <c r="D49" s="6">
        <v>5</v>
      </c>
      <c r="E49" s="6">
        <v>2</v>
      </c>
      <c r="F49" s="6">
        <v>2343.6</v>
      </c>
      <c r="G49" s="6">
        <v>3952.39</v>
      </c>
      <c r="H49" s="7">
        <f t="shared" si="0"/>
      </c>
      <c r="I49" s="7">
        <f t="shared" si="1"/>
      </c>
      <c r="J49" s="7">
        <f t="shared" si="2"/>
      </c>
      <c r="K49" s="6">
        <v>2</v>
      </c>
      <c r="L49" s="6">
        <v>2343.6</v>
      </c>
      <c r="M49" s="6" t="s">
        <v>54</v>
      </c>
      <c r="N49" s="9">
        <v>10</v>
      </c>
      <c r="O49" s="6" t="s">
        <v>28</v>
      </c>
      <c r="P49" s="6">
        <v>10</v>
      </c>
    </row>
    <row r="50">
      <c r="A50" s="4" t="s">
        <v>52</v>
      </c>
      <c r="B50" s="5" t="s">
        <v>18</v>
      </c>
      <c r="C50" s="6" t="s">
        <v>40</v>
      </c>
      <c r="D50" s="6">
        <v>5</v>
      </c>
      <c r="E50" s="6">
        <v>10</v>
      </c>
      <c r="F50" s="6">
        <v>10333.44</v>
      </c>
      <c r="G50" s="6">
        <v>4141.23</v>
      </c>
      <c r="H50" s="7">
        <f t="shared" si="0"/>
      </c>
      <c r="I50" s="7">
        <f t="shared" si="1"/>
      </c>
      <c r="J50" s="7">
        <f t="shared" si="2"/>
      </c>
      <c r="K50" s="6">
        <v>1</v>
      </c>
      <c r="L50" s="6">
        <v>1752</v>
      </c>
      <c r="M50" s="6"/>
      <c r="N50" s="9"/>
      <c r="O50" s="8"/>
      <c r="P50" s="8"/>
    </row>
    <row r="51">
      <c r="A51" s="10" t="s">
        <v>52</v>
      </c>
      <c r="B51" s="11"/>
      <c r="C51" s="11"/>
      <c r="D51" s="12">
        <f>SUM(D47:D50)</f>
      </c>
      <c r="E51" s="12">
        <f>SUM(E47:E50)</f>
      </c>
      <c r="F51" s="12">
        <f>SUM(F47:F50)</f>
      </c>
      <c r="G51" s="12">
        <f>SUM(G47:G50)</f>
      </c>
      <c r="H51" s="13">
        <f t="shared" si="0"/>
      </c>
      <c r="I51" s="13">
        <f t="shared" si="1"/>
      </c>
      <c r="J51" s="13">
        <f t="shared" si="2"/>
      </c>
      <c r="K51" s="12">
        <f>SUM(K47:K50)</f>
      </c>
      <c r="L51" s="12">
        <f>SUM(L47:L50)</f>
      </c>
      <c r="M51" s="14"/>
      <c r="N51" s="12">
        <f>SUM(N47:N50)</f>
      </c>
      <c r="O51" s="14"/>
      <c r="P51" s="12">
        <f>SUM(P47:P50)</f>
      </c>
    </row>
    <row r="52">
      <c r="A52" s="4" t="s">
        <v>55</v>
      </c>
      <c r="B52" s="5" t="s">
        <v>32</v>
      </c>
      <c r="C52" s="6" t="s">
        <v>19</v>
      </c>
      <c r="D52" s="6">
        <v>4</v>
      </c>
      <c r="E52" s="6">
        <v>8</v>
      </c>
      <c r="F52" s="6">
        <v>12756</v>
      </c>
      <c r="G52" s="6">
        <v>10036.85</v>
      </c>
      <c r="H52" s="7">
        <f t="shared" si="0"/>
      </c>
      <c r="I52" s="7">
        <f t="shared" si="1"/>
      </c>
      <c r="J52" s="7">
        <f t="shared" si="2"/>
      </c>
      <c r="K52" s="6">
        <v>3</v>
      </c>
      <c r="L52" s="6">
        <v>5208</v>
      </c>
      <c r="M52" s="6" t="s">
        <v>56</v>
      </c>
      <c r="N52" s="6">
        <v>10</v>
      </c>
      <c r="O52" s="8"/>
      <c r="P52" s="6"/>
    </row>
    <row r="53">
      <c r="A53" s="4" t="s">
        <v>55</v>
      </c>
      <c r="B53" s="5" t="s">
        <v>21</v>
      </c>
      <c r="C53" s="6" t="s">
        <v>22</v>
      </c>
      <c r="D53" s="6">
        <v>4</v>
      </c>
      <c r="E53" s="6">
        <v>18</v>
      </c>
      <c r="F53" s="6">
        <v>25167.6</v>
      </c>
      <c r="G53" s="6">
        <v>11196.54</v>
      </c>
      <c r="H53" s="7">
        <f t="shared" si="0"/>
      </c>
      <c r="I53" s="7">
        <f t="shared" si="1"/>
      </c>
      <c r="J53" s="7">
        <f t="shared" si="2"/>
      </c>
      <c r="K53" s="6">
        <v>5</v>
      </c>
      <c r="L53" s="6">
        <v>6075.5</v>
      </c>
      <c r="M53" s="6"/>
      <c r="N53" s="6"/>
      <c r="O53" s="6" t="s">
        <v>24</v>
      </c>
      <c r="P53" s="8">
        <v>10</v>
      </c>
    </row>
    <row r="54">
      <c r="A54" s="4" t="s">
        <v>55</v>
      </c>
      <c r="B54" s="5" t="s">
        <v>29</v>
      </c>
      <c r="C54" s="6" t="s">
        <v>26</v>
      </c>
      <c r="D54" s="6">
        <v>4</v>
      </c>
      <c r="E54" s="6">
        <v>6</v>
      </c>
      <c r="F54" s="6">
        <v>6439.2</v>
      </c>
      <c r="G54" s="6">
        <v>9623.97</v>
      </c>
      <c r="H54" s="7">
        <f t="shared" si="0"/>
      </c>
      <c r="I54" s="7">
        <f t="shared" si="1"/>
      </c>
      <c r="J54" s="7">
        <f t="shared" si="2"/>
      </c>
      <c r="K54" s="6">
        <v>2</v>
      </c>
      <c r="L54" s="6">
        <v>3446.5</v>
      </c>
      <c r="M54" s="15"/>
      <c r="N54" s="6"/>
      <c r="O54" s="6" t="s">
        <v>28</v>
      </c>
      <c r="P54" s="6">
        <v>10</v>
      </c>
    </row>
    <row r="55">
      <c r="A55" s="4" t="s">
        <v>55</v>
      </c>
      <c r="B55" s="5" t="s">
        <v>18</v>
      </c>
      <c r="C55" s="6" t="s">
        <v>30</v>
      </c>
      <c r="D55" s="6">
        <v>4</v>
      </c>
      <c r="E55" s="6">
        <v>2</v>
      </c>
      <c r="F55" s="6">
        <v>5042.4</v>
      </c>
      <c r="G55" s="6">
        <v>7977.6</v>
      </c>
      <c r="H55" s="7">
        <f t="shared" si="0"/>
      </c>
      <c r="I55" s="7">
        <f t="shared" si="1"/>
      </c>
      <c r="J55" s="7">
        <f t="shared" si="2"/>
      </c>
      <c r="K55" s="6">
        <v>1</v>
      </c>
      <c r="L55" s="6">
        <v>2971.2</v>
      </c>
      <c r="M55" s="6" t="s">
        <v>51</v>
      </c>
      <c r="N55" s="9">
        <v>10</v>
      </c>
      <c r="O55" s="8"/>
      <c r="P55" s="8"/>
    </row>
    <row r="56">
      <c r="A56" s="4" t="s">
        <v>55</v>
      </c>
      <c r="B56" s="5" t="s">
        <v>25</v>
      </c>
      <c r="C56" s="6" t="s">
        <v>33</v>
      </c>
      <c r="D56" s="6">
        <v>4</v>
      </c>
      <c r="E56" s="6">
        <v>9</v>
      </c>
      <c r="F56" s="6">
        <v>1007.29</v>
      </c>
      <c r="G56" s="6">
        <v>7065.59</v>
      </c>
      <c r="H56" s="7">
        <f t="shared" si="0"/>
      </c>
      <c r="I56" s="7">
        <f t="shared" si="1"/>
      </c>
      <c r="J56" s="7">
        <f t="shared" si="2"/>
      </c>
      <c r="K56" s="6">
        <v>0</v>
      </c>
      <c r="L56" s="6">
        <v>0</v>
      </c>
      <c r="M56" s="6"/>
      <c r="N56" s="9"/>
      <c r="O56" s="8"/>
      <c r="P56" s="8"/>
    </row>
    <row r="57">
      <c r="A57" s="10" t="s">
        <v>55</v>
      </c>
      <c r="B57" s="11"/>
      <c r="C57" s="11"/>
      <c r="D57" s="12">
        <f>SUM(D52:D56)</f>
      </c>
      <c r="E57" s="12">
        <f>SUM(E52:E56)</f>
      </c>
      <c r="F57" s="12">
        <f>SUM(F52:F56)</f>
      </c>
      <c r="G57" s="12">
        <f>SUM(G52:G56)</f>
      </c>
      <c r="H57" s="13">
        <f t="shared" si="0"/>
      </c>
      <c r="I57" s="13">
        <f t="shared" si="1"/>
      </c>
      <c r="J57" s="13">
        <f t="shared" si="2"/>
      </c>
      <c r="K57" s="12">
        <f>SUM(K52:K56)</f>
      </c>
      <c r="L57" s="12">
        <f>SUM(L52:L56)</f>
      </c>
      <c r="M57" s="14"/>
      <c r="N57" s="12">
        <f>SUM(N52:N56)</f>
      </c>
      <c r="O57" s="14"/>
      <c r="P57" s="12">
        <f>SUM(P52:P56)</f>
      </c>
    </row>
    <row r="58">
      <c r="A58" s="4" t="s">
        <v>57</v>
      </c>
      <c r="B58" s="5" t="s">
        <v>29</v>
      </c>
      <c r="C58" s="6" t="s">
        <v>19</v>
      </c>
      <c r="D58" s="6">
        <v>4</v>
      </c>
      <c r="E58" s="6">
        <v>8</v>
      </c>
      <c r="F58" s="6">
        <v>12044.4</v>
      </c>
      <c r="G58" s="6">
        <v>7129.25</v>
      </c>
      <c r="H58" s="7">
        <f t="shared" si="0"/>
      </c>
      <c r="I58" s="7">
        <f t="shared" si="1"/>
      </c>
      <c r="J58" s="7">
        <f t="shared" si="2"/>
      </c>
      <c r="K58" s="6">
        <v>1</v>
      </c>
      <c r="L58" s="6">
        <v>703.2</v>
      </c>
      <c r="M58" s="6" t="s">
        <v>53</v>
      </c>
      <c r="N58" s="6">
        <v>10</v>
      </c>
      <c r="O58" s="8"/>
      <c r="P58" s="6"/>
    </row>
    <row r="59">
      <c r="A59" s="4" t="s">
        <v>57</v>
      </c>
      <c r="B59" s="5" t="s">
        <v>21</v>
      </c>
      <c r="C59" s="6" t="s">
        <v>22</v>
      </c>
      <c r="D59" s="6">
        <v>4</v>
      </c>
      <c r="E59" s="6">
        <v>10</v>
      </c>
      <c r="F59" s="6">
        <v>13981.6</v>
      </c>
      <c r="G59" s="6">
        <v>4432.14</v>
      </c>
      <c r="H59" s="7">
        <f t="shared" si="0"/>
      </c>
      <c r="I59" s="7">
        <f t="shared" si="1"/>
      </c>
      <c r="J59" s="7">
        <f t="shared" si="2"/>
      </c>
      <c r="K59" s="6">
        <v>3</v>
      </c>
      <c r="L59" s="6">
        <v>3490</v>
      </c>
      <c r="M59" s="6"/>
      <c r="N59" s="6"/>
      <c r="O59" s="6" t="s">
        <v>24</v>
      </c>
      <c r="P59" s="8">
        <v>10</v>
      </c>
    </row>
    <row r="60">
      <c r="A60" s="4" t="s">
        <v>57</v>
      </c>
      <c r="B60" s="5" t="s">
        <v>18</v>
      </c>
      <c r="C60" s="6" t="s">
        <v>26</v>
      </c>
      <c r="D60" s="6">
        <v>4</v>
      </c>
      <c r="E60" s="6">
        <v>6</v>
      </c>
      <c r="F60" s="6">
        <v>5964</v>
      </c>
      <c r="G60" s="6">
        <v>5520.97</v>
      </c>
      <c r="H60" s="7">
        <f t="shared" si="0"/>
      </c>
      <c r="I60" s="7">
        <f t="shared" si="1"/>
      </c>
      <c r="J60" s="7">
        <f t="shared" si="2"/>
      </c>
      <c r="K60" s="6">
        <v>1</v>
      </c>
      <c r="L60" s="6">
        <v>715.2</v>
      </c>
      <c r="M60" s="15"/>
      <c r="N60" s="6"/>
      <c r="O60" s="6" t="s">
        <v>28</v>
      </c>
      <c r="P60" s="6">
        <v>10</v>
      </c>
    </row>
    <row r="61">
      <c r="A61" s="4" t="s">
        <v>57</v>
      </c>
      <c r="B61" s="5" t="s">
        <v>25</v>
      </c>
      <c r="C61" s="6" t="s">
        <v>30</v>
      </c>
      <c r="D61" s="6">
        <v>4</v>
      </c>
      <c r="E61" s="6">
        <v>2</v>
      </c>
      <c r="F61" s="6">
        <v>3794.4</v>
      </c>
      <c r="G61" s="6">
        <v>2936.58</v>
      </c>
      <c r="H61" s="7">
        <f t="shared" si="0"/>
      </c>
      <c r="I61" s="7">
        <f t="shared" si="1"/>
      </c>
      <c r="J61" s="7">
        <f t="shared" si="2"/>
      </c>
      <c r="K61" s="6">
        <v>1</v>
      </c>
      <c r="L61" s="6">
        <v>1723.2</v>
      </c>
      <c r="M61" s="6" t="s">
        <v>43</v>
      </c>
      <c r="N61" s="9">
        <v>10</v>
      </c>
      <c r="O61" s="8"/>
      <c r="P61" s="8"/>
    </row>
    <row r="62">
      <c r="A62" s="4" t="s">
        <v>57</v>
      </c>
      <c r="B62" s="5" t="s">
        <v>32</v>
      </c>
      <c r="C62" s="6" t="s">
        <v>33</v>
      </c>
      <c r="D62" s="6">
        <v>4</v>
      </c>
      <c r="E62" s="6">
        <v>3</v>
      </c>
      <c r="F62" s="6">
        <v>1951.2</v>
      </c>
      <c r="G62" s="6">
        <v>5076.31</v>
      </c>
      <c r="H62" s="7">
        <f t="shared" si="0"/>
      </c>
      <c r="I62" s="7">
        <f t="shared" si="1"/>
      </c>
      <c r="J62" s="7">
        <f t="shared" si="2"/>
      </c>
      <c r="K62" s="6">
        <v>2</v>
      </c>
      <c r="L62" s="6">
        <v>799.2</v>
      </c>
      <c r="M62" s="6"/>
      <c r="N62" s="9"/>
      <c r="O62" s="8"/>
      <c r="P62" s="8"/>
    </row>
    <row r="63">
      <c r="A63" s="10" t="s">
        <v>57</v>
      </c>
      <c r="B63" s="11"/>
      <c r="C63" s="11"/>
      <c r="D63" s="12">
        <f>SUM(D58:D62)</f>
      </c>
      <c r="E63" s="12">
        <f>SUM(E58:E62)</f>
      </c>
      <c r="F63" s="12">
        <f>SUM(F58:F62)</f>
      </c>
      <c r="G63" s="12">
        <f>SUM(G58:G62)</f>
      </c>
      <c r="H63" s="13">
        <f t="shared" si="0"/>
      </c>
      <c r="I63" s="13">
        <f t="shared" si="1"/>
      </c>
      <c r="J63" s="13">
        <f t="shared" si="2"/>
      </c>
      <c r="K63" s="12">
        <f>SUM(K58:K62)</f>
      </c>
      <c r="L63" s="12">
        <f>SUM(L58:L62)</f>
      </c>
      <c r="M63" s="14"/>
      <c r="N63" s="12">
        <f>SUM(N58:N62)</f>
      </c>
      <c r="O63" s="14"/>
      <c r="P63" s="12">
        <f>SUM(P58:P62)</f>
      </c>
    </row>
    <row r="64">
      <c r="A64" s="4" t="s">
        <v>58</v>
      </c>
      <c r="B64" s="5" t="s">
        <v>29</v>
      </c>
      <c r="C64" s="6" t="s">
        <v>19</v>
      </c>
      <c r="D64" s="6">
        <v>4</v>
      </c>
      <c r="E64" s="6">
        <v>3</v>
      </c>
      <c r="F64" s="6">
        <v>3705.6</v>
      </c>
      <c r="G64" s="6">
        <v>4187.49</v>
      </c>
      <c r="H64" s="7">
        <f t="shared" si="0"/>
      </c>
      <c r="I64" s="7">
        <f t="shared" si="1"/>
      </c>
      <c r="J64" s="7">
        <f t="shared" si="2"/>
      </c>
      <c r="K64" s="6">
        <v>0</v>
      </c>
      <c r="L64" s="6">
        <v>0</v>
      </c>
      <c r="M64" s="6" t="s">
        <v>56</v>
      </c>
      <c r="N64" s="6">
        <v>10</v>
      </c>
      <c r="O64" s="8"/>
      <c r="P64" s="6"/>
    </row>
    <row r="65">
      <c r="A65" s="4" t="s">
        <v>58</v>
      </c>
      <c r="B65" s="5" t="s">
        <v>21</v>
      </c>
      <c r="C65" s="6" t="s">
        <v>22</v>
      </c>
      <c r="D65" s="6">
        <v>4</v>
      </c>
      <c r="E65" s="6">
        <v>2</v>
      </c>
      <c r="F65" s="6">
        <v>2719.2000000000003</v>
      </c>
      <c r="G65" s="6">
        <v>3938.67</v>
      </c>
      <c r="H65" s="7">
        <f t="shared" si="0"/>
      </c>
      <c r="I65" s="7">
        <f t="shared" si="1"/>
      </c>
      <c r="J65" s="7">
        <f t="shared" si="2"/>
      </c>
      <c r="K65" s="6">
        <v>0</v>
      </c>
      <c r="L65" s="6">
        <v>0</v>
      </c>
      <c r="M65" s="6"/>
      <c r="N65" s="6"/>
      <c r="O65" s="6" t="s">
        <v>24</v>
      </c>
      <c r="P65" s="8">
        <v>10</v>
      </c>
    </row>
    <row r="66">
      <c r="A66" s="4" t="s">
        <v>58</v>
      </c>
      <c r="B66" s="5" t="s">
        <v>18</v>
      </c>
      <c r="C66" s="6" t="s">
        <v>26</v>
      </c>
      <c r="D66" s="6">
        <v>4</v>
      </c>
      <c r="E66" s="6">
        <v>2</v>
      </c>
      <c r="F66" s="6">
        <v>2556</v>
      </c>
      <c r="G66" s="6">
        <v>3394.64</v>
      </c>
      <c r="H66" s="7">
        <f t="shared" si="0"/>
      </c>
      <c r="I66" s="7">
        <f t="shared" si="1"/>
      </c>
      <c r="J66" s="7">
        <f t="shared" si="2"/>
      </c>
      <c r="K66" s="6">
        <v>0</v>
      </c>
      <c r="L66" s="6">
        <v>0</v>
      </c>
      <c r="M66" s="15"/>
      <c r="N66" s="6"/>
      <c r="O66" s="6" t="s">
        <v>28</v>
      </c>
      <c r="P66" s="6">
        <v>10</v>
      </c>
    </row>
    <row r="67">
      <c r="A67" s="4" t="s">
        <v>58</v>
      </c>
      <c r="B67" s="5" t="s">
        <v>25</v>
      </c>
      <c r="C67" s="6" t="s">
        <v>30</v>
      </c>
      <c r="D67" s="6">
        <v>4</v>
      </c>
      <c r="E67" s="6">
        <v>4</v>
      </c>
      <c r="F67" s="6">
        <v>2488.8</v>
      </c>
      <c r="G67" s="6">
        <v>1669.92</v>
      </c>
      <c r="H67" s="7">
        <f t="shared" si="0"/>
      </c>
      <c r="I67" s="7">
        <f t="shared" si="1"/>
      </c>
      <c r="J67" s="7">
        <f t="shared" si="2"/>
      </c>
      <c r="K67" s="6">
        <v>1</v>
      </c>
      <c r="L67" s="6">
        <v>415.2</v>
      </c>
      <c r="M67" s="6" t="s">
        <v>43</v>
      </c>
      <c r="N67" s="9">
        <v>10</v>
      </c>
      <c r="O67" s="8"/>
      <c r="P67" s="8"/>
    </row>
    <row r="68">
      <c r="A68" s="4" t="s">
        <v>58</v>
      </c>
      <c r="B68" s="5" t="s">
        <v>48</v>
      </c>
      <c r="C68" s="6" t="s">
        <v>33</v>
      </c>
      <c r="D68" s="6">
        <v>4</v>
      </c>
      <c r="E68" s="6">
        <v>1</v>
      </c>
      <c r="F68" s="6">
        <v>2071.2</v>
      </c>
      <c r="G68" s="6">
        <v>2834.78</v>
      </c>
      <c r="H68" s="7">
        <f t="shared" si="0"/>
      </c>
      <c r="I68" s="7">
        <f t="shared" si="1"/>
      </c>
      <c r="J68" s="7">
        <f t="shared" si="2"/>
      </c>
      <c r="K68" s="6">
        <v>1</v>
      </c>
      <c r="L68" s="6">
        <v>2071.2</v>
      </c>
      <c r="M68" s="6"/>
      <c r="N68" s="9"/>
      <c r="O68" s="8"/>
      <c r="P68" s="8"/>
    </row>
    <row r="69">
      <c r="A69" s="10" t="s">
        <v>58</v>
      </c>
      <c r="B69" s="11"/>
      <c r="C69" s="11"/>
      <c r="D69" s="12">
        <f>SUM(D64:D68)</f>
      </c>
      <c r="E69" s="12">
        <f>SUM(E64:E68)</f>
      </c>
      <c r="F69" s="12">
        <f>SUM(F64:F68)</f>
      </c>
      <c r="G69" s="12">
        <f>SUM(G64:G68)</f>
      </c>
      <c r="H69" s="13">
        <f t="shared" si="0"/>
      </c>
      <c r="I69" s="13">
        <f t="shared" si="1"/>
      </c>
      <c r="J69" s="13">
        <f t="shared" si="2"/>
      </c>
      <c r="K69" s="12">
        <f>SUM(K64:K68)</f>
      </c>
      <c r="L69" s="12">
        <f>SUM(L64:L68)</f>
      </c>
      <c r="M69" s="14"/>
      <c r="N69" s="12">
        <f>SUM(N64:N68)</f>
      </c>
      <c r="O69" s="14"/>
      <c r="P69" s="12">
        <f>SUM(P64:P68)</f>
      </c>
    </row>
    <row customHeight="true" ht="16.071428571428573" r="70">
      <c r="A70" s="16" t="s">
        <v>59</v>
      </c>
      <c r="B70" s="16" t="s">
        <v>18</v>
      </c>
      <c r="C70" s="17" t="s">
        <v>19</v>
      </c>
      <c r="D70" s="17">
        <v>4</v>
      </c>
      <c r="E70" s="17">
        <v>0</v>
      </c>
      <c r="F70" s="17">
        <v>0</v>
      </c>
      <c r="G70" s="17">
        <v>2801.89</v>
      </c>
      <c r="H70" s="18">
        <f t="shared" si="0"/>
      </c>
      <c r="I70" s="18">
        <f t="shared" si="1"/>
      </c>
      <c r="J70" s="18">
        <f t="shared" si="2"/>
      </c>
      <c r="K70" s="17">
        <v>0</v>
      </c>
      <c r="L70" s="17">
        <v>0</v>
      </c>
      <c r="M70" s="17" t="s">
        <v>56</v>
      </c>
      <c r="N70" s="17">
        <v>10</v>
      </c>
      <c r="O70" s="17"/>
      <c r="P70" s="17"/>
    </row>
    <row customHeight="true" ht="16.071428571428573" r="71">
      <c r="A71" s="16" t="s">
        <v>59</v>
      </c>
      <c r="B71" s="16" t="s">
        <v>21</v>
      </c>
      <c r="C71" s="17" t="s">
        <v>22</v>
      </c>
      <c r="D71" s="17">
        <v>4</v>
      </c>
      <c r="E71" s="17">
        <v>3</v>
      </c>
      <c r="F71" s="17">
        <v>5161.2</v>
      </c>
      <c r="G71" s="17">
        <v>3045.53</v>
      </c>
      <c r="H71" s="18">
        <f t="shared" si="0"/>
      </c>
      <c r="I71" s="18">
        <f t="shared" si="1"/>
      </c>
      <c r="J71" s="18">
        <f t="shared" si="2"/>
      </c>
      <c r="K71" s="17">
        <v>1</v>
      </c>
      <c r="L71" s="17">
        <v>546</v>
      </c>
      <c r="M71" s="17"/>
      <c r="N71" s="17"/>
      <c r="O71" s="17" t="s">
        <v>24</v>
      </c>
      <c r="P71" s="17">
        <v>10</v>
      </c>
    </row>
    <row customHeight="true" ht="16.071428571428573" r="72">
      <c r="A72" s="16" t="s">
        <v>59</v>
      </c>
      <c r="B72" s="16" t="s">
        <v>25</v>
      </c>
      <c r="C72" s="17" t="s">
        <v>26</v>
      </c>
      <c r="D72" s="17">
        <v>4</v>
      </c>
      <c r="E72" s="17">
        <v>7</v>
      </c>
      <c r="F72" s="17">
        <v>6351.6</v>
      </c>
      <c r="G72" s="17">
        <v>4624.62</v>
      </c>
      <c r="H72" s="18">
        <f t="shared" si="0"/>
      </c>
      <c r="I72" s="18">
        <f t="shared" si="1"/>
      </c>
      <c r="J72" s="18">
        <f t="shared" si="2"/>
      </c>
      <c r="K72" s="17">
        <v>4</v>
      </c>
      <c r="L72" s="17">
        <v>2089.2</v>
      </c>
      <c r="M72" s="19"/>
      <c r="N72" s="17"/>
      <c r="O72" s="17" t="s">
        <v>28</v>
      </c>
      <c r="P72" s="17">
        <v>10</v>
      </c>
    </row>
    <row customHeight="true" ht="16.071428571428573" r="73">
      <c r="A73" s="16" t="s">
        <v>59</v>
      </c>
      <c r="B73" s="16" t="s">
        <v>48</v>
      </c>
      <c r="C73" s="17" t="s">
        <v>30</v>
      </c>
      <c r="D73" s="17">
        <v>4</v>
      </c>
      <c r="E73" s="17">
        <v>1</v>
      </c>
      <c r="F73" s="17">
        <v>480</v>
      </c>
      <c r="G73" s="17">
        <v>3891.23</v>
      </c>
      <c r="H73" s="18">
        <f t="shared" si="0"/>
      </c>
      <c r="I73" s="18">
        <f t="shared" si="1"/>
      </c>
      <c r="J73" s="18">
        <f t="shared" si="2"/>
      </c>
      <c r="K73" s="17">
        <v>0</v>
      </c>
      <c r="L73" s="17">
        <v>0</v>
      </c>
      <c r="M73" s="17" t="s">
        <v>60</v>
      </c>
      <c r="N73" s="17">
        <v>10</v>
      </c>
      <c r="O73" s="17"/>
      <c r="P73" s="17"/>
    </row>
    <row customHeight="true" ht="16.071428571428573" r="74">
      <c r="A74" s="16" t="s">
        <v>59</v>
      </c>
      <c r="B74" s="16" t="s">
        <v>32</v>
      </c>
      <c r="C74" s="17" t="s">
        <v>33</v>
      </c>
      <c r="D74" s="17">
        <v>4</v>
      </c>
      <c r="E74" s="20">
        <v>7</v>
      </c>
      <c r="F74" s="17">
        <v>8764.2</v>
      </c>
      <c r="G74" s="17">
        <v>5125.32</v>
      </c>
      <c r="H74" s="18">
        <f t="shared" si="0"/>
      </c>
      <c r="I74" s="18">
        <f t="shared" si="1"/>
      </c>
      <c r="J74" s="18">
        <f t="shared" si="2"/>
      </c>
      <c r="K74" s="20">
        <v>0</v>
      </c>
      <c r="L74" s="20">
        <v>0</v>
      </c>
      <c r="M74" s="17"/>
      <c r="N74" s="17"/>
      <c r="O74" s="17"/>
      <c r="P74" s="17"/>
    </row>
    <row customHeight="true" ht="16.071428571428573" r="75">
      <c r="A75" s="21" t="s">
        <v>59</v>
      </c>
      <c r="B75" s="22"/>
      <c r="C75" s="22"/>
      <c r="D75" s="23">
        <f>SUM(D70:D74)</f>
      </c>
      <c r="E75" s="23">
        <f>SUM(E70:E74)</f>
      </c>
      <c r="F75" s="23">
        <f>SUM(F70:F74)</f>
      </c>
      <c r="G75" s="23">
        <f>SUM(G70:G74)</f>
      </c>
      <c r="H75" s="24">
        <f t="shared" si="0"/>
      </c>
      <c r="I75" s="24">
        <f t="shared" si="1"/>
      </c>
      <c r="J75" s="24">
        <f t="shared" si="2"/>
      </c>
      <c r="K75" s="23">
        <f>SUM(K70:K74)</f>
      </c>
      <c r="L75" s="23">
        <f>SUM(L70:L74)</f>
      </c>
      <c r="M75" s="25"/>
      <c r="N75" s="23">
        <f>SUM(N70:N74)</f>
      </c>
      <c r="O75" s="25"/>
      <c r="P75" s="23">
        <f>SUM(P70:P74)</f>
      </c>
    </row>
    <row r="76">
      <c r="A76" s="4" t="s">
        <v>61</v>
      </c>
      <c r="B76" s="5" t="s">
        <v>62</v>
      </c>
      <c r="C76" s="6" t="s">
        <v>35</v>
      </c>
      <c r="D76" s="6">
        <v>5</v>
      </c>
      <c r="E76" s="6">
        <v>11</v>
      </c>
      <c r="F76" s="6">
        <v>13584.88</v>
      </c>
      <c r="G76" s="6">
        <v>7098.8099999999995</v>
      </c>
      <c r="H76" s="7">
        <f t="shared" si="0"/>
      </c>
      <c r="I76" s="7">
        <f t="shared" si="1"/>
      </c>
      <c r="J76" s="7">
        <f t="shared" si="2"/>
      </c>
      <c r="K76" s="6">
        <v>6</v>
      </c>
      <c r="L76" s="6">
        <v>7936.6</v>
      </c>
      <c r="M76" s="17" t="s">
        <v>56</v>
      </c>
      <c r="N76" s="17">
        <v>10</v>
      </c>
      <c r="O76" s="8"/>
      <c r="P76" s="6"/>
    </row>
    <row r="77">
      <c r="A77" s="4" t="s">
        <v>61</v>
      </c>
      <c r="B77" s="5" t="s">
        <v>21</v>
      </c>
      <c r="C77" s="6" t="s">
        <v>37</v>
      </c>
      <c r="D77" s="6">
        <v>5</v>
      </c>
      <c r="E77" s="6">
        <v>8</v>
      </c>
      <c r="F77" s="6">
        <v>8917.2</v>
      </c>
      <c r="G77" s="6">
        <v>6606.56</v>
      </c>
      <c r="H77" s="7">
        <f t="shared" si="0"/>
      </c>
      <c r="I77" s="7">
        <f t="shared" si="1"/>
      </c>
      <c r="J77" s="7">
        <f t="shared" si="2"/>
      </c>
      <c r="K77" s="6">
        <v>5</v>
      </c>
      <c r="L77" s="6">
        <v>6002.4</v>
      </c>
      <c r="M77" s="6"/>
      <c r="N77" s="6"/>
      <c r="O77" s="6" t="s">
        <v>24</v>
      </c>
      <c r="P77" s="8">
        <v>10</v>
      </c>
    </row>
    <row r="78">
      <c r="A78" s="4" t="s">
        <v>61</v>
      </c>
      <c r="B78" s="5" t="s">
        <v>18</v>
      </c>
      <c r="C78" s="6" t="s">
        <v>38</v>
      </c>
      <c r="D78" s="6">
        <v>5</v>
      </c>
      <c r="E78" s="6">
        <v>13</v>
      </c>
      <c r="F78" s="6">
        <v>22185.6</v>
      </c>
      <c r="G78" s="6">
        <v>9468.23</v>
      </c>
      <c r="H78" s="7">
        <f t="shared" si="0"/>
      </c>
      <c r="I78" s="7">
        <f t="shared" si="1"/>
      </c>
      <c r="J78" s="7">
        <f t="shared" si="2"/>
      </c>
      <c r="K78" s="6">
        <v>2</v>
      </c>
      <c r="L78" s="6">
        <v>2774.4</v>
      </c>
      <c r="M78" s="6" t="s">
        <v>43</v>
      </c>
      <c r="N78" s="9">
        <v>10</v>
      </c>
      <c r="O78" s="6" t="s">
        <v>28</v>
      </c>
      <c r="P78" s="6">
        <v>10</v>
      </c>
    </row>
    <row r="79">
      <c r="A79" s="4" t="s">
        <v>61</v>
      </c>
      <c r="B79" s="5" t="s">
        <v>32</v>
      </c>
      <c r="C79" s="6" t="s">
        <v>40</v>
      </c>
      <c r="D79" s="6">
        <v>5</v>
      </c>
      <c r="E79" s="6">
        <v>13</v>
      </c>
      <c r="F79" s="6">
        <v>17455.08</v>
      </c>
      <c r="G79" s="6">
        <v>9578.34</v>
      </c>
      <c r="H79" s="7">
        <f t="shared" si="0"/>
      </c>
      <c r="I79" s="7">
        <f t="shared" si="1"/>
      </c>
      <c r="J79" s="7">
        <f t="shared" si="2"/>
      </c>
      <c r="K79" s="6">
        <v>1</v>
      </c>
      <c r="L79" s="6">
        <v>2971.2</v>
      </c>
      <c r="M79" s="6"/>
      <c r="N79" s="9"/>
      <c r="O79" s="8"/>
      <c r="P79" s="8"/>
    </row>
    <row r="80">
      <c r="A80" s="10" t="s">
        <v>61</v>
      </c>
      <c r="B80" s="11"/>
      <c r="C80" s="11"/>
      <c r="D80" s="12">
        <f>SUM(D76:D79)</f>
      </c>
      <c r="E80" s="12">
        <f>SUM(E76:E79)</f>
      </c>
      <c r="F80" s="12">
        <f>SUM(F76:F79)</f>
      </c>
      <c r="G80" s="12">
        <f>SUM(G76:G79)</f>
      </c>
      <c r="H80" s="13">
        <f t="shared" si="0"/>
      </c>
      <c r="I80" s="13">
        <f t="shared" si="1"/>
      </c>
      <c r="J80" s="13">
        <f t="shared" si="2"/>
      </c>
      <c r="K80" s="12">
        <f>SUM(K76:K79)</f>
      </c>
      <c r="L80" s="12">
        <f>SUM(L76:L79)</f>
      </c>
      <c r="M80" s="14"/>
      <c r="N80" s="12">
        <f>SUM(N76:N79)</f>
      </c>
      <c r="O80" s="14"/>
      <c r="P80" s="12">
        <f>SUM(P76:P79)</f>
      </c>
    </row>
    <row r="81">
      <c r="A81" s="4" t="s">
        <v>63</v>
      </c>
      <c r="B81" s="5" t="s">
        <v>62</v>
      </c>
      <c r="C81" s="6" t="s">
        <v>19</v>
      </c>
      <c r="D81" s="6">
        <v>4</v>
      </c>
      <c r="E81" s="6">
        <v>12</v>
      </c>
      <c r="F81" s="6">
        <v>12481.5</v>
      </c>
      <c r="G81" s="6">
        <v>8132.41</v>
      </c>
      <c r="H81" s="7">
        <f t="shared" si="0"/>
      </c>
      <c r="I81" s="7">
        <f t="shared" si="1"/>
      </c>
      <c r="J81" s="7">
        <f t="shared" si="2"/>
      </c>
      <c r="K81" s="6">
        <v>4</v>
      </c>
      <c r="L81" s="6">
        <v>5323.2</v>
      </c>
      <c r="M81" s="6" t="s">
        <v>56</v>
      </c>
      <c r="N81" s="6">
        <v>10</v>
      </c>
      <c r="O81" s="8"/>
      <c r="P81" s="6"/>
    </row>
    <row r="82">
      <c r="A82" s="4" t="s">
        <v>63</v>
      </c>
      <c r="B82" s="5" t="s">
        <v>21</v>
      </c>
      <c r="C82" s="6" t="s">
        <v>22</v>
      </c>
      <c r="D82" s="6">
        <v>4</v>
      </c>
      <c r="E82" s="6">
        <v>6</v>
      </c>
      <c r="F82" s="6">
        <v>5820.240000000002</v>
      </c>
      <c r="G82" s="6">
        <v>8706.37</v>
      </c>
      <c r="H82" s="7">
        <f t="shared" si="0"/>
      </c>
      <c r="I82" s="7">
        <f t="shared" si="1"/>
      </c>
      <c r="J82" s="7">
        <f t="shared" si="2"/>
      </c>
      <c r="K82" s="6">
        <v>1</v>
      </c>
      <c r="L82" s="6">
        <v>715.2</v>
      </c>
      <c r="M82" s="6"/>
      <c r="N82" s="6"/>
      <c r="O82" s="6" t="s">
        <v>24</v>
      </c>
      <c r="P82" s="8">
        <v>10</v>
      </c>
    </row>
    <row r="83">
      <c r="A83" s="4" t="s">
        <v>63</v>
      </c>
      <c r="B83" s="5" t="s">
        <v>18</v>
      </c>
      <c r="C83" s="6" t="s">
        <v>26</v>
      </c>
      <c r="D83" s="6">
        <v>4</v>
      </c>
      <c r="E83" s="6">
        <v>6</v>
      </c>
      <c r="F83" s="6">
        <v>10051.2</v>
      </c>
      <c r="G83" s="6">
        <v>6419.2300000000005</v>
      </c>
      <c r="H83" s="7">
        <f t="shared" si="0"/>
      </c>
      <c r="I83" s="7">
        <f t="shared" si="1"/>
      </c>
      <c r="J83" s="7">
        <f t="shared" si="2"/>
      </c>
      <c r="K83" s="6">
        <v>1</v>
      </c>
      <c r="L83" s="6">
        <v>2971.2</v>
      </c>
      <c r="M83" s="15"/>
      <c r="N83" s="6"/>
      <c r="O83" s="6" t="s">
        <v>28</v>
      </c>
      <c r="P83" s="6">
        <v>10</v>
      </c>
    </row>
    <row r="84">
      <c r="A84" s="4" t="s">
        <v>63</v>
      </c>
      <c r="B84" s="5" t="s">
        <v>48</v>
      </c>
      <c r="C84" s="6" t="s">
        <v>30</v>
      </c>
      <c r="D84" s="6">
        <v>4</v>
      </c>
      <c r="E84" s="6">
        <v>9</v>
      </c>
      <c r="F84" s="6">
        <v>15204</v>
      </c>
      <c r="G84" s="6">
        <v>5635.51</v>
      </c>
      <c r="H84" s="7">
        <f t="shared" si="0"/>
      </c>
      <c r="I84" s="7">
        <f t="shared" si="1"/>
      </c>
      <c r="J84" s="7">
        <f t="shared" si="2"/>
      </c>
      <c r="K84" s="6">
        <v>1</v>
      </c>
      <c r="L84" s="6">
        <v>1152</v>
      </c>
      <c r="M84" s="6" t="s">
        <v>43</v>
      </c>
      <c r="N84" s="9">
        <v>10</v>
      </c>
      <c r="O84" s="8"/>
      <c r="P84" s="8"/>
    </row>
    <row r="85">
      <c r="A85" s="4" t="s">
        <v>63</v>
      </c>
      <c r="B85" s="5" t="s">
        <v>32</v>
      </c>
      <c r="C85" s="6" t="s">
        <v>33</v>
      </c>
      <c r="D85" s="6">
        <v>4</v>
      </c>
      <c r="E85" s="6">
        <v>4</v>
      </c>
      <c r="F85" s="6">
        <v>5236.8</v>
      </c>
      <c r="G85" s="6">
        <v>7763.38</v>
      </c>
      <c r="H85" s="7">
        <f t="shared" si="0"/>
      </c>
      <c r="I85" s="7">
        <f t="shared" si="1"/>
      </c>
      <c r="J85" s="7">
        <f t="shared" si="2"/>
      </c>
      <c r="K85" s="6">
        <v>2</v>
      </c>
      <c r="L85" s="6">
        <v>2810.4</v>
      </c>
      <c r="M85" s="6"/>
      <c r="N85" s="9"/>
      <c r="O85" s="8"/>
      <c r="P85" s="8"/>
    </row>
    <row r="86">
      <c r="A86" s="10" t="s">
        <v>63</v>
      </c>
      <c r="B86" s="11"/>
      <c r="C86" s="11"/>
      <c r="D86" s="12">
        <f>SUM(D81:D85)</f>
      </c>
      <c r="E86" s="12">
        <f>SUM(E81:E85)</f>
      </c>
      <c r="F86" s="12">
        <f>SUM(F81:F85)</f>
      </c>
      <c r="G86" s="12">
        <f>SUM(G81:G85)</f>
      </c>
      <c r="H86" s="13">
        <f t="shared" si="0"/>
      </c>
      <c r="I86" s="13">
        <f t="shared" si="1"/>
      </c>
      <c r="J86" s="13">
        <f t="shared" si="2"/>
      </c>
      <c r="K86" s="12">
        <f>SUM(K81:K85)</f>
      </c>
      <c r="L86" s="12">
        <f>SUM(L81:L85)</f>
      </c>
      <c r="M86" s="14"/>
      <c r="N86" s="12">
        <f>SUM(N81:N85)</f>
      </c>
      <c r="O86" s="14"/>
      <c r="P86" s="12">
        <f>SUM(P81:P85)</f>
      </c>
    </row>
    <row r="87">
      <c r="A87" s="4" t="s">
        <v>64</v>
      </c>
      <c r="B87" s="5" t="s">
        <v>62</v>
      </c>
      <c r="C87" s="6" t="s">
        <v>19</v>
      </c>
      <c r="D87" s="6">
        <v>4</v>
      </c>
      <c r="E87" s="6">
        <v>13</v>
      </c>
      <c r="F87" s="6">
        <v>21174</v>
      </c>
      <c r="G87" s="6">
        <v>6724.93</v>
      </c>
      <c r="H87" s="7">
        <f t="shared" si="0"/>
      </c>
      <c r="I87" s="7">
        <f t="shared" si="1"/>
      </c>
      <c r="J87" s="7">
        <f t="shared" si="2"/>
      </c>
      <c r="K87" s="6">
        <v>4</v>
      </c>
      <c r="L87" s="6">
        <v>5598</v>
      </c>
      <c r="M87" s="6" t="s">
        <v>56</v>
      </c>
      <c r="N87" s="6">
        <v>10</v>
      </c>
      <c r="O87" s="8"/>
      <c r="P87" s="6"/>
    </row>
    <row r="88">
      <c r="A88" s="4" t="s">
        <v>64</v>
      </c>
      <c r="B88" s="5" t="s">
        <v>21</v>
      </c>
      <c r="C88" s="6" t="s">
        <v>22</v>
      </c>
      <c r="D88" s="6">
        <v>4</v>
      </c>
      <c r="E88" s="6">
        <v>10</v>
      </c>
      <c r="F88" s="6">
        <v>13246.599999999999</v>
      </c>
      <c r="G88" s="6">
        <v>12552.5</v>
      </c>
      <c r="H88" s="7">
        <f t="shared" si="0"/>
      </c>
      <c r="I88" s="7">
        <f t="shared" si="1"/>
      </c>
      <c r="J88" s="7">
        <f t="shared" si="2"/>
      </c>
      <c r="K88" s="6">
        <v>4</v>
      </c>
      <c r="L88" s="6">
        <v>4778.2</v>
      </c>
      <c r="M88" s="6"/>
      <c r="N88" s="6"/>
      <c r="O88" s="6" t="s">
        <v>24</v>
      </c>
      <c r="P88" s="8">
        <v>10</v>
      </c>
    </row>
    <row r="89">
      <c r="A89" s="4" t="s">
        <v>64</v>
      </c>
      <c r="B89" s="5" t="s">
        <v>25</v>
      </c>
      <c r="C89" s="6" t="s">
        <v>26</v>
      </c>
      <c r="D89" s="6">
        <v>4</v>
      </c>
      <c r="E89" s="6">
        <v>5</v>
      </c>
      <c r="F89" s="6">
        <v>5820.6</v>
      </c>
      <c r="G89" s="6">
        <v>14888.11</v>
      </c>
      <c r="H89" s="7">
        <f t="shared" si="0"/>
      </c>
      <c r="I89" s="7">
        <f t="shared" si="1"/>
      </c>
      <c r="J89" s="7">
        <f t="shared" si="2"/>
      </c>
      <c r="K89" s="6">
        <v>1</v>
      </c>
      <c r="L89" s="6">
        <v>345</v>
      </c>
      <c r="M89" s="15"/>
      <c r="N89" s="6"/>
      <c r="O89" s="6" t="s">
        <v>28</v>
      </c>
      <c r="P89" s="6">
        <v>10</v>
      </c>
    </row>
    <row r="90">
      <c r="A90" s="4" t="s">
        <v>64</v>
      </c>
      <c r="B90" s="5" t="s">
        <v>48</v>
      </c>
      <c r="C90" s="6" t="s">
        <v>30</v>
      </c>
      <c r="D90" s="6">
        <v>4</v>
      </c>
      <c r="E90" s="6">
        <v>2</v>
      </c>
      <c r="F90" s="6">
        <v>2289.6</v>
      </c>
      <c r="G90" s="6">
        <v>4009.0400000000004</v>
      </c>
      <c r="H90" s="7">
        <f t="shared" si="0"/>
      </c>
      <c r="I90" s="7">
        <f t="shared" si="1"/>
      </c>
      <c r="J90" s="7">
        <f t="shared" si="2"/>
      </c>
      <c r="K90" s="6">
        <v>0</v>
      </c>
      <c r="L90" s="6">
        <v>0</v>
      </c>
      <c r="M90" s="6" t="s">
        <v>43</v>
      </c>
      <c r="N90" s="9">
        <v>10</v>
      </c>
      <c r="O90" s="8"/>
      <c r="P90" s="8"/>
    </row>
    <row r="91">
      <c r="A91" s="4" t="s">
        <v>64</v>
      </c>
      <c r="B91" s="5" t="s">
        <v>32</v>
      </c>
      <c r="C91" s="6" t="s">
        <v>33</v>
      </c>
      <c r="D91" s="6">
        <v>4</v>
      </c>
      <c r="E91" s="6">
        <v>4</v>
      </c>
      <c r="F91" s="6">
        <v>4803.2</v>
      </c>
      <c r="G91" s="6">
        <v>5622.609999999999</v>
      </c>
      <c r="H91" s="7">
        <f t="shared" si="0"/>
      </c>
      <c r="I91" s="7">
        <f t="shared" si="1"/>
      </c>
      <c r="J91" s="7">
        <f t="shared" si="2"/>
      </c>
      <c r="K91" s="6">
        <v>0</v>
      </c>
      <c r="L91" s="6">
        <v>0</v>
      </c>
      <c r="M91" s="6"/>
      <c r="N91" s="9"/>
      <c r="O91" s="8"/>
      <c r="P91" s="8"/>
    </row>
    <row r="92">
      <c r="A92" s="10" t="s">
        <v>64</v>
      </c>
      <c r="B92" s="11"/>
      <c r="C92" s="11"/>
      <c r="D92" s="12">
        <f>SUM(D87:D91)</f>
      </c>
      <c r="E92" s="12">
        <f>SUM(E87:E91)</f>
      </c>
      <c r="F92" s="12">
        <f>SUM(F87:F91)</f>
      </c>
      <c r="G92" s="12">
        <f>SUM(G87:G91)</f>
      </c>
      <c r="H92" s="13">
        <f t="shared" si="0"/>
      </c>
      <c r="I92" s="13">
        <f t="shared" si="1"/>
      </c>
      <c r="J92" s="13">
        <f t="shared" si="2"/>
      </c>
      <c r="K92" s="12">
        <f>SUM(K87:K91)</f>
      </c>
      <c r="L92" s="12">
        <f>SUM(L87:L91)</f>
      </c>
      <c r="M92" s="14"/>
      <c r="N92" s="12">
        <f>SUM(N87:N91)</f>
      </c>
      <c r="O92" s="14"/>
      <c r="P92" s="12">
        <f>SUM(P87:P91)</f>
      </c>
    </row>
    <row r="93">
      <c r="A93" s="4" t="s">
        <v>65</v>
      </c>
      <c r="B93" s="5" t="s">
        <v>62</v>
      </c>
      <c r="C93" s="6" t="s">
        <v>19</v>
      </c>
      <c r="D93" s="6">
        <v>4</v>
      </c>
      <c r="E93" s="6">
        <v>3</v>
      </c>
      <c r="F93" s="6">
        <v>5265.6</v>
      </c>
      <c r="G93" s="6">
        <v>4591.009999999999</v>
      </c>
      <c r="H93" s="7">
        <f t="shared" si="0"/>
      </c>
      <c r="I93" s="7">
        <f t="shared" si="1"/>
      </c>
      <c r="J93" s="7">
        <f t="shared" si="2"/>
      </c>
      <c r="K93" s="6">
        <v>1</v>
      </c>
      <c r="L93" s="6">
        <v>1471.2</v>
      </c>
      <c r="M93" s="6" t="s">
        <v>66</v>
      </c>
      <c r="N93" s="6">
        <v>10</v>
      </c>
      <c r="O93" s="8"/>
      <c r="P93" s="6"/>
    </row>
    <row r="94">
      <c r="A94" s="4" t="s">
        <v>65</v>
      </c>
      <c r="B94" s="5" t="s">
        <v>21</v>
      </c>
      <c r="C94" s="6" t="s">
        <v>22</v>
      </c>
      <c r="D94" s="6">
        <v>4</v>
      </c>
      <c r="E94" s="6">
        <v>5</v>
      </c>
      <c r="F94" s="6">
        <v>10876.8</v>
      </c>
      <c r="G94" s="6">
        <v>4780.77</v>
      </c>
      <c r="H94" s="7">
        <f t="shared" si="0"/>
      </c>
      <c r="I94" s="7">
        <f t="shared" si="1"/>
      </c>
      <c r="J94" s="7">
        <f t="shared" si="2"/>
      </c>
      <c r="K94" s="6">
        <v>0</v>
      </c>
      <c r="L94" s="6">
        <v>0</v>
      </c>
      <c r="M94" s="6"/>
      <c r="N94" s="6"/>
      <c r="O94" s="6" t="s">
        <v>24</v>
      </c>
      <c r="P94" s="8">
        <v>10</v>
      </c>
    </row>
    <row r="95">
      <c r="A95" s="4" t="s">
        <v>65</v>
      </c>
      <c r="B95" s="5" t="s">
        <v>18</v>
      </c>
      <c r="C95" s="6" t="s">
        <v>26</v>
      </c>
      <c r="D95" s="6">
        <v>4</v>
      </c>
      <c r="E95" s="6">
        <v>4</v>
      </c>
      <c r="F95" s="6">
        <v>5050.8</v>
      </c>
      <c r="G95" s="6">
        <v>4935.75</v>
      </c>
      <c r="H95" s="7">
        <f t="shared" si="0"/>
      </c>
      <c r="I95" s="7">
        <f t="shared" si="1"/>
      </c>
      <c r="J95" s="7">
        <f t="shared" si="2"/>
      </c>
      <c r="K95" s="6">
        <v>2</v>
      </c>
      <c r="L95" s="6">
        <v>2115.6</v>
      </c>
      <c r="M95" s="15"/>
      <c r="N95" s="6"/>
      <c r="O95" s="6" t="s">
        <v>28</v>
      </c>
      <c r="P95" s="6">
        <v>10</v>
      </c>
    </row>
    <row r="96">
      <c r="A96" s="4" t="s">
        <v>65</v>
      </c>
      <c r="B96" s="5" t="s">
        <v>25</v>
      </c>
      <c r="C96" s="6" t="s">
        <v>30</v>
      </c>
      <c r="D96" s="6">
        <v>4</v>
      </c>
      <c r="E96" s="6">
        <v>11</v>
      </c>
      <c r="F96" s="6">
        <v>14007.6</v>
      </c>
      <c r="G96" s="6">
        <v>9691.5</v>
      </c>
      <c r="H96" s="7">
        <f t="shared" si="0"/>
      </c>
      <c r="I96" s="7">
        <f t="shared" si="1"/>
      </c>
      <c r="J96" s="7">
        <f t="shared" si="2"/>
      </c>
      <c r="K96" s="6">
        <v>7</v>
      </c>
      <c r="L96" s="6">
        <v>7722</v>
      </c>
      <c r="M96" s="6" t="s">
        <v>43</v>
      </c>
      <c r="N96" s="9">
        <v>10</v>
      </c>
      <c r="O96" s="8"/>
      <c r="P96" s="8"/>
    </row>
    <row r="97">
      <c r="A97" s="4" t="s">
        <v>65</v>
      </c>
      <c r="B97" s="5" t="s">
        <v>32</v>
      </c>
      <c r="C97" s="6" t="s">
        <v>33</v>
      </c>
      <c r="D97" s="6">
        <v>4</v>
      </c>
      <c r="E97" s="6">
        <v>19</v>
      </c>
      <c r="F97" s="6">
        <v>21062.4</v>
      </c>
      <c r="G97" s="6">
        <v>10461.39</v>
      </c>
      <c r="H97" s="7">
        <f t="shared" si="0"/>
      </c>
      <c r="I97" s="7">
        <f t="shared" si="1"/>
      </c>
      <c r="J97" s="7">
        <f t="shared" si="2"/>
      </c>
      <c r="K97" s="6">
        <v>4</v>
      </c>
      <c r="L97" s="6">
        <v>1944</v>
      </c>
      <c r="M97" s="6"/>
      <c r="N97" s="9"/>
      <c r="O97" s="8"/>
      <c r="P97" s="8"/>
    </row>
    <row r="98">
      <c r="A98" s="10" t="s">
        <v>65</v>
      </c>
      <c r="B98" s="11"/>
      <c r="C98" s="11"/>
      <c r="D98" s="12">
        <f>SUM(D93:D97)</f>
      </c>
      <c r="E98" s="12">
        <f>SUM(E93:E97)</f>
      </c>
      <c r="F98" s="12">
        <f>SUM(F93:F97)</f>
      </c>
      <c r="G98" s="12">
        <f>SUM(G93:G97)</f>
      </c>
      <c r="H98" s="13">
        <f t="shared" si="0"/>
      </c>
      <c r="I98" s="13">
        <f t="shared" si="1"/>
      </c>
      <c r="J98" s="13">
        <f t="shared" si="2"/>
      </c>
      <c r="K98" s="12">
        <f>SUM(K93:K97)</f>
      </c>
      <c r="L98" s="12">
        <f>SUM(L93:L97)</f>
      </c>
      <c r="M98" s="14"/>
      <c r="N98" s="12">
        <f>SUM(N93:N97)</f>
      </c>
      <c r="O98" s="14"/>
      <c r="P98" s="12">
        <f>SUM(P93:P97)</f>
      </c>
    </row>
    <row r="99">
      <c r="A99" s="4" t="s">
        <v>67</v>
      </c>
      <c r="B99" s="5" t="s">
        <v>62</v>
      </c>
      <c r="C99" s="6" t="s">
        <v>19</v>
      </c>
      <c r="D99" s="6">
        <v>4</v>
      </c>
      <c r="E99" s="6">
        <v>10</v>
      </c>
      <c r="F99" s="6">
        <v>14568</v>
      </c>
      <c r="G99" s="6">
        <v>8663.199999999999</v>
      </c>
      <c r="H99" s="7">
        <f t="shared" si="0"/>
      </c>
      <c r="I99" s="7">
        <f t="shared" si="1"/>
      </c>
      <c r="J99" s="7">
        <f t="shared" si="2"/>
      </c>
      <c r="K99" s="6">
        <v>4</v>
      </c>
      <c r="L99" s="6">
        <v>4562.400000000001</v>
      </c>
      <c r="M99" s="6" t="s">
        <v>68</v>
      </c>
      <c r="N99" s="6">
        <v>10</v>
      </c>
      <c r="O99" s="8"/>
      <c r="P99" s="6"/>
    </row>
    <row r="100">
      <c r="A100" s="4" t="s">
        <v>67</v>
      </c>
      <c r="B100" s="5" t="s">
        <v>21</v>
      </c>
      <c r="C100" s="6" t="s">
        <v>22</v>
      </c>
      <c r="D100" s="6">
        <v>4</v>
      </c>
      <c r="E100" s="6">
        <v>19</v>
      </c>
      <c r="F100" s="6">
        <v>27685.199999999997</v>
      </c>
      <c r="G100" s="6">
        <v>14900.800000000001</v>
      </c>
      <c r="H100" s="7">
        <f t="shared" si="0"/>
      </c>
      <c r="I100" s="7">
        <f t="shared" si="1"/>
      </c>
      <c r="J100" s="7">
        <f t="shared" si="2"/>
      </c>
      <c r="K100" s="6">
        <v>6</v>
      </c>
      <c r="L100" s="6">
        <v>9823.199999999999</v>
      </c>
      <c r="M100" s="6"/>
      <c r="N100" s="6"/>
      <c r="O100" s="6" t="s">
        <v>24</v>
      </c>
      <c r="P100" s="8">
        <v>10</v>
      </c>
    </row>
    <row r="101">
      <c r="A101" s="4" t="s">
        <v>67</v>
      </c>
      <c r="B101" s="5" t="s">
        <v>18</v>
      </c>
      <c r="C101" s="6" t="s">
        <v>26</v>
      </c>
      <c r="D101" s="6">
        <v>4</v>
      </c>
      <c r="E101" s="6">
        <v>6</v>
      </c>
      <c r="F101" s="6">
        <v>7676.400000000005</v>
      </c>
      <c r="G101" s="6">
        <v>11769.410000000002</v>
      </c>
      <c r="H101" s="7">
        <f t="shared" si="0"/>
      </c>
      <c r="I101" s="7">
        <f t="shared" si="1"/>
      </c>
      <c r="J101" s="7">
        <f t="shared" si="2"/>
      </c>
      <c r="K101" s="6">
        <v>1</v>
      </c>
      <c r="L101" s="6">
        <v>2467.2000000000007</v>
      </c>
      <c r="M101" s="15"/>
      <c r="N101" s="6"/>
      <c r="O101" s="6" t="s">
        <v>28</v>
      </c>
      <c r="P101" s="6">
        <v>10</v>
      </c>
    </row>
    <row r="102">
      <c r="A102" s="4" t="s">
        <v>67</v>
      </c>
      <c r="B102" s="5" t="s">
        <v>25</v>
      </c>
      <c r="C102" s="6" t="s">
        <v>30</v>
      </c>
      <c r="D102" s="6">
        <v>4</v>
      </c>
      <c r="E102" s="6">
        <v>5</v>
      </c>
      <c r="F102" s="6">
        <v>6232.799999999996</v>
      </c>
      <c r="G102" s="6">
        <v>9541.1</v>
      </c>
      <c r="H102" s="7">
        <f t="shared" si="0"/>
      </c>
      <c r="I102" s="7">
        <f t="shared" si="1"/>
      </c>
      <c r="J102" s="7">
        <f t="shared" si="2"/>
      </c>
      <c r="K102" s="6">
        <v>2</v>
      </c>
      <c r="L102" s="6">
        <v>2935.2000000000007</v>
      </c>
      <c r="M102" s="6" t="s">
        <v>69</v>
      </c>
      <c r="N102" s="9">
        <v>10</v>
      </c>
      <c r="O102" s="8"/>
      <c r="P102" s="8"/>
    </row>
    <row r="103">
      <c r="A103" s="4" t="s">
        <v>67</v>
      </c>
      <c r="B103" s="5" t="s">
        <v>32</v>
      </c>
      <c r="C103" s="6" t="s">
        <v>33</v>
      </c>
      <c r="D103" s="6">
        <v>4</v>
      </c>
      <c r="E103" s="6">
        <v>5</v>
      </c>
      <c r="F103" s="6">
        <v>5113.000000000007</v>
      </c>
      <c r="G103" s="6">
        <v>8113.81</v>
      </c>
      <c r="H103" s="7">
        <f t="shared" si="0"/>
      </c>
      <c r="I103" s="7">
        <f t="shared" si="1"/>
      </c>
      <c r="J103" s="7">
        <f t="shared" si="2"/>
      </c>
      <c r="K103" s="6">
        <v>0</v>
      </c>
      <c r="L103" s="6">
        <v>0</v>
      </c>
      <c r="M103" s="6"/>
      <c r="N103" s="9"/>
      <c r="O103" s="8"/>
      <c r="P103" s="8"/>
    </row>
    <row r="104">
      <c r="A104" s="10" t="s">
        <v>67</v>
      </c>
      <c r="B104" s="11"/>
      <c r="C104" s="11"/>
      <c r="D104" s="12">
        <f>SUM(D99:D103)</f>
      </c>
      <c r="E104" s="12">
        <f>SUM(E99:E103)</f>
      </c>
      <c r="F104" s="12">
        <f>SUM(F99:F103)</f>
      </c>
      <c r="G104" s="12">
        <f>SUM(G99:G103)</f>
      </c>
      <c r="H104" s="13">
        <f t="shared" si="0"/>
      </c>
      <c r="I104" s="13">
        <f t="shared" si="1"/>
      </c>
      <c r="J104" s="13">
        <f t="shared" si="2"/>
      </c>
      <c r="K104" s="12">
        <f>SUM(K99:K103)</f>
      </c>
      <c r="L104" s="12">
        <f>SUM(L99:L103)</f>
      </c>
      <c r="M104" s="14"/>
      <c r="N104" s="12">
        <f>SUM(N99:N103)</f>
      </c>
      <c r="O104" s="14"/>
      <c r="P104" s="12">
        <f>SUM(P99:P103)</f>
      </c>
    </row>
    <row r="105">
      <c r="A105" s="4" t="s">
        <v>70</v>
      </c>
      <c r="B105" s="5" t="s">
        <v>62</v>
      </c>
      <c r="C105" s="6" t="s">
        <v>19</v>
      </c>
      <c r="D105" s="6">
        <v>4</v>
      </c>
      <c r="E105" s="6">
        <v>6</v>
      </c>
      <c r="F105" s="6">
        <v>5759.4</v>
      </c>
      <c r="G105" s="6">
        <v>6692.04</v>
      </c>
      <c r="H105" s="7">
        <f t="shared" si="0"/>
      </c>
      <c r="I105" s="7">
        <f t="shared" si="1"/>
      </c>
      <c r="J105" s="7">
        <f t="shared" si="2"/>
      </c>
      <c r="K105" s="6"/>
      <c r="L105" s="6"/>
      <c r="M105" s="6" t="s">
        <v>68</v>
      </c>
      <c r="N105" s="6">
        <v>10</v>
      </c>
      <c r="O105" s="8"/>
      <c r="P105" s="6"/>
    </row>
    <row r="106">
      <c r="A106" s="16" t="s">
        <v>70</v>
      </c>
      <c r="B106" s="5" t="s">
        <v>21</v>
      </c>
      <c r="C106" s="6" t="s">
        <v>22</v>
      </c>
      <c r="D106" s="6">
        <v>4</v>
      </c>
      <c r="E106" s="6">
        <v>17</v>
      </c>
      <c r="F106" s="6">
        <v>28735.439999999995</v>
      </c>
      <c r="G106" s="6">
        <v>13058.419999999998</v>
      </c>
      <c r="H106" s="7">
        <f t="shared" si="0"/>
      </c>
      <c r="I106" s="7">
        <f t="shared" si="1"/>
      </c>
      <c r="J106" s="7">
        <f t="shared" si="2"/>
      </c>
      <c r="K106" s="6"/>
      <c r="L106" s="6"/>
      <c r="M106" s="6"/>
      <c r="N106" s="6"/>
      <c r="O106" s="6" t="s">
        <v>24</v>
      </c>
      <c r="P106" s="8">
        <v>10</v>
      </c>
    </row>
    <row r="107">
      <c r="A107" s="16" t="s">
        <v>70</v>
      </c>
      <c r="B107" s="5" t="s">
        <v>48</v>
      </c>
      <c r="C107" s="6" t="s">
        <v>26</v>
      </c>
      <c r="D107" s="6">
        <v>4</v>
      </c>
      <c r="E107" s="6"/>
      <c r="F107" s="6"/>
      <c r="G107" s="6"/>
      <c r="H107" s="7">
        <f t="shared" si="0"/>
      </c>
      <c r="I107" s="7">
        <f t="shared" si="1"/>
      </c>
      <c r="J107" s="7">
        <f t="shared" si="2"/>
      </c>
      <c r="K107" s="6"/>
      <c r="L107" s="6"/>
      <c r="M107" s="15"/>
      <c r="N107" s="6"/>
      <c r="O107" s="6" t="s">
        <v>28</v>
      </c>
      <c r="P107" s="6">
        <v>10</v>
      </c>
    </row>
    <row r="108">
      <c r="A108" s="26" t="s">
        <v>70</v>
      </c>
      <c r="B108" s="5" t="s">
        <v>25</v>
      </c>
      <c r="C108" s="6" t="s">
        <v>30</v>
      </c>
      <c r="D108" s="6">
        <v>4</v>
      </c>
      <c r="E108" s="6"/>
      <c r="F108" s="6"/>
      <c r="G108" s="6"/>
      <c r="H108" s="7">
        <f t="shared" si="0"/>
      </c>
      <c r="I108" s="7">
        <f t="shared" si="1"/>
      </c>
      <c r="J108" s="7">
        <f t="shared" si="2"/>
      </c>
      <c r="K108" s="6"/>
      <c r="L108" s="6"/>
      <c r="M108" s="6" t="s">
        <v>69</v>
      </c>
      <c r="N108" s="9">
        <v>10</v>
      </c>
      <c r="O108" s="8"/>
      <c r="P108" s="8"/>
    </row>
    <row r="109">
      <c r="A109" s="16" t="s">
        <v>70</v>
      </c>
      <c r="B109" s="5" t="s">
        <v>32</v>
      </c>
      <c r="C109" s="6" t="s">
        <v>33</v>
      </c>
      <c r="D109" s="6">
        <v>4</v>
      </c>
      <c r="E109" s="6"/>
      <c r="F109" s="6"/>
      <c r="G109" s="6"/>
      <c r="H109" s="7">
        <f t="shared" si="0"/>
      </c>
      <c r="I109" s="7">
        <f t="shared" si="1"/>
      </c>
      <c r="J109" s="7">
        <f t="shared" si="2"/>
      </c>
      <c r="K109" s="6"/>
      <c r="L109" s="6"/>
      <c r="M109" s="6"/>
      <c r="N109" s="9"/>
      <c r="O109" s="8"/>
      <c r="P109" s="8"/>
    </row>
    <row r="110">
      <c r="A110" s="10" t="s">
        <v>70</v>
      </c>
      <c r="B110" s="11"/>
      <c r="C110" s="11"/>
      <c r="D110" s="12">
        <f>SUM(D105:D109)</f>
      </c>
      <c r="E110" s="12">
        <f>SUM(E105:E109)</f>
      </c>
      <c r="F110" s="12">
        <f>SUM(F105:F109)</f>
      </c>
      <c r="G110" s="12">
        <f>SUM(G105:G109)</f>
      </c>
      <c r="H110" s="13">
        <f t="shared" si="0"/>
      </c>
      <c r="I110" s="13">
        <f t="shared" si="1"/>
      </c>
      <c r="J110" s="13">
        <f t="shared" si="2"/>
      </c>
      <c r="K110" s="12">
        <f>SUM(K105:K109)</f>
      </c>
      <c r="L110" s="12">
        <f>SUM(L105:L109)</f>
      </c>
      <c r="M110" s="14"/>
      <c r="N110" s="12">
        <f>SUM(N105:N109)</f>
      </c>
      <c r="O110" s="14"/>
      <c r="P110" s="12">
        <f>SUM(P105:P109)</f>
      </c>
    </row>
  </sheetData>
  <autoFilter ref="A1:P150"/>
  <dataValidations count="3">
    <dataValidation allowBlank="true" errorStyle="stop" showErrorMessage="true" sqref="B2:B6 B8:B11 B13:B16 B18:B21 B23:B27 B29:B33 B35:B39 B41:B45 B47:B50 B52:B56 B58:B62 B64:B68 B82:B84 B88:B90 B94:B96 B100:B102 B106:B108" type="list">
      <formula1>"蔡露露,杜思利,田宇尚,李雅琪,葛鑫然,段雨诺,于慧,刘子斌,张伟娜,王雨帆"</formula1>
    </dataValidation>
    <dataValidation allowBlank="true" errorStyle="stop" showErrorMessage="true" sqref="B7:B7 B12:B12 B17:B17 B22:B22 B28:B28 B34:B34 B40:B40 B46:B46 B51:B51 B57:B57 B63:B63 B69:B69 B75:B75 B80:B80 B86:B86 B92:B92 B98:B98 B104:B104 B110:B110" type="list">
      <formula1>"蔡露露,杜思利,田宇尚,李雅琪,葛鑫然,段雨诺,于慧,刘子斌,张伟娜"</formula1>
    </dataValidation>
    <dataValidation allowBlank="true" errorStyle="stop" showErrorMessage="true" sqref="B70:B74 B76:B79 B81:B81 B85:B85 B87:B87 B91:B91 B93:B93 B97:B97 B99:B99 B103:B103 B105:B105 B109:B109" type="list">
      <formula1>"蔡露露,杜思利,田宇尚,李雅琪,葛鑫然,段雨诺,于慧,高娟,张伟娜,王雨帆"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18" min="18" style="0" width="12.876540492957746"/>
    <col collapsed="false" customWidth="true" hidden="false" max="3" min="3" style="0" width="11.211267605633802"/>
    <col collapsed="false" customWidth="true" hidden="false" max="7" min="7" style="0" width="12.64480633802817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2.64480633802817"/>
    <col collapsed="false" customWidth="true" hidden="false" max="17" min="17" style="0" width="14.341329225352112"/>
  </cols>
  <sheetData>
    <row r="1">
      <c r="A1" s="27" t="s">
        <v>71</v>
      </c>
      <c r="B1" s="28" t="s">
        <v>72</v>
      </c>
      <c r="C1" s="28" t="s">
        <v>73</v>
      </c>
      <c r="D1" s="28" t="s">
        <v>74</v>
      </c>
      <c r="E1" s="28" t="s">
        <v>75</v>
      </c>
      <c r="F1" s="29" t="s">
        <v>76</v>
      </c>
      <c r="G1" s="29" t="s">
        <v>77</v>
      </c>
      <c r="H1" s="29" t="s">
        <v>78</v>
      </c>
      <c r="I1" s="29" t="s">
        <v>79</v>
      </c>
      <c r="J1" s="29" t="s">
        <v>80</v>
      </c>
      <c r="K1" s="28" t="s">
        <v>81</v>
      </c>
      <c r="L1" s="28" t="s">
        <v>82</v>
      </c>
      <c r="M1" s="28" t="s">
        <v>83</v>
      </c>
      <c r="N1" s="28" t="s">
        <v>84</v>
      </c>
      <c r="O1" s="28" t="s">
        <v>85</v>
      </c>
      <c r="P1" s="28" t="s">
        <v>86</v>
      </c>
      <c r="Q1" s="30"/>
    </row>
    <row r="2">
      <c r="A2" s="31" t="s">
        <v>87</v>
      </c>
      <c r="B2" s="32" t="s">
        <v>88</v>
      </c>
      <c r="C2" s="33" t="s">
        <v>89</v>
      </c>
      <c r="D2" s="33">
        <v>4</v>
      </c>
      <c r="E2" s="33">
        <v>2</v>
      </c>
      <c r="F2" s="33">
        <v>2426.4</v>
      </c>
      <c r="G2" s="33">
        <v>4315.11</v>
      </c>
      <c r="H2" s="34">
        <f t="shared" ref="H2:H160" si="1">F2/G2</f>
      </c>
      <c r="I2" s="34">
        <f t="shared" ref="I2:I160" si="0">F2/E2</f>
      </c>
      <c r="J2" s="34">
        <f t="shared" ref="J2:J160" si="3">G2/E2</f>
      </c>
      <c r="K2" s="33">
        <v>0</v>
      </c>
      <c r="L2" s="33">
        <v>0</v>
      </c>
      <c r="M2" s="35" t="s">
        <v>90</v>
      </c>
      <c r="N2" s="35">
        <v>10</v>
      </c>
      <c r="O2" s="32"/>
      <c r="P2" s="33"/>
    </row>
    <row r="3">
      <c r="A3" s="31" t="s">
        <v>87</v>
      </c>
      <c r="B3" s="36" t="s">
        <v>91</v>
      </c>
      <c r="C3" s="33" t="s">
        <v>92</v>
      </c>
      <c r="D3" s="33">
        <v>4</v>
      </c>
      <c r="E3" s="33">
        <v>18</v>
      </c>
      <c r="F3" s="33">
        <v>22036.6</v>
      </c>
      <c r="G3" s="33">
        <v>13220.37</v>
      </c>
      <c r="H3" s="34">
        <f t="shared" si="1"/>
      </c>
      <c r="I3" s="34">
        <f t="shared" si="0"/>
      </c>
      <c r="J3" s="34">
        <f t="shared" si="3"/>
      </c>
      <c r="K3" s="33">
        <v>6</v>
      </c>
      <c r="L3" s="33">
        <v>6383.8</v>
      </c>
      <c r="M3" s="33"/>
      <c r="N3" s="33"/>
      <c r="O3" s="37" t="s">
        <v>93</v>
      </c>
      <c r="P3" s="32">
        <v>10</v>
      </c>
    </row>
    <row r="4">
      <c r="A4" s="31" t="s">
        <v>87</v>
      </c>
      <c r="B4" s="36" t="s">
        <v>94</v>
      </c>
      <c r="C4" s="33" t="s">
        <v>95</v>
      </c>
      <c r="D4" s="33">
        <v>4</v>
      </c>
      <c r="E4" s="33">
        <v>6</v>
      </c>
      <c r="F4" s="33">
        <v>8933.999999999998</v>
      </c>
      <c r="G4" s="33">
        <v>6251.76</v>
      </c>
      <c r="H4" s="34">
        <f t="shared" si="1"/>
      </c>
      <c r="I4" s="34">
        <f t="shared" si="0"/>
      </c>
      <c r="J4" s="34">
        <f t="shared" si="3"/>
      </c>
      <c r="K4" s="33">
        <v>0</v>
      </c>
      <c r="L4" s="33">
        <v>0</v>
      </c>
      <c r="M4" s="33"/>
      <c r="N4" s="33"/>
      <c r="O4" s="32" t="s">
        <v>96</v>
      </c>
      <c r="P4" s="33">
        <v>10</v>
      </c>
    </row>
    <row r="5">
      <c r="A5" s="31" t="s">
        <v>87</v>
      </c>
      <c r="B5" s="36" t="s">
        <v>97</v>
      </c>
      <c r="C5" s="33" t="s">
        <v>98</v>
      </c>
      <c r="D5" s="33">
        <v>4</v>
      </c>
      <c r="E5" s="33">
        <v>2</v>
      </c>
      <c r="F5" s="33">
        <v>3674.4000000000015</v>
      </c>
      <c r="G5" s="33">
        <v>4818.69</v>
      </c>
      <c r="H5" s="34">
        <f t="shared" si="1"/>
      </c>
      <c r="I5" s="34">
        <f t="shared" si="0"/>
      </c>
      <c r="J5" s="34">
        <f t="shared" si="3"/>
      </c>
      <c r="K5" s="33">
        <v>0</v>
      </c>
      <c r="L5" s="38">
        <v>0</v>
      </c>
      <c r="M5" s="33" t="s">
        <v>99</v>
      </c>
      <c r="N5" s="39">
        <v>10</v>
      </c>
      <c r="O5" s="37"/>
      <c r="P5" s="32"/>
    </row>
    <row r="6">
      <c r="A6" s="31" t="s">
        <v>87</v>
      </c>
      <c r="B6" s="36" t="s">
        <v>100</v>
      </c>
      <c r="C6" s="33" t="s">
        <v>101</v>
      </c>
      <c r="D6" s="33">
        <v>4</v>
      </c>
      <c r="E6" s="33">
        <v>6</v>
      </c>
      <c r="F6" s="32">
        <v>4462.799999999998</v>
      </c>
      <c r="G6" s="32">
        <v>4737.61</v>
      </c>
      <c r="H6" s="34">
        <f t="shared" si="1"/>
      </c>
      <c r="I6" s="34">
        <f t="shared" si="0"/>
      </c>
      <c r="J6" s="34">
        <f t="shared" si="3"/>
      </c>
      <c r="K6" s="33">
        <v>3</v>
      </c>
      <c r="L6" s="38">
        <v>1050</v>
      </c>
      <c r="M6" s="33"/>
      <c r="N6" s="33"/>
      <c r="O6" s="37"/>
      <c r="P6" s="32"/>
    </row>
    <row r="7">
      <c r="A7" s="40" t="s">
        <v>87</v>
      </c>
      <c r="B7" s="41"/>
      <c r="C7" s="41"/>
      <c r="D7" s="42">
        <f>SUM(D2:D6)</f>
      </c>
      <c r="E7" s="42">
        <f>SUM(E2:E6)</f>
      </c>
      <c r="F7" s="42">
        <f>SUM(F2:F6)</f>
      </c>
      <c r="G7" s="42">
        <f>SUM(G2:G6)</f>
      </c>
      <c r="H7" s="43">
        <f t="shared" si="1"/>
      </c>
      <c r="I7" s="43">
        <f t="shared" si="0"/>
      </c>
      <c r="J7" s="43">
        <f t="shared" si="3"/>
      </c>
      <c r="K7" s="42">
        <f>SUM(K2:K6)</f>
      </c>
      <c r="L7" s="42">
        <f>SUM(L2:L6)</f>
      </c>
      <c r="M7" s="44"/>
      <c r="N7" s="42">
        <f>SUM(N2:N6)</f>
      </c>
      <c r="O7" s="44"/>
      <c r="P7" s="42">
        <f>SUM(P2:P6)</f>
      </c>
    </row>
    <row r="8">
      <c r="A8" s="31" t="s">
        <v>102</v>
      </c>
      <c r="B8" s="32" t="s">
        <v>88</v>
      </c>
      <c r="C8" s="33" t="s">
        <v>89</v>
      </c>
      <c r="D8" s="33">
        <v>4</v>
      </c>
      <c r="E8" s="33">
        <v>10</v>
      </c>
      <c r="F8" s="33">
        <v>10075.2</v>
      </c>
      <c r="G8" s="33">
        <v>7858.77</v>
      </c>
      <c r="H8" s="34">
        <f t="shared" si="1"/>
      </c>
      <c r="I8" s="34">
        <f t="shared" si="0"/>
      </c>
      <c r="J8" s="34">
        <f t="shared" si="3"/>
      </c>
      <c r="K8" s="33">
        <v>3</v>
      </c>
      <c r="L8" s="33">
        <v>3136.8</v>
      </c>
      <c r="M8" s="35" t="s">
        <v>90</v>
      </c>
      <c r="N8" s="35">
        <v>1</v>
      </c>
      <c r="O8" s="32"/>
      <c r="P8" s="33"/>
    </row>
    <row r="9">
      <c r="A9" s="31" t="s">
        <v>102</v>
      </c>
      <c r="B9" s="36" t="s">
        <v>94</v>
      </c>
      <c r="C9" s="33" t="s">
        <v>92</v>
      </c>
      <c r="D9" s="33">
        <v>4</v>
      </c>
      <c r="E9" s="33">
        <v>9</v>
      </c>
      <c r="F9" s="33">
        <v>8139.6</v>
      </c>
      <c r="G9" s="33">
        <v>10134.87</v>
      </c>
      <c r="H9" s="34">
        <f t="shared" si="1"/>
      </c>
      <c r="I9" s="34">
        <f t="shared" si="0"/>
      </c>
      <c r="J9" s="34">
        <f t="shared" si="3"/>
      </c>
      <c r="K9" s="33">
        <v>6</v>
      </c>
      <c r="L9" s="33">
        <v>4465.2</v>
      </c>
      <c r="M9" s="33" t="s">
        <v>103</v>
      </c>
      <c r="N9" s="33">
        <v>9</v>
      </c>
      <c r="O9" s="37" t="s">
        <v>93</v>
      </c>
      <c r="P9" s="32">
        <v>10</v>
      </c>
    </row>
    <row r="10">
      <c r="A10" s="31" t="s">
        <v>102</v>
      </c>
      <c r="B10" s="36" t="s">
        <v>97</v>
      </c>
      <c r="C10" s="33" t="s">
        <v>95</v>
      </c>
      <c r="D10" s="33">
        <v>4</v>
      </c>
      <c r="E10" s="33">
        <v>4</v>
      </c>
      <c r="F10" s="33">
        <v>3312</v>
      </c>
      <c r="G10" s="33">
        <v>5061.81</v>
      </c>
      <c r="H10" s="34">
        <f t="shared" si="1"/>
      </c>
      <c r="I10" s="34">
        <f t="shared" si="0"/>
      </c>
      <c r="J10" s="34">
        <f t="shared" si="3"/>
      </c>
      <c r="K10" s="33">
        <v>0</v>
      </c>
      <c r="L10" s="33">
        <v>0</v>
      </c>
      <c r="M10" s="33"/>
      <c r="N10" s="33"/>
      <c r="O10" s="32" t="s">
        <v>96</v>
      </c>
      <c r="P10" s="33">
        <v>10</v>
      </c>
    </row>
    <row r="11">
      <c r="A11" s="31" t="s">
        <v>102</v>
      </c>
      <c r="B11" s="36" t="s">
        <v>100</v>
      </c>
      <c r="C11" s="33" t="s">
        <v>98</v>
      </c>
      <c r="D11" s="33">
        <v>4</v>
      </c>
      <c r="E11" s="33">
        <v>7</v>
      </c>
      <c r="F11" s="33">
        <v>9680.2</v>
      </c>
      <c r="G11" s="33">
        <v>4559.93</v>
      </c>
      <c r="H11" s="34">
        <f t="shared" si="1"/>
      </c>
      <c r="I11" s="34">
        <f t="shared" si="0"/>
      </c>
      <c r="J11" s="34">
        <f t="shared" si="3"/>
      </c>
      <c r="K11" s="33">
        <v>3</v>
      </c>
      <c r="L11" s="38">
        <v>1558.6</v>
      </c>
      <c r="M11" s="33" t="s">
        <v>99</v>
      </c>
      <c r="N11" s="39">
        <v>10</v>
      </c>
      <c r="O11" s="37"/>
      <c r="P11" s="32"/>
    </row>
    <row r="12">
      <c r="A12" s="31" t="s">
        <v>102</v>
      </c>
      <c r="B12" s="36" t="s">
        <v>104</v>
      </c>
      <c r="C12" s="33" t="s">
        <v>101</v>
      </c>
      <c r="D12" s="33">
        <v>4</v>
      </c>
      <c r="E12" s="33">
        <v>4</v>
      </c>
      <c r="F12" s="32">
        <v>5022</v>
      </c>
      <c r="G12" s="32">
        <v>2947.1199999999994</v>
      </c>
      <c r="H12" s="34">
        <f t="shared" si="1"/>
      </c>
      <c r="I12" s="34">
        <f t="shared" si="0"/>
      </c>
      <c r="J12" s="34">
        <f t="shared" si="3"/>
      </c>
      <c r="K12" s="33">
        <v>0</v>
      </c>
      <c r="L12" s="38">
        <v>0</v>
      </c>
      <c r="M12" s="33"/>
      <c r="N12" s="33"/>
      <c r="O12" s="37"/>
      <c r="P12" s="32"/>
    </row>
    <row r="13">
      <c r="A13" s="40" t="s">
        <v>102</v>
      </c>
      <c r="B13" s="41"/>
      <c r="C13" s="41"/>
      <c r="D13" s="42">
        <f>SUM(D8:D12)</f>
      </c>
      <c r="E13" s="42">
        <f>SUM(E8:E12)</f>
      </c>
      <c r="F13" s="42">
        <f>SUM(F8:F12)</f>
      </c>
      <c r="G13" s="42">
        <f>SUM(G8:G12)</f>
      </c>
      <c r="H13" s="43">
        <f t="shared" si="1"/>
      </c>
      <c r="I13" s="43">
        <f t="shared" si="0"/>
      </c>
      <c r="J13" s="43">
        <f t="shared" si="3"/>
      </c>
      <c r="K13" s="42">
        <f>SUM(K8:K12)</f>
      </c>
      <c r="L13" s="42">
        <f>SUM(L8:L12)</f>
      </c>
      <c r="M13" s="44"/>
      <c r="N13" s="42">
        <f>SUM(N8:N12)</f>
      </c>
      <c r="O13" s="44"/>
      <c r="P13" s="42">
        <f>SUM(P8:P12)</f>
      </c>
    </row>
    <row r="14">
      <c r="A14" s="31" t="s">
        <v>105</v>
      </c>
      <c r="B14" s="32" t="s">
        <v>88</v>
      </c>
      <c r="C14" s="33" t="s">
        <v>89</v>
      </c>
      <c r="D14" s="33">
        <v>4</v>
      </c>
      <c r="E14" s="33">
        <v>1</v>
      </c>
      <c r="F14" s="33">
        <v>444</v>
      </c>
      <c r="G14" s="33">
        <v>1939.79</v>
      </c>
      <c r="H14" s="34">
        <f t="shared" si="1"/>
      </c>
      <c r="I14" s="34">
        <f t="shared" si="0"/>
      </c>
      <c r="J14" s="34">
        <f t="shared" si="3"/>
      </c>
      <c r="K14" s="33">
        <v>0</v>
      </c>
      <c r="L14" s="33">
        <v>0</v>
      </c>
      <c r="M14" s="35" t="s">
        <v>90</v>
      </c>
      <c r="N14" s="35">
        <v>1</v>
      </c>
      <c r="O14" s="32"/>
      <c r="P14" s="33"/>
    </row>
    <row r="15">
      <c r="A15" s="31" t="s">
        <v>105</v>
      </c>
      <c r="B15" s="36" t="s">
        <v>94</v>
      </c>
      <c r="C15" s="33" t="s">
        <v>92</v>
      </c>
      <c r="D15" s="33">
        <v>4</v>
      </c>
      <c r="E15" s="33">
        <v>4</v>
      </c>
      <c r="F15" s="33">
        <v>3311.28</v>
      </c>
      <c r="G15" s="33">
        <v>1896.0700000000002</v>
      </c>
      <c r="H15" s="34">
        <f t="shared" si="1"/>
      </c>
      <c r="I15" s="34">
        <f t="shared" si="0"/>
      </c>
      <c r="J15" s="34">
        <f t="shared" si="3"/>
      </c>
      <c r="K15" s="33">
        <v>0</v>
      </c>
      <c r="L15" s="33">
        <v>0</v>
      </c>
      <c r="M15" s="33" t="s">
        <v>103</v>
      </c>
      <c r="N15" s="33">
        <v>9</v>
      </c>
      <c r="O15" s="37" t="s">
        <v>93</v>
      </c>
      <c r="P15" s="32">
        <v>10</v>
      </c>
    </row>
    <row r="16">
      <c r="A16" s="31" t="s">
        <v>105</v>
      </c>
      <c r="B16" s="36" t="s">
        <v>97</v>
      </c>
      <c r="C16" s="33" t="s">
        <v>95</v>
      </c>
      <c r="D16" s="33">
        <v>4</v>
      </c>
      <c r="E16" s="33">
        <v>5</v>
      </c>
      <c r="F16" s="33">
        <v>5824.320000000001</v>
      </c>
      <c r="G16" s="33">
        <v>4014.34</v>
      </c>
      <c r="H16" s="34">
        <f t="shared" si="1"/>
      </c>
      <c r="I16" s="34">
        <f t="shared" si="0"/>
      </c>
      <c r="J16" s="34">
        <f t="shared" si="3"/>
      </c>
      <c r="K16" s="33">
        <v>2</v>
      </c>
      <c r="L16" s="33">
        <v>1056</v>
      </c>
      <c r="M16" s="33"/>
      <c r="N16" s="33"/>
      <c r="O16" s="32" t="s">
        <v>96</v>
      </c>
      <c r="P16" s="33">
        <v>10</v>
      </c>
    </row>
    <row r="17">
      <c r="A17" s="31" t="s">
        <v>105</v>
      </c>
      <c r="B17" s="36" t="s">
        <v>100</v>
      </c>
      <c r="C17" s="33" t="s">
        <v>98</v>
      </c>
      <c r="D17" s="33">
        <v>4</v>
      </c>
      <c r="E17" s="33">
        <v>3</v>
      </c>
      <c r="F17" s="33">
        <v>1156.8</v>
      </c>
      <c r="G17" s="33">
        <v>1911.3600000000001</v>
      </c>
      <c r="H17" s="34">
        <f t="shared" si="1"/>
      </c>
      <c r="I17" s="34">
        <f t="shared" si="0"/>
      </c>
      <c r="J17" s="34">
        <f t="shared" si="3"/>
      </c>
      <c r="K17" s="33">
        <v>1</v>
      </c>
      <c r="L17" s="38">
        <v>178.8</v>
      </c>
      <c r="M17" s="33" t="s">
        <v>99</v>
      </c>
      <c r="N17" s="39">
        <v>10</v>
      </c>
      <c r="O17" s="37"/>
      <c r="P17" s="32"/>
    </row>
    <row r="18">
      <c r="A18" s="31" t="s">
        <v>105</v>
      </c>
      <c r="B18" s="36" t="s">
        <v>104</v>
      </c>
      <c r="C18" s="33" t="s">
        <v>101</v>
      </c>
      <c r="D18" s="33">
        <v>4</v>
      </c>
      <c r="E18" s="33">
        <v>3</v>
      </c>
      <c r="F18" s="32">
        <v>2143.2000000000007</v>
      </c>
      <c r="G18" s="32">
        <v>3735.51</v>
      </c>
      <c r="H18" s="34">
        <f t="shared" si="1"/>
      </c>
      <c r="I18" s="34">
        <f t="shared" si="0"/>
      </c>
      <c r="J18" s="34">
        <f t="shared" si="3"/>
      </c>
      <c r="K18" s="33">
        <v>0</v>
      </c>
      <c r="L18" s="38">
        <v>0</v>
      </c>
      <c r="M18" s="33"/>
      <c r="N18" s="33"/>
      <c r="O18" s="37"/>
      <c r="P18" s="32"/>
    </row>
    <row r="19">
      <c r="A19" s="40" t="s">
        <v>105</v>
      </c>
      <c r="B19" s="41"/>
      <c r="C19" s="41"/>
      <c r="D19" s="42">
        <f>SUM(D14:D18)</f>
      </c>
      <c r="E19" s="42">
        <f>SUM(E14:E18)</f>
      </c>
      <c r="F19" s="42">
        <f>SUM(F14:F18)</f>
      </c>
      <c r="G19" s="42">
        <f>SUM(G14:G18)</f>
      </c>
      <c r="H19" s="43">
        <f t="shared" si="1"/>
      </c>
      <c r="I19" s="43">
        <f t="shared" si="0"/>
      </c>
      <c r="J19" s="43">
        <f t="shared" si="3"/>
      </c>
      <c r="K19" s="42">
        <f>SUM(K14:K18)</f>
      </c>
      <c r="L19" s="42">
        <f>SUM(L14:L18)</f>
      </c>
      <c r="M19" s="44"/>
      <c r="N19" s="42">
        <f>SUM(N14:N18)</f>
      </c>
      <c r="O19" s="44"/>
      <c r="P19" s="42">
        <f>SUM(P14:P18)</f>
      </c>
    </row>
    <row r="20">
      <c r="A20" s="31" t="s">
        <v>106</v>
      </c>
      <c r="B20" s="36" t="s">
        <v>94</v>
      </c>
      <c r="C20" s="33" t="s">
        <v>89</v>
      </c>
      <c r="D20" s="33">
        <v>4</v>
      </c>
      <c r="E20" s="33">
        <v>3</v>
      </c>
      <c r="F20" s="33">
        <v>3345.6</v>
      </c>
      <c r="G20" s="33">
        <v>5350.259999999999</v>
      </c>
      <c r="H20" s="34">
        <f t="shared" si="1"/>
      </c>
      <c r="I20" s="34">
        <f t="shared" si="0"/>
      </c>
      <c r="J20" s="34">
        <f t="shared" si="3"/>
      </c>
      <c r="K20" s="33">
        <v>0</v>
      </c>
      <c r="L20" s="33">
        <v>0</v>
      </c>
      <c r="M20" s="35" t="s">
        <v>107</v>
      </c>
      <c r="N20" s="35">
        <v>10</v>
      </c>
      <c r="O20" s="32"/>
      <c r="P20" s="33"/>
    </row>
    <row r="21">
      <c r="A21" s="31" t="s">
        <v>106</v>
      </c>
      <c r="B21" s="36" t="s">
        <v>97</v>
      </c>
      <c r="C21" s="33" t="s">
        <v>92</v>
      </c>
      <c r="D21" s="33">
        <v>4</v>
      </c>
      <c r="E21" s="33">
        <v>5</v>
      </c>
      <c r="F21" s="33">
        <v>4473.4</v>
      </c>
      <c r="G21" s="33">
        <v>4967.77</v>
      </c>
      <c r="H21" s="34">
        <f t="shared" si="1"/>
      </c>
      <c r="I21" s="34">
        <f t="shared" si="0"/>
      </c>
      <c r="J21" s="34">
        <f t="shared" si="3"/>
      </c>
      <c r="K21" s="33">
        <v>2</v>
      </c>
      <c r="L21" s="33">
        <v>2575</v>
      </c>
      <c r="M21" s="33"/>
      <c r="N21" s="33"/>
      <c r="O21" s="37" t="s">
        <v>93</v>
      </c>
      <c r="P21" s="32">
        <v>10</v>
      </c>
    </row>
    <row r="22">
      <c r="A22" s="31" t="s">
        <v>106</v>
      </c>
      <c r="B22" s="36" t="s">
        <v>104</v>
      </c>
      <c r="C22" s="33" t="s">
        <v>95</v>
      </c>
      <c r="D22" s="33">
        <v>4</v>
      </c>
      <c r="E22" s="33">
        <v>1</v>
      </c>
      <c r="F22" s="33">
        <v>692</v>
      </c>
      <c r="G22" s="33">
        <v>2400.96</v>
      </c>
      <c r="H22" s="34">
        <f t="shared" si="1"/>
      </c>
      <c r="I22" s="34">
        <f t="shared" si="0"/>
      </c>
      <c r="J22" s="34">
        <f t="shared" si="3"/>
      </c>
      <c r="K22" s="33">
        <v>1</v>
      </c>
      <c r="L22" s="33">
        <v>692</v>
      </c>
      <c r="M22" s="33"/>
      <c r="N22" s="33"/>
      <c r="O22" s="32" t="s">
        <v>96</v>
      </c>
      <c r="P22" s="33">
        <v>10</v>
      </c>
    </row>
    <row r="23">
      <c r="A23" s="31" t="s">
        <v>106</v>
      </c>
      <c r="B23" s="36" t="s">
        <v>100</v>
      </c>
      <c r="C23" s="33" t="s">
        <v>98</v>
      </c>
      <c r="D23" s="33">
        <v>4</v>
      </c>
      <c r="E23" s="33">
        <v>9</v>
      </c>
      <c r="F23" s="33">
        <v>11400</v>
      </c>
      <c r="G23" s="33">
        <v>7019.38</v>
      </c>
      <c r="H23" s="34">
        <f t="shared" si="1"/>
      </c>
      <c r="I23" s="34">
        <f t="shared" si="0"/>
      </c>
      <c r="J23" s="34">
        <f t="shared" si="3"/>
      </c>
      <c r="K23" s="33">
        <v>1</v>
      </c>
      <c r="L23" s="38">
        <v>456</v>
      </c>
      <c r="M23" s="33" t="s">
        <v>108</v>
      </c>
      <c r="N23" s="39">
        <v>10</v>
      </c>
      <c r="O23" s="37"/>
      <c r="P23" s="32"/>
    </row>
    <row r="24">
      <c r="A24" s="31" t="s">
        <v>106</v>
      </c>
      <c r="B24" s="36" t="s">
        <v>91</v>
      </c>
      <c r="C24" s="33" t="s">
        <v>101</v>
      </c>
      <c r="D24" s="33">
        <v>4</v>
      </c>
      <c r="E24" s="33">
        <v>12</v>
      </c>
      <c r="F24" s="33">
        <v>13839.6</v>
      </c>
      <c r="G24" s="33">
        <v>10060.97</v>
      </c>
      <c r="H24" s="34">
        <f t="shared" si="1"/>
      </c>
      <c r="I24" s="34">
        <f t="shared" si="0"/>
      </c>
      <c r="J24" s="34">
        <f t="shared" si="3"/>
      </c>
      <c r="K24" s="33">
        <v>3</v>
      </c>
      <c r="L24" s="38">
        <v>2406</v>
      </c>
      <c r="M24" s="33"/>
      <c r="N24" s="33"/>
      <c r="O24" s="37"/>
      <c r="P24" s="32"/>
    </row>
    <row r="25">
      <c r="A25" s="40" t="s">
        <v>106</v>
      </c>
      <c r="B25" s="41"/>
      <c r="C25" s="41"/>
      <c r="D25" s="42">
        <f>SUM(D20:D24)</f>
      </c>
      <c r="E25" s="42">
        <f>SUM(E20:E24)</f>
      </c>
      <c r="F25" s="42">
        <f>SUM(F20:F24)</f>
      </c>
      <c r="G25" s="42">
        <f>SUM(G20:G24)</f>
      </c>
      <c r="H25" s="43">
        <f t="shared" si="1"/>
      </c>
      <c r="I25" s="43">
        <f t="shared" si="0"/>
      </c>
      <c r="J25" s="43">
        <f t="shared" si="3"/>
      </c>
      <c r="K25" s="42">
        <f>SUM(K20:K24)</f>
      </c>
      <c r="L25" s="42">
        <f>SUM(L20:L24)</f>
      </c>
      <c r="M25" s="44"/>
      <c r="N25" s="42">
        <f>SUM(N20:N24)</f>
      </c>
      <c r="O25" s="44"/>
      <c r="P25" s="42">
        <f>SUM(P20:P24)</f>
      </c>
    </row>
    <row r="26">
      <c r="A26" s="31" t="s">
        <v>109</v>
      </c>
      <c r="B26" s="36" t="s">
        <v>94</v>
      </c>
      <c r="C26" s="33" t="s">
        <v>89</v>
      </c>
      <c r="D26" s="33">
        <v>4</v>
      </c>
      <c r="E26" s="33">
        <v>3</v>
      </c>
      <c r="F26" s="33">
        <v>3001.2</v>
      </c>
      <c r="G26" s="33">
        <v>6062.890000000001</v>
      </c>
      <c r="H26" s="34">
        <f t="shared" si="1"/>
      </c>
      <c r="I26" s="34">
        <f t="shared" si="0"/>
      </c>
      <c r="J26" s="34">
        <f t="shared" si="3"/>
      </c>
      <c r="K26" s="33">
        <v>0</v>
      </c>
      <c r="L26" s="33">
        <v>0</v>
      </c>
      <c r="M26" s="35" t="s">
        <v>107</v>
      </c>
      <c r="N26" s="35">
        <v>10</v>
      </c>
      <c r="O26" s="32"/>
      <c r="P26" s="33"/>
    </row>
    <row r="27">
      <c r="A27" s="31" t="s">
        <v>109</v>
      </c>
      <c r="B27" s="36" t="s">
        <v>97</v>
      </c>
      <c r="C27" s="33" t="s">
        <v>92</v>
      </c>
      <c r="D27" s="33">
        <v>4</v>
      </c>
      <c r="E27" s="33">
        <v>8</v>
      </c>
      <c r="F27" s="33">
        <v>10194</v>
      </c>
      <c r="G27" s="33">
        <v>5446.5</v>
      </c>
      <c r="H27" s="34">
        <f t="shared" si="1"/>
      </c>
      <c r="I27" s="34">
        <f t="shared" si="0"/>
      </c>
      <c r="J27" s="34">
        <f t="shared" si="3"/>
      </c>
      <c r="K27" s="33">
        <v>3</v>
      </c>
      <c r="L27" s="33">
        <v>2312.4</v>
      </c>
      <c r="M27" s="33"/>
      <c r="N27" s="33"/>
      <c r="O27" s="37" t="s">
        <v>93</v>
      </c>
      <c r="P27" s="32">
        <v>10</v>
      </c>
    </row>
    <row r="28">
      <c r="A28" s="31" t="s">
        <v>109</v>
      </c>
      <c r="B28" s="36" t="s">
        <v>100</v>
      </c>
      <c r="C28" s="33" t="s">
        <v>95</v>
      </c>
      <c r="D28" s="33">
        <v>4</v>
      </c>
      <c r="E28" s="33">
        <v>4</v>
      </c>
      <c r="F28" s="33">
        <v>3877.2</v>
      </c>
      <c r="G28" s="33">
        <v>5251.66</v>
      </c>
      <c r="H28" s="34">
        <f t="shared" si="1"/>
      </c>
      <c r="I28" s="34">
        <f t="shared" si="0"/>
      </c>
      <c r="J28" s="34">
        <f t="shared" si="3"/>
      </c>
      <c r="K28" s="33">
        <v>0</v>
      </c>
      <c r="L28" s="33">
        <v>0</v>
      </c>
      <c r="M28" s="33" t="s">
        <v>110</v>
      </c>
      <c r="N28" s="33">
        <v>4</v>
      </c>
      <c r="O28" s="32" t="s">
        <v>96</v>
      </c>
      <c r="P28" s="33">
        <v>10</v>
      </c>
    </row>
    <row r="29">
      <c r="A29" s="31" t="s">
        <v>109</v>
      </c>
      <c r="B29" s="36" t="s">
        <v>104</v>
      </c>
      <c r="C29" s="33" t="s">
        <v>98</v>
      </c>
      <c r="D29" s="33">
        <v>4</v>
      </c>
      <c r="E29" s="33">
        <v>7</v>
      </c>
      <c r="F29" s="33">
        <v>12724.8</v>
      </c>
      <c r="G29" s="33">
        <v>7449.26</v>
      </c>
      <c r="H29" s="34">
        <f t="shared" si="1"/>
      </c>
      <c r="I29" s="34">
        <f t="shared" si="0"/>
      </c>
      <c r="J29" s="34">
        <f t="shared" si="3"/>
      </c>
      <c r="K29" s="33">
        <v>1</v>
      </c>
      <c r="L29" s="38">
        <v>2011.2</v>
      </c>
      <c r="M29" s="33" t="s">
        <v>111</v>
      </c>
      <c r="N29" s="39">
        <v>4</v>
      </c>
      <c r="O29" s="37"/>
      <c r="P29" s="32"/>
    </row>
    <row r="30">
      <c r="A30" s="31" t="s">
        <v>109</v>
      </c>
      <c r="B30" s="36" t="s">
        <v>91</v>
      </c>
      <c r="C30" s="33" t="s">
        <v>101</v>
      </c>
      <c r="D30" s="33">
        <v>4</v>
      </c>
      <c r="E30" s="33">
        <v>9</v>
      </c>
      <c r="F30" s="33">
        <v>11214</v>
      </c>
      <c r="G30" s="33">
        <v>5445.030000000001</v>
      </c>
      <c r="H30" s="34">
        <f t="shared" si="1"/>
      </c>
      <c r="I30" s="34">
        <f t="shared" si="0"/>
      </c>
      <c r="J30" s="34">
        <f t="shared" si="3"/>
      </c>
      <c r="K30" s="33">
        <v>0</v>
      </c>
      <c r="L30" s="38">
        <v>0</v>
      </c>
      <c r="M30" s="33" t="s">
        <v>108</v>
      </c>
      <c r="N30" s="33">
        <v>2</v>
      </c>
      <c r="O30" s="37"/>
      <c r="P30" s="32"/>
    </row>
    <row r="31">
      <c r="A31" s="40" t="s">
        <v>109</v>
      </c>
      <c r="B31" s="41"/>
      <c r="C31" s="41"/>
      <c r="D31" s="42">
        <f>SUM(D26:D30)</f>
      </c>
      <c r="E31" s="42">
        <f>SUM(E26:E30)</f>
      </c>
      <c r="F31" s="42">
        <f>SUM(F26:F30)</f>
      </c>
      <c r="G31" s="42">
        <f>SUM(G26:G30)</f>
      </c>
      <c r="H31" s="43">
        <f t="shared" si="1"/>
      </c>
      <c r="I31" s="43">
        <f t="shared" si="0"/>
      </c>
      <c r="J31" s="43">
        <f t="shared" si="3"/>
      </c>
      <c r="K31" s="42">
        <f>SUM(K26:K30)</f>
      </c>
      <c r="L31" s="42">
        <f>SUM(L26:L30)</f>
      </c>
      <c r="M31" s="44"/>
      <c r="N31" s="42">
        <f>SUM(N26:N30)</f>
      </c>
      <c r="O31" s="44"/>
      <c r="P31" s="42">
        <f>SUM(P26:P30)</f>
      </c>
    </row>
    <row r="32">
      <c r="A32" s="31" t="s">
        <v>112</v>
      </c>
      <c r="B32" s="36" t="s">
        <v>97</v>
      </c>
      <c r="C32" s="33" t="s">
        <v>89</v>
      </c>
      <c r="D32" s="33">
        <v>4</v>
      </c>
      <c r="E32" s="33">
        <v>9</v>
      </c>
      <c r="F32" s="33">
        <v>11754</v>
      </c>
      <c r="G32" s="33">
        <v>11822.62</v>
      </c>
      <c r="H32" s="34">
        <f t="shared" si="1"/>
      </c>
      <c r="I32" s="34">
        <f t="shared" si="0"/>
      </c>
      <c r="J32" s="34">
        <f t="shared" si="3"/>
      </c>
      <c r="K32" s="33">
        <v>4</v>
      </c>
      <c r="L32" s="33">
        <v>5461.2</v>
      </c>
      <c r="M32" s="35" t="s">
        <v>113</v>
      </c>
      <c r="N32" s="35">
        <v>10</v>
      </c>
      <c r="O32" s="32"/>
      <c r="P32" s="33"/>
    </row>
    <row r="33">
      <c r="A33" s="31" t="s">
        <v>112</v>
      </c>
      <c r="B33" s="36" t="s">
        <v>88</v>
      </c>
      <c r="C33" s="33" t="s">
        <v>92</v>
      </c>
      <c r="D33" s="33">
        <v>4</v>
      </c>
      <c r="E33" s="33">
        <v>14</v>
      </c>
      <c r="F33" s="33">
        <v>12416.400000000001</v>
      </c>
      <c r="G33" s="33">
        <v>8731.630000000001</v>
      </c>
      <c r="H33" s="34">
        <f t="shared" si="1"/>
      </c>
      <c r="I33" s="34">
        <f t="shared" si="0"/>
      </c>
      <c r="J33" s="34">
        <f t="shared" si="3"/>
      </c>
      <c r="K33" s="33">
        <v>3</v>
      </c>
      <c r="L33" s="33">
        <v>1531.2</v>
      </c>
      <c r="M33" s="33"/>
      <c r="N33" s="33"/>
      <c r="O33" s="37" t="s">
        <v>93</v>
      </c>
      <c r="P33" s="32">
        <v>10</v>
      </c>
    </row>
    <row r="34">
      <c r="A34" s="31" t="s">
        <v>112</v>
      </c>
      <c r="B34" s="36" t="s">
        <v>100</v>
      </c>
      <c r="C34" s="33" t="s">
        <v>95</v>
      </c>
      <c r="D34" s="45">
        <f>4-0.25</f>
      </c>
      <c r="E34" s="33">
        <v>13</v>
      </c>
      <c r="F34" s="33">
        <v>14420.400000000001</v>
      </c>
      <c r="G34" s="33">
        <v>13028.57</v>
      </c>
      <c r="H34" s="34">
        <f t="shared" si="1"/>
      </c>
      <c r="I34" s="34">
        <f t="shared" si="0"/>
      </c>
      <c r="J34" s="34">
        <f t="shared" si="3"/>
      </c>
      <c r="K34" s="33">
        <v>4</v>
      </c>
      <c r="L34" s="33">
        <v>5161.2</v>
      </c>
      <c r="M34" s="33"/>
      <c r="N34" s="33"/>
      <c r="O34" s="32" t="s">
        <v>96</v>
      </c>
      <c r="P34" s="33">
        <v>10</v>
      </c>
    </row>
    <row r="35">
      <c r="A35" s="31" t="s">
        <v>112</v>
      </c>
      <c r="B35" s="36" t="s">
        <v>104</v>
      </c>
      <c r="C35" s="33" t="s">
        <v>98</v>
      </c>
      <c r="D35" s="33">
        <v>4</v>
      </c>
      <c r="E35" s="33">
        <v>3</v>
      </c>
      <c r="F35" s="33">
        <v>4099.199999999997</v>
      </c>
      <c r="G35" s="33">
        <v>5636.67</v>
      </c>
      <c r="H35" s="34">
        <f t="shared" si="1"/>
      </c>
      <c r="I35" s="34">
        <f t="shared" si="0"/>
      </c>
      <c r="J35" s="34">
        <f t="shared" si="3"/>
      </c>
      <c r="K35" s="33">
        <v>0</v>
      </c>
      <c r="L35" s="38">
        <v>0</v>
      </c>
      <c r="M35" s="33"/>
      <c r="N35" s="39"/>
      <c r="O35" s="37"/>
      <c r="P35" s="32"/>
    </row>
    <row r="36">
      <c r="A36" s="31" t="s">
        <v>112</v>
      </c>
      <c r="B36" s="36" t="s">
        <v>94</v>
      </c>
      <c r="C36" s="33" t="s">
        <v>101</v>
      </c>
      <c r="D36" s="33">
        <v>4</v>
      </c>
      <c r="E36" s="33">
        <v>7</v>
      </c>
      <c r="F36" s="33">
        <v>7476</v>
      </c>
      <c r="G36" s="33">
        <v>5212.599999999999</v>
      </c>
      <c r="H36" s="34">
        <f t="shared" si="1"/>
      </c>
      <c r="I36" s="34">
        <f t="shared" si="0"/>
      </c>
      <c r="J36" s="34">
        <f t="shared" si="3"/>
      </c>
      <c r="K36" s="33">
        <v>3</v>
      </c>
      <c r="L36" s="38">
        <v>1030.8</v>
      </c>
      <c r="M36" s="33" t="s">
        <v>114</v>
      </c>
      <c r="N36" s="33">
        <v>10</v>
      </c>
      <c r="O36" s="37"/>
      <c r="P36" s="32"/>
    </row>
    <row r="37">
      <c r="A37" s="40" t="s">
        <v>112</v>
      </c>
      <c r="B37" s="41"/>
      <c r="C37" s="41"/>
      <c r="D37" s="42">
        <f>SUM(D32:D36)</f>
      </c>
      <c r="E37" s="42">
        <f>SUM(E32:E36)</f>
      </c>
      <c r="F37" s="42">
        <f>SUM(F32:F36)</f>
      </c>
      <c r="G37" s="42">
        <f>SUM(G32:G36)</f>
      </c>
      <c r="H37" s="43">
        <f t="shared" si="1"/>
      </c>
      <c r="I37" s="43">
        <f t="shared" si="0"/>
      </c>
      <c r="J37" s="43">
        <f t="shared" si="3"/>
      </c>
      <c r="K37" s="42">
        <f>SUM(K32:K36)</f>
      </c>
      <c r="L37" s="42">
        <f>SUM(L32:L36)</f>
      </c>
      <c r="M37" s="44"/>
      <c r="N37" s="42">
        <f>SUM(N32:N36)</f>
      </c>
      <c r="O37" s="44"/>
      <c r="P37" s="42">
        <f>SUM(P32:P36)</f>
      </c>
    </row>
    <row r="38">
      <c r="A38" s="31" t="s">
        <v>115</v>
      </c>
      <c r="B38" s="36" t="s">
        <v>97</v>
      </c>
      <c r="C38" s="33" t="s">
        <v>89</v>
      </c>
      <c r="D38" s="33">
        <v>4</v>
      </c>
      <c r="E38" s="33">
        <v>13</v>
      </c>
      <c r="F38" s="33">
        <v>16381.2</v>
      </c>
      <c r="G38" s="33">
        <v>6917.679999999999</v>
      </c>
      <c r="H38" s="34">
        <f t="shared" si="1"/>
      </c>
      <c r="I38" s="34">
        <f t="shared" si="0"/>
      </c>
      <c r="J38" s="34">
        <f t="shared" si="3"/>
      </c>
      <c r="K38" s="33">
        <v>4</v>
      </c>
      <c r="L38" s="33">
        <v>6186</v>
      </c>
      <c r="M38" s="35" t="s">
        <v>107</v>
      </c>
      <c r="N38" s="35">
        <v>10</v>
      </c>
      <c r="O38" s="32"/>
      <c r="P38" s="33"/>
    </row>
    <row r="39">
      <c r="A39" s="31" t="s">
        <v>115</v>
      </c>
      <c r="B39" s="36" t="s">
        <v>88</v>
      </c>
      <c r="C39" s="33" t="s">
        <v>116</v>
      </c>
      <c r="D39" s="33">
        <v>5</v>
      </c>
      <c r="E39" s="33">
        <v>25</v>
      </c>
      <c r="F39" s="33">
        <v>27851.999999999996</v>
      </c>
      <c r="G39" s="33">
        <v>24853.629999999997</v>
      </c>
      <c r="H39" s="34">
        <f t="shared" si="1"/>
      </c>
      <c r="I39" s="34">
        <f t="shared" si="0"/>
      </c>
      <c r="J39" s="34">
        <f t="shared" si="3"/>
      </c>
      <c r="K39" s="33">
        <v>14</v>
      </c>
      <c r="L39" s="33">
        <v>16717.2</v>
      </c>
      <c r="M39" s="33"/>
      <c r="N39" s="33"/>
      <c r="O39" s="37" t="s">
        <v>93</v>
      </c>
      <c r="P39" s="32">
        <v>10</v>
      </c>
    </row>
    <row r="40">
      <c r="A40" s="31" t="s">
        <v>115</v>
      </c>
      <c r="B40" s="36" t="s">
        <v>91</v>
      </c>
      <c r="C40" s="33" t="s">
        <v>117</v>
      </c>
      <c r="D40" s="33">
        <v>5</v>
      </c>
      <c r="E40" s="33">
        <v>20</v>
      </c>
      <c r="F40" s="33">
        <v>19458</v>
      </c>
      <c r="G40" s="33">
        <v>15811.57</v>
      </c>
      <c r="H40" s="34">
        <f t="shared" si="1"/>
      </c>
      <c r="I40" s="34">
        <f t="shared" si="0"/>
      </c>
      <c r="J40" s="34">
        <f t="shared" si="3"/>
      </c>
      <c r="K40" s="33">
        <v>6</v>
      </c>
      <c r="L40" s="38">
        <v>5134.8</v>
      </c>
      <c r="M40" s="33"/>
      <c r="N40" s="39"/>
      <c r="O40" s="37"/>
      <c r="P40" s="32"/>
    </row>
    <row r="41">
      <c r="A41" s="31" t="s">
        <v>115</v>
      </c>
      <c r="B41" s="36" t="s">
        <v>94</v>
      </c>
      <c r="C41" s="33" t="s">
        <v>118</v>
      </c>
      <c r="D41" s="33">
        <v>5</v>
      </c>
      <c r="E41" s="33">
        <v>19</v>
      </c>
      <c r="F41" s="33">
        <v>21296.199999999997</v>
      </c>
      <c r="G41" s="33">
        <v>16475.659999999996</v>
      </c>
      <c r="H41" s="34">
        <f t="shared" si="1"/>
      </c>
      <c r="I41" s="34">
        <f t="shared" si="0"/>
      </c>
      <c r="J41" s="34">
        <f t="shared" si="3"/>
      </c>
      <c r="K41" s="33">
        <v>1</v>
      </c>
      <c r="L41" s="38">
        <v>372</v>
      </c>
      <c r="M41" s="33" t="s">
        <v>119</v>
      </c>
      <c r="N41" s="33">
        <v>9</v>
      </c>
      <c r="O41" s="37"/>
      <c r="P41" s="32"/>
    </row>
    <row r="42">
      <c r="A42" s="40" t="s">
        <v>115</v>
      </c>
      <c r="B42" s="41"/>
      <c r="C42" s="41"/>
      <c r="D42" s="42">
        <f>SUM(D38:D41)</f>
      </c>
      <c r="E42" s="42">
        <f>SUM(E38:E41)</f>
      </c>
      <c r="F42" s="42">
        <f>SUM(F38:F41)</f>
      </c>
      <c r="G42" s="42">
        <f>SUM(G38:G41)</f>
      </c>
      <c r="H42" s="43">
        <f t="shared" si="1"/>
      </c>
      <c r="I42" s="43">
        <f t="shared" si="0"/>
      </c>
      <c r="J42" s="43">
        <f t="shared" si="3"/>
      </c>
      <c r="K42" s="42">
        <f>SUM(K38:K41)</f>
      </c>
      <c r="L42" s="42">
        <f>SUM(L38:L41)</f>
      </c>
      <c r="M42" s="44"/>
      <c r="N42" s="42">
        <f>SUM(N38:N41)</f>
      </c>
      <c r="O42" s="44"/>
      <c r="P42" s="42">
        <f>SUM(P38:P41)</f>
      </c>
    </row>
    <row r="43">
      <c r="A43" s="31" t="s">
        <v>120</v>
      </c>
      <c r="B43" s="36" t="s">
        <v>88</v>
      </c>
      <c r="C43" s="33" t="s">
        <v>89</v>
      </c>
      <c r="D43" s="33">
        <v>4</v>
      </c>
      <c r="E43" s="33">
        <v>6</v>
      </c>
      <c r="F43" s="33">
        <v>5024.2</v>
      </c>
      <c r="G43" s="33">
        <v>5600.18</v>
      </c>
      <c r="H43" s="34">
        <f t="shared" si="1"/>
      </c>
      <c r="I43" s="34">
        <f t="shared" si="0"/>
      </c>
      <c r="J43" s="34">
        <f t="shared" si="3"/>
      </c>
      <c r="K43" s="33">
        <v>2</v>
      </c>
      <c r="L43" s="33">
        <v>1362</v>
      </c>
      <c r="M43" s="35" t="s">
        <v>107</v>
      </c>
      <c r="N43" s="35">
        <v>10</v>
      </c>
      <c r="O43" s="32"/>
      <c r="P43" s="33"/>
    </row>
    <row r="44">
      <c r="A44" s="31" t="s">
        <v>120</v>
      </c>
      <c r="B44" s="36" t="s">
        <v>91</v>
      </c>
      <c r="C44" s="33" t="s">
        <v>92</v>
      </c>
      <c r="D44" s="33">
        <v>4</v>
      </c>
      <c r="E44" s="33">
        <v>13</v>
      </c>
      <c r="F44" s="33">
        <v>15664.8</v>
      </c>
      <c r="G44" s="33">
        <v>10922.84</v>
      </c>
      <c r="H44" s="34">
        <f t="shared" si="1"/>
      </c>
      <c r="I44" s="34">
        <f t="shared" si="0"/>
      </c>
      <c r="J44" s="34">
        <f t="shared" si="3"/>
      </c>
      <c r="K44" s="33">
        <v>5</v>
      </c>
      <c r="L44" s="33">
        <v>3255.6</v>
      </c>
      <c r="M44" s="33"/>
      <c r="N44" s="33"/>
      <c r="O44" s="37" t="s">
        <v>93</v>
      </c>
      <c r="P44" s="32">
        <v>10</v>
      </c>
    </row>
    <row r="45">
      <c r="A45" s="31" t="s">
        <v>120</v>
      </c>
      <c r="B45" s="36" t="s">
        <v>94</v>
      </c>
      <c r="C45" s="33" t="s">
        <v>95</v>
      </c>
      <c r="D45" s="33">
        <v>4</v>
      </c>
      <c r="E45" s="33">
        <v>5</v>
      </c>
      <c r="F45" s="33">
        <v>4329.5999999999985</v>
      </c>
      <c r="G45" s="33">
        <v>6644.99</v>
      </c>
      <c r="H45" s="34">
        <f t="shared" si="1"/>
      </c>
      <c r="I45" s="34">
        <f t="shared" si="0"/>
      </c>
      <c r="J45" s="34">
        <f t="shared" si="3"/>
      </c>
      <c r="K45" s="33">
        <v>0</v>
      </c>
      <c r="L45" s="33">
        <v>0</v>
      </c>
      <c r="M45" s="33"/>
      <c r="N45" s="33"/>
      <c r="O45" s="32" t="s">
        <v>96</v>
      </c>
      <c r="P45" s="33">
        <v>10</v>
      </c>
    </row>
    <row r="46">
      <c r="A46" s="31" t="s">
        <v>120</v>
      </c>
      <c r="B46" s="36" t="s">
        <v>97</v>
      </c>
      <c r="C46" s="33" t="s">
        <v>98</v>
      </c>
      <c r="D46" s="33">
        <v>4</v>
      </c>
      <c r="E46" s="33">
        <v>3</v>
      </c>
      <c r="F46" s="33">
        <v>2925.600000000002</v>
      </c>
      <c r="G46" s="33">
        <v>5713.950000000001</v>
      </c>
      <c r="H46" s="34">
        <f t="shared" si="1"/>
      </c>
      <c r="I46" s="34">
        <f t="shared" si="0"/>
      </c>
      <c r="J46" s="34">
        <f t="shared" si="3"/>
      </c>
      <c r="K46" s="33">
        <v>0</v>
      </c>
      <c r="L46" s="38">
        <v>0</v>
      </c>
      <c r="M46" s="33"/>
      <c r="N46" s="39"/>
      <c r="O46" s="37"/>
      <c r="P46" s="32"/>
    </row>
    <row r="47">
      <c r="A47" s="31" t="s">
        <v>120</v>
      </c>
      <c r="B47" s="36" t="s">
        <v>104</v>
      </c>
      <c r="C47" s="33" t="s">
        <v>101</v>
      </c>
      <c r="D47" s="33">
        <v>4</v>
      </c>
      <c r="E47" s="33">
        <v>5</v>
      </c>
      <c r="F47" s="33">
        <v>4687.200000000001</v>
      </c>
      <c r="G47" s="33">
        <v>2812.1800000000003</v>
      </c>
      <c r="H47" s="34">
        <f t="shared" si="1"/>
      </c>
      <c r="I47" s="34">
        <f t="shared" si="0"/>
      </c>
      <c r="J47" s="34">
        <f t="shared" si="3"/>
      </c>
      <c r="K47" s="33">
        <v>1</v>
      </c>
      <c r="L47" s="38">
        <v>715.2</v>
      </c>
      <c r="M47" s="33" t="s">
        <v>114</v>
      </c>
      <c r="N47" s="33">
        <v>10</v>
      </c>
      <c r="O47" s="37"/>
      <c r="P47" s="32"/>
    </row>
    <row r="48">
      <c r="A48" s="40" t="s">
        <v>120</v>
      </c>
      <c r="B48" s="41"/>
      <c r="C48" s="41"/>
      <c r="D48" s="42">
        <f>SUM(D43:D47)</f>
      </c>
      <c r="E48" s="42">
        <f>SUM(E43:E47)</f>
      </c>
      <c r="F48" s="42">
        <f>SUM(F43:F47)</f>
      </c>
      <c r="G48" s="42">
        <f>SUM(G43:G47)</f>
      </c>
      <c r="H48" s="43">
        <f t="shared" si="1"/>
      </c>
      <c r="I48" s="43">
        <f t="shared" si="0"/>
      </c>
      <c r="J48" s="43">
        <f t="shared" si="3"/>
      </c>
      <c r="K48" s="42">
        <f>SUM(K43:K47)</f>
      </c>
      <c r="L48" s="42">
        <f>SUM(L43:L47)</f>
      </c>
      <c r="M48" s="44"/>
      <c r="N48" s="42">
        <f>SUM(N43:N47)</f>
      </c>
      <c r="O48" s="44"/>
      <c r="P48" s="42">
        <f>SUM(P43:P47)</f>
      </c>
    </row>
    <row r="49">
      <c r="A49" s="31" t="s">
        <v>121</v>
      </c>
      <c r="B49" s="36" t="s">
        <v>91</v>
      </c>
      <c r="C49" s="33" t="s">
        <v>89</v>
      </c>
      <c r="D49" s="33">
        <v>4</v>
      </c>
      <c r="E49" s="33">
        <v>4</v>
      </c>
      <c r="F49" s="33">
        <v>2118</v>
      </c>
      <c r="G49" s="33">
        <v>6130.1900000000005</v>
      </c>
      <c r="H49" s="34">
        <f t="shared" si="1"/>
      </c>
      <c r="I49" s="34">
        <f t="shared" si="0"/>
      </c>
      <c r="J49" s="34">
        <f t="shared" si="3"/>
      </c>
      <c r="K49" s="33">
        <v>2</v>
      </c>
      <c r="L49" s="33">
        <v>958.8</v>
      </c>
      <c r="M49" s="35" t="s">
        <v>122</v>
      </c>
      <c r="N49" s="35">
        <v>10</v>
      </c>
      <c r="O49" s="32"/>
      <c r="P49" s="33"/>
    </row>
    <row r="50">
      <c r="A50" s="31" t="s">
        <v>121</v>
      </c>
      <c r="B50" s="36" t="s">
        <v>88</v>
      </c>
      <c r="C50" s="33" t="s">
        <v>92</v>
      </c>
      <c r="D50" s="33">
        <v>4</v>
      </c>
      <c r="E50" s="33">
        <v>6</v>
      </c>
      <c r="F50" s="33">
        <v>5560.8</v>
      </c>
      <c r="G50" s="33">
        <v>4826.4</v>
      </c>
      <c r="H50" s="34">
        <f t="shared" si="1"/>
      </c>
      <c r="I50" s="34">
        <f t="shared" si="0"/>
      </c>
      <c r="J50" s="34">
        <f t="shared" si="3"/>
      </c>
      <c r="K50" s="33">
        <v>2</v>
      </c>
      <c r="L50" s="33">
        <v>1314.0000000000002</v>
      </c>
      <c r="M50" s="33"/>
      <c r="N50" s="33"/>
      <c r="O50" s="37" t="s">
        <v>93</v>
      </c>
      <c r="P50" s="32">
        <v>10</v>
      </c>
    </row>
    <row r="51">
      <c r="A51" s="31" t="s">
        <v>121</v>
      </c>
      <c r="B51" s="36" t="s">
        <v>94</v>
      </c>
      <c r="C51" s="33" t="s">
        <v>95</v>
      </c>
      <c r="D51" s="33">
        <v>4</v>
      </c>
      <c r="E51" s="33">
        <v>10</v>
      </c>
      <c r="F51" s="33">
        <v>12228</v>
      </c>
      <c r="G51" s="33">
        <v>8940.12</v>
      </c>
      <c r="H51" s="34">
        <f t="shared" si="1"/>
      </c>
      <c r="I51" s="34">
        <f t="shared" si="0"/>
      </c>
      <c r="J51" s="34">
        <f t="shared" si="3"/>
      </c>
      <c r="K51" s="33">
        <v>7</v>
      </c>
      <c r="L51" s="33">
        <v>6542.4</v>
      </c>
      <c r="M51" s="33"/>
      <c r="N51" s="33"/>
      <c r="O51" s="32" t="s">
        <v>96</v>
      </c>
      <c r="P51" s="33">
        <v>10</v>
      </c>
    </row>
    <row r="52">
      <c r="A52" s="31" t="s">
        <v>121</v>
      </c>
      <c r="B52" s="36" t="s">
        <v>97</v>
      </c>
      <c r="C52" s="33" t="s">
        <v>98</v>
      </c>
      <c r="D52" s="33">
        <v>4</v>
      </c>
      <c r="E52" s="33">
        <v>1</v>
      </c>
      <c r="F52" s="33">
        <v>1663.2000000000007</v>
      </c>
      <c r="G52" s="33">
        <v>2940.33</v>
      </c>
      <c r="H52" s="34">
        <f t="shared" si="1"/>
      </c>
      <c r="I52" s="34">
        <f t="shared" si="0"/>
      </c>
      <c r="J52" s="34">
        <f t="shared" si="3"/>
      </c>
      <c r="K52" s="33">
        <v>0</v>
      </c>
      <c r="L52" s="38">
        <v>0</v>
      </c>
      <c r="M52" s="33"/>
      <c r="N52" s="39"/>
      <c r="O52" s="37"/>
      <c r="P52" s="32"/>
    </row>
    <row r="53">
      <c r="A53" s="31" t="s">
        <v>121</v>
      </c>
      <c r="B53" s="36" t="s">
        <v>104</v>
      </c>
      <c r="C53" s="33" t="s">
        <v>101</v>
      </c>
      <c r="D53" s="33">
        <v>4</v>
      </c>
      <c r="E53" s="33">
        <v>6</v>
      </c>
      <c r="F53" s="33">
        <v>6054</v>
      </c>
      <c r="G53" s="33">
        <v>2986.81</v>
      </c>
      <c r="H53" s="34">
        <f t="shared" si="1"/>
      </c>
      <c r="I53" s="34">
        <f t="shared" si="0"/>
      </c>
      <c r="J53" s="34">
        <f t="shared" si="3"/>
      </c>
      <c r="K53" s="33">
        <v>1</v>
      </c>
      <c r="L53" s="38">
        <v>360</v>
      </c>
      <c r="M53" s="33" t="s">
        <v>114</v>
      </c>
      <c r="N53" s="33">
        <v>10</v>
      </c>
      <c r="O53" s="37"/>
      <c r="P53" s="32"/>
    </row>
    <row r="54">
      <c r="A54" s="40" t="s">
        <v>121</v>
      </c>
      <c r="B54" s="41"/>
      <c r="C54" s="41"/>
      <c r="D54" s="42">
        <f>SUM(D49:D53)</f>
      </c>
      <c r="E54" s="42">
        <f>SUM(E49:E53)</f>
      </c>
      <c r="F54" s="42">
        <f>SUM(F49:F53)</f>
      </c>
      <c r="G54" s="42">
        <f>SUM(G49:G53)</f>
      </c>
      <c r="H54" s="43">
        <f t="shared" si="1"/>
      </c>
      <c r="I54" s="43">
        <f t="shared" si="0"/>
      </c>
      <c r="J54" s="43">
        <f t="shared" si="3"/>
      </c>
      <c r="K54" s="42">
        <f>SUM(K49:K53)</f>
      </c>
      <c r="L54" s="42">
        <f>SUM(L49:L53)</f>
      </c>
      <c r="M54" s="44"/>
      <c r="N54" s="42">
        <f>SUM(N49:N53)</f>
      </c>
      <c r="O54" s="44"/>
      <c r="P54" s="42">
        <f>SUM(P49:P53)</f>
      </c>
    </row>
    <row r="55">
      <c r="A55" s="31" t="s">
        <v>123</v>
      </c>
      <c r="B55" s="36" t="s">
        <v>94</v>
      </c>
      <c r="C55" s="33" t="s">
        <v>89</v>
      </c>
      <c r="D55" s="33">
        <v>4</v>
      </c>
      <c r="E55" s="33">
        <v>8</v>
      </c>
      <c r="F55" s="33">
        <v>12064.8</v>
      </c>
      <c r="G55" s="33">
        <v>5613.5199999999995</v>
      </c>
      <c r="H55" s="34">
        <f t="shared" si="1"/>
      </c>
      <c r="I55" s="34">
        <f t="shared" si="0"/>
      </c>
      <c r="J55" s="34">
        <f t="shared" si="3"/>
      </c>
      <c r="K55" s="33">
        <v>0</v>
      </c>
      <c r="L55" s="33">
        <v>0</v>
      </c>
      <c r="M55" s="35" t="s">
        <v>107</v>
      </c>
      <c r="N55" s="35">
        <v>10</v>
      </c>
      <c r="O55" s="32"/>
      <c r="P55" s="33"/>
    </row>
    <row r="56">
      <c r="A56" s="31" t="s">
        <v>123</v>
      </c>
      <c r="B56" s="36" t="s">
        <v>88</v>
      </c>
      <c r="C56" s="33" t="s">
        <v>92</v>
      </c>
      <c r="D56" s="33">
        <v>4</v>
      </c>
      <c r="E56" s="33">
        <v>2</v>
      </c>
      <c r="F56" s="33">
        <v>3674.4000000000015</v>
      </c>
      <c r="G56" s="33">
        <v>6218.670000000001</v>
      </c>
      <c r="H56" s="34">
        <f t="shared" si="1"/>
      </c>
      <c r="I56" s="34">
        <f t="shared" si="0"/>
      </c>
      <c r="J56" s="34">
        <f t="shared" si="3"/>
      </c>
      <c r="K56" s="33">
        <v>0</v>
      </c>
      <c r="L56" s="33">
        <v>0</v>
      </c>
      <c r="M56" s="33"/>
      <c r="N56" s="33"/>
      <c r="O56" s="37" t="s">
        <v>93</v>
      </c>
      <c r="P56" s="32">
        <v>10</v>
      </c>
    </row>
    <row r="57">
      <c r="A57" s="31" t="s">
        <v>123</v>
      </c>
      <c r="B57" s="36" t="s">
        <v>97</v>
      </c>
      <c r="C57" s="33" t="s">
        <v>95</v>
      </c>
      <c r="D57" s="33">
        <v>4</v>
      </c>
      <c r="E57" s="33">
        <v>1</v>
      </c>
      <c r="F57" s="33">
        <v>763.2000000000007</v>
      </c>
      <c r="G57" s="33">
        <v>1255.6299999999999</v>
      </c>
      <c r="H57" s="34">
        <f t="shared" si="1"/>
      </c>
      <c r="I57" s="34">
        <f t="shared" si="0"/>
      </c>
      <c r="J57" s="34">
        <f t="shared" si="3"/>
      </c>
      <c r="K57" s="33">
        <v>0</v>
      </c>
      <c r="L57" s="33">
        <v>0</v>
      </c>
      <c r="M57" s="33"/>
      <c r="N57" s="33"/>
      <c r="O57" s="32" t="s">
        <v>96</v>
      </c>
      <c r="P57" s="33">
        <v>10</v>
      </c>
    </row>
    <row r="58">
      <c r="A58" s="31" t="s">
        <v>123</v>
      </c>
      <c r="B58" s="36" t="s">
        <v>104</v>
      </c>
      <c r="C58" s="33" t="s">
        <v>98</v>
      </c>
      <c r="D58" s="33">
        <v>4</v>
      </c>
      <c r="E58" s="33">
        <v>5</v>
      </c>
      <c r="F58" s="33">
        <v>5053.919999999998</v>
      </c>
      <c r="G58" s="33">
        <v>4022.3300000000004</v>
      </c>
      <c r="H58" s="34">
        <f t="shared" si="1"/>
      </c>
      <c r="I58" s="34">
        <f t="shared" si="0"/>
      </c>
      <c r="J58" s="34">
        <f t="shared" si="3"/>
      </c>
      <c r="K58" s="33">
        <v>2</v>
      </c>
      <c r="L58" s="38">
        <v>2126.4</v>
      </c>
      <c r="M58" s="33"/>
      <c r="N58" s="39"/>
      <c r="O58" s="37"/>
      <c r="P58" s="32"/>
    </row>
    <row r="59">
      <c r="A59" s="31" t="s">
        <v>123</v>
      </c>
      <c r="B59" s="36" t="s">
        <v>91</v>
      </c>
      <c r="C59" s="33" t="s">
        <v>101</v>
      </c>
      <c r="D59" s="33">
        <v>4</v>
      </c>
      <c r="E59" s="33">
        <v>4</v>
      </c>
      <c r="F59" s="33">
        <v>5462.4000000000015</v>
      </c>
      <c r="G59" s="33">
        <v>3633.69</v>
      </c>
      <c r="H59" s="34">
        <f t="shared" si="1"/>
      </c>
      <c r="I59" s="34">
        <f t="shared" si="0"/>
      </c>
      <c r="J59" s="34">
        <f t="shared" si="3"/>
      </c>
      <c r="K59" s="33">
        <v>0</v>
      </c>
      <c r="L59" s="38">
        <v>0</v>
      </c>
      <c r="M59" s="33" t="s">
        <v>124</v>
      </c>
      <c r="N59" s="33">
        <v>10</v>
      </c>
      <c r="O59" s="37"/>
      <c r="P59" s="32"/>
    </row>
    <row r="60">
      <c r="A60" s="40" t="s">
        <v>123</v>
      </c>
      <c r="B60" s="41"/>
      <c r="C60" s="41"/>
      <c r="D60" s="42">
        <f>SUM(D55:D59)</f>
      </c>
      <c r="E60" s="42">
        <f>SUM(E55:E59)</f>
      </c>
      <c r="F60" s="42">
        <f>SUM(F55:F59)</f>
      </c>
      <c r="G60" s="42">
        <f>SUM(G55:G59)</f>
      </c>
      <c r="H60" s="43">
        <f t="shared" si="1"/>
      </c>
      <c r="I60" s="43">
        <f t="shared" si="0"/>
      </c>
      <c r="J60" s="43">
        <f t="shared" si="3"/>
      </c>
      <c r="K60" s="42">
        <f>SUM(K55:K59)</f>
      </c>
      <c r="L60" s="42">
        <f>SUM(L55:L59)</f>
      </c>
      <c r="M60" s="44"/>
      <c r="N60" s="42">
        <f>SUM(N55:N59)</f>
      </c>
      <c r="O60" s="44"/>
      <c r="P60" s="42">
        <f>SUM(P55:P59)</f>
      </c>
    </row>
    <row r="61">
      <c r="A61" s="31" t="s">
        <v>125</v>
      </c>
      <c r="B61" s="36" t="s">
        <v>94</v>
      </c>
      <c r="C61" s="33" t="s">
        <v>126</v>
      </c>
      <c r="D61" s="33">
        <v>5</v>
      </c>
      <c r="E61" s="33">
        <v>10</v>
      </c>
      <c r="F61" s="33">
        <v>15175.2</v>
      </c>
      <c r="G61" s="33">
        <v>9228.11</v>
      </c>
      <c r="H61" s="34">
        <f t="shared" si="1"/>
      </c>
      <c r="I61" s="34">
        <f t="shared" si="0"/>
      </c>
      <c r="J61" s="34">
        <f t="shared" si="3"/>
      </c>
      <c r="K61" s="33">
        <v>2</v>
      </c>
      <c r="L61" s="33">
        <v>2064</v>
      </c>
      <c r="M61" s="35" t="s">
        <v>107</v>
      </c>
      <c r="N61" s="35">
        <v>10</v>
      </c>
      <c r="O61" s="32"/>
      <c r="P61" s="33"/>
    </row>
    <row r="62">
      <c r="A62" s="31" t="s">
        <v>125</v>
      </c>
      <c r="B62" s="36" t="s">
        <v>88</v>
      </c>
      <c r="C62" s="33" t="s">
        <v>127</v>
      </c>
      <c r="D62" s="33">
        <v>4</v>
      </c>
      <c r="E62" s="33">
        <v>18</v>
      </c>
      <c r="F62" s="33">
        <v>20674.399999999998</v>
      </c>
      <c r="G62" s="33">
        <v>12030.29</v>
      </c>
      <c r="H62" s="34">
        <f t="shared" si="1"/>
      </c>
      <c r="I62" s="34">
        <f t="shared" si="0"/>
      </c>
      <c r="J62" s="34">
        <f t="shared" si="3"/>
      </c>
      <c r="K62" s="33">
        <v>7</v>
      </c>
      <c r="L62" s="33">
        <v>9666</v>
      </c>
      <c r="M62" s="33"/>
      <c r="N62" s="33"/>
      <c r="O62" s="37" t="s">
        <v>93</v>
      </c>
      <c r="P62" s="32">
        <v>10</v>
      </c>
    </row>
    <row r="63">
      <c r="A63" s="31" t="s">
        <v>125</v>
      </c>
      <c r="B63" s="36" t="s">
        <v>128</v>
      </c>
      <c r="C63" s="33" t="s">
        <v>129</v>
      </c>
      <c r="D63" s="33">
        <v>2</v>
      </c>
      <c r="E63" s="33">
        <v>7</v>
      </c>
      <c r="F63" s="33">
        <v>9248.400000000001</v>
      </c>
      <c r="G63" s="33">
        <v>6448.5599999999995</v>
      </c>
      <c r="H63" s="34">
        <f t="shared" si="1"/>
      </c>
      <c r="I63" s="34">
        <f t="shared" si="0"/>
      </c>
      <c r="J63" s="34">
        <f t="shared" si="3"/>
      </c>
      <c r="K63" s="33">
        <v>0</v>
      </c>
      <c r="L63" s="33">
        <v>0</v>
      </c>
      <c r="M63" s="33"/>
      <c r="N63" s="33"/>
      <c r="O63" s="32" t="s">
        <v>96</v>
      </c>
      <c r="P63" s="33">
        <v>10</v>
      </c>
    </row>
    <row r="64">
      <c r="A64" s="31" t="s">
        <v>125</v>
      </c>
      <c r="B64" s="36" t="s">
        <v>97</v>
      </c>
      <c r="C64" s="33" t="s">
        <v>130</v>
      </c>
      <c r="D64" s="33">
        <v>5</v>
      </c>
      <c r="E64" s="33">
        <v>32</v>
      </c>
      <c r="F64" s="33">
        <v>35093.8</v>
      </c>
      <c r="G64" s="33">
        <v>27249.870000000003</v>
      </c>
      <c r="H64" s="34">
        <f t="shared" si="1"/>
      </c>
      <c r="I64" s="34">
        <f t="shared" si="0"/>
      </c>
      <c r="J64" s="34">
        <f t="shared" si="3"/>
      </c>
      <c r="K64" s="33">
        <v>2</v>
      </c>
      <c r="L64" s="38">
        <v>1075.2</v>
      </c>
      <c r="M64" s="33"/>
      <c r="N64" s="39"/>
      <c r="O64" s="37"/>
      <c r="P64" s="32"/>
    </row>
    <row r="65">
      <c r="A65" s="31" t="s">
        <v>125</v>
      </c>
      <c r="B65" s="36" t="s">
        <v>104</v>
      </c>
      <c r="C65" s="33" t="s">
        <v>101</v>
      </c>
      <c r="D65" s="33">
        <v>4</v>
      </c>
      <c r="E65" s="33">
        <v>14</v>
      </c>
      <c r="F65" s="33">
        <v>20865.59999999999</v>
      </c>
      <c r="G65" s="33">
        <v>10152.67</v>
      </c>
      <c r="H65" s="34">
        <f t="shared" si="1"/>
      </c>
      <c r="I65" s="34">
        <f t="shared" si="0"/>
      </c>
      <c r="J65" s="34">
        <f t="shared" si="3"/>
      </c>
      <c r="K65" s="33">
        <v>0</v>
      </c>
      <c r="L65" s="38">
        <v>0</v>
      </c>
      <c r="M65" s="33" t="s">
        <v>114</v>
      </c>
      <c r="N65" s="33">
        <v>10</v>
      </c>
      <c r="O65" s="37"/>
      <c r="P65" s="32"/>
    </row>
    <row r="66">
      <c r="A66" s="40" t="s">
        <v>125</v>
      </c>
      <c r="B66" s="41"/>
      <c r="C66" s="41"/>
      <c r="D66" s="42">
        <f>SUM(D61:D65)</f>
      </c>
      <c r="E66" s="42">
        <f>SUM(E61:E65)</f>
      </c>
      <c r="F66" s="42">
        <f>SUM(F61:F65)</f>
      </c>
      <c r="G66" s="42">
        <f>SUM(G61:G65)</f>
      </c>
      <c r="H66" s="43">
        <f t="shared" si="1"/>
      </c>
      <c r="I66" s="43">
        <f t="shared" si="0"/>
      </c>
      <c r="J66" s="43">
        <f t="shared" si="3"/>
      </c>
      <c r="K66" s="42">
        <f>SUM(K61:K65)</f>
      </c>
      <c r="L66" s="42">
        <f>SUM(L61:L65)</f>
      </c>
      <c r="M66" s="44"/>
      <c r="N66" s="42">
        <f>SUM(N61:N65)</f>
      </c>
      <c r="O66" s="44"/>
      <c r="P66" s="42">
        <f>SUM(P61:P65)</f>
      </c>
    </row>
    <row r="67">
      <c r="A67" s="31" t="s">
        <v>131</v>
      </c>
      <c r="B67" s="36" t="s">
        <v>88</v>
      </c>
      <c r="C67" s="33" t="s">
        <v>126</v>
      </c>
      <c r="D67" s="33">
        <v>5</v>
      </c>
      <c r="E67" s="33">
        <v>22</v>
      </c>
      <c r="F67" s="33">
        <v>22584.98</v>
      </c>
      <c r="G67" s="33">
        <v>18726.51</v>
      </c>
      <c r="H67" s="34">
        <f t="shared" si="1"/>
      </c>
      <c r="I67" s="34">
        <f t="shared" si="0"/>
      </c>
      <c r="J67" s="34">
        <f t="shared" si="3"/>
      </c>
      <c r="K67" s="33">
        <v>7</v>
      </c>
      <c r="L67" s="33">
        <v>6700.8</v>
      </c>
      <c r="M67" s="35" t="s">
        <v>107</v>
      </c>
      <c r="N67" s="35">
        <v>10</v>
      </c>
      <c r="O67" s="32"/>
      <c r="P67" s="33"/>
    </row>
    <row r="68">
      <c r="A68" s="31" t="s">
        <v>131</v>
      </c>
      <c r="B68" s="36" t="s">
        <v>91</v>
      </c>
      <c r="C68" s="33" t="s">
        <v>132</v>
      </c>
      <c r="D68" s="33">
        <v>3</v>
      </c>
      <c r="E68" s="33">
        <v>8</v>
      </c>
      <c r="F68" s="33">
        <v>8757.600000000002</v>
      </c>
      <c r="G68" s="33">
        <v>7022.75</v>
      </c>
      <c r="H68" s="34">
        <f t="shared" si="1"/>
      </c>
      <c r="I68" s="34">
        <f t="shared" si="0"/>
      </c>
      <c r="J68" s="34">
        <f t="shared" si="3"/>
      </c>
      <c r="K68" s="33">
        <v>3</v>
      </c>
      <c r="L68" s="33">
        <v>3483.5999999999995</v>
      </c>
      <c r="M68" s="33"/>
      <c r="N68" s="33"/>
      <c r="O68" s="37" t="s">
        <v>93</v>
      </c>
      <c r="P68" s="32">
        <v>10</v>
      </c>
    </row>
    <row r="69">
      <c r="A69" s="31" t="s">
        <v>131</v>
      </c>
      <c r="B69" s="36" t="s">
        <v>128</v>
      </c>
      <c r="C69" s="33" t="s">
        <v>133</v>
      </c>
      <c r="D69" s="33">
        <v>3</v>
      </c>
      <c r="E69" s="33">
        <v>10</v>
      </c>
      <c r="F69" s="33">
        <v>8517.6</v>
      </c>
      <c r="G69" s="33">
        <v>6560.11</v>
      </c>
      <c r="H69" s="34">
        <f t="shared" si="1"/>
      </c>
      <c r="I69" s="34">
        <f t="shared" si="0"/>
      </c>
      <c r="J69" s="34">
        <f t="shared" si="3"/>
      </c>
      <c r="K69" s="33">
        <v>2</v>
      </c>
      <c r="L69" s="33">
        <v>1454.4</v>
      </c>
      <c r="M69" s="33" t="s">
        <v>103</v>
      </c>
      <c r="N69" s="33">
        <v>10</v>
      </c>
      <c r="O69" s="32" t="s">
        <v>96</v>
      </c>
      <c r="P69" s="33">
        <v>10</v>
      </c>
    </row>
    <row r="70">
      <c r="A70" s="31" t="s">
        <v>131</v>
      </c>
      <c r="B70" s="36" t="s">
        <v>94</v>
      </c>
      <c r="C70" s="33" t="s">
        <v>130</v>
      </c>
      <c r="D70" s="33">
        <v>5</v>
      </c>
      <c r="E70" s="33">
        <v>6</v>
      </c>
      <c r="F70" s="33">
        <v>9342</v>
      </c>
      <c r="G70" s="33">
        <v>7327.39</v>
      </c>
      <c r="H70" s="34">
        <f t="shared" si="1"/>
      </c>
      <c r="I70" s="34">
        <f t="shared" si="0"/>
      </c>
      <c r="J70" s="34">
        <f t="shared" si="3"/>
      </c>
      <c r="K70" s="33">
        <v>1</v>
      </c>
      <c r="L70" s="38">
        <v>505.2</v>
      </c>
      <c r="M70" s="33"/>
      <c r="N70" s="39"/>
      <c r="O70" s="37"/>
      <c r="P70" s="32"/>
    </row>
    <row r="71">
      <c r="A71" s="31" t="s">
        <v>131</v>
      </c>
      <c r="B71" s="36" t="s">
        <v>104</v>
      </c>
      <c r="C71" s="33" t="s">
        <v>101</v>
      </c>
      <c r="D71" s="33">
        <v>4</v>
      </c>
      <c r="E71" s="33">
        <v>14</v>
      </c>
      <c r="F71" s="33">
        <v>14228.2</v>
      </c>
      <c r="G71" s="33">
        <v>11211.36</v>
      </c>
      <c r="H71" s="34">
        <f t="shared" si="1"/>
      </c>
      <c r="I71" s="34">
        <f t="shared" si="0"/>
      </c>
      <c r="J71" s="34">
        <f t="shared" si="3"/>
      </c>
      <c r="K71" s="33">
        <v>1</v>
      </c>
      <c r="L71" s="38">
        <v>360</v>
      </c>
      <c r="M71" s="33"/>
      <c r="N71" s="33"/>
      <c r="O71" s="37"/>
      <c r="P71" s="32"/>
    </row>
    <row r="72">
      <c r="A72" s="40" t="s">
        <v>131</v>
      </c>
      <c r="B72" s="41"/>
      <c r="C72" s="41"/>
      <c r="D72" s="42">
        <f>SUM(D67:D71)</f>
      </c>
      <c r="E72" s="42">
        <f>SUM(E67:E71)</f>
      </c>
      <c r="F72" s="42">
        <f>SUM(F67:F71)</f>
      </c>
      <c r="G72" s="42">
        <f>SUM(G67:G71)</f>
      </c>
      <c r="H72" s="43">
        <f t="shared" si="1"/>
      </c>
      <c r="I72" s="43">
        <f t="shared" si="0"/>
      </c>
      <c r="J72" s="43">
        <f t="shared" si="3"/>
      </c>
      <c r="K72" s="42">
        <f>SUM(K67:K71)</f>
      </c>
      <c r="L72" s="42">
        <f>SUM(L67:L71)</f>
      </c>
      <c r="M72" s="44"/>
      <c r="N72" s="42">
        <f>SUM(N67:N71)</f>
      </c>
      <c r="O72" s="44"/>
      <c r="P72" s="42">
        <f>SUM(P67:P71)</f>
      </c>
    </row>
    <row r="73">
      <c r="A73" s="31" t="s">
        <v>134</v>
      </c>
      <c r="B73" s="36" t="s">
        <v>88</v>
      </c>
      <c r="C73" s="33" t="s">
        <v>126</v>
      </c>
      <c r="D73" s="33">
        <v>5</v>
      </c>
      <c r="E73" s="33">
        <v>5</v>
      </c>
      <c r="F73" s="33">
        <v>5260.8</v>
      </c>
      <c r="G73" s="33">
        <v>4976.07</v>
      </c>
      <c r="H73" s="34">
        <f t="shared" si="1"/>
      </c>
      <c r="I73" s="34">
        <f t="shared" si="0"/>
      </c>
      <c r="J73" s="34">
        <f t="shared" si="3"/>
      </c>
      <c r="K73" s="33">
        <v>2</v>
      </c>
      <c r="L73" s="33">
        <v>1171.2</v>
      </c>
      <c r="M73" s="35" t="s">
        <v>135</v>
      </c>
      <c r="N73" s="35">
        <v>10</v>
      </c>
      <c r="O73" s="32"/>
      <c r="P73" s="33"/>
    </row>
    <row r="74">
      <c r="A74" s="31" t="s">
        <v>134</v>
      </c>
      <c r="B74" s="36" t="s">
        <v>97</v>
      </c>
      <c r="C74" s="33" t="s">
        <v>127</v>
      </c>
      <c r="D74" s="33">
        <v>4</v>
      </c>
      <c r="E74" s="33">
        <v>9</v>
      </c>
      <c r="F74" s="33">
        <v>8689.2</v>
      </c>
      <c r="G74" s="33">
        <v>5043.95</v>
      </c>
      <c r="H74" s="34">
        <f t="shared" si="1"/>
      </c>
      <c r="I74" s="34">
        <f t="shared" si="0"/>
      </c>
      <c r="J74" s="34">
        <f t="shared" si="3"/>
      </c>
      <c r="K74" s="33">
        <v>3</v>
      </c>
      <c r="L74" s="33">
        <v>2790</v>
      </c>
      <c r="M74" s="33"/>
      <c r="N74" s="33"/>
      <c r="O74" s="37" t="s">
        <v>93</v>
      </c>
      <c r="P74" s="32">
        <v>10</v>
      </c>
    </row>
    <row r="75">
      <c r="A75" s="31" t="s">
        <v>134</v>
      </c>
      <c r="B75" s="36" t="s">
        <v>128</v>
      </c>
      <c r="C75" s="33" t="s">
        <v>129</v>
      </c>
      <c r="D75" s="33">
        <v>2</v>
      </c>
      <c r="E75" s="33">
        <v>5</v>
      </c>
      <c r="F75" s="33">
        <v>4382.4</v>
      </c>
      <c r="G75" s="33">
        <v>5857.92</v>
      </c>
      <c r="H75" s="34">
        <f t="shared" si="1"/>
      </c>
      <c r="I75" s="34">
        <f t="shared" si="0"/>
      </c>
      <c r="J75" s="34">
        <f t="shared" si="3"/>
      </c>
      <c r="K75" s="33">
        <v>2</v>
      </c>
      <c r="L75" s="33">
        <v>844.8</v>
      </c>
      <c r="M75" s="33" t="s">
        <v>136</v>
      </c>
      <c r="N75" s="33">
        <v>10</v>
      </c>
      <c r="O75" s="32" t="s">
        <v>96</v>
      </c>
      <c r="P75" s="33">
        <v>10</v>
      </c>
    </row>
    <row r="76">
      <c r="A76" s="31" t="s">
        <v>134</v>
      </c>
      <c r="B76" s="36" t="s">
        <v>104</v>
      </c>
      <c r="C76" s="33" t="s">
        <v>130</v>
      </c>
      <c r="D76" s="33">
        <v>5</v>
      </c>
      <c r="E76" s="33">
        <v>11</v>
      </c>
      <c r="F76" s="33">
        <v>13513.6</v>
      </c>
      <c r="G76" s="33">
        <v>8075.22</v>
      </c>
      <c r="H76" s="34">
        <f t="shared" si="1"/>
      </c>
      <c r="I76" s="34">
        <f t="shared" si="0"/>
      </c>
      <c r="J76" s="34">
        <f t="shared" si="3"/>
      </c>
      <c r="K76" s="33">
        <v>2</v>
      </c>
      <c r="L76" s="38">
        <v>2702.4</v>
      </c>
      <c r="M76" s="33"/>
      <c r="N76" s="39"/>
      <c r="O76" s="37"/>
      <c r="P76" s="32"/>
    </row>
    <row r="77">
      <c r="A77" s="31" t="s">
        <v>134</v>
      </c>
      <c r="B77" s="36" t="s">
        <v>91</v>
      </c>
      <c r="C77" s="33" t="s">
        <v>101</v>
      </c>
      <c r="D77" s="33">
        <v>4</v>
      </c>
      <c r="E77" s="33">
        <v>15</v>
      </c>
      <c r="F77" s="33">
        <v>11315.36</v>
      </c>
      <c r="G77" s="33">
        <v>9241.6</v>
      </c>
      <c r="H77" s="34">
        <f t="shared" si="1"/>
      </c>
      <c r="I77" s="34">
        <f t="shared" si="0"/>
      </c>
      <c r="J77" s="34">
        <f t="shared" si="3"/>
      </c>
      <c r="K77" s="33">
        <v>3</v>
      </c>
      <c r="L77" s="38">
        <v>1248</v>
      </c>
      <c r="M77" s="33"/>
      <c r="N77" s="33"/>
      <c r="O77" s="37"/>
      <c r="P77" s="32"/>
    </row>
    <row r="78">
      <c r="A78" s="40" t="s">
        <v>134</v>
      </c>
      <c r="B78" s="41"/>
      <c r="C78" s="41"/>
      <c r="D78" s="42">
        <f>SUM(D73:D77)</f>
      </c>
      <c r="E78" s="42">
        <f>SUM(E73:E77)</f>
      </c>
      <c r="F78" s="42">
        <f>SUM(F73:F77)</f>
      </c>
      <c r="G78" s="42">
        <f>SUM(G73:G77)</f>
      </c>
      <c r="H78" s="43">
        <f t="shared" si="1"/>
      </c>
      <c r="I78" s="43">
        <f t="shared" si="0"/>
      </c>
      <c r="J78" s="43">
        <f t="shared" si="3"/>
      </c>
      <c r="K78" s="42">
        <f>SUM(K73:K77)</f>
      </c>
      <c r="L78" s="42">
        <f>SUM(L73:L77)</f>
      </c>
      <c r="M78" s="44"/>
      <c r="N78" s="42">
        <f>SUM(N73:N77)</f>
      </c>
      <c r="O78" s="44"/>
      <c r="P78" s="42">
        <f>SUM(P73:P77)</f>
      </c>
    </row>
    <row r="79">
      <c r="A79" s="31" t="s">
        <v>137</v>
      </c>
      <c r="B79" s="36" t="s">
        <v>97</v>
      </c>
      <c r="C79" s="33" t="s">
        <v>89</v>
      </c>
      <c r="D79" s="33">
        <v>4</v>
      </c>
      <c r="E79" s="33">
        <v>6</v>
      </c>
      <c r="F79" s="33">
        <v>6315.6</v>
      </c>
      <c r="G79" s="33">
        <v>8084.299999999999</v>
      </c>
      <c r="H79" s="34">
        <f t="shared" si="1"/>
      </c>
      <c r="I79" s="34">
        <f t="shared" si="0"/>
      </c>
      <c r="J79" s="34">
        <f t="shared" si="3"/>
      </c>
      <c r="K79" s="33">
        <v>2</v>
      </c>
      <c r="L79" s="33">
        <v>1788</v>
      </c>
      <c r="M79" s="35" t="s">
        <v>107</v>
      </c>
      <c r="N79" s="35">
        <v>10</v>
      </c>
      <c r="O79" s="32"/>
      <c r="P79" s="33"/>
    </row>
    <row r="80">
      <c r="A80" s="46" t="s">
        <v>137</v>
      </c>
      <c r="B80" s="36" t="s">
        <v>88</v>
      </c>
      <c r="C80" s="33" t="s">
        <v>92</v>
      </c>
      <c r="D80" s="33">
        <v>4</v>
      </c>
      <c r="E80" s="33">
        <v>17</v>
      </c>
      <c r="F80" s="33">
        <v>23916</v>
      </c>
      <c r="G80" s="33">
        <v>14544.869999999999</v>
      </c>
      <c r="H80" s="34">
        <f t="shared" si="1"/>
      </c>
      <c r="I80" s="34">
        <f t="shared" si="0"/>
      </c>
      <c r="J80" s="34">
        <f t="shared" si="3"/>
      </c>
      <c r="K80" s="33">
        <v>1</v>
      </c>
      <c r="L80" s="33">
        <v>763.1999999999998</v>
      </c>
      <c r="M80" s="33"/>
      <c r="N80" s="33"/>
      <c r="O80" s="37" t="s">
        <v>93</v>
      </c>
      <c r="P80" s="32">
        <v>10</v>
      </c>
    </row>
    <row r="81">
      <c r="A81" s="46" t="s">
        <v>137</v>
      </c>
      <c r="B81" s="36" t="s">
        <v>91</v>
      </c>
      <c r="C81" s="33" t="s">
        <v>95</v>
      </c>
      <c r="D81" s="33">
        <v>4</v>
      </c>
      <c r="E81" s="33">
        <v>16</v>
      </c>
      <c r="F81" s="33">
        <v>16971.4</v>
      </c>
      <c r="G81" s="33">
        <v>16448.91</v>
      </c>
      <c r="H81" s="34">
        <f t="shared" si="1"/>
      </c>
      <c r="I81" s="34">
        <f t="shared" si="0"/>
      </c>
      <c r="J81" s="34">
        <f t="shared" si="3"/>
      </c>
      <c r="K81" s="33">
        <v>3</v>
      </c>
      <c r="L81" s="33">
        <v>1874.4</v>
      </c>
      <c r="M81" s="33"/>
      <c r="N81" s="33"/>
      <c r="O81" s="32" t="s">
        <v>96</v>
      </c>
      <c r="P81" s="33">
        <v>10</v>
      </c>
    </row>
    <row r="82">
      <c r="A82" s="31" t="s">
        <v>137</v>
      </c>
      <c r="B82" s="36" t="s">
        <v>104</v>
      </c>
      <c r="C82" s="33" t="s">
        <v>98</v>
      </c>
      <c r="D82" s="33">
        <v>4</v>
      </c>
      <c r="E82" s="33">
        <v>12</v>
      </c>
      <c r="F82" s="33">
        <v>9855.84</v>
      </c>
      <c r="G82" s="33">
        <v>15734.38</v>
      </c>
      <c r="H82" s="34">
        <f t="shared" si="1"/>
      </c>
      <c r="I82" s="34">
        <f t="shared" si="0"/>
      </c>
      <c r="J82" s="34">
        <f t="shared" si="3"/>
      </c>
      <c r="K82" s="33">
        <v>0</v>
      </c>
      <c r="L82" s="38">
        <v>0</v>
      </c>
      <c r="M82" s="33"/>
      <c r="N82" s="39"/>
      <c r="O82" s="37"/>
      <c r="P82" s="32"/>
    </row>
    <row r="83">
      <c r="A83" s="31" t="s">
        <v>137</v>
      </c>
      <c r="B83" s="36" t="s">
        <v>94</v>
      </c>
      <c r="C83" s="33" t="s">
        <v>101</v>
      </c>
      <c r="D83" s="33">
        <v>4</v>
      </c>
      <c r="E83" s="33">
        <v>3</v>
      </c>
      <c r="F83" s="33">
        <v>5366.4</v>
      </c>
      <c r="G83" s="33">
        <v>6714.58</v>
      </c>
      <c r="H83" s="34">
        <f t="shared" si="1"/>
      </c>
      <c r="I83" s="34">
        <f t="shared" si="0"/>
      </c>
      <c r="J83" s="34">
        <f t="shared" si="3"/>
      </c>
      <c r="K83" s="33">
        <v>1</v>
      </c>
      <c r="L83" s="38">
        <v>763.2</v>
      </c>
      <c r="M83" s="33" t="s">
        <v>124</v>
      </c>
      <c r="N83" s="33">
        <v>10</v>
      </c>
      <c r="O83" s="37"/>
      <c r="P83" s="32"/>
    </row>
    <row r="84">
      <c r="A84" s="40" t="s">
        <v>137</v>
      </c>
      <c r="B84" s="41"/>
      <c r="C84" s="41"/>
      <c r="D84" s="42">
        <f>SUM(D79:D83)</f>
      </c>
      <c r="E84" s="42">
        <f>SUM(E79:E83)</f>
      </c>
      <c r="F84" s="42">
        <f>SUM(F79:F83)</f>
      </c>
      <c r="G84" s="42">
        <f>SUM(G79:G83)</f>
      </c>
      <c r="H84" s="43">
        <f t="shared" si="1"/>
      </c>
      <c r="I84" s="43">
        <f t="shared" si="0"/>
      </c>
      <c r="J84" s="43">
        <f t="shared" si="3"/>
      </c>
      <c r="K84" s="42">
        <f>SUM(K79:K83)</f>
      </c>
      <c r="L84" s="42">
        <f>SUM(L79:L83)</f>
      </c>
      <c r="M84" s="44"/>
      <c r="N84" s="42">
        <f>SUM(N79:N83)</f>
      </c>
      <c r="O84" s="44"/>
      <c r="P84" s="42">
        <f>SUM(P79:P83)</f>
      </c>
    </row>
    <row r="85">
      <c r="A85" s="31" t="s">
        <v>138</v>
      </c>
      <c r="B85" s="36" t="s">
        <v>97</v>
      </c>
      <c r="C85" s="33" t="s">
        <v>126</v>
      </c>
      <c r="D85" s="33">
        <v>5</v>
      </c>
      <c r="E85" s="33">
        <v>9</v>
      </c>
      <c r="F85" s="33">
        <v>7598.16</v>
      </c>
      <c r="G85" s="33">
        <v>5733.2300000000005</v>
      </c>
      <c r="H85" s="34">
        <f t="shared" si="1"/>
      </c>
      <c r="I85" s="34">
        <f t="shared" si="0"/>
      </c>
      <c r="J85" s="34">
        <f t="shared" si="3"/>
      </c>
      <c r="K85" s="33">
        <v>0</v>
      </c>
      <c r="L85" s="33">
        <v>0</v>
      </c>
      <c r="M85" s="35" t="s">
        <v>107</v>
      </c>
      <c r="N85" s="35">
        <v>10</v>
      </c>
      <c r="O85" s="32"/>
      <c r="P85" s="33"/>
    </row>
    <row r="86">
      <c r="A86" s="31" t="s">
        <v>138</v>
      </c>
      <c r="B86" s="36" t="s">
        <v>88</v>
      </c>
      <c r="C86" s="33" t="s">
        <v>127</v>
      </c>
      <c r="D86" s="33">
        <v>4</v>
      </c>
      <c r="E86" s="33">
        <v>6</v>
      </c>
      <c r="F86" s="33">
        <v>4582.799999999999</v>
      </c>
      <c r="G86" s="33">
        <v>5515.01</v>
      </c>
      <c r="H86" s="34">
        <f t="shared" si="1"/>
      </c>
      <c r="I86" s="34">
        <f t="shared" si="0"/>
      </c>
      <c r="J86" s="34">
        <f t="shared" si="3"/>
      </c>
      <c r="K86" s="33">
        <v>1</v>
      </c>
      <c r="L86" s="33">
        <v>178.8</v>
      </c>
      <c r="M86" s="33"/>
      <c r="N86" s="33"/>
      <c r="O86" s="37" t="s">
        <v>93</v>
      </c>
      <c r="P86" s="32">
        <v>10</v>
      </c>
    </row>
    <row r="87">
      <c r="A87" s="31" t="s">
        <v>138</v>
      </c>
      <c r="B87" s="36" t="s">
        <v>128</v>
      </c>
      <c r="C87" s="33" t="s">
        <v>129</v>
      </c>
      <c r="D87" s="33">
        <v>2</v>
      </c>
      <c r="E87" s="33">
        <v>3</v>
      </c>
      <c r="F87" s="33">
        <v>1786.8</v>
      </c>
      <c r="G87" s="33">
        <v>1781.55</v>
      </c>
      <c r="H87" s="34">
        <f t="shared" si="1"/>
      </c>
      <c r="I87" s="34">
        <f t="shared" si="0"/>
      </c>
      <c r="J87" s="34">
        <f t="shared" si="3"/>
      </c>
      <c r="K87" s="33">
        <v>3</v>
      </c>
      <c r="L87" s="33">
        <v>1786.8</v>
      </c>
      <c r="M87" s="33"/>
      <c r="N87" s="33"/>
      <c r="O87" s="32" t="s">
        <v>96</v>
      </c>
      <c r="P87" s="33">
        <v>10</v>
      </c>
    </row>
    <row r="88">
      <c r="A88" s="31" t="s">
        <v>138</v>
      </c>
      <c r="B88" s="36" t="s">
        <v>104</v>
      </c>
      <c r="C88" s="33" t="s">
        <v>130</v>
      </c>
      <c r="D88" s="33">
        <v>5</v>
      </c>
      <c r="E88" s="33">
        <v>6</v>
      </c>
      <c r="F88" s="33">
        <v>6800.52</v>
      </c>
      <c r="G88" s="33">
        <v>4883.26</v>
      </c>
      <c r="H88" s="34">
        <f t="shared" si="1"/>
      </c>
      <c r="I88" s="34">
        <f t="shared" si="0"/>
      </c>
      <c r="J88" s="34">
        <f t="shared" si="3"/>
      </c>
      <c r="K88" s="33">
        <v>1</v>
      </c>
      <c r="L88" s="38">
        <v>763.2</v>
      </c>
      <c r="M88" s="33" t="s">
        <v>139</v>
      </c>
      <c r="N88" s="39">
        <v>10</v>
      </c>
      <c r="O88" s="37"/>
      <c r="P88" s="32"/>
    </row>
    <row r="89">
      <c r="A89" s="31" t="s">
        <v>138</v>
      </c>
      <c r="B89" s="36" t="s">
        <v>94</v>
      </c>
      <c r="C89" s="33" t="s">
        <v>101</v>
      </c>
      <c r="D89" s="33">
        <v>4</v>
      </c>
      <c r="E89" s="33">
        <v>3</v>
      </c>
      <c r="F89" s="33">
        <v>5637.6</v>
      </c>
      <c r="G89" s="33">
        <v>3802.94</v>
      </c>
      <c r="H89" s="34">
        <f t="shared" si="1"/>
      </c>
      <c r="I89" s="34">
        <f t="shared" si="0"/>
      </c>
      <c r="J89" s="34">
        <f t="shared" si="3"/>
      </c>
      <c r="K89" s="33">
        <v>0</v>
      </c>
      <c r="L89" s="38">
        <v>0</v>
      </c>
      <c r="M89" s="33"/>
      <c r="N89" s="33"/>
      <c r="O89" s="37"/>
      <c r="P89" s="32"/>
    </row>
    <row r="90">
      <c r="A90" s="40" t="s">
        <v>138</v>
      </c>
      <c r="B90" s="41"/>
      <c r="C90" s="41"/>
      <c r="D90" s="42">
        <f>SUM(D85:D89)</f>
      </c>
      <c r="E90" s="42">
        <f>SUM(E85:E89)</f>
      </c>
      <c r="F90" s="42">
        <f>SUM(F85:F89)</f>
      </c>
      <c r="G90" s="42">
        <f>SUM(G85:G89)</f>
      </c>
      <c r="H90" s="43">
        <f t="shared" si="1"/>
      </c>
      <c r="I90" s="43">
        <f t="shared" si="0"/>
      </c>
      <c r="J90" s="43">
        <f t="shared" si="3"/>
      </c>
      <c r="K90" s="42">
        <f>SUM(K85:K89)</f>
      </c>
      <c r="L90" s="42">
        <f>SUM(L85:L89)</f>
      </c>
      <c r="M90" s="44"/>
      <c r="N90" s="42">
        <f>SUM(N85:N89)</f>
      </c>
      <c r="O90" s="44"/>
      <c r="P90" s="42">
        <f>SUM(P85:P89)</f>
      </c>
    </row>
    <row r="91">
      <c r="A91" s="31" t="s">
        <v>140</v>
      </c>
      <c r="B91" s="36" t="s">
        <v>88</v>
      </c>
      <c r="C91" s="33" t="s">
        <v>126</v>
      </c>
      <c r="D91" s="33">
        <v>5</v>
      </c>
      <c r="E91" s="33">
        <v>9</v>
      </c>
      <c r="F91" s="33">
        <v>9259.2</v>
      </c>
      <c r="G91" s="33">
        <v>8238.49</v>
      </c>
      <c r="H91" s="34">
        <f t="shared" si="1"/>
      </c>
      <c r="I91" s="34">
        <f t="shared" si="0"/>
      </c>
      <c r="J91" s="34">
        <f t="shared" si="3"/>
      </c>
      <c r="K91" s="33">
        <v>0</v>
      </c>
      <c r="L91" s="33">
        <v>0</v>
      </c>
      <c r="M91" s="35" t="s">
        <v>107</v>
      </c>
      <c r="N91" s="35">
        <v>10</v>
      </c>
      <c r="O91" s="32"/>
      <c r="P91" s="33"/>
    </row>
    <row r="92">
      <c r="A92" s="31" t="s">
        <v>140</v>
      </c>
      <c r="B92" s="36" t="s">
        <v>104</v>
      </c>
      <c r="C92" s="33" t="s">
        <v>127</v>
      </c>
      <c r="D92" s="33">
        <v>4</v>
      </c>
      <c r="E92" s="33">
        <v>12</v>
      </c>
      <c r="F92" s="33">
        <v>14450.399999999998</v>
      </c>
      <c r="G92" s="33">
        <v>12613.609999999999</v>
      </c>
      <c r="H92" s="34">
        <f t="shared" si="1"/>
      </c>
      <c r="I92" s="34">
        <f t="shared" si="0"/>
      </c>
      <c r="J92" s="34">
        <f t="shared" si="3"/>
      </c>
      <c r="K92" s="33">
        <v>2</v>
      </c>
      <c r="L92" s="33">
        <v>1243.2</v>
      </c>
      <c r="M92" s="33"/>
      <c r="N92" s="33"/>
      <c r="O92" s="37" t="s">
        <v>93</v>
      </c>
      <c r="P92" s="32">
        <v>10</v>
      </c>
    </row>
    <row r="93">
      <c r="A93" s="31" t="s">
        <v>140</v>
      </c>
      <c r="B93" s="36" t="s">
        <v>128</v>
      </c>
      <c r="C93" s="33" t="s">
        <v>129</v>
      </c>
      <c r="D93" s="33">
        <v>2</v>
      </c>
      <c r="E93" s="33">
        <v>3</v>
      </c>
      <c r="F93" s="33">
        <v>2882.4</v>
      </c>
      <c r="G93" s="33">
        <v>2191.88</v>
      </c>
      <c r="H93" s="34">
        <f t="shared" si="1"/>
      </c>
      <c r="I93" s="34">
        <f t="shared" si="0"/>
      </c>
      <c r="J93" s="34">
        <f t="shared" si="3"/>
      </c>
      <c r="K93" s="33">
        <v>0</v>
      </c>
      <c r="L93" s="33">
        <v>0</v>
      </c>
      <c r="M93" s="33"/>
      <c r="N93" s="33"/>
      <c r="O93" s="32" t="s">
        <v>96</v>
      </c>
      <c r="P93" s="33">
        <v>10</v>
      </c>
    </row>
    <row r="94">
      <c r="A94" s="31" t="s">
        <v>140</v>
      </c>
      <c r="B94" s="36" t="s">
        <v>91</v>
      </c>
      <c r="C94" s="33" t="s">
        <v>130</v>
      </c>
      <c r="D94" s="33">
        <v>5</v>
      </c>
      <c r="E94" s="33">
        <v>9</v>
      </c>
      <c r="F94" s="33">
        <v>10760.2</v>
      </c>
      <c r="G94" s="33">
        <v>9865.72</v>
      </c>
      <c r="H94" s="34">
        <f t="shared" si="1"/>
      </c>
      <c r="I94" s="34">
        <f t="shared" si="0"/>
      </c>
      <c r="J94" s="34">
        <f t="shared" si="3"/>
      </c>
      <c r="K94" s="33">
        <v>1</v>
      </c>
      <c r="L94" s="38">
        <v>715.2</v>
      </c>
      <c r="M94" s="33" t="s">
        <v>139</v>
      </c>
      <c r="N94" s="39">
        <v>10</v>
      </c>
      <c r="O94" s="37"/>
      <c r="P94" s="32"/>
    </row>
    <row r="95">
      <c r="A95" s="31" t="s">
        <v>140</v>
      </c>
      <c r="B95" s="36" t="s">
        <v>94</v>
      </c>
      <c r="C95" s="33" t="s">
        <v>101</v>
      </c>
      <c r="D95" s="33">
        <v>4</v>
      </c>
      <c r="E95" s="33">
        <v>14</v>
      </c>
      <c r="F95" s="33">
        <v>19968</v>
      </c>
      <c r="G95" s="33">
        <v>11660.15</v>
      </c>
      <c r="H95" s="34">
        <f t="shared" si="1"/>
      </c>
      <c r="I95" s="34">
        <f t="shared" si="0"/>
      </c>
      <c r="J95" s="34">
        <f t="shared" si="3"/>
      </c>
      <c r="K95" s="33">
        <v>5</v>
      </c>
      <c r="L95" s="38">
        <v>8256</v>
      </c>
      <c r="M95" s="33"/>
      <c r="N95" s="33"/>
      <c r="O95" s="37"/>
      <c r="P95" s="32"/>
    </row>
    <row r="96">
      <c r="A96" s="40" t="s">
        <v>140</v>
      </c>
      <c r="B96" s="41"/>
      <c r="C96" s="41"/>
      <c r="D96" s="42">
        <f>SUM(D91:D95)</f>
      </c>
      <c r="E96" s="42">
        <f>SUM(E91:E95)</f>
      </c>
      <c r="F96" s="42">
        <f>SUM(F91:F95)</f>
      </c>
      <c r="G96" s="42">
        <f>SUM(G91:G95)</f>
      </c>
      <c r="H96" s="43">
        <f t="shared" si="1"/>
      </c>
      <c r="I96" s="43">
        <f t="shared" si="0"/>
      </c>
      <c r="J96" s="43">
        <f t="shared" si="3"/>
      </c>
      <c r="K96" s="42">
        <f>SUM(K91:K95)</f>
      </c>
      <c r="L96" s="42">
        <f>SUM(L91:L95)</f>
      </c>
      <c r="M96" s="44"/>
      <c r="N96" s="42">
        <f>SUM(N91:N95)</f>
      </c>
      <c r="O96" s="44"/>
      <c r="P96" s="42">
        <f>SUM(P91:P95)</f>
      </c>
    </row>
    <row r="97">
      <c r="A97" s="47" t="s">
        <v>141</v>
      </c>
      <c r="B97" s="48" t="s">
        <v>88</v>
      </c>
      <c r="C97" s="49" t="s">
        <v>126</v>
      </c>
      <c r="D97" s="49">
        <v>5</v>
      </c>
      <c r="E97" s="49">
        <v>14</v>
      </c>
      <c r="F97" s="49">
        <v>18578.2</v>
      </c>
      <c r="G97" s="49">
        <v>16190.990000000002</v>
      </c>
      <c r="H97" s="50">
        <f t="shared" si="1"/>
      </c>
      <c r="I97" s="50">
        <f t="shared" si="0"/>
      </c>
      <c r="J97" s="50">
        <f t="shared" si="3"/>
      </c>
      <c r="K97" s="49">
        <v>4</v>
      </c>
      <c r="L97" s="49">
        <v>7212</v>
      </c>
      <c r="M97" s="49" t="s">
        <v>113</v>
      </c>
      <c r="N97" s="49">
        <v>1</v>
      </c>
      <c r="O97" s="51"/>
      <c r="P97" s="49"/>
      <c r="Q97" s="30"/>
    </row>
    <row r="98">
      <c r="A98" s="47" t="s">
        <v>141</v>
      </c>
      <c r="B98" s="48" t="s">
        <v>91</v>
      </c>
      <c r="C98" s="49" t="s">
        <v>127</v>
      </c>
      <c r="D98" s="49">
        <v>4</v>
      </c>
      <c r="E98" s="49">
        <v>10</v>
      </c>
      <c r="F98" s="49">
        <v>11728.599999999999</v>
      </c>
      <c r="G98" s="49">
        <v>6343.2300000000005</v>
      </c>
      <c r="H98" s="50">
        <f t="shared" si="1"/>
      </c>
      <c r="I98" s="50">
        <f t="shared" si="0"/>
      </c>
      <c r="J98" s="50">
        <f t="shared" si="3"/>
      </c>
      <c r="K98" s="49">
        <v>6</v>
      </c>
      <c r="L98" s="49">
        <v>6491.799999999999</v>
      </c>
      <c r="M98" s="49" t="s">
        <v>122</v>
      </c>
      <c r="N98" s="49">
        <v>2</v>
      </c>
      <c r="O98" s="51" t="s">
        <v>93</v>
      </c>
      <c r="P98" s="51">
        <v>10</v>
      </c>
      <c r="Q98" s="30"/>
    </row>
    <row r="99">
      <c r="A99" s="47" t="s">
        <v>141</v>
      </c>
      <c r="B99" s="48" t="s">
        <v>128</v>
      </c>
      <c r="C99" s="49" t="s">
        <v>129</v>
      </c>
      <c r="D99" s="49">
        <v>2</v>
      </c>
      <c r="E99" s="49">
        <v>16</v>
      </c>
      <c r="F99" s="49">
        <v>20631.600000000002</v>
      </c>
      <c r="G99" s="49">
        <v>9799.34</v>
      </c>
      <c r="H99" s="50">
        <f t="shared" si="1"/>
      </c>
      <c r="I99" s="50">
        <f t="shared" si="0"/>
      </c>
      <c r="J99" s="50">
        <f t="shared" si="3"/>
      </c>
      <c r="K99" s="49">
        <v>2</v>
      </c>
      <c r="L99" s="49">
        <v>1111.1999999999982</v>
      </c>
      <c r="M99" s="49" t="s">
        <v>142</v>
      </c>
      <c r="N99" s="49">
        <v>7</v>
      </c>
      <c r="O99" s="51" t="s">
        <v>96</v>
      </c>
      <c r="P99" s="49">
        <v>10</v>
      </c>
      <c r="Q99" s="30"/>
    </row>
    <row r="100">
      <c r="A100" s="47" t="s">
        <v>141</v>
      </c>
      <c r="B100" s="48" t="s">
        <v>94</v>
      </c>
      <c r="C100" s="49" t="s">
        <v>130</v>
      </c>
      <c r="D100" s="49">
        <v>5</v>
      </c>
      <c r="E100" s="49">
        <v>21</v>
      </c>
      <c r="F100" s="49">
        <v>29535.999999999993</v>
      </c>
      <c r="G100" s="49">
        <v>24142.82</v>
      </c>
      <c r="H100" s="50">
        <f t="shared" si="1"/>
      </c>
      <c r="I100" s="50">
        <f t="shared" si="0"/>
      </c>
      <c r="J100" s="50">
        <f t="shared" si="3"/>
      </c>
      <c r="K100" s="49">
        <v>5</v>
      </c>
      <c r="L100" s="49">
        <v>4833.400000000003</v>
      </c>
      <c r="M100" s="49" t="s">
        <v>143</v>
      </c>
      <c r="N100" s="49">
        <v>10</v>
      </c>
      <c r="O100" s="51"/>
      <c r="P100" s="51"/>
      <c r="Q100" s="30"/>
    </row>
    <row r="101">
      <c r="A101" s="47" t="s">
        <v>141</v>
      </c>
      <c r="B101" s="48" t="s">
        <v>97</v>
      </c>
      <c r="C101" s="49" t="s">
        <v>101</v>
      </c>
      <c r="D101" s="49">
        <v>4</v>
      </c>
      <c r="E101" s="49">
        <v>16</v>
      </c>
      <c r="F101" s="49">
        <v>24505.20000000001</v>
      </c>
      <c r="G101" s="49">
        <v>10383.35</v>
      </c>
      <c r="H101" s="50">
        <f t="shared" si="1"/>
      </c>
      <c r="I101" s="50">
        <f t="shared" si="0"/>
      </c>
      <c r="J101" s="50">
        <f t="shared" si="3"/>
      </c>
      <c r="K101" s="49">
        <v>5</v>
      </c>
      <c r="L101" s="49">
        <v>5652</v>
      </c>
      <c r="M101" s="49"/>
      <c r="N101" s="49"/>
      <c r="O101" s="51"/>
      <c r="P101" s="51"/>
      <c r="Q101" s="30"/>
    </row>
    <row r="102">
      <c r="A102" s="52" t="s">
        <v>141</v>
      </c>
      <c r="B102" s="53"/>
      <c r="C102" s="53"/>
      <c r="D102" s="54">
        <f>SUM(D97:D101)</f>
      </c>
      <c r="E102" s="54">
        <f>SUM(E97:E101)</f>
      </c>
      <c r="F102" s="54">
        <f>SUM(F97:F101)</f>
      </c>
      <c r="G102" s="54">
        <f>SUM(G97:G101)</f>
      </c>
      <c r="H102" s="55">
        <f t="shared" si="1"/>
      </c>
      <c r="I102" s="55">
        <f t="shared" si="0"/>
      </c>
      <c r="J102" s="55">
        <f t="shared" si="3"/>
      </c>
      <c r="K102" s="54">
        <f>SUM(K97:K101)</f>
      </c>
      <c r="L102" s="54">
        <f>SUM(L97:L101)</f>
      </c>
      <c r="M102" s="56"/>
      <c r="N102" s="54">
        <f>SUM(N97:N101)</f>
      </c>
      <c r="O102" s="56"/>
      <c r="P102" s="54">
        <f>SUM(P97:P101)</f>
      </c>
      <c r="Q102" s="30"/>
    </row>
    <row r="103">
      <c r="A103" s="47" t="s">
        <v>144</v>
      </c>
      <c r="B103" s="48" t="s">
        <v>88</v>
      </c>
      <c r="C103" s="49" t="s">
        <v>126</v>
      </c>
      <c r="D103" s="49">
        <v>5</v>
      </c>
      <c r="E103" s="49">
        <v>25</v>
      </c>
      <c r="F103" s="49">
        <v>32498.2</v>
      </c>
      <c r="G103" s="49">
        <v>26084.630000000005</v>
      </c>
      <c r="H103" s="50">
        <f t="shared" si="1"/>
      </c>
      <c r="I103" s="50">
        <f t="shared" si="0"/>
      </c>
      <c r="J103" s="50">
        <f t="shared" si="3"/>
      </c>
      <c r="K103" s="49">
        <v>6</v>
      </c>
      <c r="L103" s="49">
        <v>6724.8</v>
      </c>
      <c r="M103" s="35" t="s">
        <v>107</v>
      </c>
      <c r="N103" s="35">
        <v>10</v>
      </c>
      <c r="O103" s="51"/>
      <c r="P103" s="49"/>
      <c r="Q103" s="30"/>
    </row>
    <row r="104">
      <c r="A104" s="47" t="s">
        <v>144</v>
      </c>
      <c r="B104" s="48" t="s">
        <v>94</v>
      </c>
      <c r="C104" s="49" t="s">
        <v>127</v>
      </c>
      <c r="D104" s="49">
        <v>4</v>
      </c>
      <c r="E104" s="49">
        <v>19</v>
      </c>
      <c r="F104" s="49">
        <v>28605.2</v>
      </c>
      <c r="G104" s="49">
        <v>14704.72</v>
      </c>
      <c r="H104" s="50">
        <f t="shared" si="1"/>
      </c>
      <c r="I104" s="50">
        <f t="shared" si="0"/>
      </c>
      <c r="J104" s="50">
        <f t="shared" si="3"/>
      </c>
      <c r="K104" s="49">
        <v>3</v>
      </c>
      <c r="L104" s="49">
        <v>3441.5999999999995</v>
      </c>
      <c r="M104" s="49"/>
      <c r="N104" s="49"/>
      <c r="O104" s="51" t="s">
        <v>93</v>
      </c>
      <c r="P104" s="51">
        <v>10</v>
      </c>
      <c r="Q104" s="30"/>
    </row>
    <row r="105">
      <c r="A105" s="47" t="s">
        <v>144</v>
      </c>
      <c r="B105" s="48" t="s">
        <v>128</v>
      </c>
      <c r="C105" s="49" t="s">
        <v>129</v>
      </c>
      <c r="D105" s="49">
        <v>2</v>
      </c>
      <c r="E105" s="49">
        <v>8</v>
      </c>
      <c r="F105" s="49">
        <v>8593.200000000004</v>
      </c>
      <c r="G105" s="49">
        <v>7637.840000000001</v>
      </c>
      <c r="H105" s="50">
        <f t="shared" si="1"/>
      </c>
      <c r="I105" s="50">
        <f t="shared" si="0"/>
      </c>
      <c r="J105" s="50">
        <f t="shared" si="3"/>
      </c>
      <c r="K105" s="49">
        <v>5</v>
      </c>
      <c r="L105" s="49">
        <v>7573.199999999999</v>
      </c>
      <c r="M105" s="49"/>
      <c r="N105" s="49"/>
      <c r="O105" s="51" t="s">
        <v>96</v>
      </c>
      <c r="P105" s="49">
        <v>10</v>
      </c>
      <c r="Q105" s="30"/>
    </row>
    <row r="106">
      <c r="A106" s="47" t="s">
        <v>144</v>
      </c>
      <c r="B106" s="48" t="s">
        <v>97</v>
      </c>
      <c r="C106" s="49" t="s">
        <v>130</v>
      </c>
      <c r="D106" s="49">
        <v>5</v>
      </c>
      <c r="E106" s="49">
        <v>10</v>
      </c>
      <c r="F106" s="49">
        <v>12403.199999999997</v>
      </c>
      <c r="G106" s="49">
        <v>11092.199999999999</v>
      </c>
      <c r="H106" s="50">
        <f t="shared" si="1"/>
      </c>
      <c r="I106" s="50">
        <f t="shared" si="0"/>
      </c>
      <c r="J106" s="50">
        <f t="shared" si="3"/>
      </c>
      <c r="K106" s="49">
        <v>5</v>
      </c>
      <c r="L106" s="49">
        <v>6909.600000000006</v>
      </c>
      <c r="M106" s="49" t="s">
        <v>143</v>
      </c>
      <c r="N106" s="49">
        <v>10</v>
      </c>
      <c r="O106" s="51"/>
      <c r="P106" s="51"/>
      <c r="Q106" s="30"/>
    </row>
    <row r="107">
      <c r="A107" s="47" t="s">
        <v>144</v>
      </c>
      <c r="B107" s="48" t="s">
        <v>104</v>
      </c>
      <c r="C107" s="49" t="s">
        <v>101</v>
      </c>
      <c r="D107" s="49">
        <v>4</v>
      </c>
      <c r="E107" s="49">
        <v>8</v>
      </c>
      <c r="F107" s="49">
        <v>6030</v>
      </c>
      <c r="G107" s="49">
        <v>5503.889999999999</v>
      </c>
      <c r="H107" s="50">
        <f t="shared" si="1"/>
      </c>
      <c r="I107" s="50">
        <f t="shared" si="0"/>
      </c>
      <c r="J107" s="50">
        <f t="shared" si="3"/>
      </c>
      <c r="K107" s="49">
        <v>2</v>
      </c>
      <c r="L107" s="49">
        <v>1171.199999999997</v>
      </c>
      <c r="M107" s="49"/>
      <c r="N107" s="49"/>
      <c r="O107" s="51"/>
      <c r="P107" s="51"/>
      <c r="Q107" s="30"/>
    </row>
    <row r="108">
      <c r="A108" s="52" t="s">
        <v>144</v>
      </c>
      <c r="B108" s="53"/>
      <c r="C108" s="53"/>
      <c r="D108" s="54">
        <f>SUM(D103:D107)</f>
      </c>
      <c r="E108" s="54">
        <f>SUM(E103:E107)</f>
      </c>
      <c r="F108" s="54">
        <f>SUM(F103:F107)</f>
      </c>
      <c r="G108" s="54">
        <f>SUM(G103:G107)</f>
      </c>
      <c r="H108" s="55">
        <f t="shared" si="1"/>
      </c>
      <c r="I108" s="55">
        <f t="shared" si="0"/>
      </c>
      <c r="J108" s="55">
        <f t="shared" si="3"/>
      </c>
      <c r="K108" s="54">
        <f>SUM(K103:K107)</f>
      </c>
      <c r="L108" s="54">
        <f>SUM(L103:L107)</f>
      </c>
      <c r="M108" s="56"/>
      <c r="N108" s="54">
        <f>SUM(N103:N107)</f>
      </c>
      <c r="O108" s="56"/>
      <c r="P108" s="54">
        <f>SUM(P103:P107)</f>
      </c>
      <c r="Q108" s="30"/>
    </row>
    <row r="109">
      <c r="A109" s="47" t="s">
        <v>145</v>
      </c>
      <c r="B109" s="48" t="s">
        <v>88</v>
      </c>
      <c r="C109" s="49" t="s">
        <v>126</v>
      </c>
      <c r="D109" s="49">
        <v>5</v>
      </c>
      <c r="E109" s="49">
        <v>3</v>
      </c>
      <c r="F109" s="49">
        <v>4495.2</v>
      </c>
      <c r="G109" s="49">
        <v>4126.29</v>
      </c>
      <c r="H109" s="50">
        <f t="shared" si="1"/>
      </c>
      <c r="I109" s="50">
        <f t="shared" si="0"/>
      </c>
      <c r="J109" s="50">
        <f t="shared" si="3"/>
      </c>
      <c r="K109" s="49">
        <v>1</v>
      </c>
      <c r="L109" s="49">
        <v>396</v>
      </c>
      <c r="M109" s="35" t="s">
        <v>146</v>
      </c>
      <c r="N109" s="35">
        <v>10</v>
      </c>
      <c r="O109" s="51"/>
      <c r="P109" s="49"/>
      <c r="Q109" s="30"/>
    </row>
    <row r="110">
      <c r="A110" s="47" t="s">
        <v>145</v>
      </c>
      <c r="B110" s="48" t="s">
        <v>94</v>
      </c>
      <c r="C110" s="49" t="s">
        <v>127</v>
      </c>
      <c r="D110" s="49">
        <v>4</v>
      </c>
      <c r="E110" s="49">
        <v>4</v>
      </c>
      <c r="F110" s="49">
        <v>5834.2</v>
      </c>
      <c r="G110" s="49">
        <v>2367.75</v>
      </c>
      <c r="H110" s="50">
        <f t="shared" si="1"/>
      </c>
      <c r="I110" s="50">
        <f t="shared" si="0"/>
      </c>
      <c r="J110" s="50">
        <f t="shared" si="3"/>
      </c>
      <c r="K110" s="49">
        <v>0</v>
      </c>
      <c r="L110" s="49">
        <v>0</v>
      </c>
      <c r="M110" s="49"/>
      <c r="N110" s="49"/>
      <c r="O110" s="51" t="s">
        <v>93</v>
      </c>
      <c r="P110" s="51">
        <v>10</v>
      </c>
      <c r="Q110" s="30"/>
    </row>
    <row r="111">
      <c r="A111" s="47" t="s">
        <v>145</v>
      </c>
      <c r="B111" s="48" t="s">
        <v>128</v>
      </c>
      <c r="C111" s="49" t="s">
        <v>129</v>
      </c>
      <c r="D111" s="49">
        <v>2</v>
      </c>
      <c r="E111" s="49">
        <v>1</v>
      </c>
      <c r="F111" s="49">
        <v>691.2000000000007</v>
      </c>
      <c r="G111" s="49">
        <v>1102.86</v>
      </c>
      <c r="H111" s="50">
        <f t="shared" si="1"/>
      </c>
      <c r="I111" s="50">
        <f t="shared" si="0"/>
      </c>
      <c r="J111" s="50">
        <f t="shared" si="3"/>
      </c>
      <c r="K111" s="49">
        <v>0</v>
      </c>
      <c r="L111" s="49">
        <v>0</v>
      </c>
      <c r="M111" s="49"/>
      <c r="N111" s="49"/>
      <c r="O111" s="51" t="s">
        <v>96</v>
      </c>
      <c r="P111" s="49">
        <v>10</v>
      </c>
      <c r="Q111" s="30"/>
    </row>
    <row r="112">
      <c r="A112" s="47" t="s">
        <v>145</v>
      </c>
      <c r="B112" s="48" t="s">
        <v>97</v>
      </c>
      <c r="C112" s="49" t="s">
        <v>130</v>
      </c>
      <c r="D112" s="49">
        <v>5</v>
      </c>
      <c r="E112" s="49">
        <v>3</v>
      </c>
      <c r="F112" s="49">
        <v>5414.4</v>
      </c>
      <c r="G112" s="49">
        <v>4307.900000000001</v>
      </c>
      <c r="H112" s="50">
        <f t="shared" si="1"/>
      </c>
      <c r="I112" s="50">
        <f t="shared" si="0"/>
      </c>
      <c r="J112" s="50">
        <f t="shared" si="3"/>
      </c>
      <c r="K112" s="49">
        <v>0</v>
      </c>
      <c r="L112" s="49">
        <v>0</v>
      </c>
      <c r="M112" s="49" t="s">
        <v>147</v>
      </c>
      <c r="N112" s="49">
        <v>10</v>
      </c>
      <c r="O112" s="51"/>
      <c r="P112" s="51"/>
      <c r="Q112" s="30"/>
    </row>
    <row r="113">
      <c r="A113" s="47" t="s">
        <v>145</v>
      </c>
      <c r="B113" s="48" t="s">
        <v>104</v>
      </c>
      <c r="C113" s="49" t="s">
        <v>101</v>
      </c>
      <c r="D113" s="49">
        <v>4</v>
      </c>
      <c r="E113" s="49">
        <v>16</v>
      </c>
      <c r="F113" s="49">
        <v>16770.28</v>
      </c>
      <c r="G113" s="49">
        <v>8383.73</v>
      </c>
      <c r="H113" s="50">
        <f t="shared" si="1"/>
      </c>
      <c r="I113" s="50">
        <f t="shared" si="0"/>
      </c>
      <c r="J113" s="50">
        <f t="shared" si="3"/>
      </c>
      <c r="K113" s="49">
        <v>1</v>
      </c>
      <c r="L113" s="49">
        <v>1344</v>
      </c>
      <c r="M113" s="49"/>
      <c r="N113" s="49"/>
      <c r="O113" s="51"/>
      <c r="P113" s="51"/>
      <c r="Q113" s="30"/>
    </row>
    <row r="114">
      <c r="A114" s="52" t="s">
        <v>145</v>
      </c>
      <c r="B114" s="53"/>
      <c r="C114" s="53"/>
      <c r="D114" s="54">
        <f>SUM(D109:D113)</f>
      </c>
      <c r="E114" s="54">
        <f>SUM(E109:E113)</f>
      </c>
      <c r="F114" s="54">
        <f>SUM(F109:F113)</f>
      </c>
      <c r="G114" s="54">
        <f>SUM(G109:G113)</f>
      </c>
      <c r="H114" s="55">
        <f t="shared" si="1"/>
      </c>
      <c r="I114" s="55">
        <f t="shared" si="0"/>
      </c>
      <c r="J114" s="55">
        <f t="shared" si="3"/>
      </c>
      <c r="K114" s="54">
        <f>SUM(K109:K113)</f>
      </c>
      <c r="L114" s="54">
        <f>SUM(L109:L113)</f>
      </c>
      <c r="M114" s="56"/>
      <c r="N114" s="54">
        <f>SUM(N109:N113)</f>
      </c>
      <c r="O114" s="56"/>
      <c r="P114" s="54">
        <f>SUM(P109:P113)</f>
      </c>
      <c r="Q114" s="30"/>
    </row>
    <row r="115">
      <c r="A115" s="47" t="s">
        <v>148</v>
      </c>
      <c r="B115" s="48" t="s">
        <v>88</v>
      </c>
      <c r="C115" s="49" t="s">
        <v>127</v>
      </c>
      <c r="D115" s="49">
        <v>4</v>
      </c>
      <c r="E115" s="49">
        <v>1</v>
      </c>
      <c r="F115" s="49">
        <v>382.8</v>
      </c>
      <c r="G115" s="49">
        <v>1961.9100000000003</v>
      </c>
      <c r="H115" s="50">
        <f t="shared" si="1"/>
      </c>
      <c r="I115" s="50">
        <f t="shared" si="0"/>
      </c>
      <c r="J115" s="50">
        <f t="shared" si="3"/>
      </c>
      <c r="K115" s="49">
        <v>1</v>
      </c>
      <c r="L115" s="49">
        <v>382.8</v>
      </c>
      <c r="M115" s="49" t="s">
        <v>149</v>
      </c>
      <c r="N115" s="49">
        <v>5</v>
      </c>
      <c r="O115" s="51" t="s">
        <v>93</v>
      </c>
      <c r="P115" s="51">
        <v>10</v>
      </c>
      <c r="Q115" s="30"/>
    </row>
    <row r="116">
      <c r="A116" s="47" t="s">
        <v>148</v>
      </c>
      <c r="B116" s="48" t="s">
        <v>128</v>
      </c>
      <c r="C116" s="49" t="s">
        <v>129</v>
      </c>
      <c r="D116" s="49">
        <v>2</v>
      </c>
      <c r="E116" s="49">
        <v>7</v>
      </c>
      <c r="F116" s="49">
        <v>3078</v>
      </c>
      <c r="G116" s="49">
        <v>1375.9</v>
      </c>
      <c r="H116" s="50">
        <f t="shared" si="1"/>
      </c>
      <c r="I116" s="50">
        <f t="shared" si="0"/>
      </c>
      <c r="J116" s="50">
        <f t="shared" si="3"/>
      </c>
      <c r="K116" s="49">
        <v>1</v>
      </c>
      <c r="L116" s="49">
        <v>178.8</v>
      </c>
      <c r="M116" s="49"/>
      <c r="N116" s="49"/>
      <c r="O116" s="51" t="s">
        <v>96</v>
      </c>
      <c r="P116" s="49">
        <v>10</v>
      </c>
      <c r="Q116" s="30"/>
    </row>
    <row r="117">
      <c r="A117" s="47" t="s">
        <v>148</v>
      </c>
      <c r="B117" s="48" t="s">
        <v>97</v>
      </c>
      <c r="C117" s="49" t="s">
        <v>130</v>
      </c>
      <c r="D117" s="49">
        <v>5</v>
      </c>
      <c r="E117" s="49">
        <v>3</v>
      </c>
      <c r="F117" s="49">
        <v>4610.4</v>
      </c>
      <c r="G117" s="49">
        <v>7290.16</v>
      </c>
      <c r="H117" s="50">
        <f t="shared" si="1"/>
      </c>
      <c r="I117" s="50">
        <f t="shared" si="0"/>
      </c>
      <c r="J117" s="50">
        <f t="shared" si="3"/>
      </c>
      <c r="K117" s="49">
        <v>0</v>
      </c>
      <c r="L117" s="49">
        <v>0</v>
      </c>
      <c r="M117" s="49" t="s">
        <v>150</v>
      </c>
      <c r="N117" s="49">
        <v>10</v>
      </c>
      <c r="O117" s="51"/>
      <c r="P117" s="51"/>
      <c r="Q117" s="30"/>
    </row>
    <row r="118">
      <c r="A118" s="47" t="s">
        <v>148</v>
      </c>
      <c r="B118" s="48" t="s">
        <v>104</v>
      </c>
      <c r="C118" s="49" t="s">
        <v>101</v>
      </c>
      <c r="D118" s="49">
        <v>4</v>
      </c>
      <c r="E118" s="49">
        <v>1</v>
      </c>
      <c r="F118" s="49">
        <v>620.4000000000005</v>
      </c>
      <c r="G118" s="49">
        <v>3028.1899999999996</v>
      </c>
      <c r="H118" s="50">
        <f t="shared" si="1"/>
      </c>
      <c r="I118" s="50">
        <f t="shared" si="0"/>
      </c>
      <c r="J118" s="50">
        <f t="shared" si="3"/>
      </c>
      <c r="K118" s="49">
        <v>1</v>
      </c>
      <c r="L118" s="49">
        <v>620.4</v>
      </c>
      <c r="M118" s="49"/>
      <c r="N118" s="49"/>
      <c r="O118" s="51"/>
      <c r="P118" s="51"/>
      <c r="Q118" s="30"/>
    </row>
    <row r="119">
      <c r="A119" s="52" t="s">
        <v>148</v>
      </c>
      <c r="B119" s="53"/>
      <c r="C119" s="53"/>
      <c r="D119" s="54">
        <f>SUM(D115:D118)</f>
      </c>
      <c r="E119" s="54">
        <f>SUM(E115:E118)</f>
      </c>
      <c r="F119" s="54">
        <f>SUM(F115:F118)</f>
      </c>
      <c r="G119" s="54">
        <f>SUM(G115:G118)</f>
      </c>
      <c r="H119" s="55">
        <f t="shared" si="1"/>
      </c>
      <c r="I119" s="55">
        <f t="shared" si="0"/>
      </c>
      <c r="J119" s="55">
        <f t="shared" si="3"/>
      </c>
      <c r="K119" s="54">
        <f>SUM(K115:K118)</f>
      </c>
      <c r="L119" s="54">
        <f>SUM(L115:L118)</f>
      </c>
      <c r="M119" s="56"/>
      <c r="N119" s="54">
        <f>SUM(N115:N118)</f>
      </c>
      <c r="O119" s="56"/>
      <c r="P119" s="54">
        <f>SUM(P115:P118)</f>
      </c>
      <c r="Q119" s="30"/>
    </row>
    <row r="120">
      <c r="A120" s="47" t="s">
        <v>151</v>
      </c>
      <c r="B120" s="48" t="s">
        <v>88</v>
      </c>
      <c r="C120" s="49" t="s">
        <v>126</v>
      </c>
      <c r="D120" s="49">
        <v>5</v>
      </c>
      <c r="E120" s="49">
        <v>3</v>
      </c>
      <c r="F120" s="49">
        <v>4507.2</v>
      </c>
      <c r="G120" s="49">
        <v>3150.9</v>
      </c>
      <c r="H120" s="50">
        <f t="shared" si="1"/>
      </c>
      <c r="I120" s="50">
        <f t="shared" si="0"/>
      </c>
      <c r="J120" s="50">
        <f t="shared" si="3"/>
      </c>
      <c r="K120" s="49">
        <v>0</v>
      </c>
      <c r="L120" s="49">
        <v>0</v>
      </c>
      <c r="M120" s="35" t="s">
        <v>107</v>
      </c>
      <c r="N120" s="35">
        <v>10</v>
      </c>
      <c r="O120" s="51"/>
      <c r="P120" s="49"/>
      <c r="Q120" s="30"/>
    </row>
    <row r="121">
      <c r="A121" s="47" t="s">
        <v>151</v>
      </c>
      <c r="B121" s="48" t="s">
        <v>97</v>
      </c>
      <c r="C121" s="49" t="s">
        <v>127</v>
      </c>
      <c r="D121" s="49">
        <v>4</v>
      </c>
      <c r="E121" s="49">
        <v>0</v>
      </c>
      <c r="F121" s="49">
        <v>0</v>
      </c>
      <c r="G121" s="49">
        <v>2333.1400000000003</v>
      </c>
      <c r="H121" s="50">
        <f t="shared" si="1"/>
      </c>
      <c r="I121" s="50">
        <f t="shared" si="0"/>
      </c>
      <c r="J121" s="50">
        <f t="shared" si="3"/>
      </c>
      <c r="K121" s="49">
        <v>0</v>
      </c>
      <c r="L121" s="49">
        <v>0</v>
      </c>
      <c r="M121" s="49"/>
      <c r="N121" s="49"/>
      <c r="O121" s="49" t="s">
        <v>152</v>
      </c>
      <c r="P121" s="51">
        <v>10</v>
      </c>
      <c r="Q121" s="30"/>
    </row>
    <row r="122">
      <c r="A122" s="47" t="s">
        <v>151</v>
      </c>
      <c r="B122" s="48" t="s">
        <v>128</v>
      </c>
      <c r="C122" s="49" t="s">
        <v>129</v>
      </c>
      <c r="D122" s="49">
        <v>2</v>
      </c>
      <c r="E122" s="49">
        <v>2</v>
      </c>
      <c r="F122" s="49">
        <v>2510.4000000000005</v>
      </c>
      <c r="G122" s="49">
        <v>2586.76</v>
      </c>
      <c r="H122" s="50">
        <f t="shared" si="1"/>
      </c>
      <c r="I122" s="50">
        <f t="shared" si="0"/>
      </c>
      <c r="J122" s="50">
        <f t="shared" si="3"/>
      </c>
      <c r="K122" s="49">
        <v>0</v>
      </c>
      <c r="L122" s="49">
        <v>0</v>
      </c>
      <c r="M122" s="49"/>
      <c r="N122" s="49"/>
      <c r="O122" s="51" t="s">
        <v>96</v>
      </c>
      <c r="P122" s="49">
        <v>10</v>
      </c>
      <c r="Q122" s="30"/>
    </row>
    <row r="123">
      <c r="A123" s="47" t="s">
        <v>151</v>
      </c>
      <c r="B123" s="48" t="s">
        <v>104</v>
      </c>
      <c r="C123" s="49" t="s">
        <v>130</v>
      </c>
      <c r="D123" s="49">
        <v>5</v>
      </c>
      <c r="E123" s="49">
        <v>26</v>
      </c>
      <c r="F123" s="49">
        <v>16539</v>
      </c>
      <c r="G123" s="49">
        <v>16799.4</v>
      </c>
      <c r="H123" s="50">
        <f t="shared" si="1"/>
      </c>
      <c r="I123" s="50">
        <f t="shared" si="0"/>
      </c>
      <c r="J123" s="50">
        <f t="shared" si="3"/>
      </c>
      <c r="K123" s="49">
        <v>9</v>
      </c>
      <c r="L123" s="49">
        <v>6068.4</v>
      </c>
      <c r="M123" s="49" t="s">
        <v>153</v>
      </c>
      <c r="N123" s="49">
        <v>10</v>
      </c>
      <c r="O123" s="51"/>
      <c r="P123" s="51"/>
      <c r="Q123" s="30"/>
    </row>
    <row customHeight="true" ht="16.071428571428573" r="124">
      <c r="A124" s="47" t="s">
        <v>151</v>
      </c>
      <c r="B124" s="48" t="s">
        <v>91</v>
      </c>
      <c r="C124" s="49" t="s">
        <v>101</v>
      </c>
      <c r="D124" s="49">
        <v>4</v>
      </c>
      <c r="E124" s="49">
        <v>20</v>
      </c>
      <c r="F124" s="49">
        <v>19634.200000000004</v>
      </c>
      <c r="G124" s="49">
        <v>13877.499999999998</v>
      </c>
      <c r="H124" s="50">
        <f t="shared" si="1"/>
      </c>
      <c r="I124" s="50">
        <f t="shared" si="0"/>
      </c>
      <c r="J124" s="50">
        <f t="shared" si="3"/>
      </c>
      <c r="K124" s="49">
        <v>5</v>
      </c>
      <c r="L124" s="49">
        <v>5413.2</v>
      </c>
      <c r="M124" s="49"/>
      <c r="N124" s="49"/>
      <c r="O124" s="51"/>
      <c r="P124" s="51"/>
      <c r="Q124" s="30"/>
    </row>
    <row customHeight="true" ht="16.071428571428573" r="125">
      <c r="A125" s="52" t="s">
        <v>151</v>
      </c>
      <c r="B125" s="53"/>
      <c r="C125" s="53"/>
      <c r="D125" s="54">
        <f>SUM(D120:D124)</f>
      </c>
      <c r="E125" s="54">
        <f>SUM(E120:E124)</f>
      </c>
      <c r="F125" s="54">
        <f>SUM(F120:F124)</f>
      </c>
      <c r="G125" s="54">
        <f>SUM(G120:G124)</f>
      </c>
      <c r="H125" s="55">
        <f t="shared" si="1"/>
      </c>
      <c r="I125" s="55">
        <f t="shared" si="0"/>
      </c>
      <c r="J125" s="55">
        <f t="shared" si="3"/>
      </c>
      <c r="K125" s="54">
        <f>SUM(K120:K124)</f>
      </c>
      <c r="L125" s="54">
        <f>SUM(L120:L124)</f>
      </c>
      <c r="M125" s="56"/>
      <c r="N125" s="54">
        <f>SUM(N120:N124)</f>
      </c>
      <c r="O125" s="56"/>
      <c r="P125" s="54">
        <f>SUM(P120:P124)</f>
      </c>
      <c r="Q125" s="30"/>
    </row>
    <row customHeight="true" ht="16.071428571428573" r="126">
      <c r="A126" s="47" t="s">
        <v>154</v>
      </c>
      <c r="B126" s="48" t="s">
        <v>94</v>
      </c>
      <c r="C126" s="49" t="s">
        <v>126</v>
      </c>
      <c r="D126" s="49">
        <v>5</v>
      </c>
      <c r="E126" s="49">
        <v>7</v>
      </c>
      <c r="F126" s="49">
        <v>14803.199999999999</v>
      </c>
      <c r="G126" s="49">
        <v>12976.08</v>
      </c>
      <c r="H126" s="50">
        <f t="shared" si="1"/>
      </c>
      <c r="I126" s="50">
        <f t="shared" si="0"/>
      </c>
      <c r="J126" s="50">
        <f t="shared" si="3"/>
      </c>
      <c r="K126" s="49">
        <v>2</v>
      </c>
      <c r="L126" s="49">
        <v>4190.4</v>
      </c>
      <c r="M126" s="35" t="s">
        <v>135</v>
      </c>
      <c r="N126" s="35">
        <v>10</v>
      </c>
      <c r="O126" s="51"/>
      <c r="P126" s="49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</row>
    <row customHeight="true" ht="16.071428571428573" r="127">
      <c r="A127" s="47" t="s">
        <v>154</v>
      </c>
      <c r="B127" s="48" t="s">
        <v>88</v>
      </c>
      <c r="C127" s="49" t="s">
        <v>155</v>
      </c>
      <c r="D127" s="49">
        <v>5</v>
      </c>
      <c r="E127" s="49">
        <v>14</v>
      </c>
      <c r="F127" s="49">
        <v>11696.4</v>
      </c>
      <c r="G127" s="49">
        <v>14198.5</v>
      </c>
      <c r="H127" s="50">
        <f t="shared" si="1"/>
      </c>
      <c r="I127" s="50">
        <f t="shared" si="0"/>
      </c>
      <c r="J127" s="50">
        <f t="shared" si="3"/>
      </c>
      <c r="K127" s="49">
        <v>4</v>
      </c>
      <c r="L127" s="49">
        <v>3159.6</v>
      </c>
      <c r="M127" s="49" t="s">
        <v>108</v>
      </c>
      <c r="N127" s="49">
        <v>1</v>
      </c>
      <c r="O127" s="49" t="s">
        <v>152</v>
      </c>
      <c r="P127" s="51">
        <v>10</v>
      </c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</row>
    <row customHeight="true" ht="16.071428571428573" r="128">
      <c r="A128" s="47" t="s">
        <v>154</v>
      </c>
      <c r="B128" s="48" t="s">
        <v>128</v>
      </c>
      <c r="C128" s="49" t="s">
        <v>156</v>
      </c>
      <c r="D128" s="49">
        <v>5</v>
      </c>
      <c r="E128" s="49">
        <v>12</v>
      </c>
      <c r="F128" s="49">
        <v>16250.400000000001</v>
      </c>
      <c r="G128" s="49">
        <v>15666.84</v>
      </c>
      <c r="H128" s="50">
        <f t="shared" si="1"/>
      </c>
      <c r="I128" s="50">
        <f t="shared" si="0"/>
      </c>
      <c r="J128" s="50">
        <f t="shared" si="3"/>
      </c>
      <c r="K128" s="49">
        <v>5</v>
      </c>
      <c r="L128" s="49">
        <v>8284.8</v>
      </c>
      <c r="M128" s="49"/>
      <c r="N128" s="49"/>
      <c r="O128" s="51" t="s">
        <v>96</v>
      </c>
      <c r="P128" s="49">
        <v>10</v>
      </c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</row>
    <row customHeight="true" ht="16.071428571428573" r="129">
      <c r="A129" s="47" t="s">
        <v>154</v>
      </c>
      <c r="B129" s="48" t="s">
        <v>97</v>
      </c>
      <c r="C129" s="49" t="s">
        <v>157</v>
      </c>
      <c r="D129" s="49">
        <v>5</v>
      </c>
      <c r="E129" s="49">
        <v>15</v>
      </c>
      <c r="F129" s="49">
        <v>18295.199999999997</v>
      </c>
      <c r="G129" s="49">
        <v>17197.629999999997</v>
      </c>
      <c r="H129" s="50">
        <f t="shared" si="1"/>
      </c>
      <c r="I129" s="50">
        <f t="shared" si="0"/>
      </c>
      <c r="J129" s="50">
        <f t="shared" si="3"/>
      </c>
      <c r="K129" s="49">
        <v>4</v>
      </c>
      <c r="L129" s="49">
        <v>2626.8</v>
      </c>
      <c r="M129" s="49" t="s">
        <v>153</v>
      </c>
      <c r="N129" s="49">
        <v>9</v>
      </c>
      <c r="O129" s="51"/>
      <c r="P129" s="51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</row>
    <row customHeight="true" ht="16.071428571428573" r="130">
      <c r="A130" s="52" t="s">
        <v>154</v>
      </c>
      <c r="B130" s="53"/>
      <c r="C130" s="53"/>
      <c r="D130" s="54">
        <f>SUM(D126:D129)</f>
      </c>
      <c r="E130" s="54">
        <f>SUM(E126:E129)</f>
      </c>
      <c r="F130" s="54">
        <f>SUM(F126:F129)</f>
      </c>
      <c r="G130" s="54">
        <f>SUM(G126:G129)</f>
      </c>
      <c r="H130" s="55">
        <f t="shared" si="1"/>
      </c>
      <c r="I130" s="55">
        <f t="shared" si="0"/>
      </c>
      <c r="J130" s="55">
        <f t="shared" si="3"/>
      </c>
      <c r="K130" s="54">
        <f>SUM(K126:K129)</f>
      </c>
      <c r="L130" s="54">
        <f>SUM(L126:L129)</f>
      </c>
      <c r="M130" s="56"/>
      <c r="N130" s="54">
        <f>SUM(N126:N129)</f>
      </c>
      <c r="O130" s="56"/>
      <c r="P130" s="54">
        <f>SUM(P126:P129)</f>
      </c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</row>
    <row customHeight="true" ht="16.071428571428573" r="131">
      <c r="A131" s="47" t="s">
        <v>158</v>
      </c>
      <c r="B131" s="48" t="s">
        <v>94</v>
      </c>
      <c r="C131" s="49" t="s">
        <v>89</v>
      </c>
      <c r="D131" s="49">
        <v>4</v>
      </c>
      <c r="E131" s="49">
        <v>6</v>
      </c>
      <c r="F131" s="49">
        <v>11889.6</v>
      </c>
      <c r="G131" s="49">
        <v>7502.48</v>
      </c>
      <c r="H131" s="50">
        <f t="shared" si="1"/>
      </c>
      <c r="I131" s="50">
        <f t="shared" si="0"/>
      </c>
      <c r="J131" s="50">
        <f t="shared" si="3"/>
      </c>
      <c r="K131" s="49">
        <v>3</v>
      </c>
      <c r="L131" s="49">
        <v>5918.4</v>
      </c>
      <c r="M131" s="35" t="s">
        <v>135</v>
      </c>
      <c r="N131" s="35">
        <v>10</v>
      </c>
      <c r="O131" s="51"/>
      <c r="P131" s="49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</row>
    <row customHeight="true" ht="16.071428571428573" r="132">
      <c r="A132" s="47" t="s">
        <v>158</v>
      </c>
      <c r="B132" s="48" t="s">
        <v>88</v>
      </c>
      <c r="C132" s="49" t="s">
        <v>92</v>
      </c>
      <c r="D132" s="49">
        <v>4</v>
      </c>
      <c r="E132" s="49">
        <v>3</v>
      </c>
      <c r="F132" s="49">
        <v>7110</v>
      </c>
      <c r="G132" s="49">
        <v>6944.69</v>
      </c>
      <c r="H132" s="50">
        <f t="shared" si="1"/>
      </c>
      <c r="I132" s="50">
        <f t="shared" si="0"/>
      </c>
      <c r="J132" s="50">
        <f t="shared" si="3"/>
      </c>
      <c r="K132" s="49">
        <v>1</v>
      </c>
      <c r="L132" s="49">
        <v>4239.6</v>
      </c>
      <c r="M132" s="49"/>
      <c r="N132" s="49"/>
      <c r="O132" s="49" t="s">
        <v>152</v>
      </c>
      <c r="P132" s="51">
        <v>10</v>
      </c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</row>
    <row customHeight="true" ht="16.071428571428573" r="133">
      <c r="A133" s="47" t="s">
        <v>158</v>
      </c>
      <c r="B133" s="48" t="s">
        <v>128</v>
      </c>
      <c r="C133" s="49" t="s">
        <v>95</v>
      </c>
      <c r="D133" s="49">
        <v>4</v>
      </c>
      <c r="E133" s="49">
        <v>3</v>
      </c>
      <c r="F133" s="49">
        <v>2866.8</v>
      </c>
      <c r="G133" s="49">
        <v>2645.77</v>
      </c>
      <c r="H133" s="50">
        <f t="shared" si="1"/>
      </c>
      <c r="I133" s="50">
        <f t="shared" si="0"/>
      </c>
      <c r="J133" s="50">
        <f t="shared" si="3"/>
      </c>
      <c r="K133" s="49">
        <v>1</v>
      </c>
      <c r="L133" s="49">
        <v>428.4</v>
      </c>
      <c r="M133" s="49"/>
      <c r="N133" s="49"/>
      <c r="O133" s="51" t="s">
        <v>96</v>
      </c>
      <c r="P133" s="49">
        <v>10</v>
      </c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</row>
    <row customHeight="true" ht="16.071428571428573" r="134">
      <c r="A134" s="47" t="s">
        <v>158</v>
      </c>
      <c r="B134" s="48" t="s">
        <v>97</v>
      </c>
      <c r="C134" s="49" t="s">
        <v>98</v>
      </c>
      <c r="D134" s="49">
        <v>4</v>
      </c>
      <c r="E134" s="49">
        <v>9</v>
      </c>
      <c r="F134" s="49">
        <v>15652.8</v>
      </c>
      <c r="G134" s="49">
        <v>6029.58</v>
      </c>
      <c r="H134" s="50">
        <f t="shared" si="1"/>
      </c>
      <c r="I134" s="50">
        <f t="shared" si="0"/>
      </c>
      <c r="J134" s="50">
        <f t="shared" si="3"/>
      </c>
      <c r="K134" s="49">
        <v>3</v>
      </c>
      <c r="L134" s="49">
        <v>4279.200000000001</v>
      </c>
      <c r="M134" s="49"/>
      <c r="N134" s="49"/>
      <c r="O134" s="51"/>
      <c r="P134" s="51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</row>
    <row customHeight="true" ht="16.071428571428573" r="135">
      <c r="A135" s="47" t="s">
        <v>158</v>
      </c>
      <c r="B135" s="48" t="s">
        <v>104</v>
      </c>
      <c r="C135" s="49" t="s">
        <v>159</v>
      </c>
      <c r="D135" s="49">
        <v>4</v>
      </c>
      <c r="E135" s="49">
        <v>10</v>
      </c>
      <c r="F135" s="49">
        <v>16499.4</v>
      </c>
      <c r="G135" s="49">
        <v>8704.03</v>
      </c>
      <c r="H135" s="50">
        <f t="shared" si="1"/>
      </c>
      <c r="I135" s="50">
        <f t="shared" si="0"/>
      </c>
      <c r="J135" s="50">
        <f t="shared" si="3"/>
      </c>
      <c r="K135" s="49">
        <v>1</v>
      </c>
      <c r="L135" s="49">
        <v>1723.2</v>
      </c>
      <c r="M135" s="49" t="s">
        <v>160</v>
      </c>
      <c r="N135" s="49">
        <v>10</v>
      </c>
      <c r="O135" s="51"/>
      <c r="P135" s="51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</row>
    <row customHeight="true" ht="16.071428571428573" r="136">
      <c r="A136" s="52" t="s">
        <v>158</v>
      </c>
      <c r="B136" s="53"/>
      <c r="C136" s="53"/>
      <c r="D136" s="54">
        <f>SUM(D131:D135)</f>
      </c>
      <c r="E136" s="54">
        <f>SUM(E131:E135)</f>
      </c>
      <c r="F136" s="54">
        <f>SUM(F131:F135)</f>
      </c>
      <c r="G136" s="54">
        <f>SUM(G131:G135)</f>
      </c>
      <c r="H136" s="55">
        <f t="shared" si="1"/>
      </c>
      <c r="I136" s="55">
        <f t="shared" si="0"/>
      </c>
      <c r="J136" s="55">
        <f t="shared" si="3"/>
      </c>
      <c r="K136" s="54">
        <f>SUM(K131:K135)</f>
      </c>
      <c r="L136" s="54">
        <f>SUM(L131:L135)</f>
      </c>
      <c r="M136" s="56"/>
      <c r="N136" s="54">
        <f>SUM(N131:N135)</f>
      </c>
      <c r="O136" s="56"/>
      <c r="P136" s="54">
        <f>SUM(P131:P134)</f>
      </c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</row>
    <row customHeight="true" ht="16.071428571428573" r="137">
      <c r="A137" s="47" t="s">
        <v>161</v>
      </c>
      <c r="B137" s="48" t="s">
        <v>88</v>
      </c>
      <c r="C137" s="49" t="s">
        <v>89</v>
      </c>
      <c r="D137" s="49">
        <v>4</v>
      </c>
      <c r="E137" s="49">
        <v>20</v>
      </c>
      <c r="F137" s="49">
        <v>27228.4</v>
      </c>
      <c r="G137" s="49">
        <v>13505.32</v>
      </c>
      <c r="H137" s="50">
        <f t="shared" si="1"/>
      </c>
      <c r="I137" s="50">
        <f t="shared" si="0"/>
      </c>
      <c r="J137" s="50">
        <f t="shared" si="3"/>
      </c>
      <c r="K137" s="49">
        <v>11</v>
      </c>
      <c r="L137" s="49">
        <v>11761.2</v>
      </c>
      <c r="M137" s="35" t="s">
        <v>107</v>
      </c>
      <c r="N137" s="35">
        <v>10</v>
      </c>
      <c r="O137" s="51"/>
      <c r="P137" s="49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</row>
    <row customHeight="true" ht="16.071428571428573" r="138">
      <c r="A138" s="47" t="s">
        <v>161</v>
      </c>
      <c r="B138" s="48" t="s">
        <v>97</v>
      </c>
      <c r="C138" s="49" t="s">
        <v>92</v>
      </c>
      <c r="D138" s="49">
        <v>4</v>
      </c>
      <c r="E138" s="49">
        <v>6</v>
      </c>
      <c r="F138" s="49">
        <v>9546</v>
      </c>
      <c r="G138" s="49">
        <v>10039.96</v>
      </c>
      <c r="H138" s="50">
        <f t="shared" si="1"/>
      </c>
      <c r="I138" s="50">
        <f t="shared" si="0"/>
      </c>
      <c r="J138" s="50">
        <f t="shared" si="3"/>
      </c>
      <c r="K138" s="49">
        <v>1</v>
      </c>
      <c r="L138" s="49">
        <v>620.4</v>
      </c>
      <c r="M138" s="49"/>
      <c r="N138" s="49"/>
      <c r="O138" s="49" t="s">
        <v>152</v>
      </c>
      <c r="P138" s="51">
        <v>10</v>
      </c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</row>
    <row customHeight="true" ht="16.071428571428573" r="139">
      <c r="A139" s="47" t="s">
        <v>161</v>
      </c>
      <c r="B139" s="48" t="s">
        <v>91</v>
      </c>
      <c r="C139" s="49" t="s">
        <v>95</v>
      </c>
      <c r="D139" s="49">
        <v>4</v>
      </c>
      <c r="E139" s="49">
        <v>13</v>
      </c>
      <c r="F139" s="49">
        <v>16736.199999999997</v>
      </c>
      <c r="G139" s="49">
        <v>13594.069999999998</v>
      </c>
      <c r="H139" s="50">
        <f t="shared" si="1"/>
      </c>
      <c r="I139" s="50">
        <f t="shared" si="0"/>
      </c>
      <c r="J139" s="50">
        <f t="shared" si="3"/>
      </c>
      <c r="K139" s="49">
        <v>6</v>
      </c>
      <c r="L139" s="49">
        <v>6161.799999999999</v>
      </c>
      <c r="M139" s="49"/>
      <c r="N139" s="49"/>
      <c r="O139" s="51" t="s">
        <v>96</v>
      </c>
      <c r="P139" s="49">
        <v>10</v>
      </c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</row>
    <row customHeight="true" ht="16.071428571428573" r="140">
      <c r="A140" s="47" t="s">
        <v>161</v>
      </c>
      <c r="B140" s="48" t="s">
        <v>128</v>
      </c>
      <c r="C140" s="49" t="s">
        <v>98</v>
      </c>
      <c r="D140" s="49">
        <v>4</v>
      </c>
      <c r="E140" s="49">
        <v>18</v>
      </c>
      <c r="F140" s="49">
        <v>23775.6</v>
      </c>
      <c r="G140" s="49">
        <v>14121.729999999998</v>
      </c>
      <c r="H140" s="50">
        <f t="shared" si="1"/>
      </c>
      <c r="I140" s="50">
        <f t="shared" si="0"/>
      </c>
      <c r="J140" s="50">
        <f t="shared" si="3"/>
      </c>
      <c r="K140" s="49">
        <v>4</v>
      </c>
      <c r="L140" s="49">
        <v>5001.599999999999</v>
      </c>
      <c r="M140" s="49"/>
      <c r="N140" s="49"/>
      <c r="O140" s="51"/>
      <c r="P140" s="51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</row>
    <row customHeight="true" ht="16.071428571428573" r="141">
      <c r="A141" s="47" t="s">
        <v>161</v>
      </c>
      <c r="B141" s="48" t="s">
        <v>104</v>
      </c>
      <c r="C141" s="49" t="s">
        <v>159</v>
      </c>
      <c r="D141" s="49">
        <v>4</v>
      </c>
      <c r="E141" s="49">
        <v>11</v>
      </c>
      <c r="F141" s="49">
        <v>14989.199999999997</v>
      </c>
      <c r="G141" s="49">
        <v>11771</v>
      </c>
      <c r="H141" s="50">
        <f t="shared" si="1"/>
      </c>
      <c r="I141" s="50">
        <f t="shared" si="0"/>
      </c>
      <c r="J141" s="50">
        <f t="shared" si="3"/>
      </c>
      <c r="K141" s="49">
        <v>3</v>
      </c>
      <c r="L141" s="49">
        <v>2818.8</v>
      </c>
      <c r="M141" s="49" t="s">
        <v>143</v>
      </c>
      <c r="N141" s="49">
        <v>10</v>
      </c>
      <c r="O141" s="51"/>
      <c r="P141" s="51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</row>
    <row customHeight="true" ht="16.071428571428573" r="142">
      <c r="A142" s="52" t="s">
        <v>161</v>
      </c>
      <c r="B142" s="53"/>
      <c r="C142" s="53"/>
      <c r="D142" s="54">
        <f>SUM(D137:D141)</f>
      </c>
      <c r="E142" s="54">
        <f>SUM(E137:E141)</f>
      </c>
      <c r="F142" s="54">
        <f>SUM(F137:F141)</f>
      </c>
      <c r="G142" s="54">
        <f>SUM(G137:G141)</f>
      </c>
      <c r="H142" s="55">
        <f t="shared" si="1"/>
      </c>
      <c r="I142" s="55">
        <f t="shared" si="0"/>
      </c>
      <c r="J142" s="55">
        <f t="shared" si="3"/>
      </c>
      <c r="K142" s="54">
        <f>SUM(K137:K141)</f>
      </c>
      <c r="L142" s="54">
        <f>SUM(L137:L141)</f>
      </c>
      <c r="M142" s="56"/>
      <c r="N142" s="54">
        <f>SUM(N137:N141)</f>
      </c>
      <c r="O142" s="56"/>
      <c r="P142" s="54">
        <f>SUM(P137:P140)</f>
      </c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</row>
    <row customHeight="true" ht="16.071428571428573" r="143">
      <c r="A143" s="47" t="s">
        <v>162</v>
      </c>
      <c r="B143" s="48" t="s">
        <v>97</v>
      </c>
      <c r="C143" s="49" t="s">
        <v>89</v>
      </c>
      <c r="D143" s="49">
        <v>4</v>
      </c>
      <c r="E143" s="49">
        <v>3</v>
      </c>
      <c r="F143" s="49">
        <v>5894.4</v>
      </c>
      <c r="G143" s="49">
        <v>4809.110000000001</v>
      </c>
      <c r="H143" s="50">
        <f t="shared" si="1"/>
      </c>
      <c r="I143" s="50">
        <f t="shared" si="0"/>
      </c>
      <c r="J143" s="50">
        <f t="shared" si="3"/>
      </c>
      <c r="K143" s="49">
        <v>1</v>
      </c>
      <c r="L143" s="49">
        <v>2071.2</v>
      </c>
      <c r="M143" s="35" t="s">
        <v>149</v>
      </c>
      <c r="N143" s="35">
        <v>10</v>
      </c>
      <c r="O143" s="51"/>
      <c r="P143" s="49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</row>
    <row customHeight="true" ht="16.071428571428573" r="144">
      <c r="A144" s="47" t="s">
        <v>162</v>
      </c>
      <c r="B144" s="48" t="s">
        <v>94</v>
      </c>
      <c r="C144" s="49" t="s">
        <v>92</v>
      </c>
      <c r="D144" s="49">
        <v>4</v>
      </c>
      <c r="E144" s="49">
        <v>11</v>
      </c>
      <c r="F144" s="49">
        <v>21779.800000000003</v>
      </c>
      <c r="G144" s="49">
        <v>8348.83</v>
      </c>
      <c r="H144" s="50">
        <f t="shared" si="1"/>
      </c>
      <c r="I144" s="50">
        <f t="shared" si="0"/>
      </c>
      <c r="J144" s="50">
        <f t="shared" si="3"/>
      </c>
      <c r="K144" s="49">
        <v>3</v>
      </c>
      <c r="L144" s="49">
        <v>4754.2</v>
      </c>
      <c r="M144" s="49"/>
      <c r="N144" s="49"/>
      <c r="O144" s="49" t="s">
        <v>152</v>
      </c>
      <c r="P144" s="51">
        <v>10</v>
      </c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</row>
    <row customHeight="true" ht="16.071428571428573" r="145">
      <c r="A145" s="47" t="s">
        <v>162</v>
      </c>
      <c r="B145" s="48" t="s">
        <v>91</v>
      </c>
      <c r="C145" s="49" t="s">
        <v>163</v>
      </c>
      <c r="D145" s="49">
        <v>2</v>
      </c>
      <c r="E145" s="49">
        <v>2</v>
      </c>
      <c r="F145" s="49">
        <v>2266.7999999999956</v>
      </c>
      <c r="G145" s="49">
        <v>5112.82</v>
      </c>
      <c r="H145" s="50">
        <f t="shared" si="1"/>
      </c>
      <c r="I145" s="50">
        <f t="shared" si="0"/>
      </c>
      <c r="J145" s="50">
        <f t="shared" si="3"/>
      </c>
      <c r="K145" s="49">
        <v>0</v>
      </c>
      <c r="L145" s="49">
        <v>0</v>
      </c>
      <c r="M145" s="49" t="s">
        <v>150</v>
      </c>
      <c r="N145" s="49">
        <v>10</v>
      </c>
      <c r="O145" s="51" t="s">
        <v>96</v>
      </c>
      <c r="P145" s="49">
        <v>10</v>
      </c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</row>
    <row customHeight="true" ht="16.071428571428573" r="146">
      <c r="A146" s="47" t="s">
        <v>162</v>
      </c>
      <c r="B146" s="48" t="s">
        <v>104</v>
      </c>
      <c r="C146" s="49" t="s">
        <v>156</v>
      </c>
      <c r="D146" s="49">
        <v>5</v>
      </c>
      <c r="E146" s="49">
        <v>12</v>
      </c>
      <c r="F146" s="49">
        <v>9315.919999999998</v>
      </c>
      <c r="G146" s="49">
        <v>6418.099999999999</v>
      </c>
      <c r="H146" s="50">
        <f t="shared" si="1"/>
      </c>
      <c r="I146" s="50">
        <f t="shared" si="0"/>
      </c>
      <c r="J146" s="50">
        <f t="shared" si="3"/>
      </c>
      <c r="K146" s="49">
        <v>4</v>
      </c>
      <c r="L146" s="49">
        <v>3446.2</v>
      </c>
      <c r="M146" s="49"/>
      <c r="N146" s="49"/>
      <c r="O146" s="51"/>
      <c r="P146" s="51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</row>
    <row customHeight="true" ht="16.071428571428573" r="147">
      <c r="A147" s="47" t="s">
        <v>162</v>
      </c>
      <c r="B147" s="48" t="s">
        <v>128</v>
      </c>
      <c r="C147" s="49" t="s">
        <v>157</v>
      </c>
      <c r="D147" s="49">
        <v>5</v>
      </c>
      <c r="E147" s="49">
        <v>28</v>
      </c>
      <c r="F147" s="49">
        <v>32778.15000000001</v>
      </c>
      <c r="G147" s="49">
        <v>19171.940000000002</v>
      </c>
      <c r="H147" s="50">
        <f t="shared" si="1"/>
      </c>
      <c r="I147" s="50">
        <f t="shared" si="0"/>
      </c>
      <c r="J147" s="50">
        <f t="shared" si="3"/>
      </c>
      <c r="K147" s="49">
        <v>3</v>
      </c>
      <c r="L147" s="49">
        <v>4040.4000000000015</v>
      </c>
      <c r="M147" s="49"/>
      <c r="N147" s="49"/>
      <c r="O147" s="51"/>
      <c r="P147" s="51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</row>
    <row customHeight="true" ht="16.071428571428573" r="148">
      <c r="A148" s="52" t="s">
        <v>162</v>
      </c>
      <c r="B148" s="53"/>
      <c r="C148" s="53"/>
      <c r="D148" s="54">
        <f>SUM(D143:D147)</f>
      </c>
      <c r="E148" s="54"/>
      <c r="F148" s="54"/>
      <c r="G148" s="54"/>
      <c r="H148" s="55">
        <f t="shared" si="1"/>
      </c>
      <c r="I148" s="55">
        <f t="shared" si="0"/>
      </c>
      <c r="J148" s="55">
        <f t="shared" si="3"/>
      </c>
      <c r="K148" s="54">
        <f>SUM(K143:K147)</f>
      </c>
      <c r="L148" s="54">
        <f>SUM(L143:L147)</f>
      </c>
      <c r="M148" s="56"/>
      <c r="N148" s="54">
        <f>SUM(N143:N147)</f>
      </c>
      <c r="O148" s="56"/>
      <c r="P148" s="54">
        <f>SUM(P143:P146)</f>
      </c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</row>
    <row customHeight="true" ht="16.071428571428573" r="149">
      <c r="A149" s="47" t="s">
        <v>164</v>
      </c>
      <c r="B149" s="48" t="s">
        <v>88</v>
      </c>
      <c r="C149" s="49" t="s">
        <v>89</v>
      </c>
      <c r="D149" s="49">
        <v>4</v>
      </c>
      <c r="E149" s="49">
        <v>20</v>
      </c>
      <c r="F149" s="49">
        <v>22784.2</v>
      </c>
      <c r="G149" s="49">
        <v>13828.970000000001</v>
      </c>
      <c r="H149" s="50">
        <f t="shared" si="1"/>
      </c>
      <c r="I149" s="50">
        <f t="shared" si="0"/>
      </c>
      <c r="J149" s="50">
        <f t="shared" si="3"/>
      </c>
      <c r="K149" s="49">
        <v>7</v>
      </c>
      <c r="L149" s="49">
        <v>8272.6</v>
      </c>
      <c r="M149" s="35" t="s">
        <v>107</v>
      </c>
      <c r="N149" s="35">
        <v>2</v>
      </c>
      <c r="O149" s="51"/>
      <c r="P149" s="49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</row>
    <row customHeight="true" ht="16.071428571428573" r="150">
      <c r="A150" s="47" t="s">
        <v>164</v>
      </c>
      <c r="B150" s="48" t="s">
        <v>94</v>
      </c>
      <c r="C150" s="49" t="s">
        <v>92</v>
      </c>
      <c r="D150" s="58">
        <f>4-0.2</f>
      </c>
      <c r="E150" s="49">
        <v>6</v>
      </c>
      <c r="F150" s="49">
        <v>6208.799999999999</v>
      </c>
      <c r="G150" s="49">
        <v>7754.389999999999</v>
      </c>
      <c r="H150" s="50">
        <f t="shared" si="1"/>
      </c>
      <c r="I150" s="50">
        <f t="shared" si="0"/>
      </c>
      <c r="J150" s="50">
        <f t="shared" si="3"/>
      </c>
      <c r="K150" s="49">
        <v>1</v>
      </c>
      <c r="L150" s="49">
        <v>2071.2</v>
      </c>
      <c r="M150" s="35" t="s">
        <v>149</v>
      </c>
      <c r="N150" s="49">
        <v>8</v>
      </c>
      <c r="O150" s="49" t="s">
        <v>152</v>
      </c>
      <c r="P150" s="51">
        <v>10</v>
      </c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</row>
    <row customHeight="true" ht="16.071428571428573" r="151">
      <c r="A151" s="47" t="s">
        <v>164</v>
      </c>
      <c r="B151" s="48" t="s">
        <v>97</v>
      </c>
      <c r="C151" s="49" t="s">
        <v>95</v>
      </c>
      <c r="D151" s="49">
        <v>4</v>
      </c>
      <c r="E151" s="49">
        <v>23</v>
      </c>
      <c r="F151" s="49">
        <v>25902</v>
      </c>
      <c r="G151" s="49">
        <v>20635.64</v>
      </c>
      <c r="H151" s="50">
        <f t="shared" si="1"/>
      </c>
      <c r="I151" s="50">
        <f t="shared" si="0"/>
      </c>
      <c r="J151" s="50">
        <f t="shared" si="3"/>
      </c>
      <c r="K151" s="49">
        <v>3</v>
      </c>
      <c r="L151" s="49">
        <v>3075.6</v>
      </c>
      <c r="M151" s="49" t="s">
        <v>150</v>
      </c>
      <c r="N151" s="49">
        <v>10</v>
      </c>
      <c r="O151" s="51" t="s">
        <v>96</v>
      </c>
      <c r="P151" s="49">
        <v>10</v>
      </c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</row>
    <row customHeight="true" ht="16.071428571428573" r="152">
      <c r="A152" s="47" t="s">
        <v>164</v>
      </c>
      <c r="B152" s="48" t="s">
        <v>128</v>
      </c>
      <c r="C152" s="49" t="s">
        <v>98</v>
      </c>
      <c r="D152" s="49">
        <v>4</v>
      </c>
      <c r="E152" s="49">
        <v>11</v>
      </c>
      <c r="F152" s="49">
        <v>11121.800000000003</v>
      </c>
      <c r="G152" s="49">
        <v>14306.670000000002</v>
      </c>
      <c r="H152" s="50">
        <f t="shared" si="1"/>
      </c>
      <c r="I152" s="50">
        <f t="shared" si="0"/>
      </c>
      <c r="J152" s="50">
        <f t="shared" si="3"/>
      </c>
      <c r="K152" s="49">
        <v>1</v>
      </c>
      <c r="L152" s="49">
        <v>657</v>
      </c>
      <c r="M152" s="49"/>
      <c r="N152" s="49"/>
      <c r="O152" s="51"/>
      <c r="P152" s="51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</row>
    <row customHeight="true" ht="16.071428571428573" r="153">
      <c r="A153" s="47" t="s">
        <v>164</v>
      </c>
      <c r="B153" s="48" t="s">
        <v>104</v>
      </c>
      <c r="C153" s="49" t="s">
        <v>159</v>
      </c>
      <c r="D153" s="49">
        <v>4</v>
      </c>
      <c r="E153" s="49">
        <v>9</v>
      </c>
      <c r="F153" s="49">
        <v>9644.399999999994</v>
      </c>
      <c r="G153" s="49">
        <v>7684.570000000001</v>
      </c>
      <c r="H153" s="50">
        <f t="shared" si="1"/>
      </c>
      <c r="I153" s="50">
        <f t="shared" si="0"/>
      </c>
      <c r="J153" s="50">
        <f t="shared" si="3"/>
      </c>
      <c r="K153" s="49">
        <v>1</v>
      </c>
      <c r="L153" s="49">
        <v>1471.2000000000007</v>
      </c>
      <c r="M153" s="49"/>
      <c r="N153" s="49"/>
      <c r="O153" s="51"/>
      <c r="P153" s="51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</row>
    <row customHeight="true" ht="16.071428571428573" r="154">
      <c r="A154" s="52" t="s">
        <v>164</v>
      </c>
      <c r="B154" s="53"/>
      <c r="C154" s="53"/>
      <c r="D154" s="54">
        <f>SUM(D149:D153)</f>
      </c>
      <c r="E154" s="54">
        <f>SUM(E149:E153)</f>
      </c>
      <c r="F154" s="54">
        <f>SUM(F149:F153)</f>
      </c>
      <c r="G154" s="54">
        <f>SUM(G149:G153)</f>
      </c>
      <c r="H154" s="55">
        <f t="shared" si="1"/>
      </c>
      <c r="I154" s="55">
        <f t="shared" si="0"/>
      </c>
      <c r="J154" s="55">
        <f t="shared" si="3"/>
      </c>
      <c r="K154" s="54">
        <f>SUM(K149:K153)</f>
      </c>
      <c r="L154" s="54">
        <f>SUM(L149:L153)</f>
      </c>
      <c r="M154" s="56"/>
      <c r="N154" s="54">
        <f>SUM(N149:N153)</f>
      </c>
      <c r="O154" s="56"/>
      <c r="P154" s="54">
        <f>SUM(P149:P152)</f>
      </c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</row>
    <row customHeight="true" ht="16.071428571428573" r="155">
      <c r="A155" s="47" t="s">
        <v>165</v>
      </c>
      <c r="B155" s="36" t="s">
        <v>88</v>
      </c>
      <c r="C155" s="49" t="s">
        <v>89</v>
      </c>
      <c r="D155" s="58">
        <f>4-1.25</f>
      </c>
      <c r="E155" s="49">
        <v>5</v>
      </c>
      <c r="F155" s="49">
        <v>9072</v>
      </c>
      <c r="G155" s="49">
        <v>7140.629999999999</v>
      </c>
      <c r="H155" s="50">
        <f t="shared" si="1"/>
      </c>
      <c r="I155" s="50">
        <f t="shared" si="0"/>
      </c>
      <c r="J155" s="50">
        <f t="shared" si="3"/>
      </c>
      <c r="K155" s="49">
        <v>1</v>
      </c>
      <c r="L155" s="49">
        <v>2071.2</v>
      </c>
      <c r="M155" s="35" t="s">
        <v>122</v>
      </c>
      <c r="N155" s="35">
        <v>2</v>
      </c>
      <c r="O155" s="51"/>
      <c r="P155" s="49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</row>
    <row customHeight="true" ht="16.071428571428573" r="156">
      <c r="A156" s="47" t="s">
        <v>165</v>
      </c>
      <c r="B156" s="36" t="s">
        <v>97</v>
      </c>
      <c r="C156" s="49" t="s">
        <v>92</v>
      </c>
      <c r="D156" s="58">
        <f>4-0.5</f>
      </c>
      <c r="E156" s="49">
        <v>3</v>
      </c>
      <c r="F156" s="49">
        <v>4946.4</v>
      </c>
      <c r="G156" s="49">
        <v>3558.82</v>
      </c>
      <c r="H156" s="50">
        <f t="shared" si="1"/>
      </c>
      <c r="I156" s="50">
        <f t="shared" si="0"/>
      </c>
      <c r="J156" s="50">
        <f t="shared" si="3"/>
      </c>
      <c r="K156" s="49">
        <v>0</v>
      </c>
      <c r="L156" s="49">
        <v>0</v>
      </c>
      <c r="M156" s="49"/>
      <c r="N156" s="49"/>
      <c r="O156" s="49" t="s">
        <v>152</v>
      </c>
      <c r="P156" s="51">
        <v>10</v>
      </c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</row>
    <row customHeight="true" ht="16.071428571428573" r="157">
      <c r="A157" s="47" t="s">
        <v>165</v>
      </c>
      <c r="B157" s="36" t="s">
        <v>128</v>
      </c>
      <c r="C157" s="49" t="s">
        <v>95</v>
      </c>
      <c r="D157" s="49">
        <v>4</v>
      </c>
      <c r="E157" s="49">
        <v>2</v>
      </c>
      <c r="F157" s="49">
        <v>1534.800000000001</v>
      </c>
      <c r="G157" s="49">
        <v>3211.7300000000005</v>
      </c>
      <c r="H157" s="50">
        <f t="shared" si="1"/>
      </c>
      <c r="I157" s="50">
        <f t="shared" si="0"/>
      </c>
      <c r="J157" s="50">
        <f t="shared" si="3"/>
      </c>
      <c r="K157" s="49">
        <v>0</v>
      </c>
      <c r="L157" s="49">
        <v>0</v>
      </c>
      <c r="M157" s="35" t="s">
        <v>142</v>
      </c>
      <c r="N157" s="39">
        <v>8</v>
      </c>
      <c r="O157" s="51" t="s">
        <v>96</v>
      </c>
      <c r="P157" s="49">
        <v>10</v>
      </c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</row>
    <row customHeight="true" ht="16.071428571428573" r="158">
      <c r="A158" s="47" t="s">
        <v>165</v>
      </c>
      <c r="B158" s="36" t="s">
        <v>91</v>
      </c>
      <c r="C158" s="49" t="s">
        <v>98</v>
      </c>
      <c r="D158" s="58">
        <f>4-0.2</f>
      </c>
      <c r="E158" s="49">
        <v>2</v>
      </c>
      <c r="F158" s="49">
        <v>2462.399999999998</v>
      </c>
      <c r="G158" s="49">
        <v>3174.7900000000004</v>
      </c>
      <c r="H158" s="50">
        <f t="shared" si="1"/>
      </c>
      <c r="I158" s="50">
        <f t="shared" si="0"/>
      </c>
      <c r="J158" s="50">
        <f t="shared" si="3"/>
      </c>
      <c r="K158" s="49">
        <v>1</v>
      </c>
      <c r="L158" s="49">
        <v>1723.2000000000003</v>
      </c>
      <c r="M158" s="49" t="s">
        <v>150</v>
      </c>
      <c r="N158" s="49">
        <v>10</v>
      </c>
      <c r="O158" s="51"/>
      <c r="P158" s="51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</row>
    <row customHeight="true" ht="16.071428571428573" r="159">
      <c r="A159" s="47" t="s">
        <v>165</v>
      </c>
      <c r="B159" s="36" t="s">
        <v>104</v>
      </c>
      <c r="C159" s="49" t="s">
        <v>159</v>
      </c>
      <c r="D159" s="58">
        <f>4-0.3</f>
      </c>
      <c r="E159" s="49">
        <v>6</v>
      </c>
      <c r="F159" s="49">
        <v>5253.600000000002</v>
      </c>
      <c r="G159" s="49">
        <v>7620.52</v>
      </c>
      <c r="H159" s="50">
        <f t="shared" si="1"/>
      </c>
      <c r="I159" s="50">
        <f t="shared" si="0"/>
      </c>
      <c r="J159" s="50">
        <f t="shared" si="3"/>
      </c>
      <c r="K159" s="49">
        <v>1</v>
      </c>
      <c r="L159" s="49">
        <v>1723.2000000000003</v>
      </c>
      <c r="M159" s="49"/>
      <c r="N159" s="49"/>
      <c r="O159" s="51"/>
      <c r="P159" s="51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</row>
    <row customHeight="true" ht="16.071428571428573" r="160">
      <c r="A160" s="52" t="s">
        <v>165</v>
      </c>
      <c r="B160" s="53"/>
      <c r="C160" s="53"/>
      <c r="D160" s="54">
        <f>SUM(D155:D159)</f>
      </c>
      <c r="E160" s="54">
        <f>SUM(E155:E159)</f>
      </c>
      <c r="F160" s="54">
        <f>SUM(F155:F159)</f>
      </c>
      <c r="G160" s="54">
        <f>SUM(G155:G159)</f>
      </c>
      <c r="H160" s="55">
        <f t="shared" si="1"/>
      </c>
      <c r="I160" s="55">
        <f t="shared" si="0"/>
      </c>
      <c r="J160" s="55">
        <f t="shared" si="3"/>
      </c>
      <c r="K160" s="54">
        <f>SUM(K155:K159)</f>
      </c>
      <c r="L160" s="54">
        <f>SUM(L155:L159)</f>
      </c>
      <c r="M160" s="56"/>
      <c r="N160" s="54">
        <f>SUM(N155:N159)</f>
      </c>
      <c r="O160" s="56"/>
      <c r="P160" s="54">
        <f>SUM(P155:P158)</f>
      </c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</row>
    <row customHeight="true" ht="16.071428571428573" r="161">
      <c r="A161" s="57"/>
      <c r="B161" s="57"/>
      <c r="C161" s="57"/>
      <c r="D161" s="57"/>
      <c r="E161" s="57"/>
      <c r="F161" s="57"/>
      <c r="G161" s="57"/>
      <c r="H161" s="57"/>
      <c r="I161" s="57"/>
      <c r="J161" s="59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</row>
    <row customHeight="true" ht="16.071428571428573" r="162">
      <c r="A162" s="57"/>
      <c r="B162" s="57"/>
      <c r="C162" s="57"/>
      <c r="D162" s="57"/>
      <c r="E162" s="57"/>
      <c r="F162" s="57"/>
      <c r="G162" s="57"/>
      <c r="H162" s="57"/>
      <c r="I162" s="57"/>
      <c r="J162" s="59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</row>
    <row customHeight="true" ht="16.071428571428573" r="163">
      <c r="A163" s="57"/>
      <c r="B163" s="57"/>
      <c r="C163" s="57"/>
      <c r="D163" s="57"/>
      <c r="E163" s="57"/>
      <c r="F163" s="57"/>
      <c r="G163" s="57"/>
      <c r="H163" s="57"/>
      <c r="I163" s="57"/>
      <c r="J163" s="59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</row>
    <row customHeight="true" ht="16.071428571428573" r="164">
      <c r="A164" s="57"/>
      <c r="B164" s="57"/>
      <c r="C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</row>
    <row customHeight="true" ht="16.071428571428573" r="165">
      <c r="A165" s="57"/>
      <c r="B165" s="57"/>
      <c r="C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</row>
    <row customHeight="true" ht="16.071428571428573" r="166">
      <c r="A166" s="57"/>
      <c r="B166" s="57"/>
      <c r="C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</row>
    <row customHeight="true" ht="16.071428571428573" r="167">
      <c r="A167" s="57"/>
      <c r="B167" s="57"/>
      <c r="C167" s="57"/>
      <c r="K167" s="57" t="s">
        <v>83</v>
      </c>
      <c r="L167" s="57" t="s">
        <v>166</v>
      </c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</row>
    <row customHeight="true" ht="16.071428571428573" r="168">
      <c r="A168" s="57"/>
      <c r="B168" s="57"/>
      <c r="C168" s="57"/>
      <c r="K168" s="57" t="s">
        <v>142</v>
      </c>
      <c r="L168" s="57">
        <v>15</v>
      </c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</row>
    <row customHeight="true" ht="16.071428571428573" r="169">
      <c r="A169" s="57"/>
      <c r="B169" s="57"/>
      <c r="C169" s="57"/>
      <c r="K169" s="57" t="s">
        <v>149</v>
      </c>
      <c r="L169" s="57">
        <v>23</v>
      </c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</row>
    <row customHeight="true" ht="16.071428571428573" r="170">
      <c r="A170" s="57"/>
      <c r="B170" s="57"/>
      <c r="C170" s="57"/>
      <c r="K170" s="57" t="s">
        <v>107</v>
      </c>
      <c r="L170" s="57">
        <v>132</v>
      </c>
      <c r="M170" s="57">
        <v>14</v>
      </c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</row>
    <row customHeight="true" ht="16.071428571428573" r="171">
      <c r="A171" s="57"/>
      <c r="B171" s="57"/>
      <c r="C171" s="57"/>
      <c r="K171" s="57" t="s">
        <v>143</v>
      </c>
      <c r="L171" s="57">
        <v>30</v>
      </c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</row>
    <row customHeight="true" ht="16.071428571428573" r="172">
      <c r="A172" s="57"/>
      <c r="B172" s="57"/>
      <c r="C172" s="57"/>
      <c r="K172" s="57" t="s">
        <v>147</v>
      </c>
      <c r="L172" s="57">
        <v>10</v>
      </c>
      <c r="M172" s="57">
        <v>1</v>
      </c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</row>
    <row customHeight="true" ht="16.071428571428573" r="173">
      <c r="A173" s="57"/>
      <c r="B173" s="57"/>
      <c r="C173" s="57"/>
      <c r="K173" s="57" t="s">
        <v>150</v>
      </c>
      <c r="L173" s="57">
        <v>40</v>
      </c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</row>
    <row customHeight="true" ht="16.071428571428573" r="174">
      <c r="A174" s="57"/>
      <c r="B174" s="57"/>
      <c r="C174" s="57"/>
      <c r="K174" s="57" t="s">
        <v>103</v>
      </c>
      <c r="L174" s="57">
        <v>28</v>
      </c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</row>
    <row customHeight="true" ht="16.071428571428573" r="175">
      <c r="A175" s="57"/>
      <c r="B175" s="57"/>
      <c r="C175" s="57"/>
      <c r="K175" s="57" t="s">
        <v>136</v>
      </c>
      <c r="L175" s="57">
        <v>10</v>
      </c>
      <c r="M175" s="57">
        <v>1</v>
      </c>
      <c r="N175" s="57"/>
      <c r="O175" s="57"/>
      <c r="P175" s="60"/>
      <c r="Q175" s="60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</row>
    <row customHeight="true" ht="16.071428571428573" r="176">
      <c r="A176" s="57"/>
      <c r="B176" s="57"/>
      <c r="C176" s="57"/>
      <c r="K176" s="57" t="s">
        <v>90</v>
      </c>
      <c r="L176" s="57">
        <v>12</v>
      </c>
      <c r="M176" s="57">
        <v>3</v>
      </c>
      <c r="N176" s="57"/>
      <c r="O176" s="57"/>
      <c r="P176" s="61"/>
      <c r="Q176" s="61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</row>
    <row customHeight="true" ht="16.071428571428573" r="177">
      <c r="A177" s="57"/>
      <c r="B177" s="57"/>
      <c r="C177" s="57"/>
      <c r="K177" s="57" t="s">
        <v>99</v>
      </c>
      <c r="L177" s="57">
        <v>30</v>
      </c>
      <c r="M177" s="57">
        <v>3</v>
      </c>
      <c r="N177" s="57"/>
      <c r="O177" s="57"/>
      <c r="P177" s="61"/>
      <c r="Q177" s="61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</row>
    <row customHeight="true" ht="16.071428571428573" r="178">
      <c r="A178" s="57"/>
      <c r="B178" s="57"/>
      <c r="C178" s="57"/>
      <c r="K178" s="57" t="s">
        <v>135</v>
      </c>
      <c r="L178" s="57">
        <v>30</v>
      </c>
      <c r="M178" s="57">
        <v>3</v>
      </c>
      <c r="N178" s="57"/>
      <c r="O178" s="57"/>
      <c r="P178" s="61"/>
      <c r="Q178" s="61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</row>
    <row customHeight="true" ht="16.071428571428573" r="179">
      <c r="A179" s="57"/>
      <c r="B179" s="57"/>
      <c r="C179" s="57"/>
      <c r="K179" s="57" t="s">
        <v>122</v>
      </c>
      <c r="L179" s="57">
        <v>14</v>
      </c>
      <c r="M179" s="57"/>
      <c r="N179" s="57"/>
      <c r="O179" s="57"/>
      <c r="P179" s="61"/>
      <c r="Q179" s="61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</row>
    <row customHeight="true" ht="16.071428571428573" r="180">
      <c r="A180" s="57"/>
      <c r="B180" s="57"/>
      <c r="C180" s="57"/>
      <c r="K180" s="57" t="s">
        <v>113</v>
      </c>
      <c r="L180" s="57">
        <v>11</v>
      </c>
      <c r="M180" s="57">
        <v>2</v>
      </c>
      <c r="N180" s="57"/>
      <c r="O180" s="57"/>
      <c r="P180" s="61"/>
      <c r="Q180" s="61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</row>
    <row customHeight="true" ht="16.071428571428573" r="181">
      <c r="A181" s="57"/>
      <c r="B181" s="57"/>
      <c r="C181" s="57"/>
      <c r="K181" s="57" t="s">
        <v>110</v>
      </c>
      <c r="L181" s="57">
        <v>4</v>
      </c>
      <c r="M181" s="57"/>
      <c r="N181" s="57"/>
      <c r="O181" s="57"/>
      <c r="P181" s="61"/>
      <c r="Q181" s="61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</row>
    <row customHeight="true" ht="16.071428571428573" r="182">
      <c r="A182" s="57"/>
      <c r="B182" s="57"/>
      <c r="C182" s="57"/>
      <c r="D182" s="57"/>
      <c r="E182" s="57"/>
      <c r="F182" s="57"/>
      <c r="G182" s="57"/>
      <c r="H182" s="57"/>
      <c r="I182" s="57"/>
      <c r="J182" s="62"/>
      <c r="K182" s="57" t="s">
        <v>111</v>
      </c>
      <c r="L182" s="57">
        <v>4</v>
      </c>
      <c r="M182" s="57"/>
      <c r="N182" s="57"/>
      <c r="O182" s="57"/>
      <c r="P182" s="61"/>
      <c r="Q182" s="61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</row>
    <row customHeight="true" ht="16.071428571428573" r="183">
      <c r="A183" s="57"/>
      <c r="B183" s="57"/>
      <c r="C183" s="57"/>
      <c r="D183" s="57"/>
      <c r="E183" s="57"/>
      <c r="F183" s="57"/>
      <c r="G183" s="57"/>
      <c r="H183" s="57"/>
      <c r="I183" s="57"/>
      <c r="J183" s="62"/>
      <c r="K183" s="57" t="s">
        <v>139</v>
      </c>
      <c r="L183" s="57">
        <v>20</v>
      </c>
      <c r="M183" s="57"/>
      <c r="N183" s="57"/>
      <c r="O183" s="57"/>
      <c r="P183" s="61"/>
      <c r="Q183" s="61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</row>
    <row customHeight="true" ht="16.071428571428573" r="184">
      <c r="A184" s="57"/>
      <c r="B184" s="57"/>
      <c r="C184" s="57"/>
      <c r="D184" s="57"/>
      <c r="E184" s="57"/>
      <c r="F184" s="57"/>
      <c r="G184" s="57"/>
      <c r="H184" s="57"/>
      <c r="I184" s="57"/>
      <c r="J184" s="62"/>
      <c r="K184" s="57" t="s">
        <v>160</v>
      </c>
      <c r="L184" s="57">
        <v>10</v>
      </c>
      <c r="M184" s="57">
        <v>1</v>
      </c>
      <c r="N184" s="57"/>
      <c r="O184" s="57"/>
      <c r="P184" s="61"/>
      <c r="Q184" s="61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</row>
    <row customHeight="true" ht="16.071428571428573" r="185">
      <c r="A185" s="57"/>
      <c r="B185" s="57"/>
      <c r="C185" s="57"/>
      <c r="D185" s="57"/>
      <c r="E185" s="57"/>
      <c r="F185" s="57"/>
      <c r="G185" s="57"/>
      <c r="H185" s="57"/>
      <c r="I185" s="57"/>
      <c r="J185" s="62"/>
      <c r="K185" s="57" t="s">
        <v>146</v>
      </c>
      <c r="L185" s="57">
        <v>10</v>
      </c>
      <c r="M185" s="57">
        <v>1</v>
      </c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</row>
    <row customHeight="true" ht="16.071428571428573" r="186">
      <c r="A186" s="57"/>
      <c r="B186" s="57"/>
      <c r="C186" s="57"/>
      <c r="D186" s="57"/>
      <c r="E186" s="57"/>
      <c r="F186" s="57"/>
      <c r="G186" s="57"/>
      <c r="H186" s="57"/>
      <c r="I186" s="57"/>
      <c r="J186" s="62"/>
      <c r="K186" s="57" t="s">
        <v>153</v>
      </c>
      <c r="L186" s="57">
        <v>19</v>
      </c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</row>
    <row customHeight="true" ht="16.071428571428573" r="187">
      <c r="A187" s="57"/>
      <c r="B187" s="57"/>
      <c r="C187" s="57"/>
      <c r="D187" s="57"/>
      <c r="E187" s="57"/>
      <c r="F187" s="57"/>
      <c r="G187" s="57"/>
      <c r="H187" s="57"/>
      <c r="I187" s="57"/>
      <c r="J187" s="62"/>
      <c r="K187" s="57" t="s">
        <v>119</v>
      </c>
      <c r="L187" s="57">
        <v>9</v>
      </c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</row>
    <row customHeight="true" ht="16.071428571428573" r="188">
      <c r="A188" s="57"/>
      <c r="B188" s="57"/>
      <c r="C188" s="57"/>
      <c r="D188" s="57"/>
      <c r="E188" s="57"/>
      <c r="F188" s="57"/>
      <c r="G188" s="57"/>
      <c r="H188" s="57"/>
      <c r="I188" s="57"/>
      <c r="J188" s="62"/>
      <c r="K188" s="57" t="s">
        <v>124</v>
      </c>
      <c r="L188" s="57">
        <v>20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</row>
    <row customHeight="true" ht="16.071428571428573" r="189">
      <c r="A189" s="57"/>
      <c r="B189" s="57"/>
      <c r="C189" s="57"/>
      <c r="D189" s="57"/>
      <c r="E189" s="57"/>
      <c r="F189" s="57"/>
      <c r="G189" s="57"/>
      <c r="H189" s="57"/>
      <c r="I189" s="57"/>
      <c r="J189" s="62"/>
      <c r="K189" s="57" t="s">
        <v>114</v>
      </c>
      <c r="L189" s="57">
        <v>40</v>
      </c>
      <c r="M189" s="57">
        <v>4</v>
      </c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</row>
    <row customHeight="true" ht="16.071428571428573" r="190">
      <c r="A190" s="57"/>
      <c r="B190" s="57"/>
      <c r="C190" s="57"/>
      <c r="D190" s="57"/>
      <c r="E190" s="57"/>
      <c r="F190" s="57"/>
      <c r="G190" s="57"/>
      <c r="H190" s="57"/>
      <c r="I190" s="57"/>
      <c r="J190" s="62"/>
      <c r="K190" s="57" t="s">
        <v>108</v>
      </c>
      <c r="L190" s="57">
        <v>13</v>
      </c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</row>
    <row customHeight="true" ht="16.071428571428573" r="191">
      <c r="A191" s="57"/>
      <c r="B191" s="57"/>
      <c r="C191" s="57"/>
      <c r="D191" s="57"/>
      <c r="E191" s="57"/>
      <c r="F191" s="57"/>
      <c r="G191" s="57"/>
      <c r="H191" s="57"/>
      <c r="I191" s="57"/>
      <c r="J191" s="62"/>
      <c r="K191" s="57" t="s">
        <v>167</v>
      </c>
      <c r="L191" s="57">
        <v>534</v>
      </c>
      <c r="M191" s="57">
        <f>SUM(M168:M190)</f>
      </c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</row>
    <row customHeight="true" ht="16.071428571428573" r="192">
      <c r="A192" s="57"/>
      <c r="B192" s="57"/>
      <c r="C192" s="57"/>
      <c r="D192" s="57"/>
      <c r="E192" s="57"/>
      <c r="F192" s="57"/>
      <c r="G192" s="57"/>
      <c r="H192" s="57"/>
      <c r="I192" s="57"/>
      <c r="J192" s="62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</row>
    <row customHeight="true" ht="16.071428571428573" r="193">
      <c r="A193" s="57"/>
      <c r="B193" s="57"/>
      <c r="C193" s="57"/>
      <c r="D193" s="57"/>
      <c r="E193" s="57"/>
      <c r="F193" s="57"/>
      <c r="G193" s="57"/>
      <c r="H193" s="57"/>
      <c r="I193" s="57"/>
      <c r="J193" s="62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</row>
    <row customHeight="true" ht="16.071428571428573" r="194">
      <c r="A194" s="57"/>
      <c r="B194" s="57"/>
      <c r="C194" s="57"/>
      <c r="D194" s="57"/>
      <c r="E194" s="57"/>
      <c r="F194" s="57"/>
      <c r="G194" s="57"/>
      <c r="H194" s="57"/>
      <c r="I194" s="57"/>
      <c r="J194" s="62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</row>
    <row customHeight="true" ht="16.071428571428573" r="195">
      <c r="A195" s="57"/>
      <c r="B195" s="57"/>
      <c r="C195" s="57"/>
      <c r="D195" s="57"/>
      <c r="E195" s="57"/>
      <c r="F195" s="57"/>
      <c r="G195" s="57"/>
      <c r="H195" s="57"/>
      <c r="I195" s="57"/>
      <c r="J195" s="62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</row>
    <row customHeight="true" ht="16.071428571428573" r="196">
      <c r="A196" s="57"/>
      <c r="B196" s="57"/>
      <c r="C196" s="57"/>
      <c r="D196" s="57"/>
      <c r="E196" s="57"/>
      <c r="F196" s="57"/>
      <c r="G196" s="57"/>
      <c r="H196" s="57"/>
      <c r="I196" s="57"/>
      <c r="J196" s="62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</row>
    <row customHeight="true" ht="16.071428571428573" r="197">
      <c r="A197" s="57"/>
      <c r="B197" s="57"/>
      <c r="C197" s="57"/>
      <c r="D197" s="57"/>
      <c r="E197" s="57"/>
      <c r="F197" s="57"/>
      <c r="G197" s="57"/>
      <c r="H197" s="57"/>
      <c r="I197" s="57"/>
      <c r="J197" s="62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</row>
    <row customHeight="true" ht="16.071428571428573" r="198">
      <c r="A198" s="57"/>
      <c r="B198" s="57"/>
      <c r="C198" s="57"/>
      <c r="D198" s="57"/>
      <c r="E198" s="57"/>
      <c r="F198" s="57"/>
      <c r="G198" s="57"/>
      <c r="H198" s="57"/>
      <c r="I198" s="57"/>
      <c r="J198" s="62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</row>
    <row customHeight="true" ht="16.071428571428573" r="199">
      <c r="A199" s="57"/>
      <c r="B199" s="57"/>
      <c r="C199" s="57"/>
      <c r="D199" s="57"/>
      <c r="E199" s="57"/>
      <c r="F199" s="57"/>
      <c r="G199" s="57"/>
      <c r="H199" s="57"/>
      <c r="I199" s="57"/>
      <c r="J199" s="62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</row>
    <row customHeight="true" ht="16.071428571428573" r="200">
      <c r="A200" s="57"/>
      <c r="B200" s="57"/>
      <c r="C200" s="57"/>
      <c r="D200" s="57"/>
      <c r="E200" s="57"/>
      <c r="F200" s="57"/>
      <c r="G200" s="57"/>
      <c r="H200" s="57"/>
      <c r="I200" s="57"/>
      <c r="J200" s="62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</row>
    <row customHeight="true" ht="16.071428571428573" r="201">
      <c r="A201" s="57"/>
      <c r="B201" s="57"/>
      <c r="C201" s="57"/>
      <c r="D201" s="57"/>
      <c r="E201" s="57"/>
      <c r="F201" s="57"/>
      <c r="G201" s="57"/>
      <c r="H201" s="57"/>
      <c r="I201" s="57"/>
      <c r="J201" s="62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</row>
    <row customHeight="true" ht="16.071428571428573" r="202">
      <c r="A202" s="57"/>
      <c r="B202" s="57"/>
      <c r="C202" s="57"/>
      <c r="D202" s="57"/>
      <c r="E202" s="57"/>
      <c r="F202" s="57"/>
      <c r="G202" s="57"/>
      <c r="H202" s="57"/>
      <c r="I202" s="57"/>
      <c r="J202" s="62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</row>
    <row customHeight="true" ht="16.071428571428573" r="203">
      <c r="A203" s="57"/>
      <c r="B203" s="57"/>
      <c r="C203" s="57"/>
      <c r="D203" s="57"/>
      <c r="E203" s="57"/>
      <c r="F203" s="57"/>
      <c r="G203" s="57"/>
      <c r="H203" s="57"/>
      <c r="I203" s="57"/>
      <c r="J203" s="62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</row>
    <row customHeight="true" ht="16.071428571428573" r="204">
      <c r="A204" s="57"/>
      <c r="B204" s="57"/>
      <c r="C204" s="57"/>
      <c r="D204" s="57"/>
      <c r="E204" s="57"/>
      <c r="F204" s="57"/>
      <c r="G204" s="57"/>
      <c r="H204" s="57"/>
      <c r="I204" s="57"/>
      <c r="J204" s="62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</row>
    <row customHeight="true" ht="16.071428571428573" r="205">
      <c r="A205" s="57"/>
      <c r="B205" s="57"/>
      <c r="C205" s="57"/>
      <c r="D205" s="57"/>
      <c r="E205" s="57"/>
      <c r="F205" s="57"/>
      <c r="G205" s="57"/>
      <c r="H205" s="57"/>
      <c r="I205" s="57"/>
      <c r="J205" s="62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</row>
    <row customHeight="true" ht="16.071428571428573" r="206">
      <c r="A206" s="57"/>
      <c r="B206" s="57"/>
      <c r="C206" s="57"/>
      <c r="D206" s="57"/>
      <c r="E206" s="57"/>
      <c r="F206" s="57"/>
      <c r="G206" s="57"/>
      <c r="H206" s="57"/>
      <c r="I206" s="57"/>
      <c r="J206" s="62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</row>
    <row customHeight="true" ht="16.071428571428573" r="207">
      <c r="A207" s="57"/>
      <c r="B207" s="57"/>
      <c r="C207" s="57"/>
      <c r="D207" s="57"/>
      <c r="E207" s="57"/>
      <c r="F207" s="57"/>
      <c r="G207" s="57"/>
      <c r="H207" s="57"/>
      <c r="I207" s="57"/>
      <c r="J207" s="62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</row>
    <row customHeight="true" ht="16.071428571428573" r="208">
      <c r="A208" s="57"/>
      <c r="B208" s="57"/>
      <c r="C208" s="57"/>
      <c r="D208" s="57"/>
      <c r="E208" s="57"/>
      <c r="F208" s="57"/>
      <c r="G208" s="57"/>
      <c r="H208" s="57"/>
      <c r="I208" s="57"/>
      <c r="J208" s="62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</row>
    <row customHeight="true" ht="16.071428571428573" r="209">
      <c r="A209" s="57"/>
      <c r="B209" s="57"/>
      <c r="C209" s="57"/>
      <c r="D209" s="57"/>
      <c r="E209" s="57"/>
      <c r="F209" s="57"/>
      <c r="G209" s="57"/>
      <c r="H209" s="57"/>
      <c r="I209" s="57"/>
      <c r="J209" s="62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</row>
    <row customHeight="true" ht="16.071428571428573" r="210">
      <c r="A210" s="57"/>
      <c r="B210" s="57"/>
      <c r="C210" s="57"/>
      <c r="D210" s="57"/>
      <c r="E210" s="57"/>
      <c r="F210" s="57"/>
      <c r="G210" s="57"/>
      <c r="H210" s="57"/>
      <c r="I210" s="57"/>
      <c r="J210" s="62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</row>
    <row customHeight="true" ht="16.071428571428573" r="211">
      <c r="A211" s="57"/>
      <c r="B211" s="57"/>
      <c r="C211" s="57"/>
      <c r="D211" s="57"/>
      <c r="E211" s="57"/>
      <c r="F211" s="57"/>
      <c r="G211" s="57"/>
      <c r="H211" s="57"/>
      <c r="I211" s="57"/>
      <c r="J211" s="62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</row>
    <row customHeight="true" ht="16.071428571428573" r="212">
      <c r="A212" s="57"/>
      <c r="B212" s="57"/>
      <c r="C212" s="57"/>
      <c r="D212" s="57"/>
      <c r="E212" s="57"/>
      <c r="F212" s="57"/>
      <c r="G212" s="57"/>
      <c r="H212" s="57"/>
      <c r="I212" s="57"/>
      <c r="J212" s="62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</row>
    <row customHeight="true" ht="16.071428571428573" r="213">
      <c r="A213" s="57"/>
      <c r="B213" s="57"/>
      <c r="C213" s="57"/>
      <c r="D213" s="57"/>
      <c r="E213" s="57"/>
      <c r="F213" s="57"/>
      <c r="G213" s="57"/>
      <c r="H213" s="57"/>
      <c r="I213" s="57"/>
      <c r="J213" s="62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</row>
    <row customHeight="true" ht="16.071428571428573" r="214">
      <c r="A214" s="57"/>
      <c r="B214" s="57"/>
      <c r="C214" s="57"/>
      <c r="D214" s="57"/>
      <c r="E214" s="57"/>
      <c r="F214" s="57"/>
      <c r="G214" s="57"/>
      <c r="H214" s="57"/>
      <c r="I214" s="57"/>
      <c r="J214" s="62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</row>
    <row customHeight="true" ht="16.071428571428573" r="215">
      <c r="A215" s="57"/>
      <c r="B215" s="57"/>
      <c r="C215" s="57"/>
      <c r="D215" s="57"/>
      <c r="E215" s="57"/>
      <c r="F215" s="57"/>
      <c r="G215" s="57"/>
      <c r="H215" s="57"/>
      <c r="I215" s="57"/>
      <c r="J215" s="62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</row>
    <row customHeight="true" ht="16.071428571428573" r="216">
      <c r="A216" s="57"/>
      <c r="B216" s="57"/>
      <c r="C216" s="57"/>
      <c r="D216" s="57"/>
      <c r="E216" s="57"/>
      <c r="F216" s="57"/>
      <c r="G216" s="57"/>
      <c r="H216" s="57"/>
      <c r="I216" s="57"/>
      <c r="J216" s="62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</row>
    <row customHeight="true" ht="16.071428571428573" r="217">
      <c r="A217" s="57"/>
      <c r="B217" s="57"/>
      <c r="C217" s="57"/>
      <c r="D217" s="57"/>
      <c r="E217" s="57"/>
      <c r="F217" s="57"/>
      <c r="G217" s="57"/>
      <c r="H217" s="57"/>
      <c r="I217" s="57"/>
      <c r="J217" s="62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</row>
    <row customHeight="true" ht="16.071428571428573" r="218">
      <c r="A218" s="57"/>
      <c r="B218" s="57"/>
      <c r="C218" s="57"/>
      <c r="D218" s="57"/>
      <c r="E218" s="57"/>
      <c r="F218" s="57"/>
      <c r="G218" s="57"/>
      <c r="H218" s="57"/>
      <c r="I218" s="57"/>
      <c r="J218" s="62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</row>
    <row customHeight="true" ht="16.071428571428573" r="219">
      <c r="A219" s="57"/>
      <c r="B219" s="57"/>
      <c r="C219" s="57"/>
      <c r="D219" s="57"/>
      <c r="E219" s="57"/>
      <c r="F219" s="57"/>
      <c r="G219" s="57"/>
      <c r="H219" s="57"/>
      <c r="I219" s="57"/>
      <c r="J219" s="62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</row>
    <row customHeight="true" ht="16.071428571428573" r="220">
      <c r="A220" s="57"/>
      <c r="B220" s="57"/>
      <c r="C220" s="57"/>
      <c r="D220" s="57"/>
      <c r="E220" s="57"/>
      <c r="F220" s="57"/>
      <c r="G220" s="57"/>
      <c r="H220" s="57"/>
      <c r="I220" s="57"/>
      <c r="J220" s="62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</row>
    <row customHeight="true" ht="16.071428571428573" r="221">
      <c r="A221" s="57"/>
      <c r="B221" s="57"/>
      <c r="C221" s="57"/>
      <c r="D221" s="57"/>
      <c r="E221" s="57"/>
      <c r="F221" s="57"/>
      <c r="G221" s="57"/>
      <c r="H221" s="57"/>
      <c r="I221" s="57"/>
      <c r="J221" s="62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</row>
    <row customHeight="true" ht="16.071428571428573" r="222">
      <c r="A222" s="57"/>
      <c r="B222" s="57"/>
      <c r="C222" s="57"/>
      <c r="D222" s="57"/>
      <c r="E222" s="57"/>
      <c r="F222" s="57"/>
      <c r="G222" s="57"/>
      <c r="H222" s="57"/>
      <c r="I222" s="57"/>
      <c r="J222" s="62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</row>
    <row customHeight="true" ht="16.071428571428573" r="223">
      <c r="A223" s="57"/>
      <c r="B223" s="57"/>
      <c r="C223" s="57"/>
      <c r="D223" s="57"/>
      <c r="E223" s="57"/>
      <c r="F223" s="57"/>
      <c r="G223" s="57"/>
      <c r="H223" s="57"/>
      <c r="I223" s="57"/>
      <c r="J223" s="62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</row>
    <row customHeight="true" ht="16.071428571428573" r="224">
      <c r="A224" s="57"/>
      <c r="B224" s="57"/>
      <c r="C224" s="57"/>
      <c r="D224" s="57"/>
      <c r="E224" s="57"/>
      <c r="F224" s="57"/>
      <c r="G224" s="57"/>
      <c r="H224" s="57"/>
      <c r="I224" s="57"/>
      <c r="J224" s="62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</row>
    <row customHeight="true" ht="16.071428571428573" r="225">
      <c r="A225" s="57"/>
      <c r="B225" s="57"/>
      <c r="C225" s="57"/>
      <c r="D225" s="57"/>
      <c r="E225" s="57"/>
      <c r="F225" s="57"/>
      <c r="G225" s="57"/>
      <c r="H225" s="57"/>
      <c r="I225" s="57"/>
      <c r="J225" s="62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</row>
    <row customHeight="true" ht="16.071428571428573" r="226">
      <c r="A226" s="57"/>
      <c r="B226" s="57"/>
      <c r="C226" s="57"/>
      <c r="D226" s="57"/>
      <c r="E226" s="57"/>
      <c r="F226" s="57"/>
      <c r="G226" s="57"/>
      <c r="H226" s="57"/>
      <c r="I226" s="57"/>
      <c r="J226" s="62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</row>
    <row customHeight="true" ht="16.071428571428573" r="227">
      <c r="A227" s="57"/>
      <c r="B227" s="57"/>
      <c r="C227" s="57"/>
      <c r="D227" s="57"/>
      <c r="E227" s="57"/>
      <c r="F227" s="57"/>
      <c r="G227" s="57"/>
      <c r="H227" s="57"/>
      <c r="I227" s="57"/>
      <c r="J227" s="62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</row>
    <row customHeight="true" ht="16.071428571428573" r="228">
      <c r="A228" s="57"/>
      <c r="B228" s="57"/>
      <c r="C228" s="57"/>
      <c r="D228" s="57"/>
      <c r="E228" s="57"/>
      <c r="F228" s="57"/>
      <c r="G228" s="57"/>
      <c r="H228" s="57"/>
      <c r="I228" s="57"/>
      <c r="J228" s="62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</row>
    <row customHeight="true" ht="16.071428571428573" r="229">
      <c r="A229" s="57"/>
      <c r="B229" s="57"/>
      <c r="C229" s="57"/>
      <c r="D229" s="57"/>
      <c r="E229" s="57"/>
      <c r="F229" s="57"/>
      <c r="G229" s="57"/>
      <c r="H229" s="57"/>
      <c r="I229" s="57"/>
      <c r="J229" s="62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</row>
    <row customHeight="true" ht="16.071428571428573" r="230">
      <c r="A230" s="57"/>
      <c r="B230" s="57"/>
      <c r="C230" s="57"/>
      <c r="D230" s="57"/>
      <c r="E230" s="57"/>
      <c r="F230" s="57"/>
      <c r="G230" s="57"/>
      <c r="H230" s="57"/>
      <c r="I230" s="57"/>
      <c r="J230" s="62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</row>
    <row customHeight="true" ht="16.071428571428573" r="231">
      <c r="A231" s="57"/>
      <c r="B231" s="57"/>
      <c r="C231" s="57"/>
      <c r="D231" s="57"/>
      <c r="E231" s="57"/>
      <c r="F231" s="57"/>
      <c r="G231" s="57"/>
      <c r="H231" s="57"/>
      <c r="I231" s="57"/>
      <c r="J231" s="62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</row>
    <row customHeight="true" ht="16.071428571428573" r="232">
      <c r="A232" s="57"/>
      <c r="B232" s="57"/>
      <c r="C232" s="57"/>
      <c r="D232" s="57"/>
      <c r="E232" s="57"/>
      <c r="F232" s="57"/>
      <c r="G232" s="57"/>
      <c r="H232" s="57"/>
      <c r="I232" s="57"/>
      <c r="J232" s="62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</row>
    <row customHeight="true" ht="16.071428571428573" r="233">
      <c r="A233" s="57"/>
      <c r="B233" s="57"/>
      <c r="C233" s="57"/>
      <c r="D233" s="57"/>
      <c r="E233" s="57"/>
      <c r="F233" s="57"/>
      <c r="G233" s="57"/>
      <c r="H233" s="57"/>
      <c r="I233" s="57"/>
      <c r="J233" s="62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</row>
    <row customHeight="true" ht="16.071428571428573" r="234">
      <c r="A234" s="57"/>
      <c r="B234" s="57"/>
      <c r="C234" s="57"/>
      <c r="D234" s="57"/>
      <c r="E234" s="57"/>
      <c r="F234" s="57"/>
      <c r="G234" s="57"/>
      <c r="H234" s="57"/>
      <c r="I234" s="57"/>
      <c r="J234" s="62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</row>
    <row customHeight="true" ht="16.071428571428573" r="235">
      <c r="A235" s="57"/>
      <c r="B235" s="57"/>
      <c r="C235" s="57"/>
      <c r="D235" s="57"/>
      <c r="E235" s="57"/>
      <c r="F235" s="57"/>
      <c r="G235" s="57"/>
      <c r="H235" s="57"/>
      <c r="I235" s="57"/>
      <c r="J235" s="62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</row>
    <row customHeight="true" ht="16.071428571428573" r="236">
      <c r="A236" s="57"/>
      <c r="B236" s="57"/>
      <c r="C236" s="57"/>
      <c r="D236" s="57"/>
      <c r="E236" s="57"/>
      <c r="F236" s="57"/>
      <c r="G236" s="57"/>
      <c r="H236" s="57"/>
      <c r="I236" s="57"/>
      <c r="J236" s="62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</row>
    <row customHeight="true" ht="16.071428571428573" r="237">
      <c r="A237" s="57"/>
      <c r="B237" s="57"/>
      <c r="C237" s="57"/>
      <c r="D237" s="57"/>
      <c r="E237" s="57"/>
      <c r="F237" s="57"/>
      <c r="G237" s="57"/>
      <c r="H237" s="57"/>
      <c r="I237" s="57"/>
      <c r="J237" s="62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</row>
    <row customHeight="true" ht="16.071428571428573" r="238">
      <c r="A238" s="57"/>
      <c r="B238" s="57"/>
      <c r="C238" s="57"/>
      <c r="D238" s="57"/>
      <c r="E238" s="57"/>
      <c r="F238" s="57"/>
      <c r="G238" s="57"/>
      <c r="H238" s="57"/>
      <c r="I238" s="57"/>
      <c r="J238" s="62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</row>
    <row customHeight="true" ht="16.071428571428573" r="239">
      <c r="A239" s="57"/>
      <c r="B239" s="57"/>
      <c r="C239" s="57"/>
      <c r="D239" s="57"/>
      <c r="E239" s="57"/>
      <c r="F239" s="57"/>
      <c r="G239" s="57"/>
      <c r="H239" s="57"/>
      <c r="I239" s="57"/>
      <c r="J239" s="62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</row>
    <row customHeight="true" ht="16.071428571428573" r="240">
      <c r="A240" s="57"/>
      <c r="B240" s="57"/>
      <c r="C240" s="57"/>
      <c r="D240" s="57"/>
      <c r="E240" s="57"/>
      <c r="F240" s="57"/>
      <c r="G240" s="57"/>
      <c r="H240" s="57"/>
      <c r="I240" s="57"/>
      <c r="J240" s="62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</row>
    <row customHeight="true" ht="16.071428571428573" r="241">
      <c r="A241" s="57"/>
      <c r="B241" s="57"/>
      <c r="C241" s="57"/>
      <c r="D241" s="57"/>
      <c r="E241" s="57"/>
      <c r="F241" s="57"/>
      <c r="G241" s="57"/>
      <c r="H241" s="57"/>
      <c r="I241" s="57"/>
      <c r="J241" s="62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</row>
    <row customHeight="true" ht="16.071428571428573" r="242">
      <c r="A242" s="57"/>
      <c r="B242" s="57"/>
      <c r="C242" s="57"/>
      <c r="D242" s="57"/>
      <c r="E242" s="57"/>
      <c r="F242" s="57"/>
      <c r="G242" s="57"/>
      <c r="H242" s="57"/>
      <c r="I242" s="57"/>
      <c r="J242" s="62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</row>
    <row customHeight="true" ht="16.071428571428573" r="243">
      <c r="A243" s="57"/>
      <c r="B243" s="57"/>
      <c r="C243" s="57"/>
      <c r="D243" s="57"/>
      <c r="E243" s="57"/>
      <c r="F243" s="57"/>
      <c r="G243" s="57"/>
      <c r="H243" s="57"/>
      <c r="I243" s="57"/>
      <c r="J243" s="62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</row>
    <row customHeight="true" ht="16.071428571428573" r="244">
      <c r="A244" s="57"/>
      <c r="B244" s="57"/>
      <c r="C244" s="57"/>
      <c r="D244" s="57"/>
      <c r="E244" s="57"/>
      <c r="F244" s="57"/>
      <c r="G244" s="57"/>
      <c r="H244" s="57"/>
      <c r="I244" s="57"/>
      <c r="J244" s="62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</row>
    <row customHeight="true" ht="16.071428571428573" r="245">
      <c r="A245" s="57"/>
      <c r="B245" s="57"/>
      <c r="C245" s="57"/>
      <c r="D245" s="57"/>
      <c r="E245" s="57"/>
      <c r="F245" s="57"/>
      <c r="G245" s="57"/>
      <c r="H245" s="57"/>
      <c r="I245" s="57"/>
      <c r="J245" s="62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</row>
    <row customHeight="true" ht="16.071428571428573" r="246">
      <c r="A246" s="57"/>
      <c r="B246" s="57"/>
      <c r="C246" s="57"/>
      <c r="D246" s="57"/>
      <c r="E246" s="57"/>
      <c r="F246" s="57"/>
      <c r="G246" s="57"/>
      <c r="H246" s="57"/>
      <c r="I246" s="57"/>
      <c r="J246" s="62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</row>
    <row customHeight="true" ht="16.071428571428573" r="247">
      <c r="A247" s="57"/>
      <c r="B247" s="57"/>
      <c r="C247" s="57"/>
      <c r="D247" s="57"/>
      <c r="E247" s="57"/>
      <c r="F247" s="57"/>
      <c r="G247" s="57"/>
      <c r="H247" s="57"/>
      <c r="I247" s="57"/>
      <c r="J247" s="62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</row>
    <row customHeight="true" ht="16.071428571428573" r="248">
      <c r="A248" s="57"/>
      <c r="B248" s="57"/>
      <c r="C248" s="57"/>
      <c r="D248" s="57"/>
      <c r="E248" s="57"/>
      <c r="F248" s="57"/>
      <c r="G248" s="57"/>
      <c r="H248" s="57"/>
      <c r="I248" s="57"/>
      <c r="J248" s="62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</row>
    <row customHeight="true" ht="16.071428571428573" r="249">
      <c r="A249" s="57"/>
      <c r="B249" s="57"/>
      <c r="C249" s="57"/>
      <c r="D249" s="57"/>
      <c r="E249" s="57"/>
      <c r="F249" s="57"/>
      <c r="G249" s="57"/>
      <c r="H249" s="57"/>
      <c r="I249" s="57"/>
      <c r="J249" s="62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</row>
    <row customHeight="true" ht="16.071428571428573" r="250">
      <c r="A250" s="57"/>
      <c r="B250" s="57"/>
      <c r="C250" s="57"/>
      <c r="D250" s="57"/>
      <c r="E250" s="57"/>
      <c r="F250" s="57"/>
      <c r="G250" s="57"/>
      <c r="H250" s="57"/>
      <c r="I250" s="57"/>
      <c r="J250" s="62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</row>
    <row customHeight="true" ht="16.071428571428573" r="251">
      <c r="A251" s="57"/>
      <c r="B251" s="57"/>
      <c r="C251" s="57"/>
      <c r="D251" s="57"/>
      <c r="E251" s="57"/>
      <c r="F251" s="57"/>
      <c r="G251" s="57"/>
      <c r="H251" s="57"/>
      <c r="I251" s="57"/>
      <c r="J251" s="62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</row>
    <row customHeight="true" ht="16.071428571428573" r="252">
      <c r="A252" s="57"/>
      <c r="B252" s="57"/>
      <c r="C252" s="57"/>
      <c r="D252" s="57"/>
      <c r="E252" s="57"/>
      <c r="F252" s="57"/>
      <c r="G252" s="57"/>
      <c r="H252" s="57"/>
      <c r="I252" s="57"/>
      <c r="J252" s="62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</row>
    <row customHeight="true" ht="16.071428571428573" r="253">
      <c r="A253" s="57"/>
      <c r="B253" s="57"/>
      <c r="C253" s="57"/>
      <c r="D253" s="57"/>
      <c r="E253" s="57"/>
      <c r="F253" s="57"/>
      <c r="G253" s="57"/>
      <c r="H253" s="57"/>
      <c r="I253" s="57"/>
      <c r="J253" s="62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</row>
    <row customHeight="true" ht="16.071428571428573" r="254">
      <c r="A254" s="57"/>
      <c r="B254" s="57"/>
      <c r="C254" s="57"/>
      <c r="D254" s="57"/>
      <c r="E254" s="57"/>
      <c r="F254" s="57"/>
      <c r="G254" s="57"/>
      <c r="H254" s="57"/>
      <c r="I254" s="57"/>
      <c r="J254" s="62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</row>
    <row customHeight="true" ht="16.071428571428573" r="255">
      <c r="A255" s="57"/>
      <c r="B255" s="57"/>
      <c r="C255" s="57"/>
      <c r="D255" s="57"/>
      <c r="E255" s="57"/>
      <c r="F255" s="57"/>
      <c r="G255" s="57"/>
      <c r="H255" s="57"/>
      <c r="I255" s="57"/>
      <c r="J255" s="62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</row>
    <row customHeight="true" ht="16.071428571428573" r="256">
      <c r="A256" s="57"/>
      <c r="B256" s="57"/>
      <c r="C256" s="57"/>
      <c r="D256" s="57"/>
      <c r="E256" s="57"/>
      <c r="F256" s="57"/>
      <c r="G256" s="57"/>
      <c r="H256" s="57"/>
      <c r="I256" s="57"/>
      <c r="J256" s="62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</row>
    <row customHeight="true" ht="16.071428571428573" r="257">
      <c r="A257" s="57"/>
      <c r="B257" s="57"/>
      <c r="C257" s="57"/>
      <c r="D257" s="57"/>
      <c r="E257" s="57"/>
      <c r="F257" s="57"/>
      <c r="G257" s="57"/>
      <c r="H257" s="57"/>
      <c r="I257" s="57"/>
      <c r="J257" s="62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</row>
    <row customHeight="true" ht="16.071428571428573" r="258">
      <c r="A258" s="57"/>
      <c r="B258" s="57"/>
      <c r="C258" s="57"/>
      <c r="D258" s="57"/>
      <c r="E258" s="57"/>
      <c r="F258" s="57"/>
      <c r="G258" s="57"/>
      <c r="H258" s="57"/>
      <c r="I258" s="57"/>
      <c r="J258" s="62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</row>
    <row customHeight="true" ht="16.071428571428573" r="259">
      <c r="A259" s="57"/>
      <c r="B259" s="57"/>
      <c r="C259" s="57"/>
      <c r="D259" s="57"/>
      <c r="E259" s="57"/>
      <c r="F259" s="57"/>
      <c r="G259" s="57"/>
      <c r="H259" s="57"/>
      <c r="I259" s="57"/>
      <c r="J259" s="62"/>
      <c r="K259" s="57"/>
      <c r="L259" s="57"/>
      <c r="M259" s="57"/>
      <c r="N259" s="57"/>
      <c r="O259" s="57"/>
      <c r="P259" s="57"/>
      <c r="Q259" s="57"/>
      <c r="R259" s="57"/>
      <c r="S259" s="60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</row>
    <row customHeight="true" ht="16.071428571428573" r="260">
      <c r="A260" s="63" t="s">
        <v>168</v>
      </c>
      <c r="B260" s="63"/>
      <c r="C260" s="63"/>
      <c r="D260" s="63"/>
      <c r="E260" s="57"/>
      <c r="F260" s="57"/>
      <c r="G260" s="57"/>
      <c r="H260" s="57"/>
      <c r="I260" s="57"/>
      <c r="J260" s="62"/>
      <c r="K260" s="57"/>
      <c r="L260" s="57"/>
      <c r="M260" s="57"/>
      <c r="N260" s="57"/>
      <c r="O260" s="57"/>
      <c r="P260" s="57"/>
      <c r="Q260" s="57"/>
      <c r="R260" s="57"/>
      <c r="S260" s="64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</row>
    <row customHeight="true" ht="16.071428571428573" r="261">
      <c r="A261" s="63"/>
      <c r="B261" s="63"/>
      <c r="C261" s="63"/>
      <c r="D261" s="63"/>
      <c r="E261" s="57"/>
      <c r="F261" s="57"/>
      <c r="G261" s="57"/>
      <c r="H261" s="57"/>
      <c r="I261" s="57"/>
      <c r="J261" s="62"/>
      <c r="K261" s="57"/>
      <c r="L261" s="57"/>
      <c r="M261" s="57"/>
      <c r="N261" s="57"/>
      <c r="O261" s="57"/>
      <c r="P261" s="57"/>
      <c r="Q261" s="57"/>
      <c r="R261" s="57"/>
      <c r="S261" s="64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</row>
    <row customHeight="true" ht="16.071428571428573" r="262">
      <c r="A262" s="63"/>
      <c r="B262" s="63"/>
      <c r="C262" s="63"/>
      <c r="D262" s="63"/>
      <c r="E262" s="57"/>
      <c r="F262" s="57"/>
      <c r="G262" s="57"/>
      <c r="H262" s="57"/>
      <c r="I262" s="57"/>
      <c r="J262" s="62"/>
      <c r="K262" s="57"/>
      <c r="L262" s="57"/>
      <c r="M262" s="57"/>
      <c r="N262" s="57"/>
      <c r="O262" s="57"/>
      <c r="P262" s="57"/>
      <c r="Q262" s="57"/>
      <c r="R262" s="57"/>
      <c r="S262" s="64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62"/>
      <c r="K263" s="57"/>
      <c r="L263" s="57"/>
      <c r="M263" s="57"/>
      <c r="N263" s="57"/>
      <c r="O263" s="57"/>
      <c r="P263" s="57"/>
      <c r="Q263" s="57"/>
      <c r="R263" s="57"/>
      <c r="S263" s="64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60" t="s">
        <v>169</v>
      </c>
      <c r="J264" s="62"/>
      <c r="K264" s="57"/>
      <c r="L264" s="57"/>
      <c r="M264" s="57"/>
      <c r="N264" s="57"/>
      <c r="O264" s="57"/>
      <c r="P264" s="57"/>
      <c r="Q264" s="57"/>
      <c r="R264" s="57"/>
      <c r="S264" s="64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65">
        <f t="shared" ref="I265:I271" si="2">G265/H265</f>
      </c>
      <c r="J265" s="62"/>
      <c r="K265" s="57"/>
      <c r="L265" s="57"/>
      <c r="M265" s="57"/>
      <c r="N265" s="57"/>
      <c r="O265" s="57"/>
      <c r="P265" s="57"/>
      <c r="Q265" s="57"/>
      <c r="R265" s="57"/>
      <c r="S265" s="64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65">
        <f t="shared" si="2"/>
      </c>
      <c r="J266" s="62"/>
      <c r="K266" s="57"/>
      <c r="L266" s="57"/>
      <c r="M266" s="57"/>
      <c r="N266" s="57"/>
      <c r="O266" s="57"/>
      <c r="P266" s="57"/>
      <c r="Q266" s="57"/>
      <c r="R266" s="57"/>
      <c r="S266" s="64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</row>
    <row r="267">
      <c r="I267" s="65">
        <f t="shared" si="2"/>
      </c>
      <c r="J267" s="62"/>
      <c r="S267" s="64"/>
    </row>
    <row r="268">
      <c r="I268" s="65">
        <f t="shared" si="2"/>
      </c>
      <c r="J268" s="62"/>
      <c r="S268" s="64"/>
    </row>
    <row r="269">
      <c r="I269" s="65">
        <f t="shared" si="2"/>
      </c>
    </row>
    <row r="270">
      <c r="I270" s="65">
        <f t="shared" si="2"/>
      </c>
    </row>
    <row r="271">
      <c r="I271" s="65">
        <f t="shared" si="2"/>
      </c>
    </row>
  </sheetData>
  <autoFilter ref="A1:P160"/>
  <mergeCells>
    <mergeCell ref="A260:D262"/>
  </mergeCells>
  <dataValidations count="2">
    <dataValidation allowBlank="true" errorStyle="stop" showErrorMessage="true" sqref="B2:B60 B79:B80 B82:B82 B84:B84 B86:B86 B91:B91 B97:B97 B103:B103 B109:B109 B115:B115 B120:B120 B126:B126 B131:B131" type="list">
      <formula1>"蔡露露,杜思利,田宇尚,李雅琪,葛鑫然,段雨诺,于慧,刘子斌,张伟娜"</formula1>
    </dataValidation>
    <dataValidation allowBlank="true" errorStyle="stop" showErrorMessage="true" sqref="B61:B78 B81:B81 B83:B83 B85:B85 B87:B90 B92:B96 B98:B102 B104:B108 B110:B114 B116:B119 B121:B125 B127:B130 B132:B160" type="list">
      <formula1>"蔡露露,杜思利,田宇尚,李雅琪,葛鑫然,段雨诺,于慧,刘子斌,张伟娜,王雨帆"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1" min="11" style="0" width="11.211267605633802"/>
    <col collapsed="false" customWidth="true" hidden="false" max="14" min="14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5" min="15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2" min="12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3" min="13" style="0" width="12.64480633802817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</cols>
  <sheetData>
    <row r="1">
      <c r="A1" s="66" t="s">
        <v>170</v>
      </c>
      <c r="B1" s="67" t="s">
        <v>171</v>
      </c>
      <c r="C1" s="67" t="s">
        <v>172</v>
      </c>
      <c r="D1" s="67" t="s">
        <v>173</v>
      </c>
      <c r="E1" s="67" t="s">
        <v>174</v>
      </c>
      <c r="F1" s="68" t="s">
        <v>175</v>
      </c>
      <c r="G1" s="68" t="s">
        <v>176</v>
      </c>
      <c r="H1" s="68" t="s">
        <v>177</v>
      </c>
      <c r="I1" s="68" t="s">
        <v>178</v>
      </c>
      <c r="J1" s="68" t="s">
        <v>179</v>
      </c>
      <c r="K1" s="67" t="s">
        <v>180</v>
      </c>
      <c r="L1" s="67" t="s">
        <v>181</v>
      </c>
      <c r="M1" s="67" t="s">
        <v>182</v>
      </c>
      <c r="N1" s="67" t="s">
        <v>183</v>
      </c>
      <c r="O1" s="67" t="s">
        <v>184</v>
      </c>
      <c r="P1" s="67" t="s">
        <v>185</v>
      </c>
    </row>
    <row hidden="true" r="2">
      <c r="A2" s="69" t="s">
        <v>186</v>
      </c>
      <c r="B2" s="70" t="s">
        <v>187</v>
      </c>
      <c r="C2" s="71" t="s">
        <v>188</v>
      </c>
      <c r="D2" s="71">
        <v>5</v>
      </c>
      <c r="E2" s="71">
        <v>4</v>
      </c>
      <c r="F2" s="71">
        <v>6470.4</v>
      </c>
      <c r="G2" s="71">
        <v>4386.349999999999</v>
      </c>
      <c r="H2" s="72">
        <f t="shared" ref="H2:H170" si="0">F2/G2</f>
      </c>
      <c r="I2" s="72">
        <f t="shared" ref="I2:I170" si="2">F2/E2</f>
      </c>
      <c r="J2" s="72">
        <f t="shared" ref="J2:J170" si="1">G2/E2</f>
      </c>
      <c r="K2" s="71">
        <v>0</v>
      </c>
      <c r="L2" s="71">
        <v>0</v>
      </c>
      <c r="M2" s="73" t="s">
        <v>189</v>
      </c>
      <c r="N2" s="73">
        <v>10</v>
      </c>
      <c r="O2" s="70" t="s">
        <v>190</v>
      </c>
      <c r="P2" s="70">
        <v>10</v>
      </c>
    </row>
    <row hidden="true" r="3">
      <c r="A3" s="69" t="s">
        <v>186</v>
      </c>
      <c r="B3" s="70" t="s">
        <v>191</v>
      </c>
      <c r="C3" s="71" t="s">
        <v>192</v>
      </c>
      <c r="D3" s="70">
        <v>5</v>
      </c>
      <c r="E3" s="71">
        <v>5</v>
      </c>
      <c r="F3" s="71">
        <v>5220</v>
      </c>
      <c r="G3" s="71">
        <v>4117.64</v>
      </c>
      <c r="H3" s="72">
        <f t="shared" si="0"/>
      </c>
      <c r="I3" s="72">
        <f t="shared" si="2"/>
      </c>
      <c r="J3" s="72">
        <f t="shared" si="1"/>
      </c>
      <c r="K3" s="71">
        <v>0</v>
      </c>
      <c r="L3" s="74">
        <v>0</v>
      </c>
      <c r="M3" s="73"/>
      <c r="N3" s="73"/>
      <c r="O3" s="75"/>
      <c r="P3" s="70"/>
    </row>
    <row hidden="true" r="4">
      <c r="A4" s="69" t="s">
        <v>186</v>
      </c>
      <c r="B4" s="76" t="s">
        <v>193</v>
      </c>
      <c r="C4" s="71" t="s">
        <v>194</v>
      </c>
      <c r="D4" s="70">
        <v>5</v>
      </c>
      <c r="E4" s="71">
        <v>3</v>
      </c>
      <c r="F4" s="71">
        <v>3878.3999999999996</v>
      </c>
      <c r="G4" s="71">
        <v>4183.56</v>
      </c>
      <c r="H4" s="72">
        <f t="shared" si="0"/>
      </c>
      <c r="I4" s="72">
        <f t="shared" si="2"/>
      </c>
      <c r="J4" s="72">
        <f t="shared" si="1"/>
      </c>
      <c r="K4" s="71">
        <v>0</v>
      </c>
      <c r="L4" s="74">
        <v>0</v>
      </c>
      <c r="M4" s="71" t="s">
        <v>195</v>
      </c>
      <c r="N4" s="71">
        <v>10</v>
      </c>
      <c r="O4" s="75" t="s">
        <v>196</v>
      </c>
      <c r="P4" s="70">
        <v>10</v>
      </c>
    </row>
    <row hidden="true" r="5">
      <c r="A5" s="69" t="s">
        <v>186</v>
      </c>
      <c r="B5" s="70" t="s">
        <v>197</v>
      </c>
      <c r="C5" s="71" t="s">
        <v>198</v>
      </c>
      <c r="D5" s="70">
        <v>5</v>
      </c>
      <c r="E5" s="71">
        <v>3</v>
      </c>
      <c r="F5" s="71">
        <v>1599.6000000000022</v>
      </c>
      <c r="G5" s="71">
        <v>5119.209999999999</v>
      </c>
      <c r="H5" s="72">
        <f t="shared" si="0"/>
      </c>
      <c r="I5" s="72">
        <f t="shared" si="2"/>
      </c>
      <c r="J5" s="72">
        <f t="shared" si="1"/>
      </c>
      <c r="K5" s="71">
        <v>0</v>
      </c>
      <c r="L5" s="71">
        <v>0</v>
      </c>
      <c r="M5" s="71"/>
      <c r="N5" s="71"/>
      <c r="O5" s="70"/>
      <c r="P5" s="70"/>
    </row>
    <row hidden="true" r="6">
      <c r="A6" s="77" t="s">
        <v>186</v>
      </c>
      <c r="B6" s="78"/>
      <c r="C6" s="78"/>
      <c r="D6" s="79">
        <f>SUM(D2:D5)</f>
      </c>
      <c r="E6" s="79">
        <f>SUM(E2:E5)</f>
      </c>
      <c r="F6" s="79">
        <f>SUM(F2:F5)</f>
      </c>
      <c r="G6" s="79">
        <f>SUM(G2:G5)</f>
      </c>
      <c r="H6" s="80">
        <f t="shared" si="0"/>
      </c>
      <c r="I6" s="80">
        <f t="shared" si="2"/>
      </c>
      <c r="J6" s="80">
        <f t="shared" si="1"/>
      </c>
      <c r="K6" s="79">
        <f>SUM(K2:K5)</f>
      </c>
      <c r="L6" s="79">
        <f>SUM(L2:L5)</f>
      </c>
      <c r="M6" s="81"/>
      <c r="N6" s="79">
        <f>SUM(N2:N5)</f>
      </c>
      <c r="O6" s="81"/>
      <c r="P6" s="79">
        <f>SUM(P2:P5)</f>
      </c>
    </row>
    <row hidden="true" r="7">
      <c r="A7" s="82" t="s">
        <v>199</v>
      </c>
      <c r="B7" s="70" t="s">
        <v>187</v>
      </c>
      <c r="C7" s="71" t="s">
        <v>188</v>
      </c>
      <c r="D7" s="71">
        <v>5</v>
      </c>
      <c r="E7" s="71">
        <v>8</v>
      </c>
      <c r="F7" s="71">
        <v>10274.4</v>
      </c>
      <c r="G7" s="71">
        <v>5111.1900000000005</v>
      </c>
      <c r="H7" s="72">
        <f t="shared" si="0"/>
      </c>
      <c r="I7" s="72">
        <f t="shared" si="2"/>
      </c>
      <c r="J7" s="72">
        <f t="shared" si="1"/>
      </c>
      <c r="K7" s="71">
        <v>7</v>
      </c>
      <c r="L7" s="71">
        <v>8263.2</v>
      </c>
      <c r="M7" s="73" t="s">
        <v>189</v>
      </c>
      <c r="N7" s="73">
        <v>10</v>
      </c>
      <c r="O7" s="70" t="s">
        <v>190</v>
      </c>
      <c r="P7" s="70">
        <v>10</v>
      </c>
    </row>
    <row hidden="true" r="8">
      <c r="A8" s="82" t="s">
        <v>199</v>
      </c>
      <c r="B8" s="70" t="s">
        <v>191</v>
      </c>
      <c r="C8" s="71" t="s">
        <v>192</v>
      </c>
      <c r="D8" s="70">
        <v>5</v>
      </c>
      <c r="E8" s="71">
        <v>8</v>
      </c>
      <c r="F8" s="71">
        <v>10345.199999999999</v>
      </c>
      <c r="G8" s="71">
        <v>4176.92</v>
      </c>
      <c r="H8" s="72">
        <f t="shared" si="0"/>
      </c>
      <c r="I8" s="72">
        <f t="shared" si="2"/>
      </c>
      <c r="J8" s="72">
        <f t="shared" si="1"/>
      </c>
      <c r="K8" s="71">
        <v>2</v>
      </c>
      <c r="L8" s="74">
        <v>4070.3999999999996</v>
      </c>
      <c r="M8" s="73"/>
      <c r="N8" s="73"/>
      <c r="O8" s="75"/>
      <c r="P8" s="70"/>
    </row>
    <row hidden="true" r="9">
      <c r="A9" s="82" t="s">
        <v>199</v>
      </c>
      <c r="B9" s="76" t="s">
        <v>193</v>
      </c>
      <c r="C9" s="71" t="s">
        <v>194</v>
      </c>
      <c r="D9" s="70">
        <v>5</v>
      </c>
      <c r="E9" s="71">
        <v>1</v>
      </c>
      <c r="F9" s="71">
        <v>763.2000000000007</v>
      </c>
      <c r="G9" s="71">
        <v>2956.75</v>
      </c>
      <c r="H9" s="72">
        <f t="shared" si="0"/>
      </c>
      <c r="I9" s="72">
        <f t="shared" si="2"/>
      </c>
      <c r="J9" s="72">
        <f t="shared" si="1"/>
      </c>
      <c r="K9" s="71">
        <v>0</v>
      </c>
      <c r="L9" s="74">
        <v>0</v>
      </c>
      <c r="M9" s="71" t="s">
        <v>195</v>
      </c>
      <c r="N9" s="71">
        <v>10</v>
      </c>
      <c r="O9" s="75" t="s">
        <v>196</v>
      </c>
      <c r="P9" s="70">
        <v>10</v>
      </c>
    </row>
    <row hidden="true" r="10">
      <c r="A10" s="82" t="s">
        <v>199</v>
      </c>
      <c r="B10" s="70" t="s">
        <v>197</v>
      </c>
      <c r="C10" s="71" t="s">
        <v>198</v>
      </c>
      <c r="D10" s="70">
        <v>5</v>
      </c>
      <c r="E10" s="71">
        <v>5</v>
      </c>
      <c r="F10" s="71">
        <v>6664.799999999999</v>
      </c>
      <c r="G10" s="71">
        <v>5425.18</v>
      </c>
      <c r="H10" s="72">
        <f t="shared" si="0"/>
      </c>
      <c r="I10" s="72">
        <f t="shared" si="2"/>
      </c>
      <c r="J10" s="72">
        <f t="shared" si="1"/>
      </c>
      <c r="K10" s="71">
        <v>0</v>
      </c>
      <c r="L10" s="71">
        <v>0</v>
      </c>
      <c r="M10" s="71"/>
      <c r="N10" s="71"/>
      <c r="O10" s="70"/>
      <c r="P10" s="70"/>
    </row>
    <row hidden="true" r="11">
      <c r="A11" s="77" t="s">
        <v>199</v>
      </c>
      <c r="B11" s="78"/>
      <c r="C11" s="78"/>
      <c r="D11" s="79">
        <f>SUM(D7:D10)</f>
      </c>
      <c r="E11" s="79">
        <f>SUM(E7:E10)</f>
      </c>
      <c r="F11" s="79">
        <f>SUM(F7:F10)</f>
      </c>
      <c r="G11" s="79">
        <f>SUM(G7:G10)</f>
      </c>
      <c r="H11" s="80">
        <f t="shared" si="0"/>
      </c>
      <c r="I11" s="80">
        <f t="shared" si="2"/>
      </c>
      <c r="J11" s="80">
        <f t="shared" si="1"/>
      </c>
      <c r="K11" s="79">
        <f>SUM(K7:K10)</f>
      </c>
      <c r="L11" s="79">
        <f>SUM(L7:L10)</f>
      </c>
      <c r="M11" s="81"/>
      <c r="N11" s="79">
        <f>SUM(N7:N10)</f>
      </c>
      <c r="O11" s="81"/>
      <c r="P11" s="79">
        <f>SUM(P7:P10)</f>
      </c>
    </row>
    <row hidden="true" r="12">
      <c r="A12" s="82" t="s">
        <v>200</v>
      </c>
      <c r="B12" s="70" t="s">
        <v>187</v>
      </c>
      <c r="C12" s="71" t="s">
        <v>188</v>
      </c>
      <c r="D12" s="71">
        <v>5</v>
      </c>
      <c r="E12" s="71">
        <v>6</v>
      </c>
      <c r="F12" s="71">
        <v>7420.8</v>
      </c>
      <c r="G12" s="71">
        <v>6104.03</v>
      </c>
      <c r="H12" s="72">
        <f t="shared" si="0"/>
      </c>
      <c r="I12" s="72">
        <f t="shared" si="2"/>
      </c>
      <c r="J12" s="72">
        <f t="shared" si="1"/>
      </c>
      <c r="K12" s="71">
        <v>2</v>
      </c>
      <c r="L12" s="71">
        <v>2803.2</v>
      </c>
      <c r="M12" s="73" t="s">
        <v>189</v>
      </c>
      <c r="N12" s="73">
        <v>10</v>
      </c>
      <c r="O12" s="70" t="s">
        <v>190</v>
      </c>
      <c r="P12" s="70">
        <v>10</v>
      </c>
    </row>
    <row hidden="true" r="13">
      <c r="A13" s="82" t="s">
        <v>200</v>
      </c>
      <c r="B13" s="70" t="s">
        <v>193</v>
      </c>
      <c r="C13" s="71" t="s">
        <v>192</v>
      </c>
      <c r="D13" s="70">
        <v>5</v>
      </c>
      <c r="E13" s="71">
        <v>9</v>
      </c>
      <c r="F13" s="71">
        <v>8968.8</v>
      </c>
      <c r="G13" s="71">
        <v>5307.29</v>
      </c>
      <c r="H13" s="72">
        <f t="shared" si="0"/>
      </c>
      <c r="I13" s="72">
        <f t="shared" si="2"/>
      </c>
      <c r="J13" s="72">
        <f t="shared" si="1"/>
      </c>
      <c r="K13" s="71">
        <v>2</v>
      </c>
      <c r="L13" s="74">
        <v>2686.8</v>
      </c>
      <c r="M13" s="73"/>
      <c r="N13" s="73"/>
      <c r="O13" s="75"/>
      <c r="P13" s="70"/>
    </row>
    <row customHeight="true" hidden="true" ht="16.071428571428573" r="14">
      <c r="A14" s="82" t="s">
        <v>200</v>
      </c>
      <c r="B14" s="76" t="s">
        <v>197</v>
      </c>
      <c r="C14" s="71" t="s">
        <v>194</v>
      </c>
      <c r="D14" s="70">
        <v>5</v>
      </c>
      <c r="E14" s="71">
        <v>6</v>
      </c>
      <c r="F14" s="71">
        <v>9832.8</v>
      </c>
      <c r="G14" s="71">
        <v>4218.679999999999</v>
      </c>
      <c r="H14" s="72">
        <f t="shared" si="0"/>
      </c>
      <c r="I14" s="72">
        <f t="shared" si="2"/>
      </c>
      <c r="J14" s="72">
        <f t="shared" si="1"/>
      </c>
      <c r="K14" s="71">
        <v>3</v>
      </c>
      <c r="L14" s="74">
        <v>5018.4</v>
      </c>
      <c r="M14" s="71" t="s">
        <v>195</v>
      </c>
      <c r="N14" s="71">
        <v>10</v>
      </c>
      <c r="O14" s="75" t="s">
        <v>196</v>
      </c>
      <c r="P14" s="70">
        <v>10</v>
      </c>
    </row>
    <row hidden="true" r="15">
      <c r="A15" s="82" t="s">
        <v>200</v>
      </c>
      <c r="B15" s="76" t="s">
        <v>191</v>
      </c>
      <c r="C15" s="71" t="s">
        <v>201</v>
      </c>
      <c r="D15" s="70">
        <v>5</v>
      </c>
      <c r="E15" s="71">
        <v>7</v>
      </c>
      <c r="F15" s="71">
        <v>10518.000000000004</v>
      </c>
      <c r="G15" s="71">
        <v>6878.74</v>
      </c>
      <c r="H15" s="72">
        <f t="shared" si="0"/>
      </c>
      <c r="I15" s="72">
        <f t="shared" si="2"/>
      </c>
      <c r="J15" s="72">
        <f t="shared" si="1"/>
      </c>
      <c r="K15" s="71">
        <v>2</v>
      </c>
      <c r="L15" s="74">
        <v>2870.3999999999996</v>
      </c>
      <c r="M15" s="71"/>
      <c r="N15" s="71"/>
      <c r="O15" s="75"/>
      <c r="P15" s="70"/>
    </row>
    <row hidden="true" r="16">
      <c r="A16" s="77" t="s">
        <v>200</v>
      </c>
      <c r="B16" s="78"/>
      <c r="C16" s="78"/>
      <c r="D16" s="79">
        <f>SUM(D12:D15)</f>
      </c>
      <c r="E16" s="79">
        <f>SUM(E12:E15)</f>
      </c>
      <c r="F16" s="79">
        <f>SUM(F12:F15)</f>
      </c>
      <c r="G16" s="79">
        <f>SUM(G12:G15)</f>
      </c>
      <c r="H16" s="80">
        <f t="shared" si="0"/>
      </c>
      <c r="I16" s="80">
        <f t="shared" si="2"/>
      </c>
      <c r="J16" s="80">
        <f t="shared" si="1"/>
      </c>
      <c r="K16" s="79">
        <f>SUM(K12:K15)</f>
      </c>
      <c r="L16" s="79">
        <f>SUM(L12:L15)</f>
      </c>
      <c r="M16" s="81"/>
      <c r="N16" s="79">
        <f>SUM(N12:N15)</f>
      </c>
      <c r="O16" s="81"/>
      <c r="P16" s="79">
        <f>SUM(P12:P15)</f>
      </c>
    </row>
    <row hidden="true" r="17">
      <c r="A17" s="82" t="s">
        <v>202</v>
      </c>
      <c r="B17" s="70" t="s">
        <v>187</v>
      </c>
      <c r="C17" s="71" t="s">
        <v>188</v>
      </c>
      <c r="D17" s="71">
        <v>5</v>
      </c>
      <c r="E17" s="71">
        <v>15</v>
      </c>
      <c r="F17" s="71">
        <v>16766.4</v>
      </c>
      <c r="G17" s="71">
        <v>8649.71</v>
      </c>
      <c r="H17" s="72">
        <f t="shared" si="0"/>
      </c>
      <c r="I17" s="72">
        <f t="shared" si="2"/>
      </c>
      <c r="J17" s="72">
        <f t="shared" si="1"/>
      </c>
      <c r="K17" s="71">
        <v>7</v>
      </c>
      <c r="L17" s="71">
        <v>9109.2</v>
      </c>
      <c r="M17" s="73" t="s">
        <v>189</v>
      </c>
      <c r="N17" s="73">
        <v>10</v>
      </c>
      <c r="O17" s="70" t="s">
        <v>190</v>
      </c>
      <c r="P17" s="70">
        <v>10</v>
      </c>
    </row>
    <row hidden="true" r="18">
      <c r="A18" s="82" t="s">
        <v>202</v>
      </c>
      <c r="B18" s="70" t="s">
        <v>193</v>
      </c>
      <c r="C18" s="71" t="s">
        <v>192</v>
      </c>
      <c r="D18" s="70">
        <v>5</v>
      </c>
      <c r="E18" s="71">
        <v>8</v>
      </c>
      <c r="F18" s="71">
        <v>8106</v>
      </c>
      <c r="G18" s="71">
        <v>7654.0599999999995</v>
      </c>
      <c r="H18" s="72">
        <f t="shared" si="0"/>
      </c>
      <c r="I18" s="72">
        <f t="shared" si="2"/>
      </c>
      <c r="J18" s="72">
        <f t="shared" si="1"/>
      </c>
      <c r="K18" s="71">
        <v>4</v>
      </c>
      <c r="L18" s="74">
        <v>4887.6</v>
      </c>
      <c r="M18" s="73"/>
      <c r="N18" s="73"/>
      <c r="O18" s="75"/>
      <c r="P18" s="70"/>
    </row>
    <row hidden="true" r="19">
      <c r="A19" s="82" t="s">
        <v>202</v>
      </c>
      <c r="B19" s="70" t="s">
        <v>203</v>
      </c>
      <c r="C19" s="71" t="s">
        <v>204</v>
      </c>
      <c r="D19" s="71">
        <v>2</v>
      </c>
      <c r="E19" s="71">
        <v>5</v>
      </c>
      <c r="F19" s="71">
        <v>10528.799999999996</v>
      </c>
      <c r="G19" s="71">
        <v>2664.06</v>
      </c>
      <c r="H19" s="72">
        <f t="shared" si="0"/>
      </c>
      <c r="I19" s="72">
        <f t="shared" si="2"/>
      </c>
      <c r="J19" s="72">
        <f t="shared" si="1"/>
      </c>
      <c r="K19" s="71">
        <v>0</v>
      </c>
      <c r="L19" s="74">
        <v>0</v>
      </c>
      <c r="M19" s="71" t="s">
        <v>195</v>
      </c>
      <c r="N19" s="71">
        <v>10</v>
      </c>
      <c r="O19" s="75" t="s">
        <v>196</v>
      </c>
      <c r="P19" s="70">
        <v>10</v>
      </c>
    </row>
    <row customHeight="true" hidden="true" ht="16.071428571428573" r="20">
      <c r="A20" s="82" t="s">
        <v>202</v>
      </c>
      <c r="B20" s="70" t="s">
        <v>197</v>
      </c>
      <c r="C20" s="71" t="s">
        <v>205</v>
      </c>
      <c r="D20" s="71">
        <v>4</v>
      </c>
      <c r="E20" s="71">
        <v>3</v>
      </c>
      <c r="F20" s="71">
        <v>3690</v>
      </c>
      <c r="G20" s="71">
        <v>4425.17</v>
      </c>
      <c r="H20" s="72">
        <f t="shared" si="0"/>
      </c>
      <c r="I20" s="72">
        <f t="shared" si="2"/>
      </c>
      <c r="J20" s="72">
        <f t="shared" si="1"/>
      </c>
      <c r="K20" s="71">
        <v>0</v>
      </c>
      <c r="L20" s="74">
        <v>0</v>
      </c>
      <c r="M20" s="71"/>
      <c r="N20" s="71"/>
      <c r="O20" s="75"/>
      <c r="P20" s="70"/>
    </row>
    <row hidden="true" r="21">
      <c r="A21" s="82" t="s">
        <v>202</v>
      </c>
      <c r="B21" s="70" t="s">
        <v>191</v>
      </c>
      <c r="C21" s="71" t="s">
        <v>206</v>
      </c>
      <c r="D21" s="71">
        <v>4</v>
      </c>
      <c r="E21" s="71">
        <v>13</v>
      </c>
      <c r="F21" s="71">
        <v>17674.800000000003</v>
      </c>
      <c r="G21" s="71">
        <v>6982.500000000001</v>
      </c>
      <c r="H21" s="72">
        <f t="shared" si="0"/>
      </c>
      <c r="I21" s="72">
        <f t="shared" si="2"/>
      </c>
      <c r="J21" s="72">
        <f t="shared" si="1"/>
      </c>
      <c r="K21" s="71">
        <v>1</v>
      </c>
      <c r="L21" s="74">
        <v>1663.2</v>
      </c>
      <c r="M21" s="71"/>
      <c r="N21" s="71"/>
      <c r="O21" s="75"/>
      <c r="P21" s="70"/>
    </row>
    <row hidden="true" r="22">
      <c r="A22" s="77" t="s">
        <v>202</v>
      </c>
      <c r="B22" s="78"/>
      <c r="C22" s="78"/>
      <c r="D22" s="79">
        <f>SUM(D17:D21)</f>
      </c>
      <c r="E22" s="79">
        <f>SUM(E17:E21)</f>
      </c>
      <c r="F22" s="79">
        <f>SUM(F17:F21)</f>
      </c>
      <c r="G22" s="79">
        <f>SUM(G17:G21)</f>
      </c>
      <c r="H22" s="80">
        <f t="shared" si="0"/>
      </c>
      <c r="I22" s="80">
        <f t="shared" si="2"/>
      </c>
      <c r="J22" s="80">
        <f t="shared" si="1"/>
      </c>
      <c r="K22" s="79">
        <f>SUM(K17:K21)</f>
      </c>
      <c r="L22" s="79">
        <f>SUM(L17:L21)</f>
      </c>
      <c r="M22" s="81"/>
      <c r="N22" s="79">
        <f>SUM(N17:N21)</f>
      </c>
      <c r="O22" s="81"/>
      <c r="P22" s="79">
        <f>SUM(P17:P21)</f>
      </c>
    </row>
    <row hidden="true" r="23">
      <c r="A23" s="82" t="s">
        <v>207</v>
      </c>
      <c r="B23" s="70" t="s">
        <v>187</v>
      </c>
      <c r="C23" s="71" t="s">
        <v>188</v>
      </c>
      <c r="D23" s="71">
        <v>5</v>
      </c>
      <c r="E23" s="71">
        <v>6</v>
      </c>
      <c r="F23" s="71">
        <v>7758</v>
      </c>
      <c r="G23" s="71">
        <v>6061.68</v>
      </c>
      <c r="H23" s="72">
        <f t="shared" si="0"/>
      </c>
      <c r="I23" s="72">
        <f t="shared" si="2"/>
      </c>
      <c r="J23" s="72">
        <f t="shared" si="1"/>
      </c>
      <c r="K23" s="71">
        <v>2</v>
      </c>
      <c r="L23" s="71">
        <v>716.4</v>
      </c>
      <c r="M23" s="73" t="s">
        <v>189</v>
      </c>
      <c r="N23" s="73">
        <v>10</v>
      </c>
      <c r="O23" s="70" t="s">
        <v>190</v>
      </c>
      <c r="P23" s="70">
        <v>10</v>
      </c>
    </row>
    <row hidden="true" r="24">
      <c r="A24" s="82" t="s">
        <v>207</v>
      </c>
      <c r="B24" s="70" t="s">
        <v>197</v>
      </c>
      <c r="C24" s="71" t="s">
        <v>192</v>
      </c>
      <c r="D24" s="70">
        <v>5</v>
      </c>
      <c r="E24" s="71">
        <v>4</v>
      </c>
      <c r="F24" s="71">
        <v>3933.6000000000004</v>
      </c>
      <c r="G24" s="71">
        <v>5712.85</v>
      </c>
      <c r="H24" s="72">
        <f t="shared" si="0"/>
      </c>
      <c r="I24" s="72">
        <f t="shared" si="2"/>
      </c>
      <c r="J24" s="72">
        <f t="shared" si="1"/>
      </c>
      <c r="K24" s="71">
        <v>0</v>
      </c>
      <c r="L24" s="74">
        <v>0</v>
      </c>
      <c r="M24" s="73"/>
      <c r="N24" s="73"/>
      <c r="O24" s="75"/>
      <c r="P24" s="70"/>
    </row>
    <row hidden="true" r="25">
      <c r="A25" s="82" t="s">
        <v>207</v>
      </c>
      <c r="B25" s="70" t="s">
        <v>203</v>
      </c>
      <c r="C25" s="71" t="s">
        <v>204</v>
      </c>
      <c r="D25" s="71">
        <v>2</v>
      </c>
      <c r="E25" s="71">
        <v>1</v>
      </c>
      <c r="F25" s="71">
        <v>2011.199999999999</v>
      </c>
      <c r="G25" s="71">
        <v>1998.6600000000003</v>
      </c>
      <c r="H25" s="72">
        <f t="shared" si="0"/>
      </c>
      <c r="I25" s="72">
        <f t="shared" si="2"/>
      </c>
      <c r="J25" s="72">
        <f t="shared" si="1"/>
      </c>
      <c r="K25" s="71">
        <v>1</v>
      </c>
      <c r="L25" s="74">
        <v>2011.2</v>
      </c>
      <c r="M25" s="71" t="s">
        <v>195</v>
      </c>
      <c r="N25" s="71">
        <v>10</v>
      </c>
      <c r="O25" s="75" t="s">
        <v>196</v>
      </c>
      <c r="P25" s="70">
        <v>10</v>
      </c>
    </row>
    <row hidden="true" r="26">
      <c r="A26" s="82" t="s">
        <v>207</v>
      </c>
      <c r="B26" s="70" t="s">
        <v>191</v>
      </c>
      <c r="C26" s="71" t="s">
        <v>205</v>
      </c>
      <c r="D26" s="71">
        <v>4</v>
      </c>
      <c r="E26" s="71">
        <v>3</v>
      </c>
      <c r="F26" s="71">
        <v>2359.2000000000007</v>
      </c>
      <c r="G26" s="71">
        <v>3958.8599999999997</v>
      </c>
      <c r="H26" s="72">
        <f t="shared" si="0"/>
      </c>
      <c r="I26" s="72">
        <f t="shared" si="2"/>
      </c>
      <c r="J26" s="72">
        <f t="shared" si="1"/>
      </c>
      <c r="K26" s="71">
        <v>0</v>
      </c>
      <c r="L26" s="74">
        <v>0</v>
      </c>
      <c r="M26" s="71"/>
      <c r="N26" s="71"/>
      <c r="O26" s="75"/>
      <c r="P26" s="70"/>
    </row>
    <row hidden="true" r="27">
      <c r="A27" s="82" t="s">
        <v>207</v>
      </c>
      <c r="B27" s="70" t="s">
        <v>208</v>
      </c>
      <c r="C27" s="71" t="s">
        <v>206</v>
      </c>
      <c r="D27" s="71">
        <v>4</v>
      </c>
      <c r="E27" s="71">
        <v>5</v>
      </c>
      <c r="F27" s="71">
        <v>10684.8</v>
      </c>
      <c r="G27" s="71">
        <v>5824.71</v>
      </c>
      <c r="H27" s="72">
        <f t="shared" si="0"/>
      </c>
      <c r="I27" s="72">
        <f t="shared" si="2"/>
      </c>
      <c r="J27" s="72">
        <f t="shared" si="1"/>
      </c>
      <c r="K27" s="71">
        <v>0</v>
      </c>
      <c r="L27" s="74">
        <v>0</v>
      </c>
      <c r="M27" s="71"/>
      <c r="N27" s="71"/>
      <c r="O27" s="75"/>
      <c r="P27" s="70"/>
    </row>
    <row hidden="true" r="28">
      <c r="A28" s="77" t="s">
        <v>207</v>
      </c>
      <c r="B28" s="78"/>
      <c r="C28" s="78"/>
      <c r="D28" s="79">
        <f>SUM(D23:D27)</f>
      </c>
      <c r="E28" s="79">
        <f>SUM(E23:E27)</f>
      </c>
      <c r="F28" s="79">
        <f>SUM(F23:F27)</f>
      </c>
      <c r="G28" s="79">
        <f>SUM(G23:G27)</f>
      </c>
      <c r="H28" s="80">
        <f t="shared" si="0"/>
      </c>
      <c r="I28" s="80">
        <f t="shared" si="2"/>
      </c>
      <c r="J28" s="80">
        <f t="shared" si="1"/>
      </c>
      <c r="K28" s="79">
        <f>SUM(K23:K27)</f>
      </c>
      <c r="L28" s="79">
        <f>SUM(L23:L27)</f>
      </c>
      <c r="M28" s="81"/>
      <c r="N28" s="79">
        <f>SUM(N23:N27)</f>
      </c>
      <c r="O28" s="81"/>
      <c r="P28" s="79">
        <f>SUM(P23:P27)</f>
      </c>
    </row>
    <row hidden="true" r="29">
      <c r="A29" s="82" t="s">
        <v>209</v>
      </c>
      <c r="B29" s="70" t="s">
        <v>187</v>
      </c>
      <c r="C29" s="71" t="s">
        <v>188</v>
      </c>
      <c r="D29" s="71">
        <v>5</v>
      </c>
      <c r="E29" s="71">
        <v>10</v>
      </c>
      <c r="F29" s="71">
        <v>13060.8</v>
      </c>
      <c r="G29" s="71">
        <v>7284.910000000002</v>
      </c>
      <c r="H29" s="72">
        <f t="shared" si="0"/>
      </c>
      <c r="I29" s="72">
        <f t="shared" si="2"/>
      </c>
      <c r="J29" s="72">
        <f t="shared" si="1"/>
      </c>
      <c r="K29" s="71">
        <v>5</v>
      </c>
      <c r="L29" s="71">
        <v>5863.2</v>
      </c>
      <c r="M29" s="73" t="s">
        <v>189</v>
      </c>
      <c r="N29" s="73">
        <v>10</v>
      </c>
      <c r="O29" s="70" t="s">
        <v>190</v>
      </c>
      <c r="P29" s="70">
        <v>10</v>
      </c>
    </row>
    <row hidden="true" r="30">
      <c r="A30" s="82" t="s">
        <v>209</v>
      </c>
      <c r="B30" s="70" t="s">
        <v>197</v>
      </c>
      <c r="C30" s="71" t="s">
        <v>210</v>
      </c>
      <c r="D30" s="71">
        <v>4</v>
      </c>
      <c r="E30" s="71">
        <v>7</v>
      </c>
      <c r="F30" s="71">
        <v>10422</v>
      </c>
      <c r="G30" s="71">
        <v>6422.48</v>
      </c>
      <c r="H30" s="72">
        <f t="shared" si="0"/>
      </c>
      <c r="I30" s="72">
        <f t="shared" si="2"/>
      </c>
      <c r="J30" s="72">
        <f t="shared" si="1"/>
      </c>
      <c r="K30" s="71">
        <v>0</v>
      </c>
      <c r="L30" s="74">
        <v>0</v>
      </c>
      <c r="M30" s="73"/>
      <c r="N30" s="73"/>
      <c r="O30" s="75"/>
      <c r="P30" s="70"/>
    </row>
    <row hidden="true" r="31">
      <c r="A31" s="82" t="s">
        <v>209</v>
      </c>
      <c r="B31" s="70" t="s">
        <v>203</v>
      </c>
      <c r="C31" s="71" t="s">
        <v>211</v>
      </c>
      <c r="D31" s="71">
        <v>3</v>
      </c>
      <c r="E31" s="71">
        <v>7</v>
      </c>
      <c r="F31" s="71">
        <v>10826.399999999998</v>
      </c>
      <c r="G31" s="71">
        <v>4486.79</v>
      </c>
      <c r="H31" s="72">
        <f t="shared" si="0"/>
      </c>
      <c r="I31" s="72">
        <f t="shared" si="2"/>
      </c>
      <c r="J31" s="72">
        <f t="shared" si="1"/>
      </c>
      <c r="K31" s="71">
        <v>3</v>
      </c>
      <c r="L31" s="74">
        <v>2704.8</v>
      </c>
      <c r="M31" s="71" t="s">
        <v>195</v>
      </c>
      <c r="N31" s="71">
        <v>10</v>
      </c>
      <c r="O31" s="75" t="s">
        <v>196</v>
      </c>
      <c r="P31" s="70">
        <v>10</v>
      </c>
    </row>
    <row hidden="true" r="32">
      <c r="A32" s="82" t="s">
        <v>209</v>
      </c>
      <c r="B32" s="70" t="s">
        <v>191</v>
      </c>
      <c r="C32" s="71" t="s">
        <v>205</v>
      </c>
      <c r="D32" s="71">
        <v>4</v>
      </c>
      <c r="E32" s="71">
        <v>1</v>
      </c>
      <c r="F32" s="71">
        <v>1663.2000000000044</v>
      </c>
      <c r="G32" s="71">
        <v>2326.44</v>
      </c>
      <c r="H32" s="72">
        <f t="shared" si="0"/>
      </c>
      <c r="I32" s="72">
        <f t="shared" si="2"/>
      </c>
      <c r="J32" s="72">
        <f t="shared" si="1"/>
      </c>
      <c r="K32" s="71">
        <v>0</v>
      </c>
      <c r="L32" s="74">
        <v>0</v>
      </c>
      <c r="M32" s="71"/>
      <c r="N32" s="71"/>
      <c r="O32" s="75"/>
      <c r="P32" s="70"/>
    </row>
    <row hidden="true" r="33">
      <c r="A33" s="82" t="s">
        <v>209</v>
      </c>
      <c r="B33" s="70" t="s">
        <v>208</v>
      </c>
      <c r="C33" s="71" t="s">
        <v>206</v>
      </c>
      <c r="D33" s="83">
        <f>4-0.25</f>
      </c>
      <c r="E33" s="71">
        <v>3</v>
      </c>
      <c r="F33" s="71">
        <v>6134.4000000000015</v>
      </c>
      <c r="G33" s="71">
        <v>4754.63</v>
      </c>
      <c r="H33" s="72">
        <f t="shared" si="0"/>
      </c>
      <c r="I33" s="72">
        <f t="shared" si="2"/>
      </c>
      <c r="J33" s="72">
        <f t="shared" si="1"/>
      </c>
      <c r="K33" s="71">
        <v>0</v>
      </c>
      <c r="L33" s="74">
        <v>0</v>
      </c>
      <c r="M33" s="71"/>
      <c r="N33" s="71"/>
      <c r="O33" s="75"/>
      <c r="P33" s="70"/>
    </row>
    <row hidden="true" r="34">
      <c r="A34" s="77" t="s">
        <v>209</v>
      </c>
      <c r="B34" s="78"/>
      <c r="C34" s="78"/>
      <c r="D34" s="79">
        <f>SUM(D29:D33)</f>
      </c>
      <c r="E34" s="79">
        <f>SUM(E29:E33)</f>
      </c>
      <c r="F34" s="79">
        <f>SUM(F29:F33)</f>
      </c>
      <c r="G34" s="79">
        <f>SUM(G29:G33)</f>
      </c>
      <c r="H34" s="80">
        <f t="shared" si="0"/>
      </c>
      <c r="I34" s="80">
        <f t="shared" si="2"/>
      </c>
      <c r="J34" s="80">
        <f t="shared" si="1"/>
      </c>
      <c r="K34" s="79">
        <f>SUM(K29:K33)</f>
      </c>
      <c r="L34" s="79">
        <f>SUM(L29:L33)</f>
      </c>
      <c r="M34" s="81"/>
      <c r="N34" s="79">
        <f>SUM(N29:N33)</f>
      </c>
      <c r="O34" s="81"/>
      <c r="P34" s="79">
        <f>SUM(P29:P33)</f>
      </c>
    </row>
    <row hidden="true" r="35">
      <c r="A35" s="82" t="s">
        <v>212</v>
      </c>
      <c r="B35" s="70" t="s">
        <v>191</v>
      </c>
      <c r="C35" s="71" t="s">
        <v>188</v>
      </c>
      <c r="D35" s="71">
        <v>5</v>
      </c>
      <c r="E35" s="71">
        <v>5</v>
      </c>
      <c r="F35" s="71">
        <v>7820.4</v>
      </c>
      <c r="G35" s="71">
        <v>4926.74</v>
      </c>
      <c r="H35" s="72">
        <f t="shared" si="0"/>
      </c>
      <c r="I35" s="72">
        <f t="shared" si="2"/>
      </c>
      <c r="J35" s="72">
        <f t="shared" si="1"/>
      </c>
      <c r="K35" s="71">
        <v>0</v>
      </c>
      <c r="L35" s="71">
        <v>0</v>
      </c>
      <c r="M35" s="73" t="s">
        <v>189</v>
      </c>
      <c r="N35" s="73">
        <v>10</v>
      </c>
      <c r="O35" s="70" t="s">
        <v>190</v>
      </c>
      <c r="P35" s="70">
        <v>10</v>
      </c>
    </row>
    <row hidden="true" r="36">
      <c r="A36" s="82" t="s">
        <v>212</v>
      </c>
      <c r="B36" s="70" t="s">
        <v>187</v>
      </c>
      <c r="C36" s="71" t="s">
        <v>192</v>
      </c>
      <c r="D36" s="71">
        <v>5</v>
      </c>
      <c r="E36" s="71">
        <v>4</v>
      </c>
      <c r="F36" s="71">
        <v>5258.720000000001</v>
      </c>
      <c r="G36" s="71">
        <v>3754.2099999999996</v>
      </c>
      <c r="H36" s="72">
        <f t="shared" si="0"/>
      </c>
      <c r="I36" s="72">
        <f t="shared" si="2"/>
      </c>
      <c r="J36" s="72">
        <f t="shared" si="1"/>
      </c>
      <c r="K36" s="71">
        <v>0</v>
      </c>
      <c r="L36" s="74">
        <v>0</v>
      </c>
      <c r="M36" s="73"/>
      <c r="N36" s="73"/>
      <c r="O36" s="75"/>
      <c r="P36" s="70"/>
    </row>
    <row hidden="true" r="37">
      <c r="A37" s="82" t="s">
        <v>212</v>
      </c>
      <c r="B37" s="70" t="s">
        <v>213</v>
      </c>
      <c r="C37" s="71" t="s">
        <v>204</v>
      </c>
      <c r="D37" s="71">
        <v>2</v>
      </c>
      <c r="E37" s="71">
        <v>0</v>
      </c>
      <c r="F37" s="71">
        <v>0</v>
      </c>
      <c r="G37" s="71">
        <v>800.21</v>
      </c>
      <c r="H37" s="72">
        <f t="shared" si="0"/>
      </c>
      <c r="I37" s="72">
        <f t="shared" si="2"/>
      </c>
      <c r="J37" s="72">
        <f t="shared" si="1"/>
      </c>
      <c r="K37" s="71">
        <v>0</v>
      </c>
      <c r="L37" s="74">
        <v>0</v>
      </c>
      <c r="M37" s="71" t="s">
        <v>195</v>
      </c>
      <c r="N37" s="71">
        <v>10</v>
      </c>
      <c r="O37" s="75" t="s">
        <v>196</v>
      </c>
      <c r="P37" s="70">
        <v>10</v>
      </c>
    </row>
    <row hidden="true" r="38">
      <c r="A38" s="82" t="s">
        <v>212</v>
      </c>
      <c r="B38" s="70" t="s">
        <v>193</v>
      </c>
      <c r="C38" s="71" t="s">
        <v>205</v>
      </c>
      <c r="D38" s="71">
        <v>4</v>
      </c>
      <c r="E38" s="71">
        <v>3</v>
      </c>
      <c r="F38" s="71">
        <v>4695.6</v>
      </c>
      <c r="G38" s="71">
        <v>1525.87</v>
      </c>
      <c r="H38" s="72">
        <f t="shared" si="0"/>
      </c>
      <c r="I38" s="72">
        <f t="shared" si="2"/>
      </c>
      <c r="J38" s="72">
        <f t="shared" si="1"/>
      </c>
      <c r="K38" s="71">
        <v>1</v>
      </c>
      <c r="L38" s="74">
        <v>277.2</v>
      </c>
      <c r="M38" s="71"/>
      <c r="N38" s="71"/>
      <c r="O38" s="75"/>
      <c r="P38" s="70"/>
    </row>
    <row hidden="true" r="39">
      <c r="A39" s="82" t="s">
        <v>212</v>
      </c>
      <c r="B39" s="70" t="s">
        <v>197</v>
      </c>
      <c r="C39" s="71" t="s">
        <v>206</v>
      </c>
      <c r="D39" s="71">
        <v>4</v>
      </c>
      <c r="E39" s="71">
        <v>4</v>
      </c>
      <c r="F39" s="71">
        <v>5762.4000000000015</v>
      </c>
      <c r="G39" s="71">
        <v>4493.82</v>
      </c>
      <c r="H39" s="72">
        <f t="shared" si="0"/>
      </c>
      <c r="I39" s="72">
        <f t="shared" si="2"/>
      </c>
      <c r="J39" s="72">
        <f t="shared" si="1"/>
      </c>
      <c r="K39" s="71">
        <v>1</v>
      </c>
      <c r="L39" s="74">
        <v>396</v>
      </c>
      <c r="M39" s="71"/>
      <c r="N39" s="71"/>
      <c r="O39" s="75"/>
      <c r="P39" s="70"/>
    </row>
    <row hidden="true" r="40">
      <c r="A40" s="77" t="s">
        <v>212</v>
      </c>
      <c r="B40" s="78"/>
      <c r="C40" s="78"/>
      <c r="D40" s="79">
        <f>SUM(D35:D39)</f>
      </c>
      <c r="E40" s="79">
        <f>SUM(E35:E39)</f>
      </c>
      <c r="F40" s="79">
        <f>SUM(F35:F39)</f>
      </c>
      <c r="G40" s="79">
        <f>SUM(G35:G39)</f>
      </c>
      <c r="H40" s="80">
        <f t="shared" si="0"/>
      </c>
      <c r="I40" s="80">
        <f t="shared" si="2"/>
      </c>
      <c r="J40" s="80">
        <f t="shared" si="1"/>
      </c>
      <c r="K40" s="79">
        <f>SUM(K35:K39)</f>
      </c>
      <c r="L40" s="79">
        <f>SUM(L35:L39)</f>
      </c>
      <c r="M40" s="81"/>
      <c r="N40" s="79">
        <f>SUM(N35:N39)</f>
      </c>
      <c r="O40" s="81"/>
      <c r="P40" s="79">
        <f>SUM(P35:P39)</f>
      </c>
    </row>
    <row hidden="true" r="41">
      <c r="A41" s="82" t="s">
        <v>214</v>
      </c>
      <c r="B41" s="70" t="s">
        <v>187</v>
      </c>
      <c r="C41" s="71" t="s">
        <v>188</v>
      </c>
      <c r="D41" s="71">
        <v>5</v>
      </c>
      <c r="E41" s="71">
        <v>5</v>
      </c>
      <c r="F41" s="71">
        <v>5956.8</v>
      </c>
      <c r="G41" s="71">
        <v>3028.35</v>
      </c>
      <c r="H41" s="72">
        <f t="shared" si="0"/>
      </c>
      <c r="I41" s="72">
        <f t="shared" si="2"/>
      </c>
      <c r="J41" s="72">
        <f t="shared" si="1"/>
      </c>
      <c r="K41" s="71">
        <v>1</v>
      </c>
      <c r="L41" s="71">
        <v>795.6</v>
      </c>
      <c r="M41" s="73" t="s">
        <v>189</v>
      </c>
      <c r="N41" s="73">
        <v>10</v>
      </c>
      <c r="O41" s="70" t="s">
        <v>190</v>
      </c>
      <c r="P41" s="70">
        <v>10</v>
      </c>
    </row>
    <row hidden="true" r="42">
      <c r="A42" s="82" t="s">
        <v>214</v>
      </c>
      <c r="B42" s="70" t="s">
        <v>193</v>
      </c>
      <c r="C42" s="71" t="s">
        <v>192</v>
      </c>
      <c r="D42" s="71">
        <v>5</v>
      </c>
      <c r="E42" s="71">
        <v>4</v>
      </c>
      <c r="F42" s="71">
        <v>3820.8</v>
      </c>
      <c r="G42" s="71">
        <v>4113.02</v>
      </c>
      <c r="H42" s="72">
        <f t="shared" si="0"/>
      </c>
      <c r="I42" s="72">
        <f t="shared" si="2"/>
      </c>
      <c r="J42" s="72">
        <f t="shared" si="1"/>
      </c>
      <c r="K42" s="71">
        <v>1</v>
      </c>
      <c r="L42" s="74">
        <v>2407.2</v>
      </c>
      <c r="M42" s="73"/>
      <c r="N42" s="73"/>
      <c r="O42" s="75"/>
      <c r="P42" s="70"/>
    </row>
    <row hidden="true" r="43">
      <c r="A43" s="82" t="s">
        <v>214</v>
      </c>
      <c r="B43" s="70" t="s">
        <v>213</v>
      </c>
      <c r="C43" s="71" t="s">
        <v>204</v>
      </c>
      <c r="D43" s="71">
        <v>2</v>
      </c>
      <c r="E43" s="71">
        <v>0</v>
      </c>
      <c r="F43" s="71">
        <v>0</v>
      </c>
      <c r="G43" s="71">
        <v>1835.35</v>
      </c>
      <c r="H43" s="72">
        <f t="shared" si="0"/>
      </c>
      <c r="I43" s="72">
        <f t="shared" si="2"/>
      </c>
      <c r="J43" s="72">
        <f t="shared" si="1"/>
      </c>
      <c r="K43" s="71">
        <v>0</v>
      </c>
      <c r="L43" s="74">
        <v>0</v>
      </c>
      <c r="M43" s="71" t="s">
        <v>195</v>
      </c>
      <c r="N43" s="71">
        <v>10</v>
      </c>
      <c r="O43" s="75" t="s">
        <v>196</v>
      </c>
      <c r="P43" s="70">
        <v>10</v>
      </c>
    </row>
    <row hidden="true" r="44">
      <c r="A44" s="82" t="s">
        <v>214</v>
      </c>
      <c r="B44" s="70" t="s">
        <v>197</v>
      </c>
      <c r="C44" s="71" t="s">
        <v>205</v>
      </c>
      <c r="D44" s="71">
        <v>4</v>
      </c>
      <c r="E44" s="71">
        <v>0</v>
      </c>
      <c r="F44" s="71">
        <v>0</v>
      </c>
      <c r="G44" s="71">
        <v>3000.33</v>
      </c>
      <c r="H44" s="72">
        <f t="shared" si="0"/>
      </c>
      <c r="I44" s="72">
        <f t="shared" si="2"/>
      </c>
      <c r="J44" s="72">
        <f t="shared" si="1"/>
      </c>
      <c r="K44" s="71">
        <v>0</v>
      </c>
      <c r="L44" s="74">
        <v>0</v>
      </c>
      <c r="M44" s="71"/>
      <c r="N44" s="71"/>
      <c r="O44" s="75"/>
      <c r="P44" s="70"/>
    </row>
    <row hidden="true" r="45">
      <c r="A45" s="82" t="s">
        <v>214</v>
      </c>
      <c r="B45" s="70" t="s">
        <v>215</v>
      </c>
      <c r="C45" s="71" t="s">
        <v>206</v>
      </c>
      <c r="D45" s="71">
        <v>4</v>
      </c>
      <c r="E45" s="71">
        <v>3</v>
      </c>
      <c r="F45" s="71">
        <v>5791.199999999999</v>
      </c>
      <c r="G45" s="71">
        <v>3327.86</v>
      </c>
      <c r="H45" s="72">
        <f t="shared" si="0"/>
      </c>
      <c r="I45" s="72">
        <f t="shared" si="2"/>
      </c>
      <c r="J45" s="72">
        <f t="shared" si="1"/>
      </c>
      <c r="K45" s="71">
        <v>0</v>
      </c>
      <c r="L45" s="74">
        <v>0</v>
      </c>
      <c r="M45" s="71"/>
      <c r="N45" s="71"/>
      <c r="O45" s="75"/>
      <c r="P45" s="70"/>
    </row>
    <row hidden="true" r="46">
      <c r="A46" s="77" t="s">
        <v>214</v>
      </c>
      <c r="B46" s="78"/>
      <c r="C46" s="78"/>
      <c r="D46" s="79">
        <f>SUM(D41:D45)</f>
      </c>
      <c r="E46" s="79">
        <f>SUM(E41:E45)</f>
      </c>
      <c r="F46" s="79">
        <f>SUM(F41:F45)</f>
      </c>
      <c r="G46" s="79">
        <f>SUM(G41:G45)</f>
      </c>
      <c r="H46" s="80">
        <f t="shared" si="0"/>
      </c>
      <c r="I46" s="80">
        <f t="shared" si="2"/>
      </c>
      <c r="J46" s="80">
        <f t="shared" si="1"/>
      </c>
      <c r="K46" s="79">
        <f>SUM(K41:K45)</f>
      </c>
      <c r="L46" s="79">
        <f>SUM(L41:L45)</f>
      </c>
      <c r="M46" s="81"/>
      <c r="N46" s="79">
        <f>SUM(N41:N45)</f>
      </c>
      <c r="O46" s="81"/>
      <c r="P46" s="79">
        <f>SUM(P41:P45)</f>
      </c>
    </row>
    <row hidden="true" r="47">
      <c r="A47" s="82" t="s">
        <v>216</v>
      </c>
      <c r="B47" s="70" t="s">
        <v>187</v>
      </c>
      <c r="C47" s="71" t="s">
        <v>188</v>
      </c>
      <c r="D47" s="71">
        <v>5</v>
      </c>
      <c r="E47" s="71">
        <v>6</v>
      </c>
      <c r="F47" s="71">
        <v>7642.8</v>
      </c>
      <c r="G47" s="71">
        <v>5481.66</v>
      </c>
      <c r="H47" s="72">
        <f t="shared" si="0"/>
      </c>
      <c r="I47" s="72">
        <f t="shared" si="2"/>
      </c>
      <c r="J47" s="72">
        <f t="shared" si="1"/>
      </c>
      <c r="K47" s="71">
        <v>3</v>
      </c>
      <c r="L47" s="71">
        <v>3441.6000000000004</v>
      </c>
      <c r="M47" s="73" t="s">
        <v>189</v>
      </c>
      <c r="N47" s="73">
        <v>10</v>
      </c>
      <c r="O47" s="70" t="s">
        <v>190</v>
      </c>
      <c r="P47" s="70">
        <v>10</v>
      </c>
    </row>
    <row hidden="true" r="48">
      <c r="A48" s="82" t="s">
        <v>216</v>
      </c>
      <c r="B48" s="70" t="s">
        <v>193</v>
      </c>
      <c r="C48" s="71" t="s">
        <v>210</v>
      </c>
      <c r="D48" s="71">
        <v>4</v>
      </c>
      <c r="E48" s="71">
        <v>5</v>
      </c>
      <c r="F48" s="71">
        <v>9180</v>
      </c>
      <c r="G48" s="71">
        <v>5950.74</v>
      </c>
      <c r="H48" s="72">
        <f t="shared" si="0"/>
      </c>
      <c r="I48" s="72">
        <f t="shared" si="2"/>
      </c>
      <c r="J48" s="72">
        <f t="shared" si="1"/>
      </c>
      <c r="K48" s="71">
        <v>1</v>
      </c>
      <c r="L48" s="74">
        <v>691.2000000000003</v>
      </c>
      <c r="M48" s="73"/>
      <c r="N48" s="73"/>
      <c r="O48" s="75"/>
      <c r="P48" s="70"/>
    </row>
    <row hidden="true" r="49">
      <c r="A49" s="82" t="s">
        <v>216</v>
      </c>
      <c r="B49" s="70" t="s">
        <v>213</v>
      </c>
      <c r="C49" s="71" t="s">
        <v>211</v>
      </c>
      <c r="D49" s="71">
        <v>3</v>
      </c>
      <c r="E49" s="71">
        <v>1</v>
      </c>
      <c r="F49" s="71">
        <v>715.2000000000007</v>
      </c>
      <c r="G49" s="71">
        <v>1919.84</v>
      </c>
      <c r="H49" s="72">
        <f t="shared" si="0"/>
      </c>
      <c r="I49" s="72">
        <f t="shared" si="2"/>
      </c>
      <c r="J49" s="72">
        <f t="shared" si="1"/>
      </c>
      <c r="K49" s="71">
        <v>0</v>
      </c>
      <c r="L49" s="74">
        <v>0</v>
      </c>
      <c r="M49" s="71" t="s">
        <v>195</v>
      </c>
      <c r="N49" s="71">
        <v>10</v>
      </c>
      <c r="O49" s="75" t="s">
        <v>196</v>
      </c>
      <c r="P49" s="70">
        <v>10</v>
      </c>
    </row>
    <row hidden="true" r="50">
      <c r="A50" s="82" t="s">
        <v>216</v>
      </c>
      <c r="B50" s="70" t="s">
        <v>197</v>
      </c>
      <c r="C50" s="71" t="s">
        <v>205</v>
      </c>
      <c r="D50" s="71">
        <v>4</v>
      </c>
      <c r="E50" s="71">
        <v>0</v>
      </c>
      <c r="F50" s="71">
        <v>0</v>
      </c>
      <c r="G50" s="71">
        <v>2821.48</v>
      </c>
      <c r="H50" s="72">
        <f t="shared" si="0"/>
      </c>
      <c r="I50" s="72">
        <f t="shared" si="2"/>
      </c>
      <c r="J50" s="72">
        <f t="shared" si="1"/>
      </c>
      <c r="K50" s="71">
        <v>0</v>
      </c>
      <c r="L50" s="74">
        <v>0</v>
      </c>
      <c r="M50" s="71"/>
      <c r="N50" s="71"/>
      <c r="O50" s="75"/>
      <c r="P50" s="70"/>
    </row>
    <row hidden="true" r="51">
      <c r="A51" s="82" t="s">
        <v>216</v>
      </c>
      <c r="B51" s="70" t="s">
        <v>215</v>
      </c>
      <c r="C51" s="71" t="s">
        <v>206</v>
      </c>
      <c r="D51" s="71">
        <v>4</v>
      </c>
      <c r="E51" s="71">
        <v>5</v>
      </c>
      <c r="F51" s="71">
        <v>7018.799999999999</v>
      </c>
      <c r="G51" s="71">
        <v>3990.9600000000005</v>
      </c>
      <c r="H51" s="72">
        <f t="shared" si="0"/>
      </c>
      <c r="I51" s="72">
        <f t="shared" si="2"/>
      </c>
      <c r="J51" s="72">
        <f t="shared" si="1"/>
      </c>
      <c r="K51" s="71">
        <v>1</v>
      </c>
      <c r="L51" s="74">
        <v>763.2</v>
      </c>
      <c r="M51" s="71"/>
      <c r="N51" s="71"/>
      <c r="O51" s="75"/>
      <c r="P51" s="70"/>
    </row>
    <row hidden="true" r="52">
      <c r="A52" s="77" t="s">
        <v>216</v>
      </c>
      <c r="B52" s="78"/>
      <c r="C52" s="78"/>
      <c r="D52" s="79">
        <f>SUM(D47:D51)</f>
      </c>
      <c r="E52" s="79">
        <f>SUM(E47:E51)</f>
      </c>
      <c r="F52" s="79">
        <f>SUM(F47:F51)</f>
      </c>
      <c r="G52" s="79">
        <f>SUM(G47:G51)</f>
      </c>
      <c r="H52" s="80">
        <f t="shared" si="0"/>
      </c>
      <c r="I52" s="80">
        <f t="shared" si="2"/>
      </c>
      <c r="J52" s="80">
        <f t="shared" si="1"/>
      </c>
      <c r="K52" s="79">
        <f>SUM(K47:K51)</f>
      </c>
      <c r="L52" s="79">
        <f>SUM(L47:L51)</f>
      </c>
      <c r="M52" s="81"/>
      <c r="N52" s="79">
        <f>SUM(N47:N51)</f>
      </c>
      <c r="O52" s="81"/>
      <c r="P52" s="79">
        <f>SUM(P47:P51)</f>
      </c>
    </row>
    <row hidden="true" r="53">
      <c r="A53" s="82" t="s">
        <v>217</v>
      </c>
      <c r="B53" s="70" t="s">
        <v>187</v>
      </c>
      <c r="C53" s="71" t="s">
        <v>218</v>
      </c>
      <c r="D53" s="71">
        <v>4</v>
      </c>
      <c r="E53" s="71">
        <v>4</v>
      </c>
      <c r="F53" s="71">
        <v>8673.6</v>
      </c>
      <c r="G53" s="71">
        <v>3423.7799999999997</v>
      </c>
      <c r="H53" s="72">
        <f t="shared" si="0"/>
      </c>
      <c r="I53" s="72">
        <f t="shared" si="2"/>
      </c>
      <c r="J53" s="72">
        <f t="shared" si="1"/>
      </c>
      <c r="K53" s="71">
        <v>2</v>
      </c>
      <c r="L53" s="71">
        <v>5318.4</v>
      </c>
      <c r="M53" s="73" t="s">
        <v>189</v>
      </c>
      <c r="N53" s="73">
        <v>10</v>
      </c>
      <c r="O53" s="70" t="s">
        <v>190</v>
      </c>
      <c r="P53" s="70">
        <v>10</v>
      </c>
    </row>
    <row hidden="true" r="54">
      <c r="A54" s="82" t="s">
        <v>217</v>
      </c>
      <c r="B54" s="70" t="s">
        <v>193</v>
      </c>
      <c r="C54" s="71" t="s">
        <v>219</v>
      </c>
      <c r="D54" s="71">
        <v>4</v>
      </c>
      <c r="E54" s="71">
        <v>11</v>
      </c>
      <c r="F54" s="71">
        <v>12835.199999999999</v>
      </c>
      <c r="G54" s="71">
        <v>6300.52</v>
      </c>
      <c r="H54" s="72">
        <f t="shared" si="0"/>
      </c>
      <c r="I54" s="72">
        <f t="shared" si="2"/>
      </c>
      <c r="J54" s="72">
        <f t="shared" si="1"/>
      </c>
      <c r="K54" s="71">
        <v>6</v>
      </c>
      <c r="L54" s="74">
        <v>7576.8</v>
      </c>
      <c r="M54" s="73"/>
      <c r="N54" s="73"/>
      <c r="O54" s="75"/>
      <c r="P54" s="70"/>
    </row>
    <row hidden="true" r="55">
      <c r="A55" s="82" t="s">
        <v>217</v>
      </c>
      <c r="B55" s="70" t="s">
        <v>203</v>
      </c>
      <c r="C55" s="71" t="s">
        <v>220</v>
      </c>
      <c r="D55" s="71">
        <v>4</v>
      </c>
      <c r="E55" s="71">
        <v>4</v>
      </c>
      <c r="F55" s="71">
        <v>4688.4000000000015</v>
      </c>
      <c r="G55" s="71">
        <v>5966.7300000000005</v>
      </c>
      <c r="H55" s="72">
        <f t="shared" si="0"/>
      </c>
      <c r="I55" s="72">
        <f t="shared" si="2"/>
      </c>
      <c r="J55" s="72">
        <f t="shared" si="1"/>
      </c>
      <c r="K55" s="71">
        <v>1</v>
      </c>
      <c r="L55" s="74">
        <v>420</v>
      </c>
      <c r="M55" s="71" t="s">
        <v>195</v>
      </c>
      <c r="N55" s="71">
        <v>10</v>
      </c>
      <c r="O55" s="75" t="s">
        <v>196</v>
      </c>
      <c r="P55" s="70">
        <v>10</v>
      </c>
    </row>
    <row hidden="true" r="56">
      <c r="A56" s="82" t="s">
        <v>217</v>
      </c>
      <c r="B56" s="70" t="s">
        <v>197</v>
      </c>
      <c r="C56" s="71" t="s">
        <v>205</v>
      </c>
      <c r="D56" s="71">
        <v>4</v>
      </c>
      <c r="E56" s="71">
        <v>3</v>
      </c>
      <c r="F56" s="71">
        <v>4874.399999999998</v>
      </c>
      <c r="G56" s="71">
        <v>4847.75</v>
      </c>
      <c r="H56" s="72">
        <f t="shared" si="0"/>
      </c>
      <c r="I56" s="72">
        <f t="shared" si="2"/>
      </c>
      <c r="J56" s="72">
        <f t="shared" si="1"/>
      </c>
      <c r="K56" s="71">
        <v>0</v>
      </c>
      <c r="L56" s="74">
        <v>0</v>
      </c>
      <c r="M56" s="71"/>
      <c r="N56" s="71"/>
      <c r="O56" s="75"/>
      <c r="P56" s="70"/>
    </row>
    <row hidden="true" r="57">
      <c r="A57" s="82" t="s">
        <v>217</v>
      </c>
      <c r="B57" s="70" t="s">
        <v>215</v>
      </c>
      <c r="C57" s="71" t="s">
        <v>206</v>
      </c>
      <c r="D57" s="71">
        <v>4</v>
      </c>
      <c r="E57" s="71">
        <v>8</v>
      </c>
      <c r="F57" s="71">
        <v>8520</v>
      </c>
      <c r="G57" s="71">
        <v>5050.96</v>
      </c>
      <c r="H57" s="72">
        <f t="shared" si="0"/>
      </c>
      <c r="I57" s="72">
        <f t="shared" si="2"/>
      </c>
      <c r="J57" s="72">
        <f t="shared" si="1"/>
      </c>
      <c r="K57" s="71">
        <v>0</v>
      </c>
      <c r="L57" s="74">
        <v>0</v>
      </c>
      <c r="M57" s="71"/>
      <c r="N57" s="71"/>
      <c r="O57" s="75"/>
      <c r="P57" s="70"/>
    </row>
    <row hidden="true" r="58">
      <c r="A58" s="77" t="s">
        <v>217</v>
      </c>
      <c r="B58" s="78"/>
      <c r="C58" s="78"/>
      <c r="D58" s="79">
        <f>SUM(D53:D57)</f>
      </c>
      <c r="E58" s="79">
        <f>SUM(E53:E57)</f>
      </c>
      <c r="F58" s="79">
        <f>SUM(F53:F57)</f>
      </c>
      <c r="G58" s="79">
        <f>SUM(G53:G57)</f>
      </c>
      <c r="H58" s="80">
        <f t="shared" si="0"/>
      </c>
      <c r="I58" s="80">
        <f t="shared" si="2"/>
      </c>
      <c r="J58" s="80">
        <f t="shared" si="1"/>
      </c>
      <c r="K58" s="79">
        <f>SUM(K53:K57)</f>
      </c>
      <c r="L58" s="79">
        <f>SUM(L53:L57)</f>
      </c>
      <c r="M58" s="81"/>
      <c r="N58" s="79">
        <f>SUM(N53:N57)</f>
      </c>
      <c r="O58" s="81"/>
      <c r="P58" s="79">
        <f>SUM(P53:P57)</f>
      </c>
    </row>
    <row hidden="true" r="59">
      <c r="A59" s="82" t="s">
        <v>221</v>
      </c>
      <c r="B59" s="70" t="s">
        <v>187</v>
      </c>
      <c r="C59" s="71" t="s">
        <v>218</v>
      </c>
      <c r="D59" s="71">
        <v>4</v>
      </c>
      <c r="E59" s="71">
        <v>2</v>
      </c>
      <c r="F59" s="71">
        <v>4574.4</v>
      </c>
      <c r="G59" s="71">
        <v>2673.65</v>
      </c>
      <c r="H59" s="72">
        <f t="shared" si="0"/>
      </c>
      <c r="I59" s="72">
        <f t="shared" si="2"/>
      </c>
      <c r="J59" s="72">
        <f t="shared" si="1"/>
      </c>
      <c r="K59" s="71">
        <v>1</v>
      </c>
      <c r="L59" s="71">
        <v>1663.2</v>
      </c>
      <c r="M59" s="73" t="s">
        <v>189</v>
      </c>
      <c r="N59" s="73">
        <v>8</v>
      </c>
      <c r="O59" s="70" t="s">
        <v>190</v>
      </c>
      <c r="P59" s="70">
        <v>10</v>
      </c>
    </row>
    <row hidden="true" r="60">
      <c r="A60" s="82" t="s">
        <v>221</v>
      </c>
      <c r="B60" s="70" t="s">
        <v>215</v>
      </c>
      <c r="C60" s="71" t="s">
        <v>219</v>
      </c>
      <c r="D60" s="71">
        <v>4</v>
      </c>
      <c r="E60" s="71">
        <v>2</v>
      </c>
      <c r="F60" s="71">
        <v>3432</v>
      </c>
      <c r="G60" s="71">
        <v>3607.56</v>
      </c>
      <c r="H60" s="72">
        <f t="shared" si="0"/>
      </c>
      <c r="I60" s="72">
        <f t="shared" si="2"/>
      </c>
      <c r="J60" s="72">
        <f t="shared" si="1"/>
      </c>
      <c r="K60" s="71">
        <v>0</v>
      </c>
      <c r="L60" s="74">
        <v>0</v>
      </c>
      <c r="M60" s="73" t="s">
        <v>222</v>
      </c>
      <c r="N60" s="73">
        <v>5</v>
      </c>
      <c r="O60" s="75"/>
      <c r="P60" s="70"/>
    </row>
    <row hidden="true" r="61">
      <c r="A61" s="82" t="s">
        <v>221</v>
      </c>
      <c r="B61" s="70" t="s">
        <v>203</v>
      </c>
      <c r="C61" s="71" t="s">
        <v>220</v>
      </c>
      <c r="D61" s="71">
        <v>4</v>
      </c>
      <c r="E61" s="71">
        <v>4</v>
      </c>
      <c r="F61" s="71">
        <v>6391.200000000001</v>
      </c>
      <c r="G61" s="71">
        <v>2824.9400000000005</v>
      </c>
      <c r="H61" s="72">
        <f t="shared" si="0"/>
      </c>
      <c r="I61" s="72">
        <f t="shared" si="2"/>
      </c>
      <c r="J61" s="72">
        <f t="shared" si="1"/>
      </c>
      <c r="K61" s="71">
        <v>0</v>
      </c>
      <c r="L61" s="74">
        <v>0</v>
      </c>
      <c r="M61" s="71" t="s">
        <v>223</v>
      </c>
      <c r="N61" s="71">
        <v>5</v>
      </c>
      <c r="O61" s="75" t="s">
        <v>196</v>
      </c>
      <c r="P61" s="70">
        <v>10</v>
      </c>
    </row>
    <row hidden="true" r="62">
      <c r="A62" s="82" t="s">
        <v>221</v>
      </c>
      <c r="B62" s="70" t="s">
        <v>193</v>
      </c>
      <c r="C62" s="71" t="s">
        <v>205</v>
      </c>
      <c r="D62" s="71">
        <v>4</v>
      </c>
      <c r="E62" s="71">
        <v>12</v>
      </c>
      <c r="F62" s="71">
        <v>6568.4</v>
      </c>
      <c r="G62" s="71">
        <v>3167.54</v>
      </c>
      <c r="H62" s="72">
        <f t="shared" si="0"/>
      </c>
      <c r="I62" s="72">
        <f t="shared" si="2"/>
      </c>
      <c r="J62" s="72">
        <f t="shared" si="1"/>
      </c>
      <c r="K62" s="71">
        <v>1</v>
      </c>
      <c r="L62" s="74">
        <v>797.9999999999998</v>
      </c>
      <c r="M62" s="71" t="s">
        <v>195</v>
      </c>
      <c r="N62" s="71">
        <v>2</v>
      </c>
      <c r="O62" s="75"/>
      <c r="P62" s="70"/>
    </row>
    <row hidden="true" r="63">
      <c r="A63" s="82" t="s">
        <v>221</v>
      </c>
      <c r="B63" s="70" t="s">
        <v>191</v>
      </c>
      <c r="C63" s="71" t="s">
        <v>206</v>
      </c>
      <c r="D63" s="71">
        <v>4</v>
      </c>
      <c r="E63" s="71">
        <v>1</v>
      </c>
      <c r="F63" s="71">
        <v>576</v>
      </c>
      <c r="G63" s="71">
        <v>2493.25</v>
      </c>
      <c r="H63" s="72">
        <f t="shared" si="0"/>
      </c>
      <c r="I63" s="72">
        <f t="shared" si="2"/>
      </c>
      <c r="J63" s="72">
        <f t="shared" si="1"/>
      </c>
      <c r="K63" s="71">
        <v>0</v>
      </c>
      <c r="L63" s="74">
        <v>0</v>
      </c>
      <c r="M63" s="71"/>
      <c r="N63" s="71"/>
      <c r="O63" s="75"/>
      <c r="P63" s="70"/>
    </row>
    <row hidden="true" r="64">
      <c r="A64" s="77" t="s">
        <v>221</v>
      </c>
      <c r="B64" s="78"/>
      <c r="C64" s="78"/>
      <c r="D64" s="79">
        <f>SUM(D59:D63)</f>
      </c>
      <c r="E64" s="79">
        <f>SUM(E59:E63)</f>
      </c>
      <c r="F64" s="79">
        <f>SUM(F59:F63)</f>
      </c>
      <c r="G64" s="79">
        <f>SUM(G59:G63)</f>
      </c>
      <c r="H64" s="80">
        <f t="shared" si="0"/>
      </c>
      <c r="I64" s="80">
        <f t="shared" si="2"/>
      </c>
      <c r="J64" s="80">
        <f t="shared" si="1"/>
      </c>
      <c r="K64" s="79">
        <f>SUM(K59:K63)</f>
      </c>
      <c r="L64" s="79">
        <f>SUM(L59:L63)</f>
      </c>
      <c r="M64" s="81"/>
      <c r="N64" s="79">
        <f>SUM(N59:N63)</f>
      </c>
      <c r="O64" s="81"/>
      <c r="P64" s="79">
        <f>SUM(P59:P63)</f>
      </c>
    </row>
    <row hidden="true" r="65">
      <c r="A65" s="82" t="s">
        <v>224</v>
      </c>
      <c r="B65" s="70" t="s">
        <v>187</v>
      </c>
      <c r="C65" s="71" t="s">
        <v>218</v>
      </c>
      <c r="D65" s="71">
        <v>4</v>
      </c>
      <c r="E65" s="71">
        <v>3</v>
      </c>
      <c r="F65" s="71">
        <v>4120.8</v>
      </c>
      <c r="G65" s="71">
        <v>2642.42</v>
      </c>
      <c r="H65" s="72">
        <f t="shared" si="0"/>
      </c>
      <c r="I65" s="72">
        <f t="shared" si="2"/>
      </c>
      <c r="J65" s="72">
        <f t="shared" si="1"/>
      </c>
      <c r="K65" s="71">
        <v>1</v>
      </c>
      <c r="L65" s="71">
        <v>2592</v>
      </c>
      <c r="M65" s="73" t="s">
        <v>189</v>
      </c>
      <c r="N65" s="73">
        <v>8</v>
      </c>
      <c r="O65" s="70" t="s">
        <v>190</v>
      </c>
      <c r="P65" s="70">
        <v>10</v>
      </c>
    </row>
    <row hidden="true" r="66">
      <c r="A66" s="82" t="s">
        <v>224</v>
      </c>
      <c r="B66" s="70" t="s">
        <v>197</v>
      </c>
      <c r="C66" s="71" t="s">
        <v>219</v>
      </c>
      <c r="D66" s="71">
        <v>4</v>
      </c>
      <c r="E66" s="71">
        <v>3</v>
      </c>
      <c r="F66" s="71">
        <v>6825.599999999999</v>
      </c>
      <c r="G66" s="71">
        <v>1830.33</v>
      </c>
      <c r="H66" s="72">
        <f t="shared" si="0"/>
      </c>
      <c r="I66" s="72">
        <f t="shared" si="2"/>
      </c>
      <c r="J66" s="72">
        <f t="shared" si="1"/>
      </c>
      <c r="K66" s="71">
        <v>0</v>
      </c>
      <c r="L66" s="74">
        <v>0</v>
      </c>
      <c r="M66" s="73" t="s">
        <v>222</v>
      </c>
      <c r="N66" s="73">
        <v>10</v>
      </c>
      <c r="O66" s="75"/>
      <c r="P66" s="70"/>
    </row>
    <row hidden="true" r="67">
      <c r="A67" s="82" t="s">
        <v>224</v>
      </c>
      <c r="B67" s="70" t="s">
        <v>203</v>
      </c>
      <c r="C67" s="71" t="s">
        <v>220</v>
      </c>
      <c r="D67" s="71">
        <v>4</v>
      </c>
      <c r="E67" s="71">
        <v>1</v>
      </c>
      <c r="F67" s="71">
        <v>2407.2000000000007</v>
      </c>
      <c r="G67" s="71">
        <v>2749.25</v>
      </c>
      <c r="H67" s="72">
        <f t="shared" si="0"/>
      </c>
      <c r="I67" s="72">
        <f t="shared" si="2"/>
      </c>
      <c r="J67" s="72">
        <f t="shared" si="1"/>
      </c>
      <c r="K67" s="71">
        <v>0</v>
      </c>
      <c r="L67" s="74">
        <v>0</v>
      </c>
      <c r="M67" s="71"/>
      <c r="N67" s="71"/>
      <c r="O67" s="75" t="s">
        <v>196</v>
      </c>
      <c r="P67" s="71">
        <v>8</v>
      </c>
    </row>
    <row hidden="true" r="68">
      <c r="A68" s="82" t="s">
        <v>224</v>
      </c>
      <c r="B68" s="70" t="s">
        <v>213</v>
      </c>
      <c r="C68" s="71" t="s">
        <v>205</v>
      </c>
      <c r="D68" s="71">
        <v>4</v>
      </c>
      <c r="E68" s="71">
        <v>2</v>
      </c>
      <c r="F68" s="71">
        <v>804</v>
      </c>
      <c r="G68" s="71">
        <v>1747.4099999999999</v>
      </c>
      <c r="H68" s="72">
        <f t="shared" si="0"/>
      </c>
      <c r="I68" s="72">
        <f t="shared" si="2"/>
      </c>
      <c r="J68" s="72">
        <f t="shared" si="1"/>
      </c>
      <c r="K68" s="71">
        <v>0</v>
      </c>
      <c r="L68" s="74">
        <v>0</v>
      </c>
      <c r="M68" s="71"/>
      <c r="N68" s="71"/>
      <c r="O68" s="75"/>
      <c r="P68" s="70"/>
    </row>
    <row hidden="true" r="69">
      <c r="A69" s="82" t="s">
        <v>224</v>
      </c>
      <c r="B69" s="70" t="s">
        <v>191</v>
      </c>
      <c r="C69" s="71" t="s">
        <v>225</v>
      </c>
      <c r="D69" s="71">
        <v>2</v>
      </c>
      <c r="E69" s="71">
        <v>3</v>
      </c>
      <c r="F69" s="71">
        <v>7725.6</v>
      </c>
      <c r="G69" s="71">
        <v>1895.36</v>
      </c>
      <c r="H69" s="72">
        <f t="shared" si="0"/>
      </c>
      <c r="I69" s="72">
        <f t="shared" si="2"/>
      </c>
      <c r="J69" s="72">
        <f t="shared" si="1"/>
      </c>
      <c r="K69" s="71">
        <v>1</v>
      </c>
      <c r="L69" s="74">
        <v>2407.2</v>
      </c>
      <c r="M69" s="71"/>
      <c r="N69" s="71"/>
      <c r="O69" s="75"/>
      <c r="P69" s="70"/>
    </row>
    <row hidden="true" r="70">
      <c r="A70" s="77" t="s">
        <v>224</v>
      </c>
      <c r="B70" s="78"/>
      <c r="C70" s="78"/>
      <c r="D70" s="79">
        <f>SUM(D65:D69)</f>
      </c>
      <c r="E70" s="79">
        <f>SUM(E65:E69)</f>
      </c>
      <c r="F70" s="79">
        <f>SUM(F65:F69)</f>
      </c>
      <c r="G70" s="79">
        <f>SUM(G65:G69)</f>
      </c>
      <c r="H70" s="80">
        <f t="shared" si="0"/>
      </c>
      <c r="I70" s="80">
        <f t="shared" si="2"/>
      </c>
      <c r="J70" s="80">
        <f t="shared" si="1"/>
      </c>
      <c r="K70" s="79">
        <f>SUM(K65:K69)</f>
      </c>
      <c r="L70" s="79"/>
      <c r="M70" s="81"/>
      <c r="N70" s="79">
        <f>SUM(N65:N69)</f>
      </c>
      <c r="O70" s="81"/>
      <c r="P70" s="79">
        <f>SUM(P65:P69)</f>
      </c>
    </row>
    <row hidden="true" r="71">
      <c r="A71" s="82" t="s">
        <v>226</v>
      </c>
      <c r="B71" s="70" t="s">
        <v>187</v>
      </c>
      <c r="C71" s="71" t="s">
        <v>188</v>
      </c>
      <c r="D71" s="71">
        <v>5</v>
      </c>
      <c r="E71" s="71">
        <v>3</v>
      </c>
      <c r="F71" s="71">
        <v>5294.4</v>
      </c>
      <c r="G71" s="71">
        <v>3288.330000000001</v>
      </c>
      <c r="H71" s="72">
        <f t="shared" si="0"/>
      </c>
      <c r="I71" s="72">
        <f t="shared" si="2"/>
      </c>
      <c r="J71" s="72">
        <f t="shared" si="1"/>
      </c>
      <c r="K71" s="71">
        <v>2</v>
      </c>
      <c r="L71" s="71">
        <v>2383.2</v>
      </c>
      <c r="M71" s="73" t="s">
        <v>227</v>
      </c>
      <c r="N71" s="73">
        <v>10</v>
      </c>
      <c r="O71" s="70" t="s">
        <v>190</v>
      </c>
      <c r="P71" s="70">
        <v>10</v>
      </c>
    </row>
    <row hidden="true" r="72">
      <c r="A72" s="82" t="s">
        <v>226</v>
      </c>
      <c r="B72" s="70" t="s">
        <v>197</v>
      </c>
      <c r="C72" s="71" t="s">
        <v>192</v>
      </c>
      <c r="D72" s="70">
        <v>5</v>
      </c>
      <c r="E72" s="71">
        <v>6</v>
      </c>
      <c r="F72" s="71">
        <v>8734.800000000001</v>
      </c>
      <c r="G72" s="71">
        <v>6668.65</v>
      </c>
      <c r="H72" s="72">
        <f t="shared" si="0"/>
      </c>
      <c r="I72" s="72">
        <f t="shared" si="2"/>
      </c>
      <c r="J72" s="72">
        <f t="shared" si="1"/>
      </c>
      <c r="K72" s="71">
        <v>0</v>
      </c>
      <c r="L72" s="74">
        <v>0</v>
      </c>
      <c r="M72" s="73"/>
      <c r="N72" s="73"/>
      <c r="O72" s="75"/>
      <c r="P72" s="70"/>
    </row>
    <row hidden="true" r="73">
      <c r="A73" s="82" t="s">
        <v>226</v>
      </c>
      <c r="B73" s="76" t="s">
        <v>215</v>
      </c>
      <c r="C73" s="71" t="s">
        <v>194</v>
      </c>
      <c r="D73" s="70">
        <v>5</v>
      </c>
      <c r="E73" s="71">
        <v>7</v>
      </c>
      <c r="F73" s="71">
        <v>3880.7999999999993</v>
      </c>
      <c r="G73" s="71">
        <v>4099.37</v>
      </c>
      <c r="H73" s="72">
        <f t="shared" si="0"/>
      </c>
      <c r="I73" s="72">
        <f t="shared" si="2"/>
      </c>
      <c r="J73" s="72">
        <f t="shared" si="1"/>
      </c>
      <c r="K73" s="71">
        <v>1</v>
      </c>
      <c r="L73" s="74">
        <v>360</v>
      </c>
      <c r="M73" s="71" t="s">
        <v>228</v>
      </c>
      <c r="N73" s="71">
        <v>10</v>
      </c>
      <c r="O73" s="75" t="s">
        <v>196</v>
      </c>
      <c r="P73" s="70">
        <v>10</v>
      </c>
    </row>
    <row hidden="true" r="74">
      <c r="A74" s="82" t="s">
        <v>226</v>
      </c>
      <c r="B74" s="76" t="s">
        <v>191</v>
      </c>
      <c r="C74" s="71" t="s">
        <v>201</v>
      </c>
      <c r="D74" s="70">
        <v>5</v>
      </c>
      <c r="E74" s="71">
        <v>8</v>
      </c>
      <c r="F74" s="71">
        <v>10530</v>
      </c>
      <c r="G74" s="71">
        <v>7518.67</v>
      </c>
      <c r="H74" s="72">
        <f t="shared" si="0"/>
      </c>
      <c r="I74" s="72">
        <f t="shared" si="2"/>
      </c>
      <c r="J74" s="72">
        <f t="shared" si="1"/>
      </c>
      <c r="K74" s="71">
        <v>2</v>
      </c>
      <c r="L74" s="74">
        <v>1606.8</v>
      </c>
      <c r="M74" s="71"/>
      <c r="N74" s="71"/>
      <c r="O74" s="75"/>
      <c r="P74" s="70"/>
    </row>
    <row hidden="true" r="75">
      <c r="A75" s="77" t="s">
        <v>226</v>
      </c>
      <c r="B75" s="78"/>
      <c r="C75" s="78"/>
      <c r="D75" s="79">
        <f>SUM(D71:D74)</f>
      </c>
      <c r="E75" s="79">
        <f>SUM(E71:E74)</f>
      </c>
      <c r="F75" s="79">
        <f>SUM(F71:F74)</f>
      </c>
      <c r="G75" s="79">
        <f>SUM(G71:G74)</f>
      </c>
      <c r="H75" s="80">
        <f t="shared" si="0"/>
      </c>
      <c r="I75" s="80">
        <f t="shared" si="2"/>
      </c>
      <c r="J75" s="80">
        <f t="shared" si="1"/>
      </c>
      <c r="K75" s="79">
        <f>SUM(K71:K74)</f>
      </c>
      <c r="L75" s="79">
        <f>SUM(L71:L74)</f>
      </c>
      <c r="M75" s="81"/>
      <c r="N75" s="79">
        <f>SUM(N71:N74)</f>
      </c>
      <c r="O75" s="81"/>
      <c r="P75" s="79">
        <f>SUM(P71:P74)</f>
      </c>
    </row>
    <row hidden="true" r="76">
      <c r="A76" s="82" t="s">
        <v>229</v>
      </c>
      <c r="B76" s="70" t="s">
        <v>187</v>
      </c>
      <c r="C76" s="71" t="s">
        <v>188</v>
      </c>
      <c r="D76" s="71">
        <v>5</v>
      </c>
      <c r="E76" s="71">
        <v>9</v>
      </c>
      <c r="F76" s="71">
        <v>8952</v>
      </c>
      <c r="G76" s="71">
        <v>8691.76</v>
      </c>
      <c r="H76" s="72">
        <f t="shared" si="0"/>
      </c>
      <c r="I76" s="72">
        <f t="shared" si="2"/>
      </c>
      <c r="J76" s="72">
        <f t="shared" si="1"/>
      </c>
      <c r="K76" s="71">
        <v>0</v>
      </c>
      <c r="L76" s="71">
        <v>0</v>
      </c>
      <c r="M76" s="73" t="s">
        <v>230</v>
      </c>
      <c r="N76" s="73">
        <v>10</v>
      </c>
      <c r="O76" s="70" t="s">
        <v>190</v>
      </c>
      <c r="P76" s="70">
        <v>10</v>
      </c>
    </row>
    <row hidden="true" r="77">
      <c r="A77" s="82" t="s">
        <v>229</v>
      </c>
      <c r="B77" s="70" t="s">
        <v>215</v>
      </c>
      <c r="C77" s="71" t="s">
        <v>192</v>
      </c>
      <c r="D77" s="70">
        <v>5</v>
      </c>
      <c r="E77" s="71">
        <v>2</v>
      </c>
      <c r="F77" s="71">
        <v>1197.6000000000004</v>
      </c>
      <c r="G77" s="71">
        <v>4274.4</v>
      </c>
      <c r="H77" s="72">
        <f t="shared" si="0"/>
      </c>
      <c r="I77" s="72">
        <f t="shared" si="2"/>
      </c>
      <c r="J77" s="72">
        <f t="shared" si="1"/>
      </c>
      <c r="K77" s="71">
        <v>1</v>
      </c>
      <c r="L77" s="74">
        <v>598.8</v>
      </c>
      <c r="M77" s="73"/>
      <c r="N77" s="73"/>
      <c r="O77" s="75"/>
      <c r="P77" s="70"/>
    </row>
    <row hidden="true" r="78">
      <c r="A78" s="82" t="s">
        <v>229</v>
      </c>
      <c r="B78" s="76" t="s">
        <v>191</v>
      </c>
      <c r="C78" s="71" t="s">
        <v>194</v>
      </c>
      <c r="D78" s="70">
        <v>5</v>
      </c>
      <c r="E78" s="71">
        <v>3</v>
      </c>
      <c r="F78" s="71">
        <v>4526.4</v>
      </c>
      <c r="G78" s="71">
        <v>3090.7500000000005</v>
      </c>
      <c r="H78" s="72">
        <f t="shared" si="0"/>
      </c>
      <c r="I78" s="72">
        <f t="shared" si="2"/>
      </c>
      <c r="J78" s="72">
        <f t="shared" si="1"/>
      </c>
      <c r="K78" s="71">
        <v>1</v>
      </c>
      <c r="L78" s="74">
        <v>2088</v>
      </c>
      <c r="M78" s="71" t="s">
        <v>228</v>
      </c>
      <c r="N78" s="71">
        <v>10</v>
      </c>
      <c r="O78" s="75" t="s">
        <v>196</v>
      </c>
      <c r="P78" s="70">
        <v>10</v>
      </c>
    </row>
    <row hidden="true" r="79">
      <c r="A79" s="82" t="s">
        <v>229</v>
      </c>
      <c r="B79" s="76" t="s">
        <v>193</v>
      </c>
      <c r="C79" s="71" t="s">
        <v>201</v>
      </c>
      <c r="D79" s="70">
        <v>5</v>
      </c>
      <c r="E79" s="71">
        <v>12</v>
      </c>
      <c r="F79" s="71">
        <v>8910.36</v>
      </c>
      <c r="G79" s="71">
        <v>4881.36</v>
      </c>
      <c r="H79" s="72">
        <f t="shared" si="0"/>
      </c>
      <c r="I79" s="72">
        <f t="shared" si="2"/>
      </c>
      <c r="J79" s="72">
        <f t="shared" si="1"/>
      </c>
      <c r="K79" s="71">
        <v>4</v>
      </c>
      <c r="L79" s="74">
        <v>3319.2</v>
      </c>
      <c r="M79" s="71"/>
      <c r="N79" s="71"/>
      <c r="O79" s="75"/>
      <c r="P79" s="70"/>
    </row>
    <row hidden="true" r="80">
      <c r="A80" s="77" t="s">
        <v>229</v>
      </c>
      <c r="B80" s="78"/>
      <c r="C80" s="78"/>
      <c r="D80" s="79">
        <f>SUM(D76:D79)</f>
      </c>
      <c r="E80" s="79">
        <f>SUM(E76:E79)</f>
      </c>
      <c r="F80" s="79">
        <f>SUM(F76:F79)</f>
      </c>
      <c r="G80" s="79">
        <f>SUM(G76:G79)</f>
      </c>
      <c r="H80" s="80">
        <f t="shared" si="0"/>
      </c>
      <c r="I80" s="80">
        <f t="shared" si="2"/>
      </c>
      <c r="J80" s="80">
        <f t="shared" si="1"/>
      </c>
      <c r="K80" s="79">
        <f>SUM(K76:K79)</f>
      </c>
      <c r="L80" s="79">
        <f>SUM(L76:L79)</f>
      </c>
      <c r="M80" s="81"/>
      <c r="N80" s="79">
        <f>SUM(N76:N79)</f>
      </c>
      <c r="O80" s="81"/>
      <c r="P80" s="79">
        <f>SUM(P76:P79)</f>
      </c>
    </row>
    <row hidden="true" r="81">
      <c r="A81" s="69" t="s">
        <v>231</v>
      </c>
      <c r="B81" s="70" t="s">
        <v>187</v>
      </c>
      <c r="C81" s="70" t="s">
        <v>188</v>
      </c>
      <c r="D81" s="70">
        <v>5</v>
      </c>
      <c r="E81" s="70">
        <v>13</v>
      </c>
      <c r="F81" s="70">
        <v>21656.4</v>
      </c>
      <c r="G81" s="70">
        <v>9399.27</v>
      </c>
      <c r="H81" s="72">
        <f t="shared" si="0"/>
      </c>
      <c r="I81" s="72">
        <f t="shared" si="2"/>
      </c>
      <c r="J81" s="72">
        <f t="shared" si="1"/>
      </c>
      <c r="K81" s="70">
        <v>0</v>
      </c>
      <c r="L81" s="70">
        <v>0</v>
      </c>
      <c r="M81" s="84" t="s">
        <v>230</v>
      </c>
      <c r="N81" s="84">
        <v>6</v>
      </c>
      <c r="O81" s="70" t="s">
        <v>190</v>
      </c>
      <c r="P81" s="70">
        <v>10</v>
      </c>
    </row>
    <row hidden="true" r="82">
      <c r="A82" s="69" t="s">
        <v>231</v>
      </c>
      <c r="B82" s="70" t="s">
        <v>197</v>
      </c>
      <c r="C82" s="70" t="s">
        <v>192</v>
      </c>
      <c r="D82" s="70">
        <v>5</v>
      </c>
      <c r="E82" s="70">
        <v>7</v>
      </c>
      <c r="F82" s="70">
        <v>12114.000000000002</v>
      </c>
      <c r="G82" s="70">
        <v>13760.789999999999</v>
      </c>
      <c r="H82" s="72">
        <f t="shared" si="0"/>
      </c>
      <c r="I82" s="72">
        <f t="shared" si="2"/>
      </c>
      <c r="J82" s="72">
        <f t="shared" si="1"/>
      </c>
      <c r="K82" s="70">
        <v>2</v>
      </c>
      <c r="L82" s="85">
        <v>3007.2</v>
      </c>
      <c r="M82" s="84" t="s">
        <v>232</v>
      </c>
      <c r="N82" s="84">
        <v>4</v>
      </c>
      <c r="O82" s="75"/>
      <c r="P82" s="70"/>
    </row>
    <row hidden="true" r="83">
      <c r="A83" s="69" t="s">
        <v>231</v>
      </c>
      <c r="B83" s="76" t="s">
        <v>191</v>
      </c>
      <c r="C83" s="70" t="s">
        <v>194</v>
      </c>
      <c r="D83" s="70">
        <v>5</v>
      </c>
      <c r="E83" s="70">
        <v>4</v>
      </c>
      <c r="F83" s="70">
        <v>6050.4000000000015</v>
      </c>
      <c r="G83" s="70">
        <v>4265.879999999999</v>
      </c>
      <c r="H83" s="72">
        <f t="shared" si="0"/>
      </c>
      <c r="I83" s="72">
        <f t="shared" si="2"/>
      </c>
      <c r="J83" s="72">
        <f t="shared" si="1"/>
      </c>
      <c r="K83" s="70">
        <v>0</v>
      </c>
      <c r="L83" s="85">
        <v>0</v>
      </c>
      <c r="M83" s="70" t="s">
        <v>228</v>
      </c>
      <c r="N83" s="70">
        <v>10</v>
      </c>
      <c r="O83" s="75" t="s">
        <v>196</v>
      </c>
      <c r="P83" s="70">
        <v>10</v>
      </c>
    </row>
    <row hidden="true" r="84">
      <c r="A84" s="69" t="s">
        <v>231</v>
      </c>
      <c r="B84" s="76" t="s">
        <v>193</v>
      </c>
      <c r="C84" s="70" t="s">
        <v>201</v>
      </c>
      <c r="D84" s="70">
        <v>5</v>
      </c>
      <c r="E84" s="70">
        <v>3</v>
      </c>
      <c r="F84" s="70">
        <v>3811.199999999997</v>
      </c>
      <c r="G84" s="71">
        <v>6089.07</v>
      </c>
      <c r="H84" s="72">
        <f t="shared" si="0"/>
      </c>
      <c r="I84" s="72">
        <f t="shared" si="2"/>
      </c>
      <c r="J84" s="72">
        <f t="shared" si="1"/>
      </c>
      <c r="K84" s="70">
        <v>0</v>
      </c>
      <c r="L84" s="85">
        <v>0</v>
      </c>
      <c r="M84" s="70"/>
      <c r="N84" s="70"/>
      <c r="O84" s="75"/>
      <c r="P84" s="70"/>
    </row>
    <row hidden="true" r="85">
      <c r="A85" s="86" t="s">
        <v>231</v>
      </c>
      <c r="B85" s="78"/>
      <c r="C85" s="78"/>
      <c r="D85" s="79">
        <f>SUM(D81:D84)</f>
      </c>
      <c r="E85" s="79">
        <f>SUM(E81:E84)</f>
      </c>
      <c r="F85" s="79">
        <f>SUM(F81:F84)</f>
      </c>
      <c r="G85" s="79">
        <f>SUM(G81:G84)</f>
      </c>
      <c r="H85" s="80">
        <f t="shared" si="0"/>
      </c>
      <c r="I85" s="80">
        <f t="shared" si="2"/>
      </c>
      <c r="J85" s="80">
        <f t="shared" si="1"/>
      </c>
      <c r="K85" s="79">
        <f>SUM(K81:K84)</f>
      </c>
      <c r="L85" s="79">
        <f>SUM(L81:L84)</f>
      </c>
      <c r="M85" s="81"/>
      <c r="N85" s="79">
        <f>SUM(N81:N84)</f>
      </c>
      <c r="O85" s="81"/>
      <c r="P85" s="79">
        <f>SUM(P81:P84)</f>
      </c>
    </row>
    <row hidden="true" r="86">
      <c r="A86" s="69" t="s">
        <v>233</v>
      </c>
      <c r="B86" s="70" t="s">
        <v>187</v>
      </c>
      <c r="C86" s="70" t="s">
        <v>188</v>
      </c>
      <c r="D86" s="70">
        <v>5</v>
      </c>
      <c r="E86" s="70">
        <v>7</v>
      </c>
      <c r="F86" s="70">
        <v>9686.4</v>
      </c>
      <c r="G86" s="70">
        <v>7827.09</v>
      </c>
      <c r="H86" s="72">
        <f t="shared" si="0"/>
      </c>
      <c r="I86" s="72">
        <f t="shared" si="2"/>
      </c>
      <c r="J86" s="72">
        <f t="shared" si="1"/>
      </c>
      <c r="K86" s="70">
        <v>1</v>
      </c>
      <c r="L86" s="87">
        <v>715.2</v>
      </c>
      <c r="M86" s="84" t="s">
        <v>232</v>
      </c>
      <c r="N86" s="84">
        <v>7</v>
      </c>
      <c r="O86" s="70" t="s">
        <v>190</v>
      </c>
      <c r="P86" s="70">
        <v>10</v>
      </c>
    </row>
    <row hidden="true" r="87">
      <c r="A87" s="69" t="s">
        <v>233</v>
      </c>
      <c r="B87" s="70" t="s">
        <v>197</v>
      </c>
      <c r="C87" s="70" t="s">
        <v>192</v>
      </c>
      <c r="D87" s="70">
        <v>5</v>
      </c>
      <c r="E87" s="70">
        <v>6</v>
      </c>
      <c r="F87" s="70">
        <v>6136.800000000001</v>
      </c>
      <c r="G87" s="70">
        <v>7067.869999999999</v>
      </c>
      <c r="H87" s="72">
        <f t="shared" si="0"/>
      </c>
      <c r="I87" s="72">
        <f t="shared" si="2"/>
      </c>
      <c r="J87" s="72">
        <f t="shared" si="1"/>
      </c>
      <c r="K87" s="70">
        <v>0</v>
      </c>
      <c r="L87" s="87">
        <v>0</v>
      </c>
      <c r="M87" s="84" t="s">
        <v>234</v>
      </c>
      <c r="N87" s="84">
        <v>3</v>
      </c>
      <c r="O87" s="75"/>
      <c r="P87" s="70"/>
    </row>
    <row hidden="true" r="88">
      <c r="A88" s="69" t="s">
        <v>233</v>
      </c>
      <c r="B88" s="76" t="s">
        <v>193</v>
      </c>
      <c r="C88" s="70" t="s">
        <v>194</v>
      </c>
      <c r="D88" s="70">
        <v>5</v>
      </c>
      <c r="E88" s="70">
        <v>7</v>
      </c>
      <c r="F88" s="70">
        <v>5665.25</v>
      </c>
      <c r="G88" s="70">
        <v>4520.98</v>
      </c>
      <c r="H88" s="72">
        <f t="shared" si="0"/>
      </c>
      <c r="I88" s="72">
        <f t="shared" si="2"/>
      </c>
      <c r="J88" s="72">
        <f t="shared" si="1"/>
      </c>
      <c r="K88" s="70">
        <v>0</v>
      </c>
      <c r="L88" s="85">
        <v>0</v>
      </c>
      <c r="M88" s="70" t="s">
        <v>228</v>
      </c>
      <c r="N88" s="70">
        <v>10</v>
      </c>
      <c r="O88" s="75" t="s">
        <v>196</v>
      </c>
      <c r="P88" s="70">
        <v>10</v>
      </c>
    </row>
    <row hidden="true" r="89">
      <c r="A89" s="69" t="s">
        <v>233</v>
      </c>
      <c r="B89" s="76" t="s">
        <v>215</v>
      </c>
      <c r="C89" s="70" t="s">
        <v>201</v>
      </c>
      <c r="D89" s="70">
        <v>5</v>
      </c>
      <c r="E89" s="71">
        <v>4</v>
      </c>
      <c r="F89" s="70">
        <v>2328</v>
      </c>
      <c r="G89" s="71">
        <v>5256.42</v>
      </c>
      <c r="H89" s="72">
        <f t="shared" si="0"/>
      </c>
      <c r="I89" s="72">
        <f t="shared" si="2"/>
      </c>
      <c r="J89" s="72">
        <f t="shared" si="1"/>
      </c>
      <c r="K89" s="70">
        <v>0</v>
      </c>
      <c r="L89" s="85">
        <v>0</v>
      </c>
      <c r="M89" s="70"/>
      <c r="N89" s="70"/>
      <c r="O89" s="75"/>
      <c r="P89" s="70"/>
    </row>
    <row hidden="true" r="90">
      <c r="A90" s="86" t="s">
        <v>233</v>
      </c>
      <c r="B90" s="78"/>
      <c r="C90" s="78"/>
      <c r="D90" s="79">
        <f>SUM(D86:D89)</f>
      </c>
      <c r="E90" s="79">
        <f>SUM(E86:E89)</f>
      </c>
      <c r="F90" s="79">
        <f>SUM(F86:F89)</f>
      </c>
      <c r="G90" s="79">
        <f>SUM(G86:G89)</f>
      </c>
      <c r="H90" s="80">
        <f t="shared" si="0"/>
      </c>
      <c r="I90" s="80">
        <f t="shared" si="2"/>
      </c>
      <c r="J90" s="80">
        <f t="shared" si="1"/>
      </c>
      <c r="K90" s="79">
        <f>SUM(K86:K89)</f>
      </c>
      <c r="L90" s="79">
        <f>SUM(L86:L89)</f>
      </c>
      <c r="M90" s="81"/>
      <c r="N90" s="79">
        <f>SUM(N86:N89)</f>
      </c>
      <c r="O90" s="81"/>
      <c r="P90" s="79">
        <f>SUM(P86:P89)</f>
      </c>
    </row>
    <row hidden="true" r="91">
      <c r="A91" s="69" t="s">
        <v>235</v>
      </c>
      <c r="B91" s="70" t="s">
        <v>197</v>
      </c>
      <c r="C91" s="70" t="s">
        <v>188</v>
      </c>
      <c r="D91" s="70">
        <v>5</v>
      </c>
      <c r="E91" s="70">
        <v>9</v>
      </c>
      <c r="F91" s="70">
        <v>10791.6</v>
      </c>
      <c r="G91" s="70">
        <v>6474.95</v>
      </c>
      <c r="H91" s="72">
        <f t="shared" si="0"/>
      </c>
      <c r="I91" s="72">
        <f t="shared" si="2"/>
      </c>
      <c r="J91" s="72">
        <f t="shared" si="1"/>
      </c>
      <c r="K91" s="71">
        <v>1</v>
      </c>
      <c r="L91" s="88">
        <v>2011.2</v>
      </c>
      <c r="M91" s="84" t="s">
        <v>232</v>
      </c>
      <c r="N91" s="84">
        <v>10</v>
      </c>
      <c r="O91" s="70" t="s">
        <v>190</v>
      </c>
      <c r="P91" s="70">
        <v>10</v>
      </c>
    </row>
    <row hidden="true" r="92">
      <c r="A92" s="69" t="s">
        <v>235</v>
      </c>
      <c r="B92" s="70" t="s">
        <v>191</v>
      </c>
      <c r="C92" s="70" t="s">
        <v>192</v>
      </c>
      <c r="D92" s="70">
        <v>5</v>
      </c>
      <c r="E92" s="71">
        <v>11</v>
      </c>
      <c r="F92" s="70">
        <v>17386.8</v>
      </c>
      <c r="G92" s="70">
        <v>9671.51</v>
      </c>
      <c r="H92" s="72">
        <f t="shared" si="0"/>
      </c>
      <c r="I92" s="72">
        <f t="shared" si="2"/>
      </c>
      <c r="J92" s="72">
        <f t="shared" si="1"/>
      </c>
      <c r="K92" s="71">
        <v>4</v>
      </c>
      <c r="L92" s="87">
        <v>5042.400000000001</v>
      </c>
      <c r="M92" s="84"/>
      <c r="N92" s="84"/>
      <c r="O92" s="75"/>
      <c r="P92" s="70"/>
    </row>
    <row hidden="true" r="93">
      <c r="A93" s="69" t="s">
        <v>235</v>
      </c>
      <c r="B93" s="76" t="s">
        <v>193</v>
      </c>
      <c r="C93" s="70" t="s">
        <v>194</v>
      </c>
      <c r="D93" s="70">
        <v>5</v>
      </c>
      <c r="E93" s="71">
        <v>6</v>
      </c>
      <c r="F93" s="70">
        <v>5997.5999999999985</v>
      </c>
      <c r="G93" s="70">
        <v>10568.49</v>
      </c>
      <c r="H93" s="72">
        <f t="shared" si="0"/>
      </c>
      <c r="I93" s="72">
        <f t="shared" si="2"/>
      </c>
      <c r="J93" s="72">
        <f t="shared" si="1"/>
      </c>
      <c r="K93" s="71">
        <v>1</v>
      </c>
      <c r="L93" s="85">
        <v>1140</v>
      </c>
      <c r="M93" s="70" t="s">
        <v>228</v>
      </c>
      <c r="N93" s="70">
        <v>10</v>
      </c>
      <c r="O93" s="75" t="s">
        <v>196</v>
      </c>
      <c r="P93" s="70">
        <v>10</v>
      </c>
    </row>
    <row hidden="true" r="94">
      <c r="A94" s="69" t="s">
        <v>235</v>
      </c>
      <c r="B94" s="76" t="s">
        <v>215</v>
      </c>
      <c r="C94" s="70" t="s">
        <v>201</v>
      </c>
      <c r="D94" s="70">
        <v>5</v>
      </c>
      <c r="E94" s="71">
        <v>17</v>
      </c>
      <c r="F94" s="70">
        <v>19522.800000000003</v>
      </c>
      <c r="G94" s="70">
        <v>10650.72</v>
      </c>
      <c r="H94" s="72">
        <f t="shared" si="0"/>
      </c>
      <c r="I94" s="72">
        <f t="shared" si="2"/>
      </c>
      <c r="J94" s="72">
        <f t="shared" si="1"/>
      </c>
      <c r="K94" s="71">
        <v>1</v>
      </c>
      <c r="L94" s="85">
        <v>444</v>
      </c>
      <c r="M94" s="70"/>
      <c r="N94" s="70"/>
      <c r="O94" s="75"/>
      <c r="P94" s="70"/>
    </row>
    <row hidden="true" r="95">
      <c r="A95" s="86" t="s">
        <v>235</v>
      </c>
      <c r="B95" s="78"/>
      <c r="C95" s="78"/>
      <c r="D95" s="79">
        <f>SUM(D91:D94)</f>
      </c>
      <c r="E95" s="79">
        <f>SUM(E91:E94)</f>
      </c>
      <c r="F95" s="79">
        <f>SUM(F91:F94)</f>
      </c>
      <c r="G95" s="79">
        <f>SUM(G91:G94)</f>
      </c>
      <c r="H95" s="80">
        <f t="shared" si="0"/>
      </c>
      <c r="I95" s="80">
        <f t="shared" si="2"/>
      </c>
      <c r="J95" s="80">
        <f t="shared" si="1"/>
      </c>
      <c r="K95" s="79">
        <f>SUM(K91:K94)</f>
      </c>
      <c r="L95" s="79">
        <f>SUM(L91:L94)</f>
      </c>
      <c r="M95" s="81"/>
      <c r="N95" s="79">
        <f>SUM(N91:N94)</f>
      </c>
      <c r="O95" s="81"/>
      <c r="P95" s="79">
        <f>SUM(P91:P94)</f>
      </c>
    </row>
    <row customHeight="true" hidden="true" ht="20.238095238095237" r="96">
      <c r="A96" s="82" t="s">
        <v>236</v>
      </c>
      <c r="B96" s="70" t="s">
        <v>197</v>
      </c>
      <c r="C96" s="70" t="s">
        <v>188</v>
      </c>
      <c r="D96" s="70">
        <v>5</v>
      </c>
      <c r="E96" s="71">
        <v>6</v>
      </c>
      <c r="F96" s="71">
        <v>6926.4</v>
      </c>
      <c r="G96" s="71">
        <v>6955.46</v>
      </c>
      <c r="H96" s="72">
        <f t="shared" si="0"/>
      </c>
      <c r="I96" s="72">
        <f t="shared" si="2"/>
      </c>
      <c r="J96" s="72">
        <f t="shared" si="1"/>
      </c>
      <c r="K96" s="71">
        <v>3</v>
      </c>
      <c r="L96" s="88">
        <v>2851.2</v>
      </c>
      <c r="M96" s="84" t="s">
        <v>232</v>
      </c>
      <c r="N96" s="84">
        <v>10</v>
      </c>
      <c r="O96" s="70" t="s">
        <v>190</v>
      </c>
      <c r="P96" s="70">
        <v>10</v>
      </c>
    </row>
    <row customHeight="true" hidden="true" ht="20.238095238095237" r="97">
      <c r="A97" s="82" t="s">
        <v>236</v>
      </c>
      <c r="B97" s="70" t="s">
        <v>237</v>
      </c>
      <c r="C97" s="70" t="s">
        <v>192</v>
      </c>
      <c r="D97" s="70">
        <v>5</v>
      </c>
      <c r="E97" s="71">
        <v>8</v>
      </c>
      <c r="F97" s="70">
        <v>12825.599999999999</v>
      </c>
      <c r="G97" s="70">
        <v>9340.82</v>
      </c>
      <c r="H97" s="72">
        <f t="shared" si="0"/>
      </c>
      <c r="I97" s="72">
        <f t="shared" si="2"/>
      </c>
      <c r="J97" s="72">
        <f t="shared" si="1"/>
      </c>
      <c r="K97" s="71">
        <v>3</v>
      </c>
      <c r="L97" s="87">
        <v>5404.800000000001</v>
      </c>
      <c r="M97" s="84"/>
      <c r="N97" s="84"/>
      <c r="O97" s="75"/>
      <c r="P97" s="70"/>
    </row>
    <row hidden="true" r="98">
      <c r="A98" s="82" t="s">
        <v>236</v>
      </c>
      <c r="B98" s="76" t="s">
        <v>193</v>
      </c>
      <c r="C98" s="70" t="s">
        <v>194</v>
      </c>
      <c r="D98" s="70">
        <v>5</v>
      </c>
      <c r="E98" s="71">
        <v>10</v>
      </c>
      <c r="F98" s="70">
        <v>10826.400000000001</v>
      </c>
      <c r="G98" s="70">
        <v>6132.1</v>
      </c>
      <c r="H98" s="72">
        <f t="shared" si="0"/>
      </c>
      <c r="I98" s="72">
        <f t="shared" si="2"/>
      </c>
      <c r="J98" s="72">
        <f t="shared" si="1"/>
      </c>
      <c r="K98" s="71">
        <v>5</v>
      </c>
      <c r="L98" s="85">
        <v>4948.8</v>
      </c>
      <c r="M98" s="70" t="s">
        <v>228</v>
      </c>
      <c r="N98" s="70">
        <v>10</v>
      </c>
      <c r="O98" s="75" t="s">
        <v>196</v>
      </c>
      <c r="P98" s="70">
        <v>10</v>
      </c>
    </row>
    <row hidden="true" r="99">
      <c r="A99" s="82" t="s">
        <v>236</v>
      </c>
      <c r="B99" s="76" t="s">
        <v>191</v>
      </c>
      <c r="C99" s="70" t="s">
        <v>201</v>
      </c>
      <c r="D99" s="70">
        <v>5</v>
      </c>
      <c r="E99" s="71">
        <v>10</v>
      </c>
      <c r="F99" s="70">
        <v>12976.799999999996</v>
      </c>
      <c r="G99" s="70">
        <v>11235.91</v>
      </c>
      <c r="H99" s="72">
        <f t="shared" si="0"/>
      </c>
      <c r="I99" s="72">
        <f t="shared" si="2"/>
      </c>
      <c r="J99" s="72">
        <f t="shared" si="1"/>
      </c>
      <c r="K99" s="71">
        <v>1</v>
      </c>
      <c r="L99" s="85">
        <v>1344</v>
      </c>
      <c r="M99" s="70"/>
      <c r="N99" s="70"/>
      <c r="O99" s="75"/>
      <c r="P99" s="70"/>
    </row>
    <row hidden="true" r="100">
      <c r="A100" s="77" t="s">
        <v>236</v>
      </c>
      <c r="B100" s="78"/>
      <c r="C100" s="78"/>
      <c r="D100" s="79">
        <f>SUM(D96:D99)</f>
      </c>
      <c r="E100" s="79">
        <f>SUM(E96:E99)</f>
      </c>
      <c r="F100" s="79">
        <f>SUM(F96:F99)</f>
      </c>
      <c r="G100" s="79">
        <f>SUM(G96:G99)</f>
      </c>
      <c r="H100" s="80">
        <f t="shared" si="0"/>
      </c>
      <c r="I100" s="80">
        <f t="shared" si="2"/>
      </c>
      <c r="J100" s="80">
        <f t="shared" si="1"/>
      </c>
      <c r="K100" s="79">
        <f>SUM(K96:K99)</f>
      </c>
      <c r="L100" s="79">
        <f>SUM(L96:L99)</f>
      </c>
      <c r="M100" s="81"/>
      <c r="N100" s="79">
        <f>SUM(N96:N99)</f>
      </c>
      <c r="O100" s="81"/>
      <c r="P100" s="79">
        <f>SUM(P96:P99)</f>
      </c>
    </row>
    <row hidden="true" r="101">
      <c r="A101" s="82" t="s">
        <v>238</v>
      </c>
      <c r="B101" s="70" t="s">
        <v>187</v>
      </c>
      <c r="C101" s="70" t="s">
        <v>188</v>
      </c>
      <c r="D101" s="70">
        <v>5</v>
      </c>
      <c r="E101" s="71">
        <v>7</v>
      </c>
      <c r="F101" s="71">
        <v>9450</v>
      </c>
      <c r="G101" s="71">
        <v>7734.9</v>
      </c>
      <c r="H101" s="72">
        <f t="shared" si="0"/>
      </c>
      <c r="I101" s="72">
        <f t="shared" si="2"/>
      </c>
      <c r="J101" s="72">
        <f t="shared" si="1"/>
      </c>
      <c r="K101" s="71">
        <v>2</v>
      </c>
      <c r="L101" s="88">
        <v>4574.4</v>
      </c>
      <c r="M101" s="73" t="s">
        <v>227</v>
      </c>
      <c r="N101" s="84">
        <v>10</v>
      </c>
      <c r="O101" s="70" t="s">
        <v>190</v>
      </c>
      <c r="P101" s="70">
        <v>10</v>
      </c>
    </row>
    <row hidden="true" r="102">
      <c r="A102" s="82" t="s">
        <v>238</v>
      </c>
      <c r="B102" s="76" t="s">
        <v>193</v>
      </c>
      <c r="C102" s="70" t="s">
        <v>192</v>
      </c>
      <c r="D102" s="70">
        <v>5</v>
      </c>
      <c r="E102" s="71">
        <v>2</v>
      </c>
      <c r="F102" s="70">
        <v>2313.6000000000004</v>
      </c>
      <c r="G102" s="70">
        <v>4839.12</v>
      </c>
      <c r="H102" s="72">
        <f t="shared" si="0"/>
      </c>
      <c r="I102" s="72">
        <f t="shared" si="2"/>
      </c>
      <c r="J102" s="72">
        <f t="shared" si="1"/>
      </c>
      <c r="K102" s="71">
        <v>0</v>
      </c>
      <c r="L102" s="88">
        <v>0</v>
      </c>
      <c r="M102" s="84"/>
      <c r="N102" s="84"/>
      <c r="O102" s="75"/>
      <c r="P102" s="70"/>
    </row>
    <row hidden="true" r="103">
      <c r="A103" s="82" t="s">
        <v>238</v>
      </c>
      <c r="B103" s="76" t="s">
        <v>191</v>
      </c>
      <c r="C103" s="70" t="s">
        <v>194</v>
      </c>
      <c r="D103" s="70">
        <v>5</v>
      </c>
      <c r="E103" s="71">
        <v>2</v>
      </c>
      <c r="F103" s="70">
        <v>1457.3999999999996</v>
      </c>
      <c r="G103" s="70">
        <v>3079.3599999999997</v>
      </c>
      <c r="H103" s="72">
        <f t="shared" si="0"/>
      </c>
      <c r="I103" s="72">
        <f t="shared" si="2"/>
      </c>
      <c r="J103" s="72">
        <f t="shared" si="1"/>
      </c>
      <c r="K103" s="71">
        <v>1</v>
      </c>
      <c r="L103" s="74">
        <v>1344</v>
      </c>
      <c r="M103" s="70" t="s">
        <v>228</v>
      </c>
      <c r="N103" s="70">
        <v>10</v>
      </c>
      <c r="O103" s="75" t="s">
        <v>196</v>
      </c>
      <c r="P103" s="70">
        <v>10</v>
      </c>
    </row>
    <row hidden="true" r="104">
      <c r="A104" s="82" t="s">
        <v>238</v>
      </c>
      <c r="B104" s="76" t="s">
        <v>197</v>
      </c>
      <c r="C104" s="70" t="s">
        <v>201</v>
      </c>
      <c r="D104" s="70">
        <v>5</v>
      </c>
      <c r="E104" s="71">
        <v>10</v>
      </c>
      <c r="F104" s="70">
        <v>10015.2</v>
      </c>
      <c r="G104" s="70">
        <v>6414.46</v>
      </c>
      <c r="H104" s="72">
        <f t="shared" si="0"/>
      </c>
      <c r="I104" s="72">
        <f t="shared" si="2"/>
      </c>
      <c r="J104" s="72">
        <f t="shared" si="1"/>
      </c>
      <c r="K104" s="71">
        <v>0</v>
      </c>
      <c r="L104" s="74">
        <v>0</v>
      </c>
      <c r="M104" s="70"/>
      <c r="N104" s="70"/>
      <c r="O104" s="75"/>
      <c r="P104" s="70"/>
    </row>
    <row hidden="true" r="105">
      <c r="A105" s="77" t="s">
        <v>238</v>
      </c>
      <c r="B105" s="78"/>
      <c r="C105" s="78"/>
      <c r="D105" s="79">
        <f>SUM(D101:D104)</f>
      </c>
      <c r="E105" s="79">
        <f>SUM(E101:E104)</f>
      </c>
      <c r="F105" s="79">
        <f>SUM(F101:F104)</f>
      </c>
      <c r="G105" s="79">
        <f>SUM(G101:G104)</f>
      </c>
      <c r="H105" s="80">
        <f t="shared" si="0"/>
      </c>
      <c r="I105" s="80">
        <f t="shared" si="2"/>
      </c>
      <c r="J105" s="80">
        <f t="shared" si="1"/>
      </c>
      <c r="K105" s="79">
        <f>SUM(K101:K104)</f>
      </c>
      <c r="L105" s="79">
        <f>SUM(L101:L104)</f>
      </c>
      <c r="M105" s="81"/>
      <c r="N105" s="79">
        <f>SUM(N101:N104)</f>
      </c>
      <c r="O105" s="81"/>
      <c r="P105" s="79">
        <f>SUM(P101:P104)</f>
      </c>
    </row>
    <row hidden="true" r="106">
      <c r="A106" s="82" t="s">
        <v>239</v>
      </c>
      <c r="B106" s="70" t="s">
        <v>187</v>
      </c>
      <c r="C106" s="70" t="s">
        <v>188</v>
      </c>
      <c r="D106" s="70">
        <v>5</v>
      </c>
      <c r="E106" s="71">
        <v>3</v>
      </c>
      <c r="F106" s="71">
        <v>3698.4</v>
      </c>
      <c r="G106" s="71">
        <v>6866.29</v>
      </c>
      <c r="H106" s="72">
        <f t="shared" si="0"/>
      </c>
      <c r="I106" s="72">
        <f t="shared" si="2"/>
      </c>
      <c r="J106" s="72">
        <f t="shared" si="1"/>
      </c>
      <c r="K106" s="71">
        <v>1</v>
      </c>
      <c r="L106" s="88">
        <v>715.2</v>
      </c>
      <c r="M106" s="73" t="s">
        <v>232</v>
      </c>
      <c r="N106" s="84">
        <v>10</v>
      </c>
      <c r="O106" s="70" t="s">
        <v>190</v>
      </c>
      <c r="P106" s="70">
        <v>10</v>
      </c>
    </row>
    <row hidden="true" r="107">
      <c r="A107" s="82" t="s">
        <v>239</v>
      </c>
      <c r="B107" s="76" t="s">
        <v>197</v>
      </c>
      <c r="C107" s="70" t="s">
        <v>192</v>
      </c>
      <c r="D107" s="70">
        <v>5</v>
      </c>
      <c r="E107" s="71">
        <v>9</v>
      </c>
      <c r="F107" s="70">
        <v>16132.400000000001</v>
      </c>
      <c r="G107" s="70">
        <v>10274.89</v>
      </c>
      <c r="H107" s="72">
        <f t="shared" si="0"/>
      </c>
      <c r="I107" s="72">
        <f t="shared" si="2"/>
      </c>
      <c r="J107" s="72">
        <f t="shared" si="1"/>
      </c>
      <c r="K107" s="71">
        <v>4</v>
      </c>
      <c r="L107" s="88">
        <v>3422.4000000000005</v>
      </c>
      <c r="M107" s="84"/>
      <c r="N107" s="84"/>
      <c r="O107" s="75"/>
      <c r="P107" s="70"/>
    </row>
    <row hidden="true" r="108">
      <c r="A108" s="82" t="s">
        <v>239</v>
      </c>
      <c r="B108" s="76" t="s">
        <v>193</v>
      </c>
      <c r="C108" s="70" t="s">
        <v>194</v>
      </c>
      <c r="D108" s="70">
        <v>5</v>
      </c>
      <c r="E108" s="71">
        <v>14</v>
      </c>
      <c r="F108" s="70">
        <v>14240.199999999997</v>
      </c>
      <c r="G108" s="70">
        <v>12626.81</v>
      </c>
      <c r="H108" s="72">
        <f t="shared" si="0"/>
      </c>
      <c r="I108" s="72">
        <f t="shared" si="2"/>
      </c>
      <c r="J108" s="72">
        <f t="shared" si="1"/>
      </c>
      <c r="K108" s="71">
        <v>0</v>
      </c>
      <c r="L108" s="74">
        <v>0</v>
      </c>
      <c r="M108" s="70" t="s">
        <v>228</v>
      </c>
      <c r="N108" s="70">
        <v>10</v>
      </c>
      <c r="O108" s="75" t="s">
        <v>196</v>
      </c>
      <c r="P108" s="70">
        <v>10</v>
      </c>
    </row>
    <row hidden="true" r="109">
      <c r="A109" s="82" t="s">
        <v>239</v>
      </c>
      <c r="B109" s="76" t="s">
        <v>215</v>
      </c>
      <c r="C109" s="70" t="s">
        <v>201</v>
      </c>
      <c r="D109" s="70">
        <v>5</v>
      </c>
      <c r="E109" s="71">
        <v>22</v>
      </c>
      <c r="F109" s="70">
        <v>34901.8</v>
      </c>
      <c r="G109" s="70">
        <v>20202.989999999998</v>
      </c>
      <c r="H109" s="72">
        <f t="shared" si="0"/>
      </c>
      <c r="I109" s="72">
        <f t="shared" si="2"/>
      </c>
      <c r="J109" s="72">
        <f t="shared" si="1"/>
      </c>
      <c r="K109" s="71">
        <v>3</v>
      </c>
      <c r="L109" s="74">
        <v>1978.8</v>
      </c>
      <c r="M109" s="70"/>
      <c r="N109" s="70"/>
      <c r="O109" s="75"/>
      <c r="P109" s="70"/>
    </row>
    <row hidden="true" r="110">
      <c r="A110" s="77" t="s">
        <v>239</v>
      </c>
      <c r="B110" s="78"/>
      <c r="C110" s="78"/>
      <c r="D110" s="79">
        <f>SUM(D106:D109)</f>
      </c>
      <c r="E110" s="79">
        <f>SUM(E106:E109)</f>
      </c>
      <c r="F110" s="79">
        <f>SUM(F106:F109)</f>
      </c>
      <c r="G110" s="79">
        <f>SUM(G106:G109)</f>
      </c>
      <c r="H110" s="80">
        <f t="shared" si="0"/>
      </c>
      <c r="I110" s="80">
        <f t="shared" si="2"/>
      </c>
      <c r="J110" s="80">
        <f t="shared" si="1"/>
      </c>
      <c r="K110" s="79">
        <f>SUM(K106:K109)</f>
      </c>
      <c r="L110" s="79">
        <f>SUM(L106:L109)</f>
      </c>
      <c r="M110" s="81"/>
      <c r="N110" s="79">
        <f>SUM(N106:N109)</f>
      </c>
      <c r="O110" s="81"/>
      <c r="P110" s="79">
        <f>SUM(P106:P109)</f>
      </c>
    </row>
    <row hidden="true" r="111">
      <c r="A111" s="82" t="s">
        <v>240</v>
      </c>
      <c r="B111" s="70" t="s">
        <v>187</v>
      </c>
      <c r="C111" s="70" t="s">
        <v>188</v>
      </c>
      <c r="D111" s="70">
        <v>5</v>
      </c>
      <c r="E111" s="71">
        <v>15</v>
      </c>
      <c r="F111" s="71">
        <v>18115</v>
      </c>
      <c r="G111" s="71">
        <v>14896.64</v>
      </c>
      <c r="H111" s="72">
        <f t="shared" si="0"/>
      </c>
      <c r="I111" s="72">
        <f t="shared" si="2"/>
      </c>
      <c r="J111" s="72">
        <f t="shared" si="1"/>
      </c>
      <c r="K111" s="71">
        <v>2</v>
      </c>
      <c r="L111" s="88">
        <v>2791.2</v>
      </c>
      <c r="M111" s="73" t="s">
        <v>232</v>
      </c>
      <c r="N111" s="73">
        <v>6.5</v>
      </c>
      <c r="O111" s="70" t="s">
        <v>190</v>
      </c>
      <c r="P111" s="71">
        <v>6.5</v>
      </c>
    </row>
    <row hidden="true" r="112">
      <c r="A112" s="82" t="s">
        <v>240</v>
      </c>
      <c r="B112" s="76" t="s">
        <v>197</v>
      </c>
      <c r="C112" s="71" t="s">
        <v>241</v>
      </c>
      <c r="D112" s="71">
        <v>1.5</v>
      </c>
      <c r="E112" s="71">
        <v>1</v>
      </c>
      <c r="F112" s="71">
        <v>1692</v>
      </c>
      <c r="G112" s="71">
        <v>4481.37</v>
      </c>
      <c r="H112" s="72">
        <f t="shared" si="0"/>
      </c>
      <c r="I112" s="72">
        <f t="shared" si="2"/>
      </c>
      <c r="J112" s="72">
        <f t="shared" si="1"/>
      </c>
      <c r="K112" s="71">
        <v>0</v>
      </c>
      <c r="L112" s="88">
        <v>0</v>
      </c>
      <c r="M112" s="84"/>
      <c r="N112" s="84"/>
      <c r="O112" s="75"/>
      <c r="P112" s="70"/>
    </row>
    <row hidden="true" r="113">
      <c r="A113" s="82" t="s">
        <v>240</v>
      </c>
      <c r="B113" s="76" t="s">
        <v>191</v>
      </c>
      <c r="C113" s="70" t="s">
        <v>194</v>
      </c>
      <c r="D113" s="70">
        <v>5</v>
      </c>
      <c r="E113" s="71">
        <v>18</v>
      </c>
      <c r="F113" s="70">
        <v>20284.379999999997</v>
      </c>
      <c r="G113" s="70">
        <v>12441.999999999998</v>
      </c>
      <c r="H113" s="72">
        <f t="shared" si="0"/>
      </c>
      <c r="I113" s="72">
        <f t="shared" si="2"/>
      </c>
      <c r="J113" s="72">
        <f t="shared" si="1"/>
      </c>
      <c r="K113" s="71">
        <v>1</v>
      </c>
      <c r="L113" s="74">
        <v>471.6</v>
      </c>
      <c r="M113" s="70" t="s">
        <v>228</v>
      </c>
      <c r="N113" s="70">
        <v>10</v>
      </c>
      <c r="O113" s="75" t="s">
        <v>196</v>
      </c>
      <c r="P113" s="70">
        <v>10</v>
      </c>
    </row>
    <row hidden="true" r="114">
      <c r="A114" s="82" t="s">
        <v>240</v>
      </c>
      <c r="B114" s="76" t="s">
        <v>215</v>
      </c>
      <c r="C114" s="70" t="s">
        <v>201</v>
      </c>
      <c r="D114" s="70">
        <v>5</v>
      </c>
      <c r="E114" s="71">
        <v>18</v>
      </c>
      <c r="F114" s="70">
        <v>18034.800000000003</v>
      </c>
      <c r="G114" s="71">
        <v>20264.83</v>
      </c>
      <c r="H114" s="72">
        <f t="shared" si="0"/>
      </c>
      <c r="I114" s="72">
        <f t="shared" si="2"/>
      </c>
      <c r="J114" s="72">
        <f t="shared" si="1"/>
      </c>
      <c r="K114" s="71">
        <v>5</v>
      </c>
      <c r="L114" s="74">
        <v>4141.2</v>
      </c>
      <c r="M114" s="70"/>
      <c r="N114" s="70"/>
      <c r="O114" s="75"/>
      <c r="P114" s="70"/>
    </row>
    <row hidden="true" r="115">
      <c r="A115" s="77" t="s">
        <v>240</v>
      </c>
      <c r="B115" s="78"/>
      <c r="C115" s="78"/>
      <c r="D115" s="79">
        <f>SUM(D111:D114)</f>
      </c>
      <c r="E115" s="79">
        <f>SUM(E111:E114)</f>
      </c>
      <c r="F115" s="79">
        <f>SUM(F111:F114)</f>
      </c>
      <c r="G115" s="79">
        <f>SUM(G111:G114)</f>
      </c>
      <c r="H115" s="80">
        <f t="shared" si="0"/>
      </c>
      <c r="I115" s="80">
        <f t="shared" si="2"/>
      </c>
      <c r="J115" s="80">
        <f t="shared" si="1"/>
      </c>
      <c r="K115" s="79">
        <f>SUM(K111:K114)</f>
      </c>
      <c r="L115" s="79">
        <f>SUM(L111:L114)</f>
      </c>
      <c r="M115" s="81"/>
      <c r="N115" s="79">
        <f>SUM(N111:N114)</f>
      </c>
      <c r="O115" s="81"/>
      <c r="P115" s="79">
        <f>SUM(P111:P114)</f>
      </c>
    </row>
    <row hidden="true" r="116">
      <c r="A116" s="82" t="s">
        <v>242</v>
      </c>
      <c r="B116" s="70" t="s">
        <v>187</v>
      </c>
      <c r="C116" s="70" t="s">
        <v>188</v>
      </c>
      <c r="D116" s="70">
        <v>5</v>
      </c>
      <c r="E116" s="71">
        <v>13</v>
      </c>
      <c r="F116" s="71">
        <v>16693</v>
      </c>
      <c r="G116" s="71">
        <v>13692.41</v>
      </c>
      <c r="H116" s="72">
        <f t="shared" si="0"/>
      </c>
      <c r="I116" s="72">
        <f t="shared" si="2"/>
      </c>
      <c r="J116" s="72">
        <f t="shared" si="1"/>
      </c>
      <c r="K116" s="71">
        <v>4</v>
      </c>
      <c r="L116" s="71">
        <v>4669.2</v>
      </c>
      <c r="M116" s="73" t="s">
        <v>243</v>
      </c>
      <c r="N116" s="73">
        <v>10</v>
      </c>
      <c r="O116" s="70" t="s">
        <v>190</v>
      </c>
      <c r="P116" s="71">
        <v>6.5</v>
      </c>
    </row>
    <row hidden="true" r="117">
      <c r="A117" s="82" t="s">
        <v>242</v>
      </c>
      <c r="B117" s="76" t="s">
        <v>197</v>
      </c>
      <c r="C117" s="71" t="s">
        <v>192</v>
      </c>
      <c r="D117" s="71">
        <v>5</v>
      </c>
      <c r="E117" s="71">
        <v>7</v>
      </c>
      <c r="F117" s="71">
        <v>6714</v>
      </c>
      <c r="G117" s="71">
        <v>12018.72</v>
      </c>
      <c r="H117" s="72">
        <f t="shared" si="0"/>
      </c>
      <c r="I117" s="72">
        <f t="shared" si="2"/>
      </c>
      <c r="J117" s="72">
        <f t="shared" si="1"/>
      </c>
      <c r="K117" s="71">
        <v>2</v>
      </c>
      <c r="L117" s="71">
        <v>615.6000000000001</v>
      </c>
      <c r="M117" s="71" t="s">
        <v>244</v>
      </c>
      <c r="N117" s="71">
        <v>7</v>
      </c>
      <c r="O117" s="75"/>
      <c r="P117" s="70"/>
    </row>
    <row hidden="true" r="118">
      <c r="A118" s="82" t="s">
        <v>242</v>
      </c>
      <c r="B118" s="76" t="s">
        <v>191</v>
      </c>
      <c r="C118" s="70" t="s">
        <v>194</v>
      </c>
      <c r="D118" s="70">
        <v>5</v>
      </c>
      <c r="E118" s="71">
        <v>8</v>
      </c>
      <c r="F118" s="70">
        <v>9758.400000000001</v>
      </c>
      <c r="G118" s="70">
        <v>3408.1600000000008</v>
      </c>
      <c r="H118" s="72">
        <f t="shared" si="0"/>
      </c>
      <c r="I118" s="72">
        <f t="shared" si="2"/>
      </c>
      <c r="J118" s="72">
        <f t="shared" si="1"/>
      </c>
      <c r="K118" s="71">
        <v>4</v>
      </c>
      <c r="L118" s="74">
        <v>4660.8</v>
      </c>
      <c r="M118" s="71" t="s">
        <v>245</v>
      </c>
      <c r="N118" s="89">
        <v>1</v>
      </c>
      <c r="O118" s="75" t="s">
        <v>196</v>
      </c>
      <c r="P118" s="70">
        <v>10</v>
      </c>
    </row>
    <row hidden="true" r="119">
      <c r="A119" s="82" t="s">
        <v>242</v>
      </c>
      <c r="B119" s="76" t="s">
        <v>215</v>
      </c>
      <c r="C119" s="70" t="s">
        <v>198</v>
      </c>
      <c r="D119" s="70">
        <v>5</v>
      </c>
      <c r="E119" s="71">
        <v>12</v>
      </c>
      <c r="F119" s="70">
        <v>19334.4</v>
      </c>
      <c r="G119" s="71">
        <v>9994.93</v>
      </c>
      <c r="H119" s="72">
        <f t="shared" si="0"/>
      </c>
      <c r="I119" s="72">
        <f t="shared" si="2"/>
      </c>
      <c r="J119" s="72">
        <f t="shared" si="1"/>
      </c>
      <c r="K119" s="71">
        <v>3</v>
      </c>
      <c r="L119" s="74">
        <v>5637.6</v>
      </c>
      <c r="M119" s="71" t="s">
        <v>195</v>
      </c>
      <c r="N119" s="71">
        <v>2</v>
      </c>
      <c r="O119" s="75"/>
      <c r="P119" s="70"/>
    </row>
    <row hidden="true" r="120">
      <c r="A120" s="77" t="s">
        <v>242</v>
      </c>
      <c r="B120" s="78"/>
      <c r="C120" s="78"/>
      <c r="D120" s="79">
        <f>SUM(D116:D119)</f>
      </c>
      <c r="E120" s="79">
        <f>SUM(E116:E119)</f>
      </c>
      <c r="F120" s="79">
        <f>SUM(F116:F119)</f>
      </c>
      <c r="G120" s="79">
        <f>SUM(G116:G119)</f>
      </c>
      <c r="H120" s="80">
        <f t="shared" si="0"/>
      </c>
      <c r="I120" s="80">
        <f t="shared" si="2"/>
      </c>
      <c r="J120" s="80">
        <f t="shared" si="1"/>
      </c>
      <c r="K120" s="79">
        <f>SUM(K116:K119)</f>
      </c>
      <c r="L120" s="79">
        <f>SUM(L116:L119)</f>
      </c>
      <c r="M120" s="81"/>
      <c r="N120" s="79">
        <f>SUM(N116:N119)</f>
      </c>
      <c r="O120" s="81"/>
      <c r="P120" s="79">
        <f>SUM(P116:P119)</f>
      </c>
    </row>
    <row hidden="true" r="121">
      <c r="A121" s="82" t="s">
        <v>246</v>
      </c>
      <c r="B121" s="70" t="s">
        <v>187</v>
      </c>
      <c r="C121" s="70" t="s">
        <v>188</v>
      </c>
      <c r="D121" s="70">
        <v>5</v>
      </c>
      <c r="E121" s="71">
        <v>8</v>
      </c>
      <c r="F121" s="71">
        <v>10927.2</v>
      </c>
      <c r="G121" s="71">
        <v>8955.98</v>
      </c>
      <c r="H121" s="72">
        <f t="shared" si="0"/>
      </c>
      <c r="I121" s="72">
        <f t="shared" si="2"/>
      </c>
      <c r="J121" s="72">
        <f t="shared" si="1"/>
      </c>
      <c r="K121" s="71">
        <v>1</v>
      </c>
      <c r="L121" s="71">
        <v>715.2</v>
      </c>
      <c r="M121" s="73" t="s">
        <v>243</v>
      </c>
      <c r="N121" s="73">
        <v>10</v>
      </c>
      <c r="O121" s="70" t="s">
        <v>190</v>
      </c>
      <c r="P121" s="71">
        <v>10</v>
      </c>
    </row>
    <row hidden="true" r="122">
      <c r="A122" s="82" t="s">
        <v>246</v>
      </c>
      <c r="B122" s="76" t="s">
        <v>191</v>
      </c>
      <c r="C122" s="71" t="s">
        <v>192</v>
      </c>
      <c r="D122" s="71">
        <v>5</v>
      </c>
      <c r="E122" s="71">
        <v>23</v>
      </c>
      <c r="F122" s="71">
        <v>28072.399999999998</v>
      </c>
      <c r="G122" s="71">
        <v>21291.61</v>
      </c>
      <c r="H122" s="72">
        <f t="shared" si="0"/>
      </c>
      <c r="I122" s="72">
        <f t="shared" si="2"/>
      </c>
      <c r="J122" s="72">
        <f t="shared" si="1"/>
      </c>
      <c r="K122" s="71">
        <v>7</v>
      </c>
      <c r="L122" s="71">
        <v>6331.2</v>
      </c>
      <c r="M122" s="71" t="s">
        <v>244</v>
      </c>
      <c r="N122" s="71">
        <v>8</v>
      </c>
      <c r="O122" s="75"/>
      <c r="P122" s="70"/>
    </row>
    <row hidden="true" r="123">
      <c r="A123" s="82" t="s">
        <v>246</v>
      </c>
      <c r="B123" s="76" t="s">
        <v>215</v>
      </c>
      <c r="C123" s="70" t="s">
        <v>194</v>
      </c>
      <c r="D123" s="70">
        <v>5</v>
      </c>
      <c r="E123" s="71">
        <v>14</v>
      </c>
      <c r="F123" s="70">
        <v>20152.800000000003</v>
      </c>
      <c r="G123" s="70">
        <v>13872.070000000003</v>
      </c>
      <c r="H123" s="72">
        <f t="shared" si="0"/>
      </c>
      <c r="I123" s="72">
        <f t="shared" si="2"/>
      </c>
      <c r="J123" s="72">
        <f t="shared" si="1"/>
      </c>
      <c r="K123" s="71">
        <v>3</v>
      </c>
      <c r="L123" s="74">
        <v>4195.2</v>
      </c>
      <c r="M123" s="71"/>
      <c r="N123" s="89"/>
      <c r="O123" s="75" t="s">
        <v>196</v>
      </c>
      <c r="P123" s="70">
        <v>10</v>
      </c>
    </row>
    <row hidden="true" r="124">
      <c r="A124" s="82" t="s">
        <v>246</v>
      </c>
      <c r="B124" s="76" t="s">
        <v>197</v>
      </c>
      <c r="C124" s="70" t="s">
        <v>198</v>
      </c>
      <c r="D124" s="70">
        <v>5</v>
      </c>
      <c r="E124" s="71">
        <v>17</v>
      </c>
      <c r="F124" s="70">
        <v>18740.27999999999</v>
      </c>
      <c r="G124" s="70">
        <v>10303.96</v>
      </c>
      <c r="H124" s="72">
        <f t="shared" si="0"/>
      </c>
      <c r="I124" s="72">
        <f t="shared" si="2"/>
      </c>
      <c r="J124" s="72">
        <f t="shared" si="1"/>
      </c>
      <c r="K124" s="71">
        <v>4</v>
      </c>
      <c r="L124" s="74">
        <v>4669.2</v>
      </c>
      <c r="M124" s="71" t="s">
        <v>195</v>
      </c>
      <c r="N124" s="71">
        <v>2</v>
      </c>
      <c r="O124" s="75"/>
      <c r="P124" s="70"/>
    </row>
    <row hidden="true" r="125">
      <c r="A125" s="77" t="s">
        <v>246</v>
      </c>
      <c r="B125" s="78"/>
      <c r="C125" s="78"/>
      <c r="D125" s="79">
        <f>SUM(D121:D124)</f>
      </c>
      <c r="E125" s="79">
        <f>SUM(E121:E124)</f>
      </c>
      <c r="F125" s="79">
        <f>SUM(F121:F124)</f>
      </c>
      <c r="G125" s="79">
        <f>SUM(G121:G124)</f>
      </c>
      <c r="H125" s="80">
        <f t="shared" si="0"/>
      </c>
      <c r="I125" s="80">
        <f t="shared" si="2"/>
      </c>
      <c r="J125" s="80">
        <f t="shared" si="1"/>
      </c>
      <c r="K125" s="79">
        <f>SUM(K121:K124)</f>
      </c>
      <c r="L125" s="79">
        <f>SUM(L121:L124)</f>
      </c>
      <c r="M125" s="81"/>
      <c r="N125" s="79">
        <f>SUM(N121:N124)</f>
      </c>
      <c r="O125" s="81"/>
      <c r="P125" s="79">
        <f>SUM(P121:P124)</f>
      </c>
    </row>
    <row hidden="true" r="126">
      <c r="A126" s="82" t="s">
        <v>247</v>
      </c>
      <c r="B126" s="70" t="s">
        <v>187</v>
      </c>
      <c r="C126" s="70" t="s">
        <v>188</v>
      </c>
      <c r="D126" s="70">
        <v>5</v>
      </c>
      <c r="E126" s="71">
        <v>19</v>
      </c>
      <c r="F126" s="71">
        <v>16876.8</v>
      </c>
      <c r="G126" s="71">
        <v>22242.65</v>
      </c>
      <c r="H126" s="72">
        <f t="shared" si="0"/>
      </c>
      <c r="I126" s="72">
        <f t="shared" si="2"/>
      </c>
      <c r="J126" s="72">
        <f t="shared" si="1"/>
      </c>
      <c r="K126" s="71">
        <v>9</v>
      </c>
      <c r="L126" s="71">
        <v>6711.6</v>
      </c>
      <c r="M126" s="73" t="s">
        <v>243</v>
      </c>
      <c r="N126" s="73">
        <v>10</v>
      </c>
      <c r="O126" s="70" t="s">
        <v>190</v>
      </c>
      <c r="P126" s="71">
        <v>10</v>
      </c>
    </row>
    <row hidden="true" r="127">
      <c r="A127" s="82" t="s">
        <v>247</v>
      </c>
      <c r="B127" s="76" t="s">
        <v>193</v>
      </c>
      <c r="C127" s="71" t="s">
        <v>192</v>
      </c>
      <c r="D127" s="71">
        <v>5</v>
      </c>
      <c r="E127" s="71">
        <v>22</v>
      </c>
      <c r="F127" s="71">
        <v>27360.8</v>
      </c>
      <c r="G127" s="71">
        <v>16933.04</v>
      </c>
      <c r="H127" s="72">
        <f t="shared" si="0"/>
      </c>
      <c r="I127" s="72">
        <f t="shared" si="2"/>
      </c>
      <c r="J127" s="72">
        <f t="shared" si="1"/>
      </c>
      <c r="K127" s="71">
        <v>8</v>
      </c>
      <c r="L127" s="71">
        <v>7126.599999999999</v>
      </c>
      <c r="M127" s="71" t="s">
        <v>244</v>
      </c>
      <c r="N127" s="71">
        <v>8</v>
      </c>
      <c r="O127" s="75"/>
      <c r="P127" s="70"/>
    </row>
    <row hidden="true" r="128">
      <c r="A128" s="82" t="s">
        <v>247</v>
      </c>
      <c r="B128" s="76" t="s">
        <v>191</v>
      </c>
      <c r="C128" s="70" t="s">
        <v>194</v>
      </c>
      <c r="D128" s="70">
        <v>5</v>
      </c>
      <c r="E128" s="71">
        <v>14</v>
      </c>
      <c r="F128" s="70">
        <v>20361.4</v>
      </c>
      <c r="G128" s="70">
        <v>18173.989999999998</v>
      </c>
      <c r="H128" s="72">
        <f t="shared" si="0"/>
      </c>
      <c r="I128" s="72">
        <f t="shared" si="2"/>
      </c>
      <c r="J128" s="72">
        <f t="shared" si="1"/>
      </c>
      <c r="K128" s="71">
        <v>1</v>
      </c>
      <c r="L128" s="74">
        <v>1411.2</v>
      </c>
      <c r="M128" s="71"/>
      <c r="N128" s="89"/>
      <c r="O128" s="75" t="s">
        <v>196</v>
      </c>
      <c r="P128" s="70">
        <v>10</v>
      </c>
    </row>
    <row hidden="true" r="129">
      <c r="A129" s="82" t="s">
        <v>247</v>
      </c>
      <c r="B129" s="76" t="s">
        <v>197</v>
      </c>
      <c r="C129" s="70" t="s">
        <v>198</v>
      </c>
      <c r="D129" s="70">
        <v>5</v>
      </c>
      <c r="E129" s="71">
        <v>17</v>
      </c>
      <c r="F129" s="70">
        <v>20221.320000000007</v>
      </c>
      <c r="G129" s="71">
        <v>13755.88</v>
      </c>
      <c r="H129" s="72">
        <f t="shared" si="0"/>
      </c>
      <c r="I129" s="72">
        <f t="shared" si="2"/>
      </c>
      <c r="J129" s="72">
        <f t="shared" si="1"/>
      </c>
      <c r="K129" s="71">
        <v>2</v>
      </c>
      <c r="L129" s="74">
        <v>1530</v>
      </c>
      <c r="M129" s="71" t="s">
        <v>195</v>
      </c>
      <c r="N129" s="71">
        <v>2</v>
      </c>
      <c r="O129" s="75"/>
      <c r="P129" s="70"/>
    </row>
    <row hidden="true" r="130">
      <c r="A130" s="77" t="s">
        <v>247</v>
      </c>
      <c r="B130" s="78"/>
      <c r="C130" s="78"/>
      <c r="D130" s="79">
        <f>SUM(D126:D129)</f>
      </c>
      <c r="E130" s="79">
        <f>SUM(E126:E129)</f>
      </c>
      <c r="F130" s="79">
        <f>SUM(F126:F129)</f>
      </c>
      <c r="G130" s="79">
        <f>SUM(G126:G129)</f>
      </c>
      <c r="H130" s="80">
        <f t="shared" si="0"/>
      </c>
      <c r="I130" s="80">
        <f t="shared" si="2"/>
      </c>
      <c r="J130" s="80">
        <f t="shared" si="1"/>
      </c>
      <c r="K130" s="79">
        <f>SUM(K126:K129)</f>
      </c>
      <c r="L130" s="79">
        <f>SUM(L126:L129)</f>
      </c>
      <c r="M130" s="81"/>
      <c r="N130" s="79">
        <f>SUM(N126:N129)</f>
      </c>
      <c r="O130" s="81"/>
      <c r="P130" s="79">
        <f>SUM(P126:P129)</f>
      </c>
    </row>
    <row hidden="true" r="131">
      <c r="A131" s="82" t="s">
        <v>248</v>
      </c>
      <c r="B131" s="70" t="s">
        <v>187</v>
      </c>
      <c r="C131" s="71" t="s">
        <v>218</v>
      </c>
      <c r="D131" s="71">
        <v>4</v>
      </c>
      <c r="E131" s="71">
        <v>12</v>
      </c>
      <c r="F131" s="71">
        <v>12363.6</v>
      </c>
      <c r="G131" s="71">
        <v>11998.140000000001</v>
      </c>
      <c r="H131" s="72">
        <f t="shared" si="0"/>
      </c>
      <c r="I131" s="72">
        <f t="shared" si="2"/>
      </c>
      <c r="J131" s="72">
        <f t="shared" si="1"/>
      </c>
      <c r="K131" s="71">
        <v>2</v>
      </c>
      <c r="L131" s="71">
        <v>1042.8</v>
      </c>
      <c r="M131" s="73" t="s">
        <v>243</v>
      </c>
      <c r="N131" s="73">
        <v>10</v>
      </c>
      <c r="O131" s="70" t="s">
        <v>190</v>
      </c>
      <c r="P131" s="71">
        <v>10</v>
      </c>
    </row>
    <row hidden="true" r="132">
      <c r="A132" s="82" t="s">
        <v>248</v>
      </c>
      <c r="B132" s="76" t="s">
        <v>191</v>
      </c>
      <c r="C132" s="71" t="s">
        <v>219</v>
      </c>
      <c r="D132" s="71">
        <v>4</v>
      </c>
      <c r="E132" s="71">
        <v>15</v>
      </c>
      <c r="F132" s="71">
        <v>14038.800000000001</v>
      </c>
      <c r="G132" s="71">
        <v>14292.52</v>
      </c>
      <c r="H132" s="72">
        <f t="shared" si="0"/>
      </c>
      <c r="I132" s="72">
        <f t="shared" si="2"/>
      </c>
      <c r="J132" s="72">
        <f t="shared" si="1"/>
      </c>
      <c r="K132" s="71">
        <v>10</v>
      </c>
      <c r="L132" s="71">
        <v>9502.8</v>
      </c>
      <c r="M132" s="71" t="s">
        <v>249</v>
      </c>
      <c r="N132" s="71">
        <v>8</v>
      </c>
      <c r="O132" s="75"/>
      <c r="P132" s="70"/>
    </row>
    <row customHeight="true" hidden="true" ht="16.071428571428573" r="133">
      <c r="A133" s="82" t="s">
        <v>248</v>
      </c>
      <c r="B133" s="76" t="s">
        <v>250</v>
      </c>
      <c r="C133" s="71" t="s">
        <v>220</v>
      </c>
      <c r="D133" s="71">
        <v>4</v>
      </c>
      <c r="E133" s="71">
        <v>4</v>
      </c>
      <c r="F133" s="71">
        <v>7185.5999999999985</v>
      </c>
      <c r="G133" s="71">
        <v>10257.550000000003</v>
      </c>
      <c r="H133" s="72">
        <f t="shared" si="0"/>
      </c>
      <c r="I133" s="72">
        <f t="shared" si="2"/>
      </c>
      <c r="J133" s="72">
        <f t="shared" si="1"/>
      </c>
      <c r="K133" s="71">
        <v>1</v>
      </c>
      <c r="L133" s="71">
        <v>2407.2</v>
      </c>
      <c r="M133" s="71"/>
      <c r="N133" s="71"/>
      <c r="O133" s="75"/>
      <c r="P133" s="70"/>
    </row>
    <row hidden="true" r="134">
      <c r="A134" s="82" t="s">
        <v>248</v>
      </c>
      <c r="B134" s="76" t="s">
        <v>197</v>
      </c>
      <c r="C134" s="71" t="s">
        <v>205</v>
      </c>
      <c r="D134" s="71">
        <v>4</v>
      </c>
      <c r="E134" s="71">
        <v>7</v>
      </c>
      <c r="F134" s="70">
        <v>9460.800000000003</v>
      </c>
      <c r="G134" s="70">
        <v>7369.65</v>
      </c>
      <c r="H134" s="72">
        <f t="shared" si="0"/>
      </c>
      <c r="I134" s="72">
        <f t="shared" si="2"/>
      </c>
      <c r="J134" s="72">
        <f t="shared" si="1"/>
      </c>
      <c r="K134" s="71">
        <v>1</v>
      </c>
      <c r="L134" s="74">
        <v>598.8</v>
      </c>
      <c r="M134" s="71"/>
      <c r="N134" s="89"/>
      <c r="O134" s="75" t="s">
        <v>196</v>
      </c>
      <c r="P134" s="70">
        <v>10</v>
      </c>
    </row>
    <row hidden="true" r="135">
      <c r="A135" s="82" t="s">
        <v>248</v>
      </c>
      <c r="B135" s="76" t="s">
        <v>193</v>
      </c>
      <c r="C135" s="71" t="s">
        <v>251</v>
      </c>
      <c r="D135" s="71">
        <v>4</v>
      </c>
      <c r="E135" s="71">
        <v>16</v>
      </c>
      <c r="F135" s="70">
        <v>24039.399999999994</v>
      </c>
      <c r="G135" s="71">
        <v>15323.36</v>
      </c>
      <c r="H135" s="72">
        <f t="shared" si="0"/>
      </c>
      <c r="I135" s="72">
        <f t="shared" si="2"/>
      </c>
      <c r="J135" s="72">
        <f t="shared" si="1"/>
      </c>
      <c r="K135" s="71">
        <v>4</v>
      </c>
      <c r="L135" s="74">
        <v>3617.8</v>
      </c>
      <c r="M135" s="71" t="s">
        <v>195</v>
      </c>
      <c r="N135" s="71">
        <v>2</v>
      </c>
      <c r="O135" s="75"/>
      <c r="P135" s="70"/>
    </row>
    <row hidden="true" r="136">
      <c r="A136" s="77" t="s">
        <v>248</v>
      </c>
      <c r="B136" s="78"/>
      <c r="C136" s="78"/>
      <c r="D136" s="79">
        <f>SUM(D131:D135)</f>
      </c>
      <c r="E136" s="79">
        <f>SUM(E131:E135)</f>
      </c>
      <c r="F136" s="79">
        <f>SUM(F131:F135)</f>
      </c>
      <c r="G136" s="79">
        <f>SUM(G131:G135)</f>
      </c>
      <c r="H136" s="80">
        <f t="shared" si="0"/>
      </c>
      <c r="I136" s="80">
        <f t="shared" si="2"/>
      </c>
      <c r="J136" s="80">
        <f t="shared" si="1"/>
      </c>
      <c r="K136" s="79">
        <f>SUM(K131:K135)</f>
      </c>
      <c r="L136" s="79">
        <f>SUM(L131:L135)</f>
      </c>
      <c r="M136" s="81"/>
      <c r="N136" s="79">
        <f>SUM(N131:N135)</f>
      </c>
      <c r="O136" s="81"/>
      <c r="P136" s="79">
        <f>SUM(P131:P135)</f>
      </c>
    </row>
    <row hidden="true" r="137">
      <c r="A137" s="82" t="s">
        <v>252</v>
      </c>
      <c r="B137" s="70" t="s">
        <v>187</v>
      </c>
      <c r="C137" s="71" t="s">
        <v>218</v>
      </c>
      <c r="D137" s="71">
        <v>4</v>
      </c>
      <c r="E137" s="71">
        <v>11</v>
      </c>
      <c r="F137" s="71">
        <v>12874.8</v>
      </c>
      <c r="G137" s="71">
        <v>10060.890000000001</v>
      </c>
      <c r="H137" s="72">
        <f t="shared" si="0"/>
      </c>
      <c r="I137" s="72">
        <f t="shared" si="2"/>
      </c>
      <c r="J137" s="72">
        <f t="shared" si="1"/>
      </c>
      <c r="K137" s="71">
        <v>5</v>
      </c>
      <c r="L137" s="71">
        <v>7660.799999999999</v>
      </c>
      <c r="M137" s="73" t="s">
        <v>243</v>
      </c>
      <c r="N137" s="73">
        <v>10</v>
      </c>
      <c r="O137" s="70" t="s">
        <v>190</v>
      </c>
      <c r="P137" s="71">
        <v>10</v>
      </c>
    </row>
    <row hidden="true" r="138">
      <c r="A138" s="82" t="s">
        <v>252</v>
      </c>
      <c r="B138" s="76" t="s">
        <v>215</v>
      </c>
      <c r="C138" s="71" t="s">
        <v>219</v>
      </c>
      <c r="D138" s="71">
        <v>4</v>
      </c>
      <c r="E138" s="71">
        <v>6</v>
      </c>
      <c r="F138" s="71">
        <v>8577.600000000002</v>
      </c>
      <c r="G138" s="71">
        <v>7518.830000000001</v>
      </c>
      <c r="H138" s="72">
        <f t="shared" si="0"/>
      </c>
      <c r="I138" s="72">
        <f t="shared" si="2"/>
      </c>
      <c r="J138" s="72">
        <f t="shared" si="1"/>
      </c>
      <c r="K138" s="71">
        <v>0</v>
      </c>
      <c r="L138" s="71">
        <v>0</v>
      </c>
      <c r="M138" s="71" t="s">
        <v>249</v>
      </c>
      <c r="N138" s="71">
        <v>8</v>
      </c>
      <c r="O138" s="75"/>
      <c r="P138" s="70"/>
    </row>
    <row hidden="true" r="139">
      <c r="A139" s="82" t="s">
        <v>252</v>
      </c>
      <c r="B139" s="76" t="s">
        <v>250</v>
      </c>
      <c r="C139" s="71" t="s">
        <v>220</v>
      </c>
      <c r="D139" s="71">
        <v>4</v>
      </c>
      <c r="E139" s="71">
        <v>11</v>
      </c>
      <c r="F139" s="71">
        <v>16646.4</v>
      </c>
      <c r="G139" s="71">
        <v>10064.84</v>
      </c>
      <c r="H139" s="72">
        <f t="shared" si="0"/>
      </c>
      <c r="I139" s="72">
        <f t="shared" si="2"/>
      </c>
      <c r="J139" s="72">
        <f t="shared" si="1"/>
      </c>
      <c r="K139" s="71">
        <v>2</v>
      </c>
      <c r="L139" s="71">
        <v>861.6</v>
      </c>
      <c r="M139" s="71"/>
      <c r="N139" s="71"/>
      <c r="O139" s="75"/>
      <c r="P139" s="70"/>
    </row>
    <row hidden="true" r="140">
      <c r="A140" s="82" t="s">
        <v>252</v>
      </c>
      <c r="B140" s="76" t="s">
        <v>197</v>
      </c>
      <c r="C140" s="71" t="s">
        <v>205</v>
      </c>
      <c r="D140" s="71">
        <v>4</v>
      </c>
      <c r="E140" s="71">
        <v>5</v>
      </c>
      <c r="F140" s="70">
        <v>7524</v>
      </c>
      <c r="G140" s="70">
        <v>9391.26</v>
      </c>
      <c r="H140" s="72">
        <f t="shared" si="0"/>
      </c>
      <c r="I140" s="72">
        <f t="shared" si="2"/>
      </c>
      <c r="J140" s="72">
        <f t="shared" si="1"/>
      </c>
      <c r="K140" s="71">
        <v>0</v>
      </c>
      <c r="L140" s="74">
        <v>0</v>
      </c>
      <c r="M140" s="71"/>
      <c r="N140" s="89"/>
      <c r="O140" s="75" t="s">
        <v>196</v>
      </c>
      <c r="P140" s="70">
        <v>10</v>
      </c>
    </row>
    <row hidden="true" r="141">
      <c r="A141" s="82" t="s">
        <v>252</v>
      </c>
      <c r="B141" s="76" t="s">
        <v>193</v>
      </c>
      <c r="C141" s="71" t="s">
        <v>251</v>
      </c>
      <c r="D141" s="71">
        <v>4</v>
      </c>
      <c r="E141" s="71">
        <v>16</v>
      </c>
      <c r="F141" s="70">
        <v>20961.59999999999</v>
      </c>
      <c r="G141" s="71">
        <v>12115.09</v>
      </c>
      <c r="H141" s="72">
        <f t="shared" si="0"/>
      </c>
      <c r="I141" s="72">
        <f t="shared" si="2"/>
      </c>
      <c r="J141" s="72">
        <f t="shared" si="1"/>
      </c>
      <c r="K141" s="71">
        <v>6</v>
      </c>
      <c r="L141" s="74">
        <v>8679.599999999999</v>
      </c>
      <c r="M141" s="71" t="s">
        <v>195</v>
      </c>
      <c r="N141" s="71">
        <v>2</v>
      </c>
      <c r="O141" s="75"/>
      <c r="P141" s="70"/>
    </row>
    <row hidden="true" r="142">
      <c r="A142" s="77" t="s">
        <v>252</v>
      </c>
      <c r="B142" s="78"/>
      <c r="C142" s="78"/>
      <c r="D142" s="79">
        <f>SUM(D137:D141)</f>
      </c>
      <c r="E142" s="79">
        <f>SUM(E137:E141)</f>
      </c>
      <c r="F142" s="79">
        <f>SUM(F137:F141)</f>
      </c>
      <c r="G142" s="79">
        <f>SUM(G137:G141)</f>
      </c>
      <c r="H142" s="80">
        <f t="shared" si="0"/>
      </c>
      <c r="I142" s="80">
        <f t="shared" si="2"/>
      </c>
      <c r="J142" s="80">
        <f t="shared" si="1"/>
      </c>
      <c r="K142" s="79">
        <f>SUM(K137:K141)</f>
      </c>
      <c r="L142" s="79">
        <f>SUM(L137:L141)</f>
      </c>
      <c r="M142" s="81"/>
      <c r="N142" s="79">
        <f>SUM(N137:N141)</f>
      </c>
      <c r="O142" s="81"/>
      <c r="P142" s="79">
        <f>SUM(P137:P141)</f>
      </c>
    </row>
    <row hidden="true" r="143">
      <c r="A143" s="82" t="s">
        <v>253</v>
      </c>
      <c r="B143" s="70" t="s">
        <v>187</v>
      </c>
      <c r="C143" s="71" t="s">
        <v>218</v>
      </c>
      <c r="D143" s="71">
        <v>4</v>
      </c>
      <c r="E143" s="71">
        <v>13</v>
      </c>
      <c r="F143" s="71">
        <v>11112</v>
      </c>
      <c r="G143" s="71">
        <v>11107.389999999998</v>
      </c>
      <c r="H143" s="72">
        <f t="shared" si="0"/>
      </c>
      <c r="I143" s="72">
        <f t="shared" si="2"/>
      </c>
      <c r="J143" s="72">
        <f t="shared" si="1"/>
      </c>
      <c r="K143" s="71">
        <v>5</v>
      </c>
      <c r="L143" s="71">
        <v>4585.2</v>
      </c>
      <c r="M143" s="73" t="s">
        <v>243</v>
      </c>
      <c r="N143" s="73">
        <v>10</v>
      </c>
      <c r="O143" s="70" t="s">
        <v>190</v>
      </c>
      <c r="P143" s="71">
        <v>10</v>
      </c>
    </row>
    <row hidden="true" r="144">
      <c r="A144" s="82" t="s">
        <v>253</v>
      </c>
      <c r="B144" s="76" t="s">
        <v>215</v>
      </c>
      <c r="C144" s="71" t="s">
        <v>219</v>
      </c>
      <c r="D144" s="71">
        <v>4</v>
      </c>
      <c r="E144" s="71">
        <v>4</v>
      </c>
      <c r="F144" s="71">
        <v>7029.5999999999985</v>
      </c>
      <c r="G144" s="71">
        <v>6573.84</v>
      </c>
      <c r="H144" s="72">
        <f t="shared" si="0"/>
      </c>
      <c r="I144" s="72">
        <f t="shared" si="2"/>
      </c>
      <c r="J144" s="72">
        <f t="shared" si="1"/>
      </c>
      <c r="K144" s="71">
        <v>2</v>
      </c>
      <c r="L144" s="71">
        <v>3007.2</v>
      </c>
      <c r="M144" s="71"/>
      <c r="N144" s="71"/>
      <c r="O144" s="75"/>
      <c r="P144" s="70"/>
    </row>
    <row hidden="true" r="145">
      <c r="A145" s="82" t="s">
        <v>253</v>
      </c>
      <c r="B145" s="76" t="s">
        <v>250</v>
      </c>
      <c r="C145" s="71" t="s">
        <v>220</v>
      </c>
      <c r="D145" s="71">
        <v>4</v>
      </c>
      <c r="E145" s="71">
        <v>1</v>
      </c>
      <c r="F145" s="71">
        <v>2011.2</v>
      </c>
      <c r="G145" s="71">
        <v>5590.919999999999</v>
      </c>
      <c r="H145" s="72">
        <f t="shared" si="0"/>
      </c>
      <c r="I145" s="72">
        <f t="shared" si="2"/>
      </c>
      <c r="J145" s="72">
        <f t="shared" si="1"/>
      </c>
      <c r="K145" s="71">
        <v>0</v>
      </c>
      <c r="L145" s="71">
        <v>0</v>
      </c>
      <c r="M145" s="71" t="s">
        <v>254</v>
      </c>
      <c r="N145" s="71">
        <v>8</v>
      </c>
      <c r="O145" s="75"/>
      <c r="P145" s="70"/>
    </row>
    <row hidden="true" r="146">
      <c r="A146" s="82" t="s">
        <v>253</v>
      </c>
      <c r="B146" s="76" t="s">
        <v>197</v>
      </c>
      <c r="C146" s="71" t="s">
        <v>205</v>
      </c>
      <c r="D146" s="71">
        <v>4</v>
      </c>
      <c r="E146" s="71">
        <v>3</v>
      </c>
      <c r="F146" s="71">
        <v>3595.2</v>
      </c>
      <c r="G146" s="71">
        <v>3291.18</v>
      </c>
      <c r="H146" s="72">
        <f t="shared" si="0"/>
      </c>
      <c r="I146" s="72">
        <f t="shared" si="2"/>
      </c>
      <c r="J146" s="72">
        <f t="shared" si="1"/>
      </c>
      <c r="K146" s="71">
        <v>0</v>
      </c>
      <c r="L146" s="74">
        <v>0</v>
      </c>
      <c r="M146" s="71"/>
      <c r="N146" s="89"/>
      <c r="O146" s="75" t="s">
        <v>196</v>
      </c>
      <c r="P146" s="70">
        <v>10</v>
      </c>
    </row>
    <row hidden="true" r="147">
      <c r="A147" s="82" t="s">
        <v>253</v>
      </c>
      <c r="B147" s="76" t="s">
        <v>191</v>
      </c>
      <c r="C147" s="71" t="s">
        <v>251</v>
      </c>
      <c r="D147" s="71">
        <v>4</v>
      </c>
      <c r="E147" s="71">
        <v>4</v>
      </c>
      <c r="F147" s="70">
        <v>3835.2</v>
      </c>
      <c r="G147" s="71">
        <v>5025.57</v>
      </c>
      <c r="H147" s="72">
        <f t="shared" si="0"/>
      </c>
      <c r="I147" s="72">
        <f t="shared" si="2"/>
      </c>
      <c r="J147" s="72">
        <f t="shared" si="1"/>
      </c>
      <c r="K147" s="71">
        <v>2</v>
      </c>
      <c r="L147" s="74">
        <v>1051.2</v>
      </c>
      <c r="M147" s="71" t="s">
        <v>195</v>
      </c>
      <c r="N147" s="71">
        <v>2</v>
      </c>
      <c r="O147" s="75"/>
      <c r="P147" s="70"/>
    </row>
    <row hidden="true" r="148">
      <c r="A148" s="77" t="s">
        <v>253</v>
      </c>
      <c r="B148" s="78"/>
      <c r="C148" s="78"/>
      <c r="D148" s="79">
        <f>SUM(D143:D147)</f>
      </c>
      <c r="E148" s="79">
        <f>SUM(E143:E147)</f>
      </c>
      <c r="F148" s="79">
        <f>SUM(F143:F147)</f>
      </c>
      <c r="G148" s="79">
        <f>SUM(G143:G147)</f>
      </c>
      <c r="H148" s="80">
        <f t="shared" si="0"/>
      </c>
      <c r="I148" s="80">
        <f t="shared" si="2"/>
      </c>
      <c r="J148" s="80">
        <f t="shared" si="1"/>
      </c>
      <c r="K148" s="79">
        <f>SUM(K143:K147)</f>
      </c>
      <c r="L148" s="79">
        <f>SUM(L143:L147)</f>
      </c>
      <c r="M148" s="81"/>
      <c r="N148" s="79">
        <f>SUM(N143:N147)</f>
      </c>
      <c r="O148" s="81"/>
      <c r="P148" s="79">
        <f>SUM(P143:P147)</f>
      </c>
    </row>
    <row hidden="true" r="149">
      <c r="A149" s="82" t="s">
        <v>255</v>
      </c>
      <c r="B149" s="70" t="s">
        <v>215</v>
      </c>
      <c r="C149" s="71" t="s">
        <v>218</v>
      </c>
      <c r="D149" s="71">
        <v>4</v>
      </c>
      <c r="E149" s="71">
        <v>3</v>
      </c>
      <c r="F149" s="71">
        <v>1586.4</v>
      </c>
      <c r="G149" s="71">
        <v>4725.450000000001</v>
      </c>
      <c r="H149" s="72">
        <f t="shared" si="0"/>
      </c>
      <c r="I149" s="72">
        <f t="shared" si="2"/>
      </c>
      <c r="J149" s="72">
        <f t="shared" si="1"/>
      </c>
      <c r="K149" s="71">
        <v>0</v>
      </c>
      <c r="L149" s="71">
        <v>0</v>
      </c>
      <c r="M149" s="73" t="s">
        <v>243</v>
      </c>
      <c r="N149" s="73">
        <v>8</v>
      </c>
      <c r="O149" s="70" t="s">
        <v>190</v>
      </c>
      <c r="P149" s="71">
        <v>10</v>
      </c>
    </row>
    <row hidden="true" r="150">
      <c r="A150" s="82" t="s">
        <v>255</v>
      </c>
      <c r="B150" s="76" t="s">
        <v>187</v>
      </c>
      <c r="C150" s="71" t="s">
        <v>219</v>
      </c>
      <c r="D150" s="71">
        <v>4</v>
      </c>
      <c r="E150" s="71">
        <v>1</v>
      </c>
      <c r="F150" s="71">
        <v>1692</v>
      </c>
      <c r="G150" s="71">
        <v>7045.74</v>
      </c>
      <c r="H150" s="72">
        <f t="shared" si="0"/>
      </c>
      <c r="I150" s="72">
        <f t="shared" si="2"/>
      </c>
      <c r="J150" s="72">
        <f t="shared" si="1"/>
      </c>
      <c r="K150" s="71">
        <v>0</v>
      </c>
      <c r="L150" s="71">
        <v>0</v>
      </c>
      <c r="M150" s="71" t="s">
        <v>256</v>
      </c>
      <c r="N150" s="71">
        <v>2</v>
      </c>
      <c r="O150" s="75"/>
      <c r="P150" s="70"/>
    </row>
    <row hidden="true" r="151">
      <c r="A151" s="82" t="s">
        <v>255</v>
      </c>
      <c r="B151" s="76" t="s">
        <v>193</v>
      </c>
      <c r="C151" s="71" t="s">
        <v>220</v>
      </c>
      <c r="D151" s="71">
        <v>4</v>
      </c>
      <c r="E151" s="71">
        <v>0</v>
      </c>
      <c r="F151" s="71">
        <v>0</v>
      </c>
      <c r="G151" s="71">
        <v>4103.36</v>
      </c>
      <c r="H151" s="72">
        <f t="shared" si="0"/>
      </c>
      <c r="I151" s="72">
        <f t="shared" si="2"/>
      </c>
      <c r="J151" s="72">
        <f t="shared" si="1"/>
      </c>
      <c r="K151" s="71">
        <v>0</v>
      </c>
      <c r="L151" s="71">
        <v>0</v>
      </c>
      <c r="M151" s="71" t="s">
        <v>254</v>
      </c>
      <c r="N151" s="71">
        <v>6</v>
      </c>
      <c r="O151" s="75"/>
      <c r="P151" s="70"/>
    </row>
    <row hidden="true" r="152">
      <c r="A152" s="82" t="s">
        <v>255</v>
      </c>
      <c r="B152" s="76" t="s">
        <v>250</v>
      </c>
      <c r="C152" s="71" t="s">
        <v>205</v>
      </c>
      <c r="D152" s="71">
        <v>4</v>
      </c>
      <c r="E152" s="71">
        <v>5</v>
      </c>
      <c r="F152" s="71">
        <v>8655.6</v>
      </c>
      <c r="G152" s="71">
        <v>3733.7</v>
      </c>
      <c r="H152" s="72">
        <f t="shared" si="0"/>
      </c>
      <c r="I152" s="72">
        <f t="shared" si="2"/>
      </c>
      <c r="J152" s="72">
        <f t="shared" si="1"/>
      </c>
      <c r="K152" s="71">
        <v>0</v>
      </c>
      <c r="L152" s="74">
        <v>0</v>
      </c>
      <c r="M152" s="71"/>
      <c r="N152" s="89"/>
      <c r="O152" s="75" t="s">
        <v>196</v>
      </c>
      <c r="P152" s="71">
        <v>6</v>
      </c>
    </row>
    <row hidden="true" r="153">
      <c r="A153" s="77" t="s">
        <v>255</v>
      </c>
      <c r="B153" s="78"/>
      <c r="C153" s="78"/>
      <c r="D153" s="79">
        <f>SUM(D149:D152)</f>
      </c>
      <c r="E153" s="79">
        <f>SUM(E149:E152)</f>
      </c>
      <c r="F153" s="79">
        <f>SUM(F149:F152)</f>
      </c>
      <c r="G153" s="79">
        <f>SUM(G149:G152)</f>
      </c>
      <c r="H153" s="80">
        <f t="shared" si="0"/>
      </c>
      <c r="I153" s="80">
        <f t="shared" si="2"/>
      </c>
      <c r="J153" s="80">
        <f t="shared" si="1"/>
      </c>
      <c r="K153" s="79">
        <f>SUM(K149:K152)</f>
      </c>
      <c r="L153" s="79">
        <f>SUM(L149:L152)</f>
      </c>
      <c r="M153" s="81"/>
      <c r="N153" s="79">
        <f>SUM(N149:N152)</f>
      </c>
      <c r="O153" s="81"/>
      <c r="P153" s="79">
        <f>SUM(P149:P152)</f>
      </c>
    </row>
    <row r="154">
      <c r="A154" s="82" t="s">
        <v>257</v>
      </c>
      <c r="B154" s="70" t="s">
        <v>193</v>
      </c>
      <c r="C154" s="71" t="s">
        <v>218</v>
      </c>
      <c r="D154" s="71">
        <v>4</v>
      </c>
      <c r="E154" s="71">
        <v>7</v>
      </c>
      <c r="F154" s="71">
        <v>9991</v>
      </c>
      <c r="G154" s="71">
        <v>4682.84</v>
      </c>
      <c r="H154" s="72">
        <f t="shared" si="0"/>
      </c>
      <c r="I154" s="72">
        <f t="shared" si="2"/>
      </c>
      <c r="J154" s="72">
        <f t="shared" si="1"/>
      </c>
      <c r="K154" s="71">
        <v>3</v>
      </c>
      <c r="L154" s="71">
        <v>5577.6</v>
      </c>
      <c r="M154" s="73" t="s">
        <v>243</v>
      </c>
      <c r="N154" s="73">
        <v>10</v>
      </c>
      <c r="O154" s="70" t="s">
        <v>190</v>
      </c>
      <c r="P154" s="71">
        <v>10</v>
      </c>
    </row>
    <row r="155">
      <c r="A155" s="82" t="s">
        <v>257</v>
      </c>
      <c r="B155" s="76" t="s">
        <v>187</v>
      </c>
      <c r="C155" s="71" t="s">
        <v>219</v>
      </c>
      <c r="D155" s="71">
        <v>4</v>
      </c>
      <c r="E155" s="71">
        <v>3</v>
      </c>
      <c r="F155" s="71">
        <v>5709.6</v>
      </c>
      <c r="G155" s="71">
        <v>5948.010000000001</v>
      </c>
      <c r="H155" s="72">
        <f t="shared" si="0"/>
      </c>
      <c r="I155" s="72">
        <f t="shared" si="2"/>
      </c>
      <c r="J155" s="72">
        <f t="shared" si="1"/>
      </c>
      <c r="K155" s="71">
        <v>2</v>
      </c>
      <c r="L155" s="71">
        <v>3621.6000000000004</v>
      </c>
      <c r="M155" s="71"/>
      <c r="N155" s="71"/>
      <c r="O155" s="75"/>
      <c r="P155" s="70"/>
    </row>
    <row r="156">
      <c r="A156" s="82" t="s">
        <v>257</v>
      </c>
      <c r="B156" s="76" t="s">
        <v>197</v>
      </c>
      <c r="C156" s="71" t="s">
        <v>220</v>
      </c>
      <c r="D156" s="71">
        <v>4</v>
      </c>
      <c r="E156" s="71">
        <v>3</v>
      </c>
      <c r="F156" s="71">
        <v>5202</v>
      </c>
      <c r="G156" s="71">
        <v>3803.08</v>
      </c>
      <c r="H156" s="72">
        <f t="shared" si="0"/>
      </c>
      <c r="I156" s="72">
        <f t="shared" si="2"/>
      </c>
      <c r="J156" s="72">
        <f t="shared" si="1"/>
      </c>
      <c r="K156" s="71">
        <v>1</v>
      </c>
      <c r="L156" s="71">
        <v>2011.2</v>
      </c>
      <c r="M156" s="71" t="s">
        <v>258</v>
      </c>
      <c r="N156" s="71">
        <v>8</v>
      </c>
      <c r="O156" s="75"/>
      <c r="P156" s="70"/>
    </row>
    <row r="157">
      <c r="A157" s="82" t="s">
        <v>257</v>
      </c>
      <c r="B157" s="76" t="s">
        <v>250</v>
      </c>
      <c r="C157" s="71" t="s">
        <v>205</v>
      </c>
      <c r="D157" s="71">
        <v>4</v>
      </c>
      <c r="E157" s="71">
        <v>4</v>
      </c>
      <c r="F157" s="71">
        <v>6177.6</v>
      </c>
      <c r="G157" s="71">
        <v>3915.5</v>
      </c>
      <c r="H157" s="72">
        <f t="shared" si="0"/>
      </c>
      <c r="I157" s="72">
        <f t="shared" si="2"/>
      </c>
      <c r="J157" s="72">
        <f t="shared" si="1"/>
      </c>
      <c r="K157" s="71">
        <v>0</v>
      </c>
      <c r="L157" s="74">
        <v>0</v>
      </c>
      <c r="M157" s="71" t="s">
        <v>195</v>
      </c>
      <c r="N157" s="89">
        <v>2</v>
      </c>
      <c r="O157" s="75" t="s">
        <v>196</v>
      </c>
      <c r="P157" s="70">
        <v>10</v>
      </c>
    </row>
    <row r="158">
      <c r="A158" s="82" t="s">
        <v>257</v>
      </c>
      <c r="B158" s="76" t="s">
        <v>191</v>
      </c>
      <c r="C158" s="71" t="s">
        <v>251</v>
      </c>
      <c r="D158" s="71">
        <v>4</v>
      </c>
      <c r="E158" s="71">
        <v>5</v>
      </c>
      <c r="F158" s="70">
        <v>5473.200000000004</v>
      </c>
      <c r="G158" s="71">
        <v>4790.65</v>
      </c>
      <c r="H158" s="72">
        <f t="shared" si="0"/>
      </c>
      <c r="I158" s="72">
        <f t="shared" si="2"/>
      </c>
      <c r="J158" s="72">
        <f t="shared" si="1"/>
      </c>
      <c r="K158" s="71">
        <v>0</v>
      </c>
      <c r="L158" s="74">
        <v>0</v>
      </c>
      <c r="M158" s="71"/>
      <c r="N158" s="71"/>
      <c r="O158" s="75"/>
      <c r="P158" s="70"/>
    </row>
    <row r="159">
      <c r="A159" s="77" t="s">
        <v>257</v>
      </c>
      <c r="B159" s="78"/>
      <c r="C159" s="78"/>
      <c r="D159" s="79">
        <f>SUM(D154:D158)</f>
      </c>
      <c r="E159" s="79">
        <f>SUM(E154:E158)</f>
      </c>
      <c r="F159" s="79">
        <f>SUM(F154:F158)</f>
      </c>
      <c r="G159" s="79">
        <f>SUM(G154:G158)</f>
      </c>
      <c r="H159" s="80">
        <f t="shared" si="0"/>
      </c>
      <c r="I159" s="80">
        <f t="shared" si="2"/>
      </c>
      <c r="J159" s="80">
        <f t="shared" si="1"/>
      </c>
      <c r="K159" s="79">
        <f>SUM(K154:K158)</f>
      </c>
      <c r="L159" s="79">
        <f>SUM(L154:L158)</f>
      </c>
      <c r="M159" s="81"/>
      <c r="N159" s="79">
        <f>SUM(N154:N158)</f>
      </c>
      <c r="O159" s="81"/>
      <c r="P159" s="79">
        <f>SUM(P154:P158)</f>
      </c>
    </row>
    <row r="160">
      <c r="A160" s="82" t="s">
        <v>259</v>
      </c>
      <c r="B160" s="70" t="s">
        <v>187</v>
      </c>
      <c r="C160" s="71" t="s">
        <v>218</v>
      </c>
      <c r="D160" s="71">
        <v>4</v>
      </c>
      <c r="E160" s="71">
        <v>5</v>
      </c>
      <c r="F160" s="71">
        <v>6950.4</v>
      </c>
      <c r="G160" s="71">
        <v>7561</v>
      </c>
      <c r="H160" s="72">
        <f t="shared" si="0"/>
      </c>
      <c r="I160" s="72">
        <f t="shared" si="2"/>
      </c>
      <c r="J160" s="72">
        <f t="shared" si="1"/>
      </c>
      <c r="K160" s="71">
        <v>0</v>
      </c>
      <c r="L160" s="71">
        <v>0</v>
      </c>
      <c r="M160" s="73" t="s">
        <v>260</v>
      </c>
      <c r="N160" s="73">
        <v>10</v>
      </c>
      <c r="O160" s="70" t="s">
        <v>190</v>
      </c>
      <c r="P160" s="71">
        <v>10</v>
      </c>
    </row>
    <row r="161">
      <c r="A161" s="82" t="s">
        <v>259</v>
      </c>
      <c r="B161" s="76" t="s">
        <v>193</v>
      </c>
      <c r="C161" s="71" t="s">
        <v>219</v>
      </c>
      <c r="D161" s="71">
        <v>4</v>
      </c>
      <c r="E161" s="71">
        <v>11</v>
      </c>
      <c r="F161" s="71">
        <v>14077.2</v>
      </c>
      <c r="G161" s="71">
        <v>9112.02</v>
      </c>
      <c r="H161" s="72">
        <f t="shared" si="0"/>
      </c>
      <c r="I161" s="72">
        <f t="shared" si="2"/>
      </c>
      <c r="J161" s="72">
        <f t="shared" si="1"/>
      </c>
      <c r="K161" s="71">
        <v>4</v>
      </c>
      <c r="L161" s="71">
        <v>5546.4</v>
      </c>
      <c r="M161" s="71"/>
      <c r="N161" s="71"/>
      <c r="O161" s="75"/>
      <c r="P161" s="70"/>
    </row>
    <row r="162">
      <c r="A162" s="82" t="s">
        <v>259</v>
      </c>
      <c r="B162" s="76" t="s">
        <v>191</v>
      </c>
      <c r="C162" s="71" t="s">
        <v>220</v>
      </c>
      <c r="D162" s="71">
        <v>4</v>
      </c>
      <c r="E162" s="71">
        <v>11</v>
      </c>
      <c r="F162" s="71">
        <v>14341.2</v>
      </c>
      <c r="G162" s="71">
        <v>10530.99</v>
      </c>
      <c r="H162" s="72">
        <f t="shared" si="0"/>
      </c>
      <c r="I162" s="72">
        <f t="shared" si="2"/>
      </c>
      <c r="J162" s="72">
        <f t="shared" si="1"/>
      </c>
      <c r="K162" s="71">
        <v>5</v>
      </c>
      <c r="L162" s="71">
        <v>5125.2</v>
      </c>
      <c r="M162" s="71" t="s">
        <v>258</v>
      </c>
      <c r="N162" s="71">
        <v>8</v>
      </c>
      <c r="O162" s="75"/>
      <c r="P162" s="70"/>
    </row>
    <row r="163">
      <c r="A163" s="82" t="s">
        <v>259</v>
      </c>
      <c r="B163" s="76" t="s">
        <v>250</v>
      </c>
      <c r="C163" s="71" t="s">
        <v>205</v>
      </c>
      <c r="D163" s="71">
        <v>4</v>
      </c>
      <c r="E163" s="71">
        <v>15</v>
      </c>
      <c r="F163" s="71">
        <v>14827.2</v>
      </c>
      <c r="G163" s="71">
        <v>9854.070000000002</v>
      </c>
      <c r="H163" s="72">
        <f t="shared" si="0"/>
      </c>
      <c r="I163" s="72">
        <f t="shared" si="2"/>
      </c>
      <c r="J163" s="72">
        <f t="shared" si="1"/>
      </c>
      <c r="K163" s="71">
        <v>3</v>
      </c>
      <c r="L163" s="74">
        <v>5637.6</v>
      </c>
      <c r="M163" s="71" t="s">
        <v>195</v>
      </c>
      <c r="N163" s="89">
        <v>2</v>
      </c>
      <c r="O163" s="75" t="s">
        <v>196</v>
      </c>
      <c r="P163" s="70">
        <v>10</v>
      </c>
    </row>
    <row r="164">
      <c r="A164" s="82" t="s">
        <v>259</v>
      </c>
      <c r="B164" s="76" t="s">
        <v>197</v>
      </c>
      <c r="C164" s="71" t="s">
        <v>251</v>
      </c>
      <c r="D164" s="71">
        <v>4</v>
      </c>
      <c r="E164" s="71">
        <v>10</v>
      </c>
      <c r="F164" s="70">
        <v>7250.400000000003</v>
      </c>
      <c r="G164" s="71">
        <v>9556.36</v>
      </c>
      <c r="H164" s="72">
        <f t="shared" si="0"/>
      </c>
      <c r="I164" s="72">
        <f t="shared" si="2"/>
      </c>
      <c r="J164" s="72">
        <f t="shared" si="1"/>
      </c>
      <c r="K164" s="71">
        <v>1</v>
      </c>
      <c r="L164" s="74">
        <v>1411.2</v>
      </c>
      <c r="M164" s="71"/>
      <c r="N164" s="71"/>
      <c r="O164" s="75"/>
      <c r="P164" s="70"/>
    </row>
    <row r="165">
      <c r="A165" s="77" t="s">
        <v>259</v>
      </c>
      <c r="B165" s="78"/>
      <c r="C165" s="78"/>
      <c r="D165" s="79">
        <f>SUM(D160:D164)</f>
      </c>
      <c r="E165" s="79">
        <f>SUM(E160:E164)</f>
      </c>
      <c r="F165" s="79">
        <f>SUM(F160:F164)</f>
      </c>
      <c r="G165" s="79">
        <f>SUM(G160:G164)</f>
      </c>
      <c r="H165" s="80">
        <f t="shared" si="0"/>
      </c>
      <c r="I165" s="80">
        <f t="shared" si="2"/>
      </c>
      <c r="J165" s="80">
        <f t="shared" si="1"/>
      </c>
      <c r="K165" s="79">
        <f>SUM(K160:K164)</f>
      </c>
      <c r="L165" s="79">
        <f>SUM(L160:L164)</f>
      </c>
      <c r="M165" s="81"/>
      <c r="N165" s="79">
        <f>SUM(N160:N164)</f>
      </c>
      <c r="O165" s="81"/>
      <c r="P165" s="79">
        <f>SUM(P160:P164)</f>
      </c>
    </row>
    <row r="166">
      <c r="A166" s="82" t="s">
        <v>261</v>
      </c>
      <c r="B166" s="70" t="s">
        <v>187</v>
      </c>
      <c r="C166" s="70" t="s">
        <v>188</v>
      </c>
      <c r="D166" s="90">
        <f>5-1.5</f>
      </c>
      <c r="E166" s="71">
        <v>10</v>
      </c>
      <c r="F166" s="71">
        <v>15240</v>
      </c>
      <c r="G166" s="71">
        <v>9339.720000000001</v>
      </c>
      <c r="H166" s="72">
        <f t="shared" si="0"/>
      </c>
      <c r="I166" s="72">
        <f t="shared" si="2"/>
      </c>
      <c r="J166" s="72">
        <f t="shared" si="1"/>
      </c>
      <c r="K166" s="71">
        <v>0</v>
      </c>
      <c r="L166" s="71">
        <v>0</v>
      </c>
      <c r="M166" s="73" t="s">
        <v>243</v>
      </c>
      <c r="N166" s="84">
        <v>10</v>
      </c>
      <c r="O166" s="70" t="s">
        <v>190</v>
      </c>
      <c r="P166" s="70">
        <v>10</v>
      </c>
    </row>
    <row r="167">
      <c r="A167" s="82" t="s">
        <v>261</v>
      </c>
      <c r="B167" s="76" t="s">
        <v>193</v>
      </c>
      <c r="C167" s="70" t="s">
        <v>192</v>
      </c>
      <c r="D167" s="90">
        <f>5-0.25</f>
      </c>
      <c r="E167" s="71">
        <v>4</v>
      </c>
      <c r="F167" s="71">
        <v>4453.2</v>
      </c>
      <c r="G167" s="71">
        <v>5519.35</v>
      </c>
      <c r="H167" s="72">
        <f t="shared" si="0"/>
      </c>
      <c r="I167" s="72">
        <f t="shared" si="2"/>
      </c>
      <c r="J167" s="72">
        <f t="shared" si="1"/>
      </c>
      <c r="K167" s="71">
        <v>1</v>
      </c>
      <c r="L167" s="71">
        <v>382.8</v>
      </c>
      <c r="M167" s="84"/>
      <c r="N167" s="84"/>
      <c r="O167" s="75"/>
      <c r="P167" s="70"/>
    </row>
    <row r="168">
      <c r="A168" s="82" t="s">
        <v>261</v>
      </c>
      <c r="B168" s="76" t="s">
        <v>197</v>
      </c>
      <c r="C168" s="70" t="s">
        <v>194</v>
      </c>
      <c r="D168" s="90">
        <f>5-0.5</f>
      </c>
      <c r="E168" s="71">
        <v>6</v>
      </c>
      <c r="F168" s="71">
        <v>6907.2</v>
      </c>
      <c r="G168" s="71">
        <v>5797.17</v>
      </c>
      <c r="H168" s="72">
        <f t="shared" si="0"/>
      </c>
      <c r="I168" s="72">
        <f t="shared" si="2"/>
      </c>
      <c r="J168" s="72">
        <f t="shared" si="1"/>
      </c>
      <c r="K168" s="71">
        <v>3</v>
      </c>
      <c r="L168" s="74">
        <v>3979.2</v>
      </c>
      <c r="M168" s="71" t="s">
        <v>258</v>
      </c>
      <c r="N168" s="71">
        <v>8</v>
      </c>
      <c r="O168" s="75" t="s">
        <v>196</v>
      </c>
      <c r="P168" s="70">
        <v>10</v>
      </c>
    </row>
    <row r="169">
      <c r="A169" s="82" t="s">
        <v>261</v>
      </c>
      <c r="B169" s="76" t="s">
        <v>250</v>
      </c>
      <c r="C169" s="70" t="s">
        <v>201</v>
      </c>
      <c r="D169" s="70">
        <v>5</v>
      </c>
      <c r="E169" s="71">
        <v>2</v>
      </c>
      <c r="F169" s="70">
        <v>4099.2</v>
      </c>
      <c r="G169" s="71">
        <v>6559.77</v>
      </c>
      <c r="H169" s="72">
        <f t="shared" si="0"/>
      </c>
      <c r="I169" s="72">
        <f t="shared" si="2"/>
      </c>
      <c r="J169" s="72">
        <f t="shared" si="1"/>
      </c>
      <c r="K169" s="71">
        <v>0</v>
      </c>
      <c r="L169" s="74">
        <v>0</v>
      </c>
      <c r="M169" s="71" t="s">
        <v>195</v>
      </c>
      <c r="N169" s="89">
        <v>2</v>
      </c>
      <c r="O169" s="75"/>
      <c r="P169" s="70"/>
    </row>
    <row r="170">
      <c r="A170" s="77" t="s">
        <v>261</v>
      </c>
      <c r="B170" s="78"/>
      <c r="C170" s="78"/>
      <c r="D170" s="79">
        <f>SUM(D166:D169)</f>
      </c>
      <c r="E170" s="79">
        <f>SUM(E166:E169)</f>
      </c>
      <c r="F170" s="79">
        <f>SUM(F166:F169)</f>
      </c>
      <c r="G170" s="79">
        <f>SUM(G166:G169)</f>
      </c>
      <c r="H170" s="80">
        <f t="shared" si="0"/>
      </c>
      <c r="I170" s="80">
        <f t="shared" si="2"/>
      </c>
      <c r="J170" s="80">
        <f t="shared" si="1"/>
      </c>
      <c r="K170" s="79">
        <f>SUM(K166:K169)</f>
      </c>
      <c r="L170" s="79">
        <f>SUM(L166:L169)</f>
      </c>
      <c r="M170" s="81"/>
      <c r="N170" s="79">
        <f>SUM(N166:N169)</f>
      </c>
      <c r="O170" s="81"/>
      <c r="P170" s="79">
        <f>SUM(P166:P169)</f>
      </c>
    </row>
    <row r="171"/>
    <row r="172"/>
    <row r="173">
      <c r="C173" s="91"/>
      <c r="D173" s="91"/>
      <c r="E173" s="91"/>
      <c r="G173" s="91"/>
      <c r="H173" s="91"/>
      <c r="I173" s="91"/>
    </row>
    <row r="174">
      <c r="D174" s="91"/>
      <c r="E174" s="91"/>
      <c r="H174" s="91"/>
      <c r="I174" s="91"/>
    </row>
    <row r="175">
      <c r="D175" s="91"/>
      <c r="E175" s="91"/>
      <c r="H175" s="91"/>
      <c r="I175" s="91"/>
    </row>
    <row r="176"/>
    <row customHeight="true" ht="16.071428571428573" r="177">
      <c r="C177" s="91"/>
      <c r="J177" s="91"/>
      <c r="K177" s="92"/>
    </row>
    <row r="178">
      <c r="D178" s="91"/>
      <c r="E178" s="91"/>
      <c r="G178" s="91"/>
      <c r="K178" s="91"/>
      <c r="P178" s="91"/>
      <c r="Q178" s="91"/>
    </row>
    <row r="179">
      <c r="P179" s="93"/>
      <c r="Q179" s="93"/>
    </row>
    <row r="180">
      <c r="G180" s="94"/>
    </row>
    <row r="181">
      <c r="F181" s="89"/>
      <c r="G181" s="95"/>
      <c r="I181" s="91"/>
      <c r="J181" s="91"/>
    </row>
    <row r="182">
      <c r="F182" s="96"/>
      <c r="G182" s="94"/>
      <c r="I182" s="93"/>
      <c r="J182" s="93"/>
    </row>
    <row r="183">
      <c r="F183" s="96"/>
      <c r="G183" s="94"/>
      <c r="I183" s="93"/>
      <c r="J183" s="93"/>
    </row>
    <row r="184">
      <c r="F184" s="96"/>
      <c r="G184" s="94"/>
      <c r="I184" s="93"/>
      <c r="J184" s="93"/>
    </row>
    <row r="185">
      <c r="F185" s="96"/>
      <c r="G185" s="94"/>
      <c r="I185" s="93"/>
      <c r="J185" s="93"/>
    </row>
    <row r="186">
      <c r="F186" s="96"/>
      <c r="G186" s="94"/>
      <c r="I186" s="93"/>
      <c r="J186" s="93"/>
    </row>
    <row r="187">
      <c r="F187" s="96"/>
      <c r="G187" s="94"/>
      <c r="I187" s="93"/>
      <c r="J187" s="93"/>
    </row>
    <row r="188">
      <c r="F188" s="96"/>
      <c r="G188" s="94"/>
      <c r="I188" s="93"/>
      <c r="J188" s="93"/>
    </row>
    <row r="189">
      <c r="F189" s="96"/>
      <c r="G189" s="94"/>
      <c r="I189" s="93"/>
      <c r="J189" s="93"/>
    </row>
    <row r="190">
      <c r="F190" s="96"/>
      <c r="G190" s="94"/>
      <c r="I190" s="93"/>
      <c r="J190" s="93"/>
    </row>
    <row r="191">
      <c r="F191" s="96"/>
      <c r="G191" s="94"/>
      <c r="I191" s="93"/>
      <c r="J191" s="93"/>
    </row>
    <row r="192">
      <c r="F192" s="96"/>
      <c r="G192" s="94"/>
      <c r="I192" s="93"/>
      <c r="J192" s="93"/>
    </row>
    <row r="193">
      <c r="G193" s="94"/>
    </row>
    <row r="194">
      <c r="C194" s="91"/>
      <c r="D194" s="91"/>
      <c r="G194" s="91"/>
      <c r="H194" s="91"/>
    </row>
    <row r="195">
      <c r="B195" s="92"/>
      <c r="C195" s="91"/>
      <c r="D195" s="91"/>
      <c r="F195" s="91"/>
      <c r="G195" s="91"/>
      <c r="H195" s="91"/>
    </row>
    <row r="196">
      <c r="B196" s="92"/>
      <c r="C196" s="92"/>
      <c r="D196" s="91"/>
      <c r="E196" s="91"/>
      <c r="F196" s="91"/>
      <c r="G196" s="91"/>
      <c r="H196" s="91"/>
    </row>
    <row r="197">
      <c r="C197" s="91"/>
      <c r="D197" s="91"/>
      <c r="G197" s="92"/>
      <c r="H197" s="91"/>
      <c r="I197" s="91"/>
    </row>
    <row r="198">
      <c r="H198" s="91"/>
      <c r="I198" s="91"/>
    </row>
    <row r="199">
      <c r="B199" s="91"/>
      <c r="C199" s="91"/>
      <c r="D199" s="91"/>
    </row>
  </sheetData>
  <autoFilter ref="A1:T170">
    <filterColumn colId="0">
      <filters>
        <filter val="2026/8/29"/>
        <filter val="2026/8/30"/>
        <filter val="2026/8/31"/>
      </filters>
    </filterColumn>
  </autoFilter>
  <dataValidations count="5">
    <dataValidation allowBlank="true" errorStyle="stop" showErrorMessage="true" sqref="B2:B18 B20:B24 B26:B30 B32:B34 B71:B95" type="list">
      <formula1>"蔡露露,杜思利,田宇尚,李雅琪,葛鑫然,段雨诺,于慧"</formula1>
    </dataValidation>
    <dataValidation allowBlank="true" errorStyle="stop" showErrorMessage="true" sqref="B19:B19 B25:B25 B31:B31" type="list">
      <formula1>"蔡露露,杜思利,田宇尚,李雅琪,葛鑫然,段雨诺,于慧,郜洁"</formula1>
    </dataValidation>
    <dataValidation allowBlank="true" errorStyle="stop" showErrorMessage="true" sqref="B35:B36 B38:B42 B44:B48 B50:B54 B56:B60 B62:B66 B69:B70" type="list">
      <formula1>"蔡露露,杜思利,田宇尚,李雅琪,葛鑫然,段雨诺,于慧"</formula1>
    </dataValidation>
    <dataValidation allowBlank="true" errorStyle="stop" showErrorMessage="true" sqref="B37:B37 B43:B43 B49:B49 B55:B55 B61:B61 B67:B68" type="list">
      <formula1>"蔡露露,杜思利,田宇尚,李雅琪,葛鑫然,段雨诺,于慧,郜洁,陈雯"</formula1>
    </dataValidation>
    <dataValidation allowBlank="true" errorStyle="stop" showErrorMessage="true" sqref="B96:B170" type="list">
      <formula1>"蔡露露,杜思利,田宇尚,李雅琪,葛鑫然,段雨诺,于慧,刘子斌,张伟娜"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2" min="2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1" min="21" style="0" width="11.211267605633802"/>
    <col collapsed="false" customWidth="true" hidden="false" max="1" min="1" style="0" width="11.88732394366197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</cols>
  <sheetData>
    <row r="1">
      <c r="A1" s="97" t="s">
        <v>262</v>
      </c>
      <c r="B1" s="98" t="s">
        <v>263</v>
      </c>
      <c r="C1" s="98" t="s">
        <v>264</v>
      </c>
      <c r="D1" s="98" t="s">
        <v>265</v>
      </c>
      <c r="E1" s="98" t="s">
        <v>266</v>
      </c>
      <c r="F1" s="99" t="s">
        <v>267</v>
      </c>
      <c r="G1" s="99" t="s">
        <v>268</v>
      </c>
      <c r="H1" s="99" t="s">
        <v>269</v>
      </c>
      <c r="I1" s="99" t="s">
        <v>270</v>
      </c>
      <c r="J1" s="99" t="s">
        <v>271</v>
      </c>
      <c r="K1" s="98" t="s">
        <v>272</v>
      </c>
      <c r="L1" s="98" t="s">
        <v>273</v>
      </c>
      <c r="M1" s="98" t="s">
        <v>274</v>
      </c>
      <c r="N1" s="98" t="s">
        <v>275</v>
      </c>
      <c r="O1" s="98" t="s">
        <v>276</v>
      </c>
      <c r="P1" s="98" t="s">
        <v>277</v>
      </c>
    </row>
    <row r="2">
      <c r="A2" s="100" t="s">
        <v>278</v>
      </c>
      <c r="B2" s="101" t="s">
        <v>279</v>
      </c>
      <c r="C2" s="101" t="s">
        <v>280</v>
      </c>
      <c r="D2" s="101">
        <v>5</v>
      </c>
      <c r="E2" s="101">
        <v>31</v>
      </c>
      <c r="F2" s="101">
        <v>31111.2</v>
      </c>
      <c r="G2" s="101">
        <v>27965.89</v>
      </c>
      <c r="H2" s="102">
        <f t="shared" ref="H2:H166" si="1">F2/G2</f>
      </c>
      <c r="I2" s="102">
        <f t="shared" ref="I2:I166" si="0">F2/E2</f>
      </c>
      <c r="J2" s="102">
        <f t="shared" ref="J2:J166" si="2">G2/E2</f>
      </c>
      <c r="K2" s="101">
        <v>8</v>
      </c>
      <c r="L2" s="101">
        <v>6007.200000000001</v>
      </c>
      <c r="M2" s="103" t="s">
        <v>281</v>
      </c>
      <c r="N2" s="103">
        <v>10</v>
      </c>
      <c r="O2" s="101" t="s">
        <v>282</v>
      </c>
      <c r="P2" s="101">
        <v>10</v>
      </c>
    </row>
    <row r="3">
      <c r="A3" s="100" t="s">
        <v>278</v>
      </c>
      <c r="B3" s="101" t="s">
        <v>283</v>
      </c>
      <c r="C3" s="101" t="s">
        <v>284</v>
      </c>
      <c r="D3" s="101">
        <v>3</v>
      </c>
      <c r="E3" s="101">
        <v>25</v>
      </c>
      <c r="F3" s="101">
        <v>29687.2</v>
      </c>
      <c r="G3" s="101">
        <v>19860.4</v>
      </c>
      <c r="H3" s="102">
        <f t="shared" si="1"/>
      </c>
      <c r="I3" s="102">
        <f t="shared" si="0"/>
      </c>
      <c r="J3" s="102">
        <f t="shared" si="2"/>
      </c>
      <c r="K3" s="101">
        <v>7</v>
      </c>
      <c r="L3" s="101">
        <v>9588</v>
      </c>
      <c r="M3" s="101"/>
      <c r="N3" s="101"/>
      <c r="O3" s="101"/>
      <c r="P3" s="104"/>
    </row>
    <row r="4">
      <c r="A4" s="100" t="s">
        <v>278</v>
      </c>
      <c r="B4" s="100" t="s">
        <v>285</v>
      </c>
      <c r="C4" s="101" t="s">
        <v>286</v>
      </c>
      <c r="D4" s="101">
        <v>4</v>
      </c>
      <c r="E4" s="101">
        <v>12</v>
      </c>
      <c r="F4" s="101">
        <v>11837.999999999993</v>
      </c>
      <c r="G4" s="101">
        <v>18454.24</v>
      </c>
      <c r="H4" s="102">
        <f t="shared" si="1"/>
      </c>
      <c r="I4" s="102">
        <f t="shared" si="0"/>
      </c>
      <c r="J4" s="102">
        <f t="shared" si="2"/>
      </c>
      <c r="K4" s="101">
        <v>0</v>
      </c>
      <c r="L4" s="101">
        <v>0</v>
      </c>
      <c r="M4" s="101"/>
      <c r="N4" s="101"/>
      <c r="O4" s="101"/>
      <c r="P4" s="104"/>
    </row>
    <row r="5">
      <c r="A5" s="100" t="s">
        <v>278</v>
      </c>
      <c r="B5" s="100" t="s">
        <v>287</v>
      </c>
      <c r="C5" s="101" t="s">
        <v>288</v>
      </c>
      <c r="D5" s="101">
        <v>4</v>
      </c>
      <c r="E5" s="101">
        <v>30</v>
      </c>
      <c r="F5" s="101">
        <v>36085.20000000001</v>
      </c>
      <c r="G5" s="101">
        <v>19323.02</v>
      </c>
      <c r="H5" s="102">
        <f t="shared" si="1"/>
      </c>
      <c r="I5" s="102">
        <f t="shared" si="0"/>
      </c>
      <c r="J5" s="102">
        <f t="shared" si="2"/>
      </c>
      <c r="K5" s="101">
        <v>5</v>
      </c>
      <c r="L5" s="101">
        <v>5736</v>
      </c>
      <c r="M5" s="101" t="s">
        <v>289</v>
      </c>
      <c r="N5" s="101">
        <v>10</v>
      </c>
      <c r="O5" s="101" t="s">
        <v>290</v>
      </c>
      <c r="P5" s="101">
        <v>10</v>
      </c>
    </row>
    <row r="6">
      <c r="A6" s="100" t="s">
        <v>278</v>
      </c>
      <c r="B6" s="100" t="s">
        <v>291</v>
      </c>
      <c r="C6" s="101" t="s">
        <v>292</v>
      </c>
      <c r="D6" s="101">
        <v>4</v>
      </c>
      <c r="E6" s="101">
        <v>13</v>
      </c>
      <c r="F6" s="101">
        <v>16422</v>
      </c>
      <c r="G6" s="101">
        <v>16527.5</v>
      </c>
      <c r="H6" s="102">
        <f t="shared" si="1"/>
      </c>
      <c r="I6" s="102">
        <f t="shared" si="0"/>
      </c>
      <c r="J6" s="102">
        <f t="shared" si="2"/>
      </c>
      <c r="K6" s="101">
        <v>4</v>
      </c>
      <c r="L6" s="101">
        <v>5088</v>
      </c>
      <c r="M6" s="101"/>
      <c r="N6" s="101"/>
      <c r="O6" s="101"/>
      <c r="P6" s="101"/>
    </row>
    <row r="7">
      <c r="A7" s="105" t="s">
        <v>278</v>
      </c>
      <c r="B7" s="106"/>
      <c r="C7" s="106"/>
      <c r="D7" s="107">
        <f>SUM(D2:D6)</f>
      </c>
      <c r="E7" s="107">
        <f>SUM(E2:E6)</f>
      </c>
      <c r="F7" s="107">
        <f>SUM(F2:F6)</f>
      </c>
      <c r="G7" s="107">
        <f>SUM(G2:G6)</f>
      </c>
      <c r="H7" s="108">
        <f t="shared" si="1"/>
      </c>
      <c r="I7" s="108">
        <f t="shared" si="0"/>
      </c>
      <c r="J7" s="108">
        <f t="shared" si="2"/>
      </c>
      <c r="K7" s="107">
        <f>SUM(K2:K6)</f>
      </c>
      <c r="L7" s="107">
        <f>SUM(L2:L6)</f>
      </c>
      <c r="M7" s="109"/>
      <c r="N7" s="107">
        <f>SUM(N2:N6)</f>
      </c>
      <c r="O7" s="109"/>
      <c r="P7" s="107">
        <f>SUM(P2:P6)</f>
      </c>
    </row>
    <row r="8">
      <c r="A8" s="100" t="s">
        <v>293</v>
      </c>
      <c r="B8" s="101" t="s">
        <v>279</v>
      </c>
      <c r="C8" s="101" t="s">
        <v>280</v>
      </c>
      <c r="D8" s="101">
        <v>5</v>
      </c>
      <c r="E8" s="101">
        <v>31</v>
      </c>
      <c r="F8" s="101">
        <v>37675.2</v>
      </c>
      <c r="G8" s="101">
        <v>27190.139999999996</v>
      </c>
      <c r="H8" s="102">
        <f t="shared" si="1"/>
      </c>
      <c r="I8" s="102">
        <f t="shared" si="0"/>
      </c>
      <c r="J8" s="102">
        <f t="shared" si="2"/>
      </c>
      <c r="K8" s="101">
        <v>2</v>
      </c>
      <c r="L8" s="101">
        <v>3780</v>
      </c>
      <c r="M8" s="103" t="s">
        <v>281</v>
      </c>
      <c r="N8" s="103">
        <v>10</v>
      </c>
      <c r="O8" s="101" t="s">
        <v>282</v>
      </c>
      <c r="P8" s="101">
        <v>10</v>
      </c>
    </row>
    <row r="9">
      <c r="A9" s="100" t="s">
        <v>293</v>
      </c>
      <c r="B9" s="101" t="s">
        <v>283</v>
      </c>
      <c r="C9" s="101" t="s">
        <v>294</v>
      </c>
      <c r="D9" s="101">
        <v>2</v>
      </c>
      <c r="E9" s="101">
        <v>5</v>
      </c>
      <c r="F9" s="101">
        <v>7608</v>
      </c>
      <c r="G9" s="101">
        <v>11406.99</v>
      </c>
      <c r="H9" s="102">
        <f t="shared" si="1"/>
      </c>
      <c r="I9" s="102">
        <f t="shared" si="0"/>
      </c>
      <c r="J9" s="102">
        <f t="shared" si="2"/>
      </c>
      <c r="K9" s="101">
        <v>0</v>
      </c>
      <c r="L9" s="101">
        <v>0</v>
      </c>
      <c r="M9" s="101"/>
      <c r="N9" s="101"/>
      <c r="O9" s="101"/>
      <c r="P9" s="104"/>
    </row>
    <row r="10">
      <c r="A10" s="100" t="s">
        <v>293</v>
      </c>
      <c r="B10" s="100" t="s">
        <v>291</v>
      </c>
      <c r="C10" s="101" t="s">
        <v>295</v>
      </c>
      <c r="D10" s="101">
        <v>4</v>
      </c>
      <c r="E10" s="101">
        <v>18</v>
      </c>
      <c r="F10" s="101">
        <v>19966.800000000003</v>
      </c>
      <c r="G10" s="101">
        <v>18574.129999999997</v>
      </c>
      <c r="H10" s="102">
        <f t="shared" si="1"/>
      </c>
      <c r="I10" s="102">
        <f t="shared" si="0"/>
      </c>
      <c r="J10" s="102">
        <f t="shared" si="2"/>
      </c>
      <c r="K10" s="101">
        <v>2</v>
      </c>
      <c r="L10" s="101">
        <v>948</v>
      </c>
      <c r="M10" s="101"/>
      <c r="N10" s="101"/>
      <c r="O10" s="101"/>
      <c r="P10" s="104"/>
    </row>
    <row r="11">
      <c r="A11" s="100" t="s">
        <v>293</v>
      </c>
      <c r="B11" s="100" t="s">
        <v>287</v>
      </c>
      <c r="C11" s="101" t="s">
        <v>296</v>
      </c>
      <c r="D11" s="101">
        <v>4</v>
      </c>
      <c r="E11" s="101">
        <v>31</v>
      </c>
      <c r="F11" s="101">
        <v>32942</v>
      </c>
      <c r="G11" s="101">
        <v>18601.98</v>
      </c>
      <c r="H11" s="102">
        <f t="shared" si="1"/>
      </c>
      <c r="I11" s="102">
        <f t="shared" si="0"/>
      </c>
      <c r="J11" s="102">
        <f t="shared" si="2"/>
      </c>
      <c r="K11" s="101">
        <v>2</v>
      </c>
      <c r="L11" s="101">
        <v>2532</v>
      </c>
      <c r="M11" s="101" t="s">
        <v>289</v>
      </c>
      <c r="N11" s="101">
        <v>10</v>
      </c>
      <c r="O11" s="101" t="s">
        <v>290</v>
      </c>
      <c r="P11" s="101">
        <v>10</v>
      </c>
    </row>
    <row r="12">
      <c r="A12" s="100" t="s">
        <v>293</v>
      </c>
      <c r="B12" s="100" t="s">
        <v>285</v>
      </c>
      <c r="C12" s="101" t="s">
        <v>297</v>
      </c>
      <c r="D12" s="101">
        <v>5</v>
      </c>
      <c r="E12" s="101">
        <v>19</v>
      </c>
      <c r="F12" s="101">
        <v>21202.800000000003</v>
      </c>
      <c r="G12" s="101">
        <v>20703.28</v>
      </c>
      <c r="H12" s="102">
        <f t="shared" si="1"/>
      </c>
      <c r="I12" s="102">
        <f t="shared" si="0"/>
      </c>
      <c r="J12" s="102">
        <f t="shared" si="2"/>
      </c>
      <c r="K12" s="101">
        <v>3</v>
      </c>
      <c r="L12" s="101">
        <v>1519.2</v>
      </c>
      <c r="M12" s="101"/>
      <c r="N12" s="101"/>
      <c r="O12" s="101"/>
      <c r="P12" s="101"/>
    </row>
    <row r="13">
      <c r="A13" s="105" t="s">
        <v>293</v>
      </c>
      <c r="B13" s="106"/>
      <c r="C13" s="106"/>
      <c r="D13" s="107">
        <f>SUM(D8:D12)</f>
      </c>
      <c r="E13" s="107">
        <f>SUM(E8:E12)</f>
      </c>
      <c r="F13" s="107">
        <f>SUM(F8:F12)</f>
      </c>
      <c r="G13" s="107">
        <f>SUM(G8:G12)</f>
      </c>
      <c r="H13" s="108">
        <f t="shared" si="1"/>
      </c>
      <c r="I13" s="108">
        <f t="shared" si="0"/>
      </c>
      <c r="J13" s="108">
        <f t="shared" si="2"/>
      </c>
      <c r="K13" s="107">
        <f>SUM(K8:K12)</f>
      </c>
      <c r="L13" s="107">
        <f>SUM(L8:L12)</f>
      </c>
      <c r="M13" s="109"/>
      <c r="N13" s="107">
        <f>SUM(N8:N12)</f>
      </c>
      <c r="O13" s="109"/>
      <c r="P13" s="107">
        <f>SUM(P8:P12)</f>
      </c>
    </row>
    <row r="14">
      <c r="A14" s="100" t="s">
        <v>298</v>
      </c>
      <c r="B14" s="101" t="s">
        <v>287</v>
      </c>
      <c r="C14" s="101" t="s">
        <v>299</v>
      </c>
      <c r="D14" s="101">
        <v>4</v>
      </c>
      <c r="E14" s="101">
        <v>27</v>
      </c>
      <c r="F14" s="101">
        <v>34470</v>
      </c>
      <c r="G14" s="101">
        <v>18230.82</v>
      </c>
      <c r="H14" s="102">
        <f t="shared" si="1"/>
      </c>
      <c r="I14" s="102">
        <f t="shared" si="0"/>
      </c>
      <c r="J14" s="102">
        <f t="shared" si="2"/>
      </c>
      <c r="K14" s="101">
        <v>7</v>
      </c>
      <c r="L14" s="101">
        <v>2297</v>
      </c>
      <c r="M14" s="110" t="s">
        <v>300</v>
      </c>
      <c r="N14" s="103">
        <v>10</v>
      </c>
      <c r="O14" s="101" t="s">
        <v>282</v>
      </c>
      <c r="P14" s="101">
        <v>10</v>
      </c>
    </row>
    <row r="15">
      <c r="A15" s="100" t="s">
        <v>298</v>
      </c>
      <c r="B15" s="101" t="s">
        <v>283</v>
      </c>
      <c r="C15" s="101" t="s">
        <v>301</v>
      </c>
      <c r="D15" s="101">
        <v>4</v>
      </c>
      <c r="E15" s="101">
        <v>11</v>
      </c>
      <c r="F15" s="101">
        <v>9093.800000000003</v>
      </c>
      <c r="G15" s="101">
        <v>17217.25</v>
      </c>
      <c r="H15" s="102">
        <f t="shared" si="1"/>
      </c>
      <c r="I15" s="102">
        <f t="shared" si="0"/>
      </c>
      <c r="J15" s="102">
        <f t="shared" si="2"/>
      </c>
      <c r="K15" s="101">
        <v>2</v>
      </c>
      <c r="L15" s="101">
        <v>2297</v>
      </c>
      <c r="M15" s="101"/>
      <c r="N15" s="101"/>
      <c r="O15" s="101"/>
      <c r="P15" s="104"/>
    </row>
    <row r="16">
      <c r="A16" s="100" t="s">
        <v>298</v>
      </c>
      <c r="B16" s="100" t="s">
        <v>302</v>
      </c>
      <c r="C16" s="101" t="s">
        <v>286</v>
      </c>
      <c r="D16" s="101">
        <v>4</v>
      </c>
      <c r="E16" s="101">
        <v>22</v>
      </c>
      <c r="F16" s="101">
        <v>25624.199999999997</v>
      </c>
      <c r="G16" s="101">
        <v>14946.550000000001</v>
      </c>
      <c r="H16" s="102">
        <f t="shared" si="1"/>
      </c>
      <c r="I16" s="102">
        <f t="shared" si="0"/>
      </c>
      <c r="J16" s="102">
        <f t="shared" si="2"/>
      </c>
      <c r="K16" s="101">
        <v>9</v>
      </c>
      <c r="L16" s="101">
        <v>11369.2</v>
      </c>
      <c r="M16" s="101"/>
      <c r="N16" s="101"/>
      <c r="O16" s="101"/>
      <c r="P16" s="104"/>
    </row>
    <row r="17">
      <c r="A17" s="100" t="s">
        <v>298</v>
      </c>
      <c r="B17" s="100" t="s">
        <v>279</v>
      </c>
      <c r="C17" s="101" t="s">
        <v>288</v>
      </c>
      <c r="D17" s="101">
        <v>4</v>
      </c>
      <c r="E17" s="101">
        <v>4</v>
      </c>
      <c r="F17" s="101">
        <v>5125.199999999997</v>
      </c>
      <c r="G17" s="101">
        <v>11976.68</v>
      </c>
      <c r="H17" s="102">
        <f t="shared" si="1"/>
      </c>
      <c r="I17" s="102">
        <f t="shared" si="0"/>
      </c>
      <c r="J17" s="102">
        <f t="shared" si="2"/>
      </c>
      <c r="K17" s="101">
        <v>1</v>
      </c>
      <c r="L17" s="101">
        <v>2088</v>
      </c>
      <c r="M17" s="101" t="s">
        <v>289</v>
      </c>
      <c r="N17" s="101">
        <v>10</v>
      </c>
      <c r="O17" s="101" t="s">
        <v>290</v>
      </c>
      <c r="P17" s="101">
        <v>10</v>
      </c>
    </row>
    <row r="18">
      <c r="A18" s="100" t="s">
        <v>298</v>
      </c>
      <c r="B18" s="100" t="s">
        <v>285</v>
      </c>
      <c r="C18" s="101" t="s">
        <v>292</v>
      </c>
      <c r="D18" s="101">
        <v>4</v>
      </c>
      <c r="E18" s="101">
        <v>13</v>
      </c>
      <c r="F18" s="101">
        <v>16089.600000000006</v>
      </c>
      <c r="G18" s="101">
        <v>13700.130000000001</v>
      </c>
      <c r="H18" s="102">
        <f t="shared" si="1"/>
      </c>
      <c r="I18" s="102">
        <f t="shared" si="0"/>
      </c>
      <c r="J18" s="102">
        <f t="shared" si="2"/>
      </c>
      <c r="K18" s="101">
        <v>1</v>
      </c>
      <c r="L18" s="101">
        <v>396</v>
      </c>
      <c r="M18" s="101"/>
      <c r="N18" s="101"/>
      <c r="O18" s="101"/>
      <c r="P18" s="101"/>
    </row>
    <row r="19">
      <c r="A19" s="105">
        <v>46206</v>
      </c>
      <c r="B19" s="106"/>
      <c r="C19" s="106"/>
      <c r="D19" s="107">
        <f>SUM(D14:D18)</f>
      </c>
      <c r="E19" s="107">
        <f>SUM(E14:E18)</f>
      </c>
      <c r="F19" s="107">
        <f>SUM(F14:F18)</f>
      </c>
      <c r="G19" s="107">
        <f>SUM(G14:G18)</f>
      </c>
      <c r="H19" s="108">
        <f t="shared" si="1"/>
      </c>
      <c r="I19" s="108">
        <f t="shared" si="0"/>
      </c>
      <c r="J19" s="108">
        <f t="shared" si="2"/>
      </c>
      <c r="K19" s="107">
        <f>SUM(K14:K18)</f>
      </c>
      <c r="L19" s="107">
        <f>SUM(L14:L18)</f>
      </c>
      <c r="M19" s="109"/>
      <c r="N19" s="107">
        <f>SUM(N14:N18)</f>
      </c>
      <c r="O19" s="109"/>
      <c r="P19" s="107">
        <f>SUM(P14:P18)</f>
      </c>
    </row>
    <row r="20">
      <c r="A20" s="100" t="s">
        <v>303</v>
      </c>
      <c r="B20" s="101" t="s">
        <v>302</v>
      </c>
      <c r="C20" s="101" t="s">
        <v>299</v>
      </c>
      <c r="D20" s="101">
        <v>4</v>
      </c>
      <c r="E20" s="101">
        <v>8</v>
      </c>
      <c r="F20" s="101">
        <v>7910.4</v>
      </c>
      <c r="G20" s="101">
        <v>14365.69</v>
      </c>
      <c r="H20" s="102">
        <f t="shared" si="1"/>
      </c>
      <c r="I20" s="102">
        <f t="shared" si="0"/>
      </c>
      <c r="J20" s="102">
        <f t="shared" si="2"/>
      </c>
      <c r="K20" s="101">
        <v>5</v>
      </c>
      <c r="L20" s="101">
        <v>5127.6</v>
      </c>
      <c r="M20" s="110" t="s">
        <v>304</v>
      </c>
      <c r="N20" s="103">
        <v>10</v>
      </c>
      <c r="O20" s="101" t="s">
        <v>282</v>
      </c>
      <c r="P20" s="101">
        <v>10</v>
      </c>
    </row>
    <row r="21">
      <c r="A21" s="100" t="s">
        <v>303</v>
      </c>
      <c r="B21" s="101" t="s">
        <v>283</v>
      </c>
      <c r="C21" s="101" t="s">
        <v>301</v>
      </c>
      <c r="D21" s="101">
        <v>4</v>
      </c>
      <c r="E21" s="101">
        <v>18</v>
      </c>
      <c r="F21" s="101">
        <v>20161.199999999997</v>
      </c>
      <c r="G21" s="101">
        <v>13184.9</v>
      </c>
      <c r="H21" s="102">
        <f t="shared" si="1"/>
      </c>
      <c r="I21" s="102">
        <f t="shared" si="0"/>
      </c>
      <c r="J21" s="102">
        <f t="shared" si="2"/>
      </c>
      <c r="K21" s="101">
        <v>3</v>
      </c>
      <c r="L21" s="101">
        <v>3885.6</v>
      </c>
      <c r="M21" s="101"/>
      <c r="N21" s="101"/>
      <c r="O21" s="101"/>
      <c r="P21" s="104"/>
    </row>
    <row r="22">
      <c r="A22" s="100" t="s">
        <v>303</v>
      </c>
      <c r="B22" s="100" t="s">
        <v>287</v>
      </c>
      <c r="C22" s="101" t="s">
        <v>286</v>
      </c>
      <c r="D22" s="101">
        <v>4</v>
      </c>
      <c r="E22" s="101">
        <v>20</v>
      </c>
      <c r="F22" s="101">
        <v>26757.6</v>
      </c>
      <c r="G22" s="101">
        <v>16655.71</v>
      </c>
      <c r="H22" s="102">
        <f t="shared" si="1"/>
      </c>
      <c r="I22" s="102">
        <f t="shared" si="0"/>
      </c>
      <c r="J22" s="102">
        <f t="shared" si="2"/>
      </c>
      <c r="K22" s="101">
        <v>3</v>
      </c>
      <c r="L22" s="101">
        <v>2580</v>
      </c>
      <c r="M22" s="101"/>
      <c r="N22" s="101"/>
      <c r="O22" s="101"/>
      <c r="P22" s="104"/>
    </row>
    <row r="23">
      <c r="A23" s="100" t="s">
        <v>303</v>
      </c>
      <c r="B23" s="100" t="s">
        <v>285</v>
      </c>
      <c r="C23" s="101" t="s">
        <v>288</v>
      </c>
      <c r="D23" s="101">
        <v>4</v>
      </c>
      <c r="E23" s="101">
        <v>7</v>
      </c>
      <c r="F23" s="101">
        <v>10538.400000000001</v>
      </c>
      <c r="G23" s="101">
        <v>11546.59</v>
      </c>
      <c r="H23" s="102">
        <f t="shared" si="1"/>
      </c>
      <c r="I23" s="102">
        <f t="shared" si="0"/>
      </c>
      <c r="J23" s="102">
        <f t="shared" si="2"/>
      </c>
      <c r="K23" s="101">
        <v>1</v>
      </c>
      <c r="L23" s="101">
        <v>2088</v>
      </c>
      <c r="M23" s="101" t="s">
        <v>289</v>
      </c>
      <c r="N23" s="101">
        <v>10</v>
      </c>
      <c r="O23" s="101" t="s">
        <v>290</v>
      </c>
      <c r="P23" s="101">
        <v>10</v>
      </c>
    </row>
    <row r="24">
      <c r="A24" s="100" t="s">
        <v>303</v>
      </c>
      <c r="B24" s="100" t="s">
        <v>291</v>
      </c>
      <c r="C24" s="101" t="s">
        <v>292</v>
      </c>
      <c r="D24" s="101">
        <v>4</v>
      </c>
      <c r="E24" s="101">
        <v>16</v>
      </c>
      <c r="F24" s="101">
        <v>22626.000000000007</v>
      </c>
      <c r="G24" s="101">
        <v>14227.8</v>
      </c>
      <c r="H24" s="102">
        <f t="shared" si="1"/>
      </c>
      <c r="I24" s="102">
        <f t="shared" si="0"/>
      </c>
      <c r="J24" s="102">
        <f t="shared" si="2"/>
      </c>
      <c r="K24" s="101">
        <v>1</v>
      </c>
      <c r="L24" s="101">
        <v>456</v>
      </c>
      <c r="M24" s="101"/>
      <c r="N24" s="101"/>
      <c r="O24" s="101"/>
      <c r="P24" s="101"/>
    </row>
    <row r="25">
      <c r="A25" s="105">
        <v>46207</v>
      </c>
      <c r="B25" s="106"/>
      <c r="C25" s="106"/>
      <c r="D25" s="107">
        <f>SUM(D20:D24)</f>
      </c>
      <c r="E25" s="107">
        <f>SUM(E20:E24)</f>
      </c>
      <c r="F25" s="107">
        <f>SUM(F20:F24)</f>
      </c>
      <c r="G25" s="107">
        <f>SUM(G20:G24)</f>
      </c>
      <c r="H25" s="108">
        <f t="shared" si="1"/>
      </c>
      <c r="I25" s="108">
        <f t="shared" si="0"/>
      </c>
      <c r="J25" s="108">
        <f t="shared" si="2"/>
      </c>
      <c r="K25" s="107">
        <f>SUM(K20:K24)</f>
      </c>
      <c r="L25" s="107">
        <f>SUM(L20:L24)</f>
      </c>
      <c r="M25" s="109"/>
      <c r="N25" s="107">
        <f>SUM(N20:N24)</f>
      </c>
      <c r="O25" s="109"/>
      <c r="P25" s="107">
        <f>SUM(P20:P24)</f>
      </c>
    </row>
    <row r="26">
      <c r="A26" s="100" t="s">
        <v>305</v>
      </c>
      <c r="B26" s="101" t="s">
        <v>287</v>
      </c>
      <c r="C26" s="101" t="s">
        <v>299</v>
      </c>
      <c r="D26" s="101">
        <v>4</v>
      </c>
      <c r="E26" s="101">
        <v>23</v>
      </c>
      <c r="F26" s="101">
        <v>29511</v>
      </c>
      <c r="G26" s="101">
        <v>16509.85</v>
      </c>
      <c r="H26" s="102">
        <f t="shared" si="1"/>
      </c>
      <c r="I26" s="102">
        <f t="shared" si="0"/>
      </c>
      <c r="J26" s="102">
        <f t="shared" si="2"/>
      </c>
      <c r="K26" s="101">
        <v>6</v>
      </c>
      <c r="L26" s="101">
        <v>6378</v>
      </c>
      <c r="M26" s="110" t="s">
        <v>300</v>
      </c>
      <c r="N26" s="103">
        <v>10</v>
      </c>
      <c r="O26" s="101" t="s">
        <v>282</v>
      </c>
      <c r="P26" s="101">
        <v>10</v>
      </c>
    </row>
    <row r="27">
      <c r="A27" s="100" t="s">
        <v>305</v>
      </c>
      <c r="B27" s="101" t="s">
        <v>283</v>
      </c>
      <c r="C27" s="101" t="s">
        <v>301</v>
      </c>
      <c r="D27" s="101">
        <v>4</v>
      </c>
      <c r="E27" s="101">
        <v>25</v>
      </c>
      <c r="F27" s="101">
        <v>28396.800000000003</v>
      </c>
      <c r="G27" s="101">
        <v>20909.45</v>
      </c>
      <c r="H27" s="102">
        <f t="shared" si="1"/>
      </c>
      <c r="I27" s="102">
        <f t="shared" si="0"/>
      </c>
      <c r="J27" s="102">
        <f t="shared" si="2"/>
      </c>
      <c r="K27" s="101">
        <v>7</v>
      </c>
      <c r="L27" s="101">
        <v>6474</v>
      </c>
      <c r="M27" s="101"/>
      <c r="N27" s="101"/>
      <c r="O27" s="101"/>
      <c r="P27" s="104"/>
    </row>
    <row r="28">
      <c r="A28" s="100" t="s">
        <v>305</v>
      </c>
      <c r="B28" s="100" t="s">
        <v>285</v>
      </c>
      <c r="C28" s="101" t="s">
        <v>286</v>
      </c>
      <c r="D28" s="101">
        <v>4</v>
      </c>
      <c r="E28" s="101">
        <v>19</v>
      </c>
      <c r="F28" s="101">
        <v>15748.800000000003</v>
      </c>
      <c r="G28" s="101">
        <v>18490.800000000003</v>
      </c>
      <c r="H28" s="102">
        <f t="shared" si="1"/>
      </c>
      <c r="I28" s="102">
        <f t="shared" si="0"/>
      </c>
      <c r="J28" s="102">
        <f t="shared" si="2"/>
      </c>
      <c r="K28" s="101">
        <v>1</v>
      </c>
      <c r="L28" s="101">
        <v>270</v>
      </c>
      <c r="M28" s="101"/>
      <c r="N28" s="101"/>
      <c r="O28" s="101"/>
      <c r="P28" s="104"/>
    </row>
    <row r="29">
      <c r="A29" s="100" t="s">
        <v>305</v>
      </c>
      <c r="B29" s="100" t="s">
        <v>291</v>
      </c>
      <c r="C29" s="101" t="s">
        <v>288</v>
      </c>
      <c r="D29" s="101">
        <v>4</v>
      </c>
      <c r="E29" s="101">
        <v>6</v>
      </c>
      <c r="F29" s="101">
        <v>5266.799999999988</v>
      </c>
      <c r="G29" s="101">
        <v>11385.75</v>
      </c>
      <c r="H29" s="102">
        <f t="shared" si="1"/>
      </c>
      <c r="I29" s="102">
        <f t="shared" si="0"/>
      </c>
      <c r="J29" s="102">
        <f t="shared" si="2"/>
      </c>
      <c r="K29" s="101">
        <v>1</v>
      </c>
      <c r="L29" s="101">
        <v>1692</v>
      </c>
      <c r="M29" s="101" t="s">
        <v>289</v>
      </c>
      <c r="N29" s="101">
        <v>10</v>
      </c>
      <c r="O29" s="101" t="s">
        <v>290</v>
      </c>
      <c r="P29" s="101">
        <v>10</v>
      </c>
    </row>
    <row r="30">
      <c r="A30" s="100" t="s">
        <v>305</v>
      </c>
      <c r="B30" s="100" t="s">
        <v>279</v>
      </c>
      <c r="C30" s="101" t="s">
        <v>292</v>
      </c>
      <c r="D30" s="101">
        <v>4</v>
      </c>
      <c r="E30" s="101">
        <v>11</v>
      </c>
      <c r="F30" s="101">
        <v>15228</v>
      </c>
      <c r="G30" s="101">
        <v>16148.5</v>
      </c>
      <c r="H30" s="102">
        <f t="shared" si="1"/>
      </c>
      <c r="I30" s="102">
        <f t="shared" si="0"/>
      </c>
      <c r="J30" s="102">
        <f t="shared" si="2"/>
      </c>
      <c r="K30" s="101">
        <v>1</v>
      </c>
      <c r="L30" s="101">
        <v>669.6</v>
      </c>
      <c r="M30" s="101"/>
      <c r="N30" s="101"/>
      <c r="O30" s="101"/>
      <c r="P30" s="101"/>
    </row>
    <row r="31">
      <c r="A31" s="105">
        <v>46208</v>
      </c>
      <c r="B31" s="106"/>
      <c r="C31" s="106"/>
      <c r="D31" s="107">
        <f>SUM(D26:D30)</f>
      </c>
      <c r="E31" s="107">
        <f>SUM(E26:E30)</f>
      </c>
      <c r="F31" s="107">
        <f>SUM(F26:F30)</f>
      </c>
      <c r="G31" s="107">
        <f>SUM(G26:G30)</f>
      </c>
      <c r="H31" s="108">
        <f t="shared" si="1"/>
      </c>
      <c r="I31" s="108">
        <f t="shared" si="0"/>
      </c>
      <c r="J31" s="108">
        <f t="shared" si="2"/>
      </c>
      <c r="K31" s="107">
        <f>SUM(K26:K30)</f>
      </c>
      <c r="L31" s="107">
        <f>SUM(L26:L30)</f>
      </c>
      <c r="M31" s="109"/>
      <c r="N31" s="107">
        <f>SUM(N26:N30)</f>
      </c>
      <c r="O31" s="109"/>
      <c r="P31" s="107">
        <f>SUM(P26:P30)</f>
      </c>
    </row>
    <row r="32">
      <c r="A32" s="100" t="s">
        <v>306</v>
      </c>
      <c r="B32" s="101" t="s">
        <v>287</v>
      </c>
      <c r="C32" s="101" t="s">
        <v>280</v>
      </c>
      <c r="D32" s="101">
        <v>5</v>
      </c>
      <c r="E32" s="101">
        <v>21</v>
      </c>
      <c r="F32" s="101">
        <v>29811.6</v>
      </c>
      <c r="G32" s="101">
        <v>18264.79</v>
      </c>
      <c r="H32" s="102">
        <f t="shared" si="1"/>
      </c>
      <c r="I32" s="102">
        <f t="shared" si="0"/>
      </c>
      <c r="J32" s="102">
        <f t="shared" si="2"/>
      </c>
      <c r="K32" s="101">
        <v>7</v>
      </c>
      <c r="L32" s="101">
        <v>6975.6</v>
      </c>
      <c r="M32" s="110" t="s">
        <v>300</v>
      </c>
      <c r="N32" s="103">
        <v>10</v>
      </c>
      <c r="O32" s="101" t="s">
        <v>282</v>
      </c>
      <c r="P32" s="101">
        <v>10</v>
      </c>
    </row>
    <row r="33">
      <c r="A33" s="100" t="s">
        <v>306</v>
      </c>
      <c r="B33" s="101" t="s">
        <v>291</v>
      </c>
      <c r="C33" s="101" t="s">
        <v>307</v>
      </c>
      <c r="D33" s="101">
        <v>5</v>
      </c>
      <c r="E33" s="101">
        <v>19</v>
      </c>
      <c r="F33" s="101">
        <v>19644</v>
      </c>
      <c r="G33" s="101">
        <v>19213.210000000003</v>
      </c>
      <c r="H33" s="102">
        <f t="shared" si="1"/>
      </c>
      <c r="I33" s="102">
        <f t="shared" si="0"/>
      </c>
      <c r="J33" s="102">
        <f t="shared" si="2"/>
      </c>
      <c r="K33" s="101">
        <v>7</v>
      </c>
      <c r="L33" s="101">
        <v>9668.4</v>
      </c>
      <c r="M33" s="101"/>
      <c r="N33" s="101"/>
      <c r="O33" s="101"/>
      <c r="P33" s="104"/>
    </row>
    <row r="34">
      <c r="A34" s="100" t="s">
        <v>306</v>
      </c>
      <c r="B34" s="100" t="s">
        <v>279</v>
      </c>
      <c r="C34" s="101" t="s">
        <v>308</v>
      </c>
      <c r="D34" s="101">
        <v>5</v>
      </c>
      <c r="E34" s="101">
        <v>12</v>
      </c>
      <c r="F34" s="101">
        <v>10754.400000000001</v>
      </c>
      <c r="G34" s="101">
        <v>13239.82</v>
      </c>
      <c r="H34" s="102">
        <f t="shared" si="1"/>
      </c>
      <c r="I34" s="102">
        <f t="shared" si="0"/>
      </c>
      <c r="J34" s="102">
        <f t="shared" si="2"/>
      </c>
      <c r="K34" s="101">
        <v>2</v>
      </c>
      <c r="L34" s="101">
        <v>1740</v>
      </c>
      <c r="M34" s="101" t="s">
        <v>309</v>
      </c>
      <c r="N34" s="101">
        <v>7</v>
      </c>
      <c r="O34" s="101" t="s">
        <v>290</v>
      </c>
      <c r="P34" s="101">
        <v>7</v>
      </c>
    </row>
    <row r="35">
      <c r="A35" s="100" t="s">
        <v>306</v>
      </c>
      <c r="B35" s="100" t="s">
        <v>302</v>
      </c>
      <c r="C35" s="101" t="s">
        <v>310</v>
      </c>
      <c r="D35" s="101">
        <v>2</v>
      </c>
      <c r="E35" s="101">
        <v>6</v>
      </c>
      <c r="F35" s="101">
        <v>10548</v>
      </c>
      <c r="G35" s="101">
        <v>3691.79</v>
      </c>
      <c r="H35" s="102">
        <f t="shared" si="1"/>
      </c>
      <c r="I35" s="102">
        <f t="shared" si="0"/>
      </c>
      <c r="J35" s="102">
        <f t="shared" si="2"/>
      </c>
      <c r="K35" s="101">
        <v>3</v>
      </c>
      <c r="L35" s="101">
        <v>4176</v>
      </c>
      <c r="M35" s="101"/>
      <c r="N35" s="101"/>
      <c r="O35" s="101"/>
      <c r="P35" s="101"/>
    </row>
    <row r="36">
      <c r="A36" s="105">
        <v>46209</v>
      </c>
      <c r="B36" s="106"/>
      <c r="C36" s="106"/>
      <c r="D36" s="107">
        <f>SUM(D32:D35)</f>
      </c>
      <c r="E36" s="107">
        <f>SUM(E32:E35)</f>
      </c>
      <c r="F36" s="107">
        <f>SUM(F32:F35)</f>
      </c>
      <c r="G36" s="107">
        <f>SUM(G32:G35)</f>
      </c>
      <c r="H36" s="108">
        <f t="shared" si="1"/>
      </c>
      <c r="I36" s="108">
        <f t="shared" si="0"/>
      </c>
      <c r="J36" s="108">
        <f t="shared" si="2"/>
      </c>
      <c r="K36" s="107">
        <f>SUM(K32:K35)</f>
      </c>
      <c r="L36" s="107">
        <f>SUM(L32:L35)</f>
      </c>
      <c r="M36" s="109"/>
      <c r="N36" s="107">
        <f>SUM(N32:N35)</f>
      </c>
      <c r="O36" s="109"/>
      <c r="P36" s="107">
        <f>SUM(P32:P35)</f>
      </c>
    </row>
    <row customHeight="true" ht="16.071428571428573" r="37">
      <c r="A37" s="111" t="s">
        <v>311</v>
      </c>
      <c r="B37" s="103" t="s">
        <v>291</v>
      </c>
      <c r="C37" s="103" t="s">
        <v>299</v>
      </c>
      <c r="D37" s="103">
        <v>4</v>
      </c>
      <c r="E37" s="103">
        <v>6</v>
      </c>
      <c r="F37" s="103">
        <v>9868.8</v>
      </c>
      <c r="G37" s="103">
        <v>7989.46</v>
      </c>
      <c r="H37" s="112">
        <f t="shared" si="1"/>
      </c>
      <c r="I37" s="112">
        <f t="shared" si="0"/>
      </c>
      <c r="J37" s="112">
        <f t="shared" si="2"/>
      </c>
      <c r="K37" s="103">
        <v>1</v>
      </c>
      <c r="L37" s="103">
        <v>1344</v>
      </c>
      <c r="M37" s="113" t="s">
        <v>300</v>
      </c>
      <c r="N37" s="113">
        <v>10</v>
      </c>
      <c r="O37" s="103" t="s">
        <v>282</v>
      </c>
      <c r="P37" s="103">
        <v>10</v>
      </c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</row>
    <row customHeight="true" ht="16.071428571428573" r="38">
      <c r="A38" s="111" t="s">
        <v>311</v>
      </c>
      <c r="B38" s="103" t="s">
        <v>283</v>
      </c>
      <c r="C38" s="103" t="s">
        <v>301</v>
      </c>
      <c r="D38" s="103">
        <v>4</v>
      </c>
      <c r="E38" s="103">
        <v>19</v>
      </c>
      <c r="F38" s="103">
        <v>16985.8</v>
      </c>
      <c r="G38" s="103">
        <v>13153.35</v>
      </c>
      <c r="H38" s="112">
        <f t="shared" si="1"/>
      </c>
      <c r="I38" s="112">
        <f t="shared" si="0"/>
      </c>
      <c r="J38" s="112">
        <f t="shared" si="2"/>
      </c>
      <c r="K38" s="103">
        <v>4</v>
      </c>
      <c r="L38" s="115">
        <v>2532</v>
      </c>
      <c r="M38" s="103" t="s">
        <v>312</v>
      </c>
      <c r="N38" s="103">
        <v>4</v>
      </c>
      <c r="O38" s="116"/>
      <c r="P38" s="103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</row>
    <row customHeight="true" ht="16.071428571428573" r="39">
      <c r="A39" s="111" t="s">
        <v>311</v>
      </c>
      <c r="B39" s="111" t="s">
        <v>279</v>
      </c>
      <c r="C39" s="103" t="s">
        <v>286</v>
      </c>
      <c r="D39" s="103">
        <v>4</v>
      </c>
      <c r="E39" s="103">
        <v>19</v>
      </c>
      <c r="F39" s="103">
        <v>22871.8</v>
      </c>
      <c r="G39" s="103">
        <v>15140.1</v>
      </c>
      <c r="H39" s="112">
        <f t="shared" si="1"/>
      </c>
      <c r="I39" s="112">
        <f t="shared" si="0"/>
      </c>
      <c r="J39" s="112">
        <f t="shared" si="2"/>
      </c>
      <c r="K39" s="103">
        <v>5</v>
      </c>
      <c r="L39" s="115">
        <v>5198</v>
      </c>
      <c r="M39" s="103" t="s">
        <v>313</v>
      </c>
      <c r="N39" s="103">
        <v>4</v>
      </c>
      <c r="O39" s="116"/>
      <c r="P39" s="103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</row>
    <row customHeight="true" ht="16.071428571428573" r="40">
      <c r="A40" s="111" t="s">
        <v>311</v>
      </c>
      <c r="B40" s="111" t="s">
        <v>302</v>
      </c>
      <c r="C40" s="103" t="s">
        <v>314</v>
      </c>
      <c r="D40" s="110">
        <v>3</v>
      </c>
      <c r="E40" s="103">
        <v>6</v>
      </c>
      <c r="F40" s="103">
        <v>7834.8</v>
      </c>
      <c r="G40" s="103">
        <v>7079.44</v>
      </c>
      <c r="H40" s="112">
        <f t="shared" si="1"/>
      </c>
      <c r="I40" s="112">
        <f t="shared" si="0"/>
      </c>
      <c r="J40" s="112">
        <f t="shared" si="2"/>
      </c>
      <c r="K40" s="103">
        <v>0</v>
      </c>
      <c r="L40" s="115">
        <v>0</v>
      </c>
      <c r="M40" s="103" t="s">
        <v>315</v>
      </c>
      <c r="N40" s="103">
        <v>2</v>
      </c>
      <c r="O40" s="116" t="s">
        <v>290</v>
      </c>
      <c r="P40" s="103">
        <v>10</v>
      </c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</row>
    <row customHeight="true" ht="16.071428571428573" r="41">
      <c r="A41" s="111" t="s">
        <v>311</v>
      </c>
      <c r="B41" s="111" t="s">
        <v>287</v>
      </c>
      <c r="C41" s="103" t="s">
        <v>297</v>
      </c>
      <c r="D41" s="110">
        <v>5</v>
      </c>
      <c r="E41" s="103">
        <v>26</v>
      </c>
      <c r="F41" s="103">
        <v>36704.4</v>
      </c>
      <c r="G41" s="103">
        <v>16890.75</v>
      </c>
      <c r="H41" s="112">
        <f t="shared" si="1"/>
      </c>
      <c r="I41" s="112">
        <f t="shared" si="0"/>
      </c>
      <c r="J41" s="112">
        <f t="shared" si="2"/>
      </c>
      <c r="K41" s="103">
        <v>1</v>
      </c>
      <c r="L41" s="103">
        <v>1286.4</v>
      </c>
      <c r="M41" s="117"/>
      <c r="N41" s="117"/>
      <c r="O41" s="103"/>
      <c r="P41" s="103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</row>
    <row customHeight="true" ht="16.071428571428573" r="42">
      <c r="A42" s="105">
        <v>46210</v>
      </c>
      <c r="B42" s="118"/>
      <c r="C42" s="118"/>
      <c r="D42" s="119">
        <f>SUM(D37:D41)</f>
      </c>
      <c r="E42" s="119">
        <f>SUM(E37:E41)</f>
      </c>
      <c r="F42" s="119">
        <f>SUM(F37:F41)</f>
      </c>
      <c r="G42" s="119">
        <f>SUM(G37:G41)</f>
      </c>
      <c r="H42" s="120">
        <f t="shared" si="1"/>
      </c>
      <c r="I42" s="120">
        <f t="shared" si="0"/>
      </c>
      <c r="J42" s="120">
        <f t="shared" si="2"/>
      </c>
      <c r="K42" s="119">
        <f>SUM(K37:K41)</f>
      </c>
      <c r="L42" s="119">
        <f>SUM(L37:L41)</f>
      </c>
      <c r="M42" s="121"/>
      <c r="N42" s="119">
        <f>SUM(N37:N41)</f>
      </c>
      <c r="O42" s="121"/>
      <c r="P42" s="119">
        <f>SUM(P37:P41)</f>
      </c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</row>
    <row r="43">
      <c r="A43" s="100" t="s">
        <v>316</v>
      </c>
      <c r="B43" s="101" t="s">
        <v>291</v>
      </c>
      <c r="C43" s="101" t="s">
        <v>280</v>
      </c>
      <c r="D43" s="101">
        <v>5</v>
      </c>
      <c r="E43" s="101">
        <v>27</v>
      </c>
      <c r="F43" s="101">
        <v>29670</v>
      </c>
      <c r="G43" s="101">
        <v>20509.07</v>
      </c>
      <c r="H43" s="102">
        <f t="shared" si="1"/>
      </c>
      <c r="I43" s="102">
        <f t="shared" si="0"/>
      </c>
      <c r="J43" s="102">
        <f t="shared" si="2"/>
      </c>
      <c r="K43" s="101">
        <v>7</v>
      </c>
      <c r="L43" s="101">
        <v>6456</v>
      </c>
      <c r="M43" s="122" t="s">
        <v>281</v>
      </c>
      <c r="N43" s="113">
        <v>10</v>
      </c>
      <c r="O43" s="101" t="s">
        <v>282</v>
      </c>
      <c r="P43" s="101">
        <v>10</v>
      </c>
    </row>
    <row r="44">
      <c r="A44" s="100" t="s">
        <v>316</v>
      </c>
      <c r="B44" s="101" t="s">
        <v>283</v>
      </c>
      <c r="C44" s="101" t="s">
        <v>307</v>
      </c>
      <c r="D44" s="101">
        <v>5</v>
      </c>
      <c r="E44" s="101">
        <v>15</v>
      </c>
      <c r="F44" s="101">
        <v>15062.400000000001</v>
      </c>
      <c r="G44" s="101">
        <v>18672.640000000003</v>
      </c>
      <c r="H44" s="102">
        <f t="shared" si="1"/>
      </c>
      <c r="I44" s="102">
        <f t="shared" si="0"/>
      </c>
      <c r="J44" s="102">
        <f t="shared" si="2"/>
      </c>
      <c r="K44" s="101">
        <v>6</v>
      </c>
      <c r="L44" s="123">
        <v>8472</v>
      </c>
      <c r="M44" s="101"/>
      <c r="N44" s="101"/>
      <c r="O44" s="124"/>
      <c r="P44" s="104"/>
    </row>
    <row r="45">
      <c r="A45" s="100" t="s">
        <v>316</v>
      </c>
      <c r="B45" s="100" t="s">
        <v>287</v>
      </c>
      <c r="C45" s="101" t="s">
        <v>308</v>
      </c>
      <c r="D45" s="101">
        <v>5</v>
      </c>
      <c r="E45" s="101">
        <v>26</v>
      </c>
      <c r="F45" s="101">
        <v>29235.200000000004</v>
      </c>
      <c r="G45" s="101">
        <v>17319.87</v>
      </c>
      <c r="H45" s="102">
        <f t="shared" si="1"/>
      </c>
      <c r="I45" s="102">
        <f t="shared" si="0"/>
      </c>
      <c r="J45" s="102">
        <f t="shared" si="2"/>
      </c>
      <c r="K45" s="101">
        <v>5</v>
      </c>
      <c r="L45" s="123">
        <v>6222.8</v>
      </c>
      <c r="M45" s="101" t="s">
        <v>312</v>
      </c>
      <c r="N45" s="125">
        <v>9</v>
      </c>
      <c r="O45" s="124" t="s">
        <v>290</v>
      </c>
      <c r="P45" s="101">
        <v>10</v>
      </c>
    </row>
    <row r="46">
      <c r="A46" s="100" t="s">
        <v>316</v>
      </c>
      <c r="B46" s="100" t="s">
        <v>285</v>
      </c>
      <c r="C46" s="101" t="s">
        <v>317</v>
      </c>
      <c r="D46" s="101">
        <v>4</v>
      </c>
      <c r="E46" s="101">
        <v>20</v>
      </c>
      <c r="F46" s="101">
        <v>21805.199999999997</v>
      </c>
      <c r="G46" s="101">
        <v>18263.510000000002</v>
      </c>
      <c r="H46" s="102">
        <f t="shared" si="1"/>
      </c>
      <c r="I46" s="102">
        <f t="shared" si="0"/>
      </c>
      <c r="J46" s="102">
        <f t="shared" si="2"/>
      </c>
      <c r="K46" s="101">
        <v>5</v>
      </c>
      <c r="L46" s="101">
        <v>4320</v>
      </c>
      <c r="M46" s="126"/>
      <c r="N46" s="126"/>
      <c r="O46" s="101"/>
      <c r="P46" s="101"/>
    </row>
    <row r="47">
      <c r="A47" s="105" t="s">
        <v>316</v>
      </c>
      <c r="B47" s="106"/>
      <c r="C47" s="106"/>
      <c r="D47" s="107">
        <f>SUM(D43:D46)</f>
      </c>
      <c r="E47" s="107">
        <f>SUM(E43:E46)</f>
      </c>
      <c r="F47" s="107">
        <f>SUM(F43:F46)</f>
      </c>
      <c r="G47" s="107">
        <f>SUM(G43:G46)</f>
      </c>
      <c r="H47" s="108">
        <f t="shared" si="1"/>
      </c>
      <c r="I47" s="108">
        <f t="shared" si="0"/>
      </c>
      <c r="J47" s="108">
        <f t="shared" si="2"/>
      </c>
      <c r="K47" s="107">
        <f>SUM(K43:K46)</f>
      </c>
      <c r="L47" s="107">
        <f>SUM(L43:L46)</f>
      </c>
      <c r="M47" s="109"/>
      <c r="N47" s="107">
        <f>SUM(N43:N46)</f>
      </c>
      <c r="O47" s="109"/>
      <c r="P47" s="107">
        <f>SUM(P43:P46)</f>
      </c>
    </row>
    <row r="48">
      <c r="A48" s="127" t="s">
        <v>318</v>
      </c>
      <c r="B48" s="103" t="s">
        <v>302</v>
      </c>
      <c r="C48" s="103" t="s">
        <v>299</v>
      </c>
      <c r="D48" s="103">
        <v>4</v>
      </c>
      <c r="E48" s="110">
        <v>18</v>
      </c>
      <c r="F48" s="103">
        <v>16676.4</v>
      </c>
      <c r="G48" s="103">
        <v>10666.939999999999</v>
      </c>
      <c r="H48" s="112">
        <f t="shared" si="1"/>
      </c>
      <c r="I48" s="112">
        <f t="shared" si="0"/>
      </c>
      <c r="J48" s="112">
        <f t="shared" si="2"/>
      </c>
      <c r="K48" s="110">
        <v>7</v>
      </c>
      <c r="L48" s="103">
        <v>5812.799999999999</v>
      </c>
      <c r="M48" s="122" t="s">
        <v>281</v>
      </c>
      <c r="N48" s="113">
        <v>10</v>
      </c>
      <c r="O48" s="103" t="s">
        <v>282</v>
      </c>
      <c r="P48" s="103">
        <v>10</v>
      </c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</row>
    <row r="49">
      <c r="A49" s="111" t="s">
        <v>318</v>
      </c>
      <c r="B49" s="103" t="s">
        <v>283</v>
      </c>
      <c r="C49" s="103" t="s">
        <v>301</v>
      </c>
      <c r="D49" s="103">
        <v>4</v>
      </c>
      <c r="E49" s="110">
        <v>4</v>
      </c>
      <c r="F49" s="103">
        <v>5744.399999999998</v>
      </c>
      <c r="G49" s="103">
        <v>10973.93</v>
      </c>
      <c r="H49" s="112">
        <f t="shared" si="1"/>
      </c>
      <c r="I49" s="112">
        <f t="shared" si="0"/>
      </c>
      <c r="J49" s="112">
        <f t="shared" si="2"/>
      </c>
      <c r="K49" s="110">
        <v>2</v>
      </c>
      <c r="L49" s="115">
        <v>3780</v>
      </c>
      <c r="M49" s="101"/>
      <c r="N49" s="101"/>
      <c r="O49" s="116"/>
      <c r="P49" s="103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</row>
    <row r="50">
      <c r="A50" s="111" t="s">
        <v>318</v>
      </c>
      <c r="B50" s="111" t="s">
        <v>287</v>
      </c>
      <c r="C50" s="103" t="s">
        <v>286</v>
      </c>
      <c r="D50" s="103">
        <v>4</v>
      </c>
      <c r="E50" s="110">
        <v>10</v>
      </c>
      <c r="F50" s="103">
        <v>14313.600000000002</v>
      </c>
      <c r="G50" s="103">
        <v>8836.859999999999</v>
      </c>
      <c r="H50" s="112">
        <f t="shared" si="1"/>
      </c>
      <c r="I50" s="112">
        <f t="shared" si="0"/>
      </c>
      <c r="J50" s="112">
        <f t="shared" si="2"/>
      </c>
      <c r="K50" s="110">
        <v>2</v>
      </c>
      <c r="L50" s="115">
        <v>1632</v>
      </c>
      <c r="M50" s="101"/>
      <c r="N50" s="125"/>
      <c r="O50" s="116"/>
      <c r="P50" s="103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</row>
    <row r="51">
      <c r="A51" s="111" t="s">
        <v>318</v>
      </c>
      <c r="B51" s="111" t="s">
        <v>285</v>
      </c>
      <c r="C51" s="110" t="s">
        <v>288</v>
      </c>
      <c r="D51" s="103">
        <v>4</v>
      </c>
      <c r="E51" s="110">
        <v>13</v>
      </c>
      <c r="F51" s="103">
        <v>17799.6</v>
      </c>
      <c r="G51" s="103">
        <v>8558.07</v>
      </c>
      <c r="H51" s="112">
        <f t="shared" si="1"/>
      </c>
      <c r="I51" s="112">
        <f t="shared" si="0"/>
      </c>
      <c r="J51" s="112">
        <f t="shared" si="2"/>
      </c>
      <c r="K51" s="110">
        <v>0</v>
      </c>
      <c r="L51" s="128">
        <v>0</v>
      </c>
      <c r="M51" s="101" t="s">
        <v>289</v>
      </c>
      <c r="N51" s="125">
        <v>10</v>
      </c>
      <c r="O51" s="116" t="s">
        <v>290</v>
      </c>
      <c r="P51" s="103">
        <v>10</v>
      </c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</row>
    <row r="52">
      <c r="A52" s="111" t="s">
        <v>318</v>
      </c>
      <c r="B52" s="111" t="s">
        <v>291</v>
      </c>
      <c r="C52" s="110" t="s">
        <v>292</v>
      </c>
      <c r="D52" s="103">
        <v>4</v>
      </c>
      <c r="E52" s="110">
        <v>8</v>
      </c>
      <c r="F52" s="103">
        <v>9170</v>
      </c>
      <c r="G52" s="103">
        <v>10643.550000000001</v>
      </c>
      <c r="H52" s="112">
        <f t="shared" si="1"/>
      </c>
      <c r="I52" s="112">
        <f t="shared" si="0"/>
      </c>
      <c r="J52" s="112">
        <f t="shared" si="2"/>
      </c>
      <c r="K52" s="110">
        <v>1</v>
      </c>
      <c r="L52" s="110">
        <v>456</v>
      </c>
      <c r="M52" s="117"/>
      <c r="N52" s="117"/>
      <c r="O52" s="103"/>
      <c r="P52" s="103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</row>
    <row r="53">
      <c r="A53" s="105" t="s">
        <v>318</v>
      </c>
      <c r="B53" s="118"/>
      <c r="C53" s="118"/>
      <c r="D53" s="119">
        <f>SUM(D48:D52)</f>
      </c>
      <c r="E53" s="119">
        <f>SUM(E48:E52)</f>
      </c>
      <c r="F53" s="119">
        <f>SUM(F48:F52)</f>
      </c>
      <c r="G53" s="119">
        <f>SUM(G48:G52)</f>
      </c>
      <c r="H53" s="120">
        <f t="shared" si="1"/>
      </c>
      <c r="I53" s="120">
        <f t="shared" si="0"/>
      </c>
      <c r="J53" s="120">
        <f t="shared" si="2"/>
      </c>
      <c r="K53" s="119">
        <f>SUM(K48:K52)</f>
      </c>
      <c r="L53" s="119">
        <f>SUM(L48:L52)</f>
      </c>
      <c r="M53" s="121"/>
      <c r="N53" s="119">
        <f>SUM(N48:N52)</f>
      </c>
      <c r="O53" s="121"/>
      <c r="P53" s="119">
        <f>SUM(P48:P52)</f>
      </c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</row>
    <row r="54">
      <c r="A54" s="127" t="s">
        <v>319</v>
      </c>
      <c r="B54" s="103" t="s">
        <v>287</v>
      </c>
      <c r="C54" s="103" t="s">
        <v>299</v>
      </c>
      <c r="D54" s="103">
        <v>4</v>
      </c>
      <c r="E54" s="110">
        <v>5</v>
      </c>
      <c r="F54" s="103">
        <v>6916.8</v>
      </c>
      <c r="G54" s="103">
        <v>8463.130000000001</v>
      </c>
      <c r="H54" s="112">
        <f t="shared" si="1"/>
      </c>
      <c r="I54" s="112">
        <f t="shared" si="0"/>
      </c>
      <c r="J54" s="112">
        <f t="shared" si="2"/>
      </c>
      <c r="K54" s="110">
        <v>0</v>
      </c>
      <c r="L54" s="110">
        <v>0</v>
      </c>
      <c r="M54" s="122" t="s">
        <v>281</v>
      </c>
      <c r="N54" s="113">
        <v>10</v>
      </c>
      <c r="O54" s="103" t="s">
        <v>282</v>
      </c>
      <c r="P54" s="103">
        <v>10</v>
      </c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</row>
    <row r="55">
      <c r="A55" s="111" t="s">
        <v>319</v>
      </c>
      <c r="B55" s="103" t="s">
        <v>302</v>
      </c>
      <c r="C55" s="103" t="s">
        <v>301</v>
      </c>
      <c r="D55" s="103">
        <v>4</v>
      </c>
      <c r="E55" s="110">
        <v>6</v>
      </c>
      <c r="F55" s="103">
        <v>6059.999999999999</v>
      </c>
      <c r="G55" s="103">
        <v>7247.400000000001</v>
      </c>
      <c r="H55" s="112">
        <f t="shared" si="1"/>
      </c>
      <c r="I55" s="112">
        <f t="shared" si="0"/>
      </c>
      <c r="J55" s="112">
        <f t="shared" si="2"/>
      </c>
      <c r="K55" s="110">
        <v>1</v>
      </c>
      <c r="L55" s="115">
        <v>396</v>
      </c>
      <c r="M55" s="101"/>
      <c r="N55" s="101"/>
      <c r="O55" s="116"/>
      <c r="P55" s="103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</row>
    <row r="56">
      <c r="A56" s="111" t="s">
        <v>319</v>
      </c>
      <c r="B56" s="111" t="s">
        <v>291</v>
      </c>
      <c r="C56" s="103" t="s">
        <v>286</v>
      </c>
      <c r="D56" s="103">
        <v>4</v>
      </c>
      <c r="E56" s="110">
        <v>4</v>
      </c>
      <c r="F56" s="103">
        <v>6312</v>
      </c>
      <c r="G56" s="103">
        <v>6115.24</v>
      </c>
      <c r="H56" s="112">
        <f t="shared" si="1"/>
      </c>
      <c r="I56" s="112">
        <f t="shared" si="0"/>
      </c>
      <c r="J56" s="112">
        <f t="shared" si="2"/>
      </c>
      <c r="K56" s="110">
        <v>1</v>
      </c>
      <c r="L56" s="115">
        <v>2088</v>
      </c>
      <c r="M56" s="101"/>
      <c r="N56" s="125"/>
      <c r="O56" s="116"/>
      <c r="P56" s="103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</row>
    <row r="57">
      <c r="A57" s="111" t="s">
        <v>319</v>
      </c>
      <c r="B57" s="111" t="s">
        <v>283</v>
      </c>
      <c r="C57" s="110" t="s">
        <v>288</v>
      </c>
      <c r="D57" s="103">
        <v>4</v>
      </c>
      <c r="E57" s="110">
        <v>9</v>
      </c>
      <c r="F57" s="103">
        <v>8709.600000000002</v>
      </c>
      <c r="G57" s="103">
        <v>6066.34</v>
      </c>
      <c r="H57" s="112">
        <f t="shared" si="1"/>
      </c>
      <c r="I57" s="112">
        <f t="shared" si="0"/>
      </c>
      <c r="J57" s="112">
        <f t="shared" si="2"/>
      </c>
      <c r="K57" s="110">
        <v>2</v>
      </c>
      <c r="L57" s="128">
        <v>1456.8</v>
      </c>
      <c r="M57" s="101" t="s">
        <v>312</v>
      </c>
      <c r="N57" s="125">
        <v>8</v>
      </c>
      <c r="O57" s="116" t="s">
        <v>290</v>
      </c>
      <c r="P57" s="110">
        <v>8</v>
      </c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</row>
    <row r="58">
      <c r="A58" s="111" t="s">
        <v>319</v>
      </c>
      <c r="B58" s="111" t="s">
        <v>279</v>
      </c>
      <c r="C58" s="110" t="s">
        <v>320</v>
      </c>
      <c r="D58" s="110">
        <v>2</v>
      </c>
      <c r="E58" s="110">
        <v>2</v>
      </c>
      <c r="F58" s="103">
        <v>1017.5999999999985</v>
      </c>
      <c r="G58" s="110">
        <v>3370.49</v>
      </c>
      <c r="H58" s="112">
        <f t="shared" si="1"/>
      </c>
      <c r="I58" s="112">
        <f t="shared" si="0"/>
      </c>
      <c r="J58" s="112">
        <f t="shared" si="2"/>
      </c>
      <c r="K58" s="110">
        <v>0</v>
      </c>
      <c r="L58" s="110">
        <v>0</v>
      </c>
      <c r="M58" s="117"/>
      <c r="N58" s="117"/>
      <c r="O58" s="103"/>
      <c r="P58" s="103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</row>
    <row r="59">
      <c r="A59" s="105" t="s">
        <v>319</v>
      </c>
      <c r="B59" s="118"/>
      <c r="C59" s="118"/>
      <c r="D59" s="119">
        <f>SUM(D54:D58)</f>
      </c>
      <c r="E59" s="119">
        <f>SUM(E54:E58)</f>
      </c>
      <c r="F59" s="119">
        <f>SUM(F54:F58)</f>
      </c>
      <c r="G59" s="119">
        <f>SUM(G54:G58)</f>
      </c>
      <c r="H59" s="120">
        <f t="shared" si="1"/>
      </c>
      <c r="I59" s="120">
        <f t="shared" si="0"/>
      </c>
      <c r="J59" s="120">
        <f t="shared" si="2"/>
      </c>
      <c r="K59" s="119">
        <f>SUM(K54:K58)</f>
      </c>
      <c r="L59" s="119">
        <f>SUM(L54:L58)</f>
      </c>
      <c r="M59" s="121"/>
      <c r="N59" s="119">
        <f>SUM(N54:N58)</f>
      </c>
      <c r="O59" s="121"/>
      <c r="P59" s="119">
        <f>SUM(P54:P58)</f>
      </c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</row>
    <row r="60">
      <c r="A60" s="127" t="s">
        <v>321</v>
      </c>
      <c r="B60" s="103" t="s">
        <v>302</v>
      </c>
      <c r="C60" s="103" t="s">
        <v>299</v>
      </c>
      <c r="D60" s="103">
        <v>4</v>
      </c>
      <c r="E60" s="110">
        <v>3</v>
      </c>
      <c r="F60" s="110">
        <v>2726.4</v>
      </c>
      <c r="G60" s="103">
        <v>1502.35</v>
      </c>
      <c r="H60" s="112">
        <f t="shared" si="1"/>
      </c>
      <c r="I60" s="112">
        <f t="shared" si="0"/>
      </c>
      <c r="J60" s="112">
        <f t="shared" si="2"/>
      </c>
      <c r="K60" s="110">
        <v>1</v>
      </c>
      <c r="L60" s="110">
        <v>590.4</v>
      </c>
      <c r="M60" s="122" t="s">
        <v>281</v>
      </c>
      <c r="N60" s="113">
        <v>10</v>
      </c>
      <c r="O60" s="103" t="s">
        <v>282</v>
      </c>
      <c r="P60" s="103">
        <v>10</v>
      </c>
    </row>
    <row r="61">
      <c r="A61" s="111" t="s">
        <v>321</v>
      </c>
      <c r="B61" s="103" t="s">
        <v>287</v>
      </c>
      <c r="C61" s="103" t="s">
        <v>301</v>
      </c>
      <c r="D61" s="103">
        <v>4</v>
      </c>
      <c r="E61" s="110">
        <v>6</v>
      </c>
      <c r="F61" s="103">
        <v>10992</v>
      </c>
      <c r="G61" s="103">
        <v>3566.54</v>
      </c>
      <c r="H61" s="112">
        <f t="shared" si="1"/>
      </c>
      <c r="I61" s="112">
        <f t="shared" si="0"/>
      </c>
      <c r="J61" s="112">
        <f t="shared" si="2"/>
      </c>
      <c r="K61" s="110">
        <v>1</v>
      </c>
      <c r="L61" s="115">
        <v>1692</v>
      </c>
      <c r="M61" s="101"/>
      <c r="N61" s="101"/>
      <c r="O61" s="116"/>
      <c r="P61" s="103"/>
    </row>
    <row r="62">
      <c r="A62" s="111" t="s">
        <v>321</v>
      </c>
      <c r="B62" s="111" t="s">
        <v>291</v>
      </c>
      <c r="C62" s="103" t="s">
        <v>286</v>
      </c>
      <c r="D62" s="103">
        <v>4</v>
      </c>
      <c r="E62" s="110">
        <v>4</v>
      </c>
      <c r="F62" s="103">
        <v>5050.800000000001</v>
      </c>
      <c r="G62" s="103">
        <v>2931.9399999999996</v>
      </c>
      <c r="H62" s="112">
        <f t="shared" si="1"/>
      </c>
      <c r="I62" s="112">
        <f t="shared" si="0"/>
      </c>
      <c r="J62" s="112">
        <f t="shared" si="2"/>
      </c>
      <c r="K62" s="110">
        <v>0</v>
      </c>
      <c r="L62" s="128">
        <v>0</v>
      </c>
      <c r="M62" s="101"/>
      <c r="N62" s="125"/>
      <c r="O62" s="116"/>
      <c r="P62" s="103"/>
    </row>
    <row r="63">
      <c r="A63" s="111" t="s">
        <v>321</v>
      </c>
      <c r="B63" s="111" t="s">
        <v>283</v>
      </c>
      <c r="C63" s="110" t="s">
        <v>288</v>
      </c>
      <c r="D63" s="103">
        <v>4</v>
      </c>
      <c r="E63" s="110">
        <v>5</v>
      </c>
      <c r="F63" s="103">
        <v>6792</v>
      </c>
      <c r="G63" s="103">
        <v>3349.13</v>
      </c>
      <c r="H63" s="112">
        <f t="shared" si="1"/>
      </c>
      <c r="I63" s="112">
        <f t="shared" si="0"/>
      </c>
      <c r="J63" s="112">
        <f t="shared" si="2"/>
      </c>
      <c r="K63" s="110">
        <v>0</v>
      </c>
      <c r="L63" s="128">
        <v>0</v>
      </c>
      <c r="M63" s="101" t="s">
        <v>289</v>
      </c>
      <c r="N63" s="125">
        <v>10</v>
      </c>
      <c r="O63" s="116" t="s">
        <v>290</v>
      </c>
      <c r="P63" s="103">
        <v>10</v>
      </c>
    </row>
    <row r="64">
      <c r="A64" s="111" t="s">
        <v>321</v>
      </c>
      <c r="B64" s="111" t="s">
        <v>285</v>
      </c>
      <c r="C64" s="110" t="s">
        <v>292</v>
      </c>
      <c r="D64" s="129">
        <f>4-0.25</f>
      </c>
      <c r="E64" s="110">
        <v>10</v>
      </c>
      <c r="F64" s="103">
        <v>11353.2</v>
      </c>
      <c r="G64" s="103">
        <v>5792.889999999999</v>
      </c>
      <c r="H64" s="112">
        <f t="shared" si="1"/>
      </c>
      <c r="I64" s="112">
        <f t="shared" si="0"/>
      </c>
      <c r="J64" s="112">
        <f t="shared" si="2"/>
      </c>
      <c r="K64" s="110">
        <v>3</v>
      </c>
      <c r="L64" s="110">
        <v>2631.6</v>
      </c>
      <c r="M64" s="117"/>
      <c r="N64" s="117"/>
      <c r="O64" s="103"/>
      <c r="P64" s="103"/>
    </row>
    <row r="65">
      <c r="A65" s="105" t="s">
        <v>321</v>
      </c>
      <c r="B65" s="118"/>
      <c r="C65" s="118"/>
      <c r="D65" s="119">
        <f>SUM(D60:D64)</f>
      </c>
      <c r="E65" s="119">
        <f>SUM(E60:E64)</f>
      </c>
      <c r="F65" s="119">
        <f>SUM(F60:F64)</f>
      </c>
      <c r="G65" s="119">
        <f>SUM(G60:G64)</f>
      </c>
      <c r="H65" s="120">
        <f t="shared" si="1"/>
      </c>
      <c r="I65" s="120">
        <f t="shared" si="0"/>
      </c>
      <c r="J65" s="120">
        <f t="shared" si="2"/>
      </c>
      <c r="K65" s="119">
        <f>SUM(K60:K64)</f>
      </c>
      <c r="L65" s="119">
        <f>SUM(L60:L64)</f>
      </c>
      <c r="M65" s="121"/>
      <c r="N65" s="119">
        <f>SUM(N60:N64)</f>
      </c>
      <c r="O65" s="121"/>
      <c r="P65" s="119">
        <f>SUM(P60:P64)</f>
      </c>
    </row>
    <row r="66">
      <c r="A66" s="127" t="s">
        <v>322</v>
      </c>
      <c r="B66" s="103" t="s">
        <v>287</v>
      </c>
      <c r="C66" s="103" t="s">
        <v>299</v>
      </c>
      <c r="D66" s="103">
        <v>4</v>
      </c>
      <c r="E66" s="110">
        <v>2</v>
      </c>
      <c r="F66" s="110">
        <v>3036</v>
      </c>
      <c r="G66" s="103">
        <v>3634.25</v>
      </c>
      <c r="H66" s="112">
        <f t="shared" si="1"/>
      </c>
      <c r="I66" s="112">
        <f t="shared" si="0"/>
      </c>
      <c r="J66" s="112">
        <f t="shared" si="2"/>
      </c>
      <c r="K66" s="110">
        <v>2</v>
      </c>
      <c r="L66" s="110">
        <v>3036</v>
      </c>
      <c r="M66" s="122" t="s">
        <v>281</v>
      </c>
      <c r="N66" s="113">
        <v>10</v>
      </c>
      <c r="O66" s="103" t="s">
        <v>282</v>
      </c>
      <c r="P66" s="103">
        <v>10</v>
      </c>
    </row>
    <row r="67">
      <c r="A67" s="111" t="s">
        <v>322</v>
      </c>
      <c r="B67" s="103" t="s">
        <v>279</v>
      </c>
      <c r="C67" s="103" t="s">
        <v>301</v>
      </c>
      <c r="D67" s="103">
        <v>4</v>
      </c>
      <c r="E67" s="110">
        <v>7</v>
      </c>
      <c r="F67" s="103">
        <v>6444</v>
      </c>
      <c r="G67" s="103">
        <v>7203.77</v>
      </c>
      <c r="H67" s="112">
        <f t="shared" si="1"/>
      </c>
      <c r="I67" s="112">
        <f t="shared" si="0"/>
      </c>
      <c r="J67" s="112">
        <f t="shared" si="2"/>
      </c>
      <c r="K67" s="110">
        <v>2</v>
      </c>
      <c r="L67" s="115">
        <v>1274.4</v>
      </c>
      <c r="M67" s="101"/>
      <c r="N67" s="101"/>
      <c r="O67" s="116"/>
      <c r="P67" s="103"/>
    </row>
    <row r="68">
      <c r="A68" s="111" t="s">
        <v>322</v>
      </c>
      <c r="B68" s="111" t="s">
        <v>291</v>
      </c>
      <c r="C68" s="103" t="s">
        <v>286</v>
      </c>
      <c r="D68" s="103">
        <v>4</v>
      </c>
      <c r="E68" s="110">
        <v>11</v>
      </c>
      <c r="F68" s="103">
        <v>12337.2</v>
      </c>
      <c r="G68" s="103">
        <v>6488.530000000001</v>
      </c>
      <c r="H68" s="112">
        <f t="shared" si="1"/>
      </c>
      <c r="I68" s="112">
        <f t="shared" si="0"/>
      </c>
      <c r="J68" s="112">
        <f t="shared" si="2"/>
      </c>
      <c r="K68" s="110">
        <v>2</v>
      </c>
      <c r="L68" s="128">
        <v>685.2</v>
      </c>
      <c r="M68" s="101"/>
      <c r="N68" s="125"/>
      <c r="O68" s="116"/>
      <c r="P68" s="103"/>
    </row>
    <row r="69">
      <c r="A69" s="111" t="s">
        <v>322</v>
      </c>
      <c r="B69" s="111" t="s">
        <v>283</v>
      </c>
      <c r="C69" s="110" t="s">
        <v>288</v>
      </c>
      <c r="D69" s="130">
        <f>4-0.5</f>
      </c>
      <c r="E69" s="110">
        <v>10</v>
      </c>
      <c r="F69" s="103">
        <v>8869.2</v>
      </c>
      <c r="G69" s="103">
        <v>11319.4</v>
      </c>
      <c r="H69" s="112">
        <f t="shared" si="1"/>
      </c>
      <c r="I69" s="112">
        <f t="shared" si="0"/>
      </c>
      <c r="J69" s="112">
        <f t="shared" si="2"/>
      </c>
      <c r="K69" s="110">
        <v>4</v>
      </c>
      <c r="L69" s="128">
        <v>1600.8</v>
      </c>
      <c r="M69" s="101" t="s">
        <v>289</v>
      </c>
      <c r="N69" s="125">
        <v>10</v>
      </c>
      <c r="O69" s="116" t="s">
        <v>290</v>
      </c>
      <c r="P69" s="103">
        <v>10</v>
      </c>
    </row>
    <row r="70">
      <c r="A70" s="111" t="s">
        <v>322</v>
      </c>
      <c r="B70" s="103" t="s">
        <v>302</v>
      </c>
      <c r="C70" s="110" t="s">
        <v>292</v>
      </c>
      <c r="D70" s="110">
        <v>4</v>
      </c>
      <c r="E70" s="110">
        <v>15</v>
      </c>
      <c r="F70" s="103">
        <v>16036.799999999996</v>
      </c>
      <c r="G70" s="103">
        <v>7107.22</v>
      </c>
      <c r="H70" s="112">
        <f t="shared" si="1"/>
      </c>
      <c r="I70" s="112">
        <f t="shared" si="0"/>
      </c>
      <c r="J70" s="112">
        <f t="shared" si="2"/>
      </c>
      <c r="K70" s="110">
        <v>2</v>
      </c>
      <c r="L70" s="110">
        <v>2580</v>
      </c>
      <c r="M70" s="117"/>
      <c r="N70" s="117"/>
      <c r="O70" s="103"/>
      <c r="P70" s="103"/>
    </row>
    <row r="71">
      <c r="A71" s="105" t="s">
        <v>322</v>
      </c>
      <c r="B71" s="118"/>
      <c r="C71" s="118"/>
      <c r="D71" s="119">
        <f>SUM(D66:D70)</f>
      </c>
      <c r="E71" s="119">
        <f>SUM(E66:E70)</f>
      </c>
      <c r="F71" s="119">
        <f>SUM(F66:F70)</f>
      </c>
      <c r="G71" s="119">
        <f>SUM(G66:G70)</f>
      </c>
      <c r="H71" s="120">
        <f t="shared" si="1"/>
      </c>
      <c r="I71" s="120">
        <f t="shared" si="0"/>
      </c>
      <c r="J71" s="120">
        <f t="shared" si="2"/>
      </c>
      <c r="K71" s="119">
        <f>SUM(K66:K70)</f>
      </c>
      <c r="L71" s="119">
        <f>SUM(L66:L70)</f>
      </c>
      <c r="M71" s="121"/>
      <c r="N71" s="119">
        <f>SUM(N66:N70)</f>
      </c>
      <c r="O71" s="121"/>
      <c r="P71" s="119">
        <f>SUM(P66:P70)</f>
      </c>
    </row>
    <row r="72">
      <c r="A72" s="127" t="s">
        <v>323</v>
      </c>
      <c r="B72" s="103" t="s">
        <v>324</v>
      </c>
      <c r="C72" s="110" t="s">
        <v>280</v>
      </c>
      <c r="D72" s="110">
        <v>5</v>
      </c>
      <c r="E72" s="110">
        <v>9</v>
      </c>
      <c r="F72" s="110">
        <v>8223.6</v>
      </c>
      <c r="G72" s="103">
        <v>11223.599999999999</v>
      </c>
      <c r="H72" s="112">
        <f t="shared" si="1"/>
      </c>
      <c r="I72" s="112">
        <f t="shared" si="0"/>
      </c>
      <c r="J72" s="112">
        <f t="shared" si="2"/>
      </c>
      <c r="K72" s="110">
        <v>5</v>
      </c>
      <c r="L72" s="110">
        <v>3963.5999999999995</v>
      </c>
      <c r="M72" s="122" t="s">
        <v>281</v>
      </c>
      <c r="N72" s="113">
        <v>10</v>
      </c>
      <c r="O72" s="103" t="s">
        <v>282</v>
      </c>
      <c r="P72" s="103">
        <v>10</v>
      </c>
    </row>
    <row r="73">
      <c r="A73" s="111" t="s">
        <v>323</v>
      </c>
      <c r="B73" s="103" t="s">
        <v>287</v>
      </c>
      <c r="C73" s="110" t="s">
        <v>307</v>
      </c>
      <c r="D73" s="110">
        <v>5</v>
      </c>
      <c r="E73" s="110">
        <v>13</v>
      </c>
      <c r="F73" s="103">
        <v>13264.8</v>
      </c>
      <c r="G73" s="103">
        <v>8569.13</v>
      </c>
      <c r="H73" s="112">
        <f t="shared" si="1"/>
      </c>
      <c r="I73" s="112">
        <f t="shared" si="0"/>
      </c>
      <c r="J73" s="112">
        <f t="shared" si="2"/>
      </c>
      <c r="K73" s="110">
        <v>2</v>
      </c>
      <c r="L73" s="115">
        <v>642.0000000000009</v>
      </c>
      <c r="M73" s="101"/>
      <c r="N73" s="101"/>
      <c r="O73" s="116"/>
      <c r="P73" s="103"/>
    </row>
    <row r="74">
      <c r="A74" s="111" t="s">
        <v>323</v>
      </c>
      <c r="B74" s="111" t="s">
        <v>279</v>
      </c>
      <c r="C74" s="110" t="s">
        <v>308</v>
      </c>
      <c r="D74" s="110">
        <v>5</v>
      </c>
      <c r="E74" s="110">
        <v>4</v>
      </c>
      <c r="F74" s="103">
        <v>2701.199999999997</v>
      </c>
      <c r="G74" s="103">
        <v>4730.26</v>
      </c>
      <c r="H74" s="112">
        <f t="shared" si="1"/>
      </c>
      <c r="I74" s="112">
        <f t="shared" si="0"/>
      </c>
      <c r="J74" s="112">
        <f t="shared" si="2"/>
      </c>
      <c r="K74" s="110">
        <v>1</v>
      </c>
      <c r="L74" s="128">
        <v>169.2</v>
      </c>
      <c r="M74" s="101" t="s">
        <v>289</v>
      </c>
      <c r="N74" s="125">
        <v>10</v>
      </c>
      <c r="O74" s="116" t="s">
        <v>290</v>
      </c>
      <c r="P74" s="103">
        <v>10</v>
      </c>
    </row>
    <row r="75">
      <c r="A75" s="111" t="s">
        <v>323</v>
      </c>
      <c r="B75" s="103" t="s">
        <v>291</v>
      </c>
      <c r="C75" s="110" t="s">
        <v>297</v>
      </c>
      <c r="D75" s="110">
        <v>5</v>
      </c>
      <c r="E75" s="110">
        <v>6</v>
      </c>
      <c r="F75" s="103">
        <v>4011.600000000002</v>
      </c>
      <c r="G75" s="103">
        <v>5261.97</v>
      </c>
      <c r="H75" s="112">
        <f t="shared" si="1"/>
      </c>
      <c r="I75" s="112">
        <f t="shared" si="0"/>
      </c>
      <c r="J75" s="112">
        <f t="shared" si="2"/>
      </c>
      <c r="K75" s="110">
        <v>0</v>
      </c>
      <c r="L75" s="110">
        <v>0</v>
      </c>
      <c r="M75" s="117"/>
      <c r="N75" s="117"/>
      <c r="O75" s="103"/>
      <c r="P75" s="103"/>
    </row>
    <row r="76">
      <c r="A76" s="105" t="s">
        <v>323</v>
      </c>
      <c r="B76" s="118"/>
      <c r="C76" s="118"/>
      <c r="D76" s="119">
        <f>SUM(D72:D75)</f>
      </c>
      <c r="E76" s="119">
        <f>SUM(E72:E75)</f>
      </c>
      <c r="F76" s="119">
        <f>SUM(F72:F75)</f>
      </c>
      <c r="G76" s="119">
        <f>SUM(G72:G75)</f>
      </c>
      <c r="H76" s="120">
        <f t="shared" si="1"/>
      </c>
      <c r="I76" s="120">
        <f t="shared" si="0"/>
      </c>
      <c r="J76" s="120">
        <f t="shared" si="2"/>
      </c>
      <c r="K76" s="119">
        <f>SUM(K72:K75)</f>
      </c>
      <c r="L76" s="119">
        <f>SUM(L72:L75)</f>
      </c>
      <c r="M76" s="121"/>
      <c r="N76" s="119">
        <f>SUM(N72:N75)</f>
      </c>
      <c r="O76" s="121"/>
      <c r="P76" s="119">
        <f>SUM(P72:P75)</f>
      </c>
    </row>
    <row r="77">
      <c r="A77" s="127" t="s">
        <v>325</v>
      </c>
      <c r="B77" s="103" t="s">
        <v>324</v>
      </c>
      <c r="C77" s="110" t="s">
        <v>280</v>
      </c>
      <c r="D77" s="110">
        <v>5</v>
      </c>
      <c r="E77" s="110">
        <v>4</v>
      </c>
      <c r="F77" s="110">
        <v>4224</v>
      </c>
      <c r="G77" s="103">
        <v>6244.970000000001</v>
      </c>
      <c r="H77" s="112">
        <f t="shared" si="1"/>
      </c>
      <c r="I77" s="112">
        <f t="shared" si="0"/>
      </c>
      <c r="J77" s="112">
        <f t="shared" si="2"/>
      </c>
      <c r="K77" s="110">
        <v>0</v>
      </c>
      <c r="L77" s="110">
        <v>0</v>
      </c>
      <c r="M77" s="122" t="s">
        <v>281</v>
      </c>
      <c r="N77" s="113">
        <v>10</v>
      </c>
      <c r="O77" s="103" t="s">
        <v>282</v>
      </c>
      <c r="P77" s="103">
        <v>10</v>
      </c>
    </row>
    <row r="78">
      <c r="A78" s="111" t="s">
        <v>325</v>
      </c>
      <c r="B78" s="103" t="s">
        <v>287</v>
      </c>
      <c r="C78" s="110" t="s">
        <v>307</v>
      </c>
      <c r="D78" s="110">
        <v>5</v>
      </c>
      <c r="E78" s="110">
        <v>17</v>
      </c>
      <c r="F78" s="103">
        <v>20539.2</v>
      </c>
      <c r="G78" s="103">
        <v>11390</v>
      </c>
      <c r="H78" s="112">
        <f t="shared" si="1"/>
      </c>
      <c r="I78" s="112">
        <f t="shared" si="0"/>
      </c>
      <c r="J78" s="112">
        <f t="shared" si="2"/>
      </c>
      <c r="K78" s="110">
        <v>4</v>
      </c>
      <c r="L78" s="115">
        <v>5856</v>
      </c>
      <c r="M78" s="101"/>
      <c r="N78" s="101"/>
      <c r="O78" s="116"/>
      <c r="P78" s="103"/>
    </row>
    <row r="79">
      <c r="A79" s="111" t="s">
        <v>325</v>
      </c>
      <c r="B79" s="111" t="s">
        <v>279</v>
      </c>
      <c r="C79" s="110" t="s">
        <v>308</v>
      </c>
      <c r="D79" s="110">
        <v>5</v>
      </c>
      <c r="E79" s="110">
        <v>8</v>
      </c>
      <c r="F79" s="103">
        <v>9565.2</v>
      </c>
      <c r="G79" s="103">
        <v>9550.96</v>
      </c>
      <c r="H79" s="112">
        <f t="shared" si="1"/>
      </c>
      <c r="I79" s="112">
        <f t="shared" si="0"/>
      </c>
      <c r="J79" s="112">
        <f t="shared" si="2"/>
      </c>
      <c r="K79" s="110">
        <v>4</v>
      </c>
      <c r="L79" s="128">
        <v>4754.4</v>
      </c>
      <c r="M79" s="101" t="s">
        <v>289</v>
      </c>
      <c r="N79" s="125">
        <v>10</v>
      </c>
      <c r="O79" s="116" t="s">
        <v>290</v>
      </c>
      <c r="P79" s="103">
        <v>10</v>
      </c>
    </row>
    <row r="80">
      <c r="A80" s="111" t="s">
        <v>325</v>
      </c>
      <c r="B80" s="103" t="s">
        <v>291</v>
      </c>
      <c r="C80" s="110" t="s">
        <v>297</v>
      </c>
      <c r="D80" s="110">
        <v>5</v>
      </c>
      <c r="E80" s="110">
        <v>9</v>
      </c>
      <c r="F80" s="103">
        <v>15130.799999999996</v>
      </c>
      <c r="G80" s="103">
        <v>11432.98</v>
      </c>
      <c r="H80" s="112">
        <f t="shared" si="1"/>
      </c>
      <c r="I80" s="112">
        <f t="shared" si="0"/>
      </c>
      <c r="J80" s="112">
        <f t="shared" si="2"/>
      </c>
      <c r="K80" s="110">
        <v>1</v>
      </c>
      <c r="L80" s="110">
        <v>2592</v>
      </c>
      <c r="M80" s="117"/>
      <c r="N80" s="117"/>
      <c r="O80" s="103"/>
      <c r="P80" s="103"/>
    </row>
    <row r="81">
      <c r="A81" s="105" t="s">
        <v>325</v>
      </c>
      <c r="B81" s="118"/>
      <c r="C81" s="118"/>
      <c r="D81" s="119">
        <f>SUM(D77:D80)</f>
      </c>
      <c r="E81" s="119">
        <f>SUM(E77:E80)</f>
      </c>
      <c r="F81" s="119">
        <f>SUM(F77:F80)</f>
      </c>
      <c r="G81" s="119">
        <f>SUM(G77:G80)</f>
      </c>
      <c r="H81" s="120">
        <f t="shared" si="1"/>
      </c>
      <c r="I81" s="120">
        <f t="shared" si="0"/>
      </c>
      <c r="J81" s="120">
        <f t="shared" si="2"/>
      </c>
      <c r="K81" s="119">
        <f>SUM(K77:K80)</f>
      </c>
      <c r="L81" s="119">
        <f>SUM(L77:L80)</f>
      </c>
      <c r="M81" s="121"/>
      <c r="N81" s="119">
        <f>SUM(N77:N80)</f>
      </c>
      <c r="O81" s="121"/>
      <c r="P81" s="119">
        <f>SUM(P77:P80)</f>
      </c>
    </row>
    <row r="82">
      <c r="A82" s="111" t="s">
        <v>326</v>
      </c>
      <c r="B82" s="103" t="s">
        <v>324</v>
      </c>
      <c r="C82" s="103" t="s">
        <v>299</v>
      </c>
      <c r="D82" s="103">
        <v>4</v>
      </c>
      <c r="E82" s="110">
        <v>7</v>
      </c>
      <c r="F82" s="103">
        <v>9212.4</v>
      </c>
      <c r="G82" s="103">
        <v>4008.3499999999995</v>
      </c>
      <c r="H82" s="112">
        <f t="shared" si="1"/>
      </c>
      <c r="I82" s="112">
        <f t="shared" si="0"/>
      </c>
      <c r="J82" s="112">
        <f t="shared" si="2"/>
      </c>
      <c r="K82" s="103">
        <v>3</v>
      </c>
      <c r="L82" s="103">
        <v>3488.4</v>
      </c>
      <c r="M82" s="113" t="s">
        <v>281</v>
      </c>
      <c r="N82" s="122">
        <v>10</v>
      </c>
      <c r="O82" s="103" t="s">
        <v>282</v>
      </c>
      <c r="P82" s="103">
        <v>10</v>
      </c>
    </row>
    <row customHeight="true" ht="16.071428571428573" r="83">
      <c r="A83" s="111" t="s">
        <v>326</v>
      </c>
      <c r="B83" s="103" t="s">
        <v>279</v>
      </c>
      <c r="C83" s="103" t="s">
        <v>327</v>
      </c>
      <c r="D83" s="103">
        <v>5</v>
      </c>
      <c r="E83" s="110">
        <v>2</v>
      </c>
      <c r="F83" s="103">
        <v>2064</v>
      </c>
      <c r="G83" s="103">
        <v>3448.8599999999997</v>
      </c>
      <c r="H83" s="112">
        <f t="shared" si="1"/>
      </c>
      <c r="I83" s="112">
        <f t="shared" si="0"/>
      </c>
      <c r="J83" s="112">
        <f t="shared" si="2"/>
      </c>
      <c r="K83" s="103">
        <v>1</v>
      </c>
      <c r="L83" s="115">
        <v>372</v>
      </c>
      <c r="M83" s="113"/>
      <c r="N83" s="113"/>
      <c r="O83" s="116"/>
      <c r="P83" s="103"/>
    </row>
    <row customHeight="true" ht="16.071428571428573" r="84">
      <c r="A84" s="111" t="s">
        <v>326</v>
      </c>
      <c r="B84" s="111" t="s">
        <v>302</v>
      </c>
      <c r="C84" s="103" t="s">
        <v>328</v>
      </c>
      <c r="D84" s="103">
        <v>5</v>
      </c>
      <c r="E84" s="110">
        <v>6</v>
      </c>
      <c r="F84" s="103">
        <v>5425.199999999999</v>
      </c>
      <c r="G84" s="103">
        <v>3793.07</v>
      </c>
      <c r="H84" s="112">
        <f t="shared" si="1"/>
      </c>
      <c r="I84" s="112">
        <f t="shared" si="0"/>
      </c>
      <c r="J84" s="112">
        <f t="shared" si="2"/>
      </c>
      <c r="K84" s="103">
        <v>2</v>
      </c>
      <c r="L84" s="115">
        <v>2313.6</v>
      </c>
      <c r="M84" s="103" t="s">
        <v>329</v>
      </c>
      <c r="N84" s="110">
        <v>9</v>
      </c>
      <c r="O84" s="116" t="s">
        <v>290</v>
      </c>
      <c r="P84" s="110">
        <v>9</v>
      </c>
    </row>
    <row customHeight="true" ht="16.071428571428573" r="85">
      <c r="A85" s="111" t="s">
        <v>326</v>
      </c>
      <c r="B85" s="103" t="s">
        <v>291</v>
      </c>
      <c r="C85" s="103" t="s">
        <v>330</v>
      </c>
      <c r="D85" s="103">
        <v>5</v>
      </c>
      <c r="E85" s="110">
        <v>12</v>
      </c>
      <c r="F85" s="103">
        <v>12861.600000000002</v>
      </c>
      <c r="G85" s="110">
        <v>5865</v>
      </c>
      <c r="H85" s="112">
        <f t="shared" si="1"/>
      </c>
      <c r="I85" s="112">
        <f t="shared" si="0"/>
      </c>
      <c r="J85" s="112">
        <f t="shared" si="2"/>
      </c>
      <c r="K85" s="103">
        <v>1</v>
      </c>
      <c r="L85" s="103">
        <v>1344</v>
      </c>
      <c r="M85" s="117"/>
      <c r="N85" s="117"/>
      <c r="O85" s="103"/>
      <c r="P85" s="103"/>
    </row>
    <row customHeight="true" ht="16.071428571428573" r="86">
      <c r="A86" s="131" t="s">
        <v>326</v>
      </c>
      <c r="B86" s="118"/>
      <c r="C86" s="118"/>
      <c r="D86" s="119">
        <f>SUM(D82:D85)</f>
      </c>
      <c r="E86" s="119">
        <f>SUM(E82:E85)</f>
      </c>
      <c r="F86" s="119">
        <f>SUM(F82:F85)</f>
      </c>
      <c r="G86" s="119">
        <f>SUM(G82:G85)</f>
      </c>
      <c r="H86" s="120">
        <f t="shared" si="1"/>
      </c>
      <c r="I86" s="120">
        <f t="shared" si="0"/>
      </c>
      <c r="J86" s="120">
        <f t="shared" si="2"/>
      </c>
      <c r="K86" s="119">
        <f>SUM(K82:K85)</f>
      </c>
      <c r="L86" s="119">
        <f>SUM(L82:L85)</f>
      </c>
      <c r="M86" s="121"/>
      <c r="N86" s="119">
        <f>SUM(N82:N85)</f>
      </c>
      <c r="O86" s="121"/>
      <c r="P86" s="119">
        <f>SUM(P82:P85)</f>
      </c>
    </row>
    <row customHeight="true" ht="16.071428571428573" r="87">
      <c r="A87" s="127" t="s">
        <v>331</v>
      </c>
      <c r="B87" s="103" t="s">
        <v>324</v>
      </c>
      <c r="C87" s="110" t="s">
        <v>280</v>
      </c>
      <c r="D87" s="110">
        <v>5</v>
      </c>
      <c r="E87" s="110">
        <v>9</v>
      </c>
      <c r="F87" s="103">
        <v>11364</v>
      </c>
      <c r="G87" s="103">
        <v>5806.91</v>
      </c>
      <c r="H87" s="112">
        <f t="shared" si="1"/>
      </c>
      <c r="I87" s="112">
        <f t="shared" si="0"/>
      </c>
      <c r="J87" s="112">
        <f t="shared" si="2"/>
      </c>
      <c r="K87" s="103">
        <v>2</v>
      </c>
      <c r="L87" s="103">
        <v>2460</v>
      </c>
      <c r="M87" s="113" t="s">
        <v>281</v>
      </c>
      <c r="N87" s="122">
        <v>10</v>
      </c>
      <c r="O87" s="103" t="s">
        <v>282</v>
      </c>
      <c r="P87" s="103">
        <v>10</v>
      </c>
    </row>
    <row r="88">
      <c r="A88" s="111" t="s">
        <v>331</v>
      </c>
      <c r="B88" s="103" t="s">
        <v>302</v>
      </c>
      <c r="C88" s="110" t="s">
        <v>307</v>
      </c>
      <c r="D88" s="103">
        <v>5</v>
      </c>
      <c r="E88" s="110">
        <v>6</v>
      </c>
      <c r="F88" s="103">
        <v>8073.5999999999985</v>
      </c>
      <c r="G88" s="103">
        <v>4912.43</v>
      </c>
      <c r="H88" s="112">
        <f t="shared" si="1"/>
      </c>
      <c r="I88" s="112">
        <f t="shared" si="0"/>
      </c>
      <c r="J88" s="112">
        <f t="shared" si="2"/>
      </c>
      <c r="K88" s="110">
        <v>0</v>
      </c>
      <c r="L88" s="128">
        <v>0</v>
      </c>
      <c r="M88" s="113"/>
      <c r="N88" s="113"/>
      <c r="O88" s="116"/>
      <c r="P88" s="103"/>
    </row>
    <row r="89">
      <c r="A89" s="111" t="s">
        <v>331</v>
      </c>
      <c r="B89" s="111" t="s">
        <v>291</v>
      </c>
      <c r="C89" s="110" t="s">
        <v>308</v>
      </c>
      <c r="D89" s="103">
        <v>5</v>
      </c>
      <c r="E89" s="110">
        <v>5</v>
      </c>
      <c r="F89" s="103">
        <v>5922</v>
      </c>
      <c r="G89" s="103">
        <v>3935.0100000000007</v>
      </c>
      <c r="H89" s="112">
        <f t="shared" si="1"/>
      </c>
      <c r="I89" s="112">
        <f t="shared" si="0"/>
      </c>
      <c r="J89" s="112">
        <f t="shared" si="2"/>
      </c>
      <c r="K89" s="103">
        <v>1</v>
      </c>
      <c r="L89" s="115">
        <v>1344</v>
      </c>
      <c r="M89" s="110" t="s">
        <v>332</v>
      </c>
      <c r="N89" s="110">
        <v>10</v>
      </c>
      <c r="O89" s="116" t="s">
        <v>290</v>
      </c>
      <c r="P89" s="103">
        <v>10</v>
      </c>
    </row>
    <row r="90">
      <c r="A90" s="111" t="s">
        <v>331</v>
      </c>
      <c r="B90" s="103" t="s">
        <v>287</v>
      </c>
      <c r="C90" s="110" t="s">
        <v>297</v>
      </c>
      <c r="D90" s="103">
        <v>5</v>
      </c>
      <c r="E90" s="110">
        <v>6</v>
      </c>
      <c r="F90" s="103">
        <v>6218.4000000000015</v>
      </c>
      <c r="G90" s="103">
        <v>4894.4400000000005</v>
      </c>
      <c r="H90" s="112">
        <f t="shared" si="1"/>
      </c>
      <c r="I90" s="112">
        <f t="shared" si="0"/>
      </c>
      <c r="J90" s="112">
        <f t="shared" si="2"/>
      </c>
      <c r="K90" s="103">
        <v>2</v>
      </c>
      <c r="L90" s="103">
        <v>768</v>
      </c>
      <c r="M90" s="117"/>
      <c r="N90" s="117"/>
      <c r="O90" s="103"/>
      <c r="P90" s="103"/>
    </row>
    <row r="91">
      <c r="A91" s="131" t="s">
        <v>331</v>
      </c>
      <c r="B91" s="118"/>
      <c r="C91" s="118"/>
      <c r="D91" s="119">
        <f>SUM(D87:D90)</f>
      </c>
      <c r="E91" s="119">
        <f>SUM(E87:E90)</f>
      </c>
      <c r="F91" s="119">
        <f>SUM(F87:F90)</f>
      </c>
      <c r="G91" s="119">
        <f>SUM(G87:G90)</f>
      </c>
      <c r="H91" s="120">
        <f t="shared" si="1"/>
      </c>
      <c r="I91" s="120">
        <f t="shared" si="0"/>
      </c>
      <c r="J91" s="120">
        <f t="shared" si="2"/>
      </c>
      <c r="K91" s="119">
        <f>SUM(K87:K90)</f>
      </c>
      <c r="L91" s="119">
        <f>SUM(L87:L90)</f>
      </c>
      <c r="M91" s="121"/>
      <c r="N91" s="119">
        <f>SUM(N87:N90)</f>
      </c>
      <c r="O91" s="121"/>
      <c r="P91" s="119">
        <f>SUM(P87:P90)</f>
      </c>
    </row>
    <row r="92">
      <c r="A92" s="127" t="s">
        <v>333</v>
      </c>
      <c r="B92" s="103" t="s">
        <v>324</v>
      </c>
      <c r="C92" s="110" t="s">
        <v>280</v>
      </c>
      <c r="D92" s="110">
        <v>5</v>
      </c>
      <c r="E92" s="110">
        <v>11</v>
      </c>
      <c r="F92" s="103">
        <v>12847.2</v>
      </c>
      <c r="G92" s="103">
        <v>6406.9400000000005</v>
      </c>
      <c r="H92" s="112">
        <f t="shared" si="1"/>
      </c>
      <c r="I92" s="112">
        <f t="shared" si="0"/>
      </c>
      <c r="J92" s="112">
        <f t="shared" si="2"/>
      </c>
      <c r="K92" s="103">
        <v>2</v>
      </c>
      <c r="L92" s="103">
        <v>2052</v>
      </c>
      <c r="M92" s="113" t="s">
        <v>281</v>
      </c>
      <c r="N92" s="122">
        <v>10</v>
      </c>
      <c r="O92" s="103" t="s">
        <v>282</v>
      </c>
      <c r="P92" s="103">
        <v>10</v>
      </c>
    </row>
    <row r="93">
      <c r="A93" s="111" t="s">
        <v>333</v>
      </c>
      <c r="B93" s="103" t="s">
        <v>302</v>
      </c>
      <c r="C93" s="110" t="s">
        <v>307</v>
      </c>
      <c r="D93" s="103">
        <v>5</v>
      </c>
      <c r="E93" s="110">
        <v>10</v>
      </c>
      <c r="F93" s="103">
        <v>16546.8</v>
      </c>
      <c r="G93" s="103">
        <v>6656.9800000000005</v>
      </c>
      <c r="H93" s="112">
        <f t="shared" si="1"/>
      </c>
      <c r="I93" s="112">
        <f t="shared" si="0"/>
      </c>
      <c r="J93" s="112">
        <f t="shared" si="2"/>
      </c>
      <c r="K93" s="110">
        <v>4</v>
      </c>
      <c r="L93" s="128">
        <v>10248</v>
      </c>
      <c r="M93" s="113"/>
      <c r="N93" s="113"/>
      <c r="O93" s="116"/>
      <c r="P93" s="103"/>
    </row>
    <row r="94">
      <c r="A94" s="111" t="s">
        <v>333</v>
      </c>
      <c r="B94" s="111" t="s">
        <v>279</v>
      </c>
      <c r="C94" s="110" t="s">
        <v>308</v>
      </c>
      <c r="D94" s="103">
        <v>5</v>
      </c>
      <c r="E94" s="110">
        <v>3</v>
      </c>
      <c r="F94" s="103">
        <v>4503.5999999999985</v>
      </c>
      <c r="G94" s="103">
        <v>4464.09</v>
      </c>
      <c r="H94" s="112">
        <f t="shared" si="1"/>
      </c>
      <c r="I94" s="112">
        <f t="shared" si="0"/>
      </c>
      <c r="J94" s="112">
        <f t="shared" si="2"/>
      </c>
      <c r="K94" s="103">
        <v>2</v>
      </c>
      <c r="L94" s="115">
        <v>2415.6</v>
      </c>
      <c r="M94" s="110" t="s">
        <v>332</v>
      </c>
      <c r="N94" s="110">
        <v>10</v>
      </c>
      <c r="O94" s="116" t="s">
        <v>290</v>
      </c>
      <c r="P94" s="103">
        <v>10</v>
      </c>
    </row>
    <row r="95">
      <c r="A95" s="111" t="s">
        <v>333</v>
      </c>
      <c r="B95" s="103" t="s">
        <v>287</v>
      </c>
      <c r="C95" s="110" t="s">
        <v>297</v>
      </c>
      <c r="D95" s="103">
        <v>5</v>
      </c>
      <c r="E95" s="110">
        <v>8</v>
      </c>
      <c r="F95" s="103">
        <v>13558</v>
      </c>
      <c r="G95" s="103">
        <v>8169.950000000001</v>
      </c>
      <c r="H95" s="112">
        <f t="shared" si="1"/>
      </c>
      <c r="I95" s="112">
        <f t="shared" si="0"/>
      </c>
      <c r="J95" s="112">
        <f t="shared" si="2"/>
      </c>
      <c r="K95" s="110">
        <v>0</v>
      </c>
      <c r="L95" s="110">
        <v>0</v>
      </c>
      <c r="M95" s="117"/>
      <c r="N95" s="117"/>
      <c r="O95" s="103"/>
      <c r="P95" s="103"/>
    </row>
    <row r="96">
      <c r="A96" s="131" t="s">
        <v>333</v>
      </c>
      <c r="B96" s="118"/>
      <c r="C96" s="118"/>
      <c r="D96" s="119">
        <f>SUM(D92:D95)</f>
      </c>
      <c r="E96" s="119">
        <f>SUM(E92:E95)</f>
      </c>
      <c r="F96" s="119">
        <f>SUM(F92:F95)</f>
      </c>
      <c r="G96" s="119">
        <f>SUM(G92:G95)</f>
      </c>
      <c r="H96" s="120">
        <f t="shared" si="1"/>
      </c>
      <c r="I96" s="120">
        <f t="shared" si="0"/>
      </c>
      <c r="J96" s="120">
        <f t="shared" si="2"/>
      </c>
      <c r="K96" s="119">
        <f>SUM(K92:K95)</f>
      </c>
      <c r="L96" s="119">
        <f>SUM(L92:L95)</f>
      </c>
      <c r="M96" s="121"/>
      <c r="N96" s="119">
        <f>SUM(N92:N95)</f>
      </c>
      <c r="O96" s="121"/>
      <c r="P96" s="119">
        <f>SUM(P92:P95)</f>
      </c>
    </row>
    <row r="97">
      <c r="A97" s="127" t="s">
        <v>334</v>
      </c>
      <c r="B97" s="103" t="s">
        <v>324</v>
      </c>
      <c r="C97" s="110" t="s">
        <v>280</v>
      </c>
      <c r="D97" s="110">
        <v>5</v>
      </c>
      <c r="E97" s="110">
        <v>6</v>
      </c>
      <c r="F97" s="103">
        <v>11098.8</v>
      </c>
      <c r="G97" s="103">
        <v>5947.31</v>
      </c>
      <c r="H97" s="112">
        <f t="shared" si="1"/>
      </c>
      <c r="I97" s="112">
        <f t="shared" si="0"/>
      </c>
      <c r="J97" s="112">
        <f t="shared" si="2"/>
      </c>
      <c r="K97" s="110">
        <v>0</v>
      </c>
      <c r="L97" s="110">
        <v>0</v>
      </c>
      <c r="M97" s="113" t="s">
        <v>281</v>
      </c>
      <c r="N97" s="122">
        <v>1</v>
      </c>
      <c r="O97" s="103" t="s">
        <v>282</v>
      </c>
      <c r="P97" s="103">
        <v>10</v>
      </c>
    </row>
    <row r="98">
      <c r="A98" s="111" t="s">
        <v>334</v>
      </c>
      <c r="B98" s="103" t="s">
        <v>279</v>
      </c>
      <c r="C98" s="110" t="s">
        <v>307</v>
      </c>
      <c r="D98" s="103">
        <v>5</v>
      </c>
      <c r="E98" s="110">
        <v>9</v>
      </c>
      <c r="F98" s="103">
        <v>13549.2</v>
      </c>
      <c r="G98" s="103">
        <v>5418.85</v>
      </c>
      <c r="H98" s="112">
        <f t="shared" si="1"/>
      </c>
      <c r="I98" s="112">
        <f t="shared" si="0"/>
      </c>
      <c r="J98" s="112">
        <f t="shared" si="2"/>
      </c>
      <c r="K98" s="110">
        <v>4</v>
      </c>
      <c r="L98" s="128">
        <v>1704</v>
      </c>
      <c r="M98" s="122" t="s">
        <v>335</v>
      </c>
      <c r="N98" s="122">
        <v>7</v>
      </c>
      <c r="O98" s="116"/>
      <c r="P98" s="103"/>
    </row>
    <row r="99">
      <c r="A99" s="111" t="s">
        <v>334</v>
      </c>
      <c r="B99" s="111" t="s">
        <v>287</v>
      </c>
      <c r="C99" s="110" t="s">
        <v>308</v>
      </c>
      <c r="D99" s="103">
        <v>5</v>
      </c>
      <c r="E99" s="110">
        <v>4</v>
      </c>
      <c r="F99" s="103">
        <v>4524</v>
      </c>
      <c r="G99" s="103">
        <v>3689.51</v>
      </c>
      <c r="H99" s="112">
        <f t="shared" si="1"/>
      </c>
      <c r="I99" s="112">
        <f t="shared" si="0"/>
      </c>
      <c r="J99" s="112">
        <f t="shared" si="2"/>
      </c>
      <c r="K99" s="110">
        <v>0</v>
      </c>
      <c r="L99" s="128">
        <v>0</v>
      </c>
      <c r="M99" s="122" t="s">
        <v>313</v>
      </c>
      <c r="N99" s="122">
        <v>2</v>
      </c>
      <c r="O99" s="116" t="s">
        <v>290</v>
      </c>
      <c r="P99" s="103">
        <v>10</v>
      </c>
    </row>
    <row r="100">
      <c r="A100" s="111" t="s">
        <v>334</v>
      </c>
      <c r="B100" s="103" t="s">
        <v>291</v>
      </c>
      <c r="C100" s="110" t="s">
        <v>297</v>
      </c>
      <c r="D100" s="103">
        <v>5</v>
      </c>
      <c r="E100" s="110">
        <v>4</v>
      </c>
      <c r="F100" s="103">
        <v>3705.5999999999985</v>
      </c>
      <c r="G100" s="103">
        <v>4447.71</v>
      </c>
      <c r="H100" s="112">
        <f t="shared" si="1"/>
      </c>
      <c r="I100" s="112">
        <f t="shared" si="0"/>
      </c>
      <c r="J100" s="112">
        <f t="shared" si="2"/>
      </c>
      <c r="K100" s="110">
        <v>2</v>
      </c>
      <c r="L100" s="110">
        <v>1740</v>
      </c>
      <c r="M100" s="110" t="s">
        <v>332</v>
      </c>
      <c r="N100" s="110">
        <v>10</v>
      </c>
      <c r="O100" s="103"/>
      <c r="P100" s="103"/>
    </row>
    <row r="101">
      <c r="A101" s="131" t="s">
        <v>334</v>
      </c>
      <c r="B101" s="118"/>
      <c r="C101" s="118"/>
      <c r="D101" s="119">
        <f>SUM(D97:D100)</f>
      </c>
      <c r="E101" s="119">
        <f>SUM(E97:E100)</f>
      </c>
      <c r="F101" s="119">
        <f>SUM(F97:F100)</f>
      </c>
      <c r="G101" s="119">
        <f>SUM(G97:G100)</f>
      </c>
      <c r="H101" s="120">
        <f t="shared" si="1"/>
      </c>
      <c r="I101" s="120">
        <f t="shared" si="0"/>
      </c>
      <c r="J101" s="120">
        <f t="shared" si="2"/>
      </c>
      <c r="K101" s="119">
        <f>SUM(K97:K100)</f>
      </c>
      <c r="L101" s="119">
        <f>SUM(L97:L100)</f>
      </c>
      <c r="M101" s="121"/>
      <c r="N101" s="119">
        <f>SUM(N97:N100)</f>
      </c>
      <c r="O101" s="121"/>
      <c r="P101" s="119">
        <f>SUM(P97:P100)</f>
      </c>
    </row>
    <row r="102">
      <c r="A102" s="127" t="s">
        <v>336</v>
      </c>
      <c r="B102" s="103" t="s">
        <v>324</v>
      </c>
      <c r="C102" s="110" t="s">
        <v>280</v>
      </c>
      <c r="D102" s="110">
        <v>5</v>
      </c>
      <c r="E102" s="110">
        <v>9</v>
      </c>
      <c r="F102" s="103">
        <v>7752</v>
      </c>
      <c r="G102" s="103">
        <v>7106.5199999999995</v>
      </c>
      <c r="H102" s="112">
        <f t="shared" si="1"/>
      </c>
      <c r="I102" s="112">
        <f t="shared" si="0"/>
      </c>
      <c r="J102" s="112">
        <f t="shared" si="2"/>
      </c>
      <c r="K102" s="110">
        <v>3</v>
      </c>
      <c r="L102" s="110">
        <v>2880</v>
      </c>
      <c r="M102" s="113" t="s">
        <v>281</v>
      </c>
      <c r="N102" s="122">
        <v>2</v>
      </c>
      <c r="O102" s="103" t="s">
        <v>282</v>
      </c>
      <c r="P102" s="103">
        <v>10</v>
      </c>
    </row>
    <row r="103">
      <c r="A103" s="111" t="s">
        <v>336</v>
      </c>
      <c r="B103" s="103" t="s">
        <v>302</v>
      </c>
      <c r="C103" s="110" t="s">
        <v>307</v>
      </c>
      <c r="D103" s="103">
        <v>5</v>
      </c>
      <c r="E103" s="110">
        <v>6</v>
      </c>
      <c r="F103" s="103">
        <v>5641.8</v>
      </c>
      <c r="G103" s="103">
        <v>4519.69</v>
      </c>
      <c r="H103" s="112">
        <f t="shared" si="1"/>
      </c>
      <c r="I103" s="112">
        <f t="shared" si="0"/>
      </c>
      <c r="J103" s="112">
        <f t="shared" si="2"/>
      </c>
      <c r="K103" s="110">
        <v>2</v>
      </c>
      <c r="L103" s="128">
        <v>1716</v>
      </c>
      <c r="M103" s="122" t="s">
        <v>335</v>
      </c>
      <c r="N103" s="122">
        <v>6</v>
      </c>
      <c r="O103" s="116"/>
      <c r="P103" s="103"/>
    </row>
    <row r="104">
      <c r="A104" s="111" t="s">
        <v>336</v>
      </c>
      <c r="B104" s="111" t="s">
        <v>287</v>
      </c>
      <c r="C104" s="110" t="s">
        <v>308</v>
      </c>
      <c r="D104" s="103">
        <v>5</v>
      </c>
      <c r="E104" s="110">
        <v>5</v>
      </c>
      <c r="F104" s="103">
        <v>1790.4000000000015</v>
      </c>
      <c r="G104" s="103">
        <v>2633.06</v>
      </c>
      <c r="H104" s="112">
        <f t="shared" si="1"/>
      </c>
      <c r="I104" s="112">
        <f t="shared" si="0"/>
      </c>
      <c r="J104" s="112">
        <f t="shared" si="2"/>
      </c>
      <c r="K104" s="110">
        <v>0</v>
      </c>
      <c r="L104" s="128">
        <v>0</v>
      </c>
      <c r="M104" s="122" t="s">
        <v>313</v>
      </c>
      <c r="N104" s="122">
        <v>2</v>
      </c>
      <c r="O104" s="116" t="s">
        <v>290</v>
      </c>
      <c r="P104" s="103">
        <v>10</v>
      </c>
    </row>
    <row r="105">
      <c r="A105" s="111" t="s">
        <v>336</v>
      </c>
      <c r="B105" s="103" t="s">
        <v>291</v>
      </c>
      <c r="C105" s="110" t="s">
        <v>297</v>
      </c>
      <c r="D105" s="103">
        <v>5</v>
      </c>
      <c r="E105" s="110">
        <v>5</v>
      </c>
      <c r="F105" s="103">
        <v>8556</v>
      </c>
      <c r="G105" s="103">
        <v>4842.550000000001</v>
      </c>
      <c r="H105" s="112">
        <f t="shared" si="1"/>
      </c>
      <c r="I105" s="112">
        <f t="shared" si="0"/>
      </c>
      <c r="J105" s="112">
        <f t="shared" si="2"/>
      </c>
      <c r="K105" s="110">
        <v>1</v>
      </c>
      <c r="L105" s="110">
        <v>2088</v>
      </c>
      <c r="M105" s="110" t="s">
        <v>332</v>
      </c>
      <c r="N105" s="110">
        <v>10</v>
      </c>
      <c r="O105" s="103"/>
      <c r="P105" s="103"/>
    </row>
    <row r="106">
      <c r="A106" s="131" t="s">
        <v>336</v>
      </c>
      <c r="B106" s="118"/>
      <c r="C106" s="118"/>
      <c r="D106" s="119">
        <f>SUM(D102:D105)</f>
      </c>
      <c r="E106" s="119">
        <f>SUM(E102:E105)</f>
      </c>
      <c r="F106" s="119">
        <f>SUM(F102:F105)</f>
      </c>
      <c r="G106" s="119">
        <f>SUM(G102:G105)</f>
      </c>
      <c r="H106" s="120">
        <f t="shared" si="1"/>
      </c>
      <c r="I106" s="120">
        <f t="shared" si="0"/>
      </c>
      <c r="J106" s="120">
        <f t="shared" si="2"/>
      </c>
      <c r="K106" s="119">
        <f>SUM(K102:K105)</f>
      </c>
      <c r="L106" s="119">
        <f>SUM(L102:L105)</f>
      </c>
      <c r="M106" s="121"/>
      <c r="N106" s="119">
        <f>SUM(N102:N105)</f>
      </c>
      <c r="O106" s="121"/>
      <c r="P106" s="119">
        <f>SUM(P102:P105)</f>
      </c>
    </row>
    <row r="107">
      <c r="A107" s="127" t="s">
        <v>337</v>
      </c>
      <c r="B107" s="103" t="s">
        <v>302</v>
      </c>
      <c r="C107" s="110" t="s">
        <v>280</v>
      </c>
      <c r="D107" s="110">
        <v>5</v>
      </c>
      <c r="E107" s="110">
        <v>2</v>
      </c>
      <c r="F107" s="103">
        <v>2686.8</v>
      </c>
      <c r="G107" s="103">
        <v>4172.17</v>
      </c>
      <c r="H107" s="112">
        <f t="shared" si="1"/>
      </c>
      <c r="I107" s="112">
        <f t="shared" si="0"/>
      </c>
      <c r="J107" s="112">
        <f t="shared" si="2"/>
      </c>
      <c r="K107" s="110">
        <v>1</v>
      </c>
      <c r="L107" s="110">
        <v>598.8</v>
      </c>
      <c r="M107" s="113"/>
      <c r="N107" s="122"/>
      <c r="O107" s="103" t="s">
        <v>282</v>
      </c>
      <c r="P107" s="103">
        <v>10</v>
      </c>
    </row>
    <row r="108">
      <c r="A108" s="127" t="s">
        <v>337</v>
      </c>
      <c r="B108" s="103" t="s">
        <v>287</v>
      </c>
      <c r="C108" s="110" t="s">
        <v>307</v>
      </c>
      <c r="D108" s="103">
        <v>5</v>
      </c>
      <c r="E108" s="110">
        <v>13</v>
      </c>
      <c r="F108" s="103">
        <v>13131</v>
      </c>
      <c r="G108" s="103">
        <v>5461.299999999999</v>
      </c>
      <c r="H108" s="112">
        <f t="shared" si="1"/>
      </c>
      <c r="I108" s="112">
        <f t="shared" si="0"/>
      </c>
      <c r="J108" s="112">
        <f t="shared" si="2"/>
      </c>
      <c r="K108" s="110">
        <v>1</v>
      </c>
      <c r="L108" s="128">
        <v>2592</v>
      </c>
      <c r="M108" s="122" t="s">
        <v>338</v>
      </c>
      <c r="N108" s="122">
        <v>8</v>
      </c>
      <c r="O108" s="116"/>
      <c r="P108" s="103"/>
    </row>
    <row r="109">
      <c r="A109" s="127" t="s">
        <v>337</v>
      </c>
      <c r="B109" s="111" t="s">
        <v>279</v>
      </c>
      <c r="C109" s="110" t="s">
        <v>308</v>
      </c>
      <c r="D109" s="103">
        <v>5</v>
      </c>
      <c r="E109" s="110">
        <v>2</v>
      </c>
      <c r="F109" s="103">
        <v>816</v>
      </c>
      <c r="G109" s="103">
        <v>2203.9</v>
      </c>
      <c r="H109" s="112">
        <f t="shared" si="1"/>
      </c>
      <c r="I109" s="112">
        <f t="shared" si="0"/>
      </c>
      <c r="J109" s="112">
        <f t="shared" si="2"/>
      </c>
      <c r="K109" s="110">
        <v>1</v>
      </c>
      <c r="L109" s="128">
        <v>372</v>
      </c>
      <c r="M109" s="122" t="s">
        <v>313</v>
      </c>
      <c r="N109" s="122">
        <v>2</v>
      </c>
      <c r="O109" s="116" t="s">
        <v>290</v>
      </c>
      <c r="P109" s="103">
        <v>10</v>
      </c>
    </row>
    <row r="110">
      <c r="A110" s="127" t="s">
        <v>337</v>
      </c>
      <c r="B110" s="103" t="s">
        <v>291</v>
      </c>
      <c r="C110" s="110" t="s">
        <v>297</v>
      </c>
      <c r="D110" s="103">
        <v>5</v>
      </c>
      <c r="E110" s="110">
        <v>5</v>
      </c>
      <c r="F110" s="103">
        <v>5268</v>
      </c>
      <c r="G110" s="103">
        <v>5587.95</v>
      </c>
      <c r="H110" s="112">
        <f t="shared" si="1"/>
      </c>
      <c r="I110" s="112">
        <f t="shared" si="0"/>
      </c>
      <c r="J110" s="112">
        <f t="shared" si="2"/>
      </c>
      <c r="K110" s="110">
        <v>0</v>
      </c>
      <c r="L110" s="110">
        <v>0</v>
      </c>
      <c r="M110" s="110" t="s">
        <v>332</v>
      </c>
      <c r="N110" s="110">
        <v>10</v>
      </c>
      <c r="O110" s="103"/>
      <c r="P110" s="103"/>
    </row>
    <row r="111">
      <c r="A111" s="132" t="s">
        <v>337</v>
      </c>
      <c r="B111" s="118"/>
      <c r="C111" s="118"/>
      <c r="D111" s="119">
        <f>SUM(D107:D110)</f>
      </c>
      <c r="E111" s="119">
        <f>SUM(E107:E110)</f>
      </c>
      <c r="F111" s="119">
        <f>SUM(F107:F110)</f>
      </c>
      <c r="G111" s="119">
        <f>SUM(G107:G110)</f>
      </c>
      <c r="H111" s="120">
        <f t="shared" si="1"/>
      </c>
      <c r="I111" s="120">
        <f t="shared" si="0"/>
      </c>
      <c r="J111" s="120">
        <f t="shared" si="2"/>
      </c>
      <c r="K111" s="119">
        <f>SUM(K107:K110)</f>
      </c>
      <c r="L111" s="119">
        <f>SUM(L107:L110)</f>
      </c>
      <c r="M111" s="121"/>
      <c r="N111" s="119">
        <f>SUM(N107:N110)</f>
      </c>
      <c r="O111" s="121"/>
      <c r="P111" s="119">
        <f>SUM(P107:P110)</f>
      </c>
    </row>
    <row r="112">
      <c r="A112" s="127" t="s">
        <v>339</v>
      </c>
      <c r="B112" s="103" t="s">
        <v>324</v>
      </c>
      <c r="C112" s="110" t="s">
        <v>280</v>
      </c>
      <c r="D112" s="110">
        <v>5</v>
      </c>
      <c r="E112" s="110">
        <v>7</v>
      </c>
      <c r="F112" s="103">
        <v>6450</v>
      </c>
      <c r="G112" s="103">
        <v>6051.26</v>
      </c>
      <c r="H112" s="112">
        <f t="shared" si="1"/>
      </c>
      <c r="I112" s="112">
        <f t="shared" si="0"/>
      </c>
      <c r="J112" s="112">
        <f t="shared" si="2"/>
      </c>
      <c r="K112" s="110">
        <v>0</v>
      </c>
      <c r="L112" s="110">
        <v>0</v>
      </c>
      <c r="M112" s="113"/>
      <c r="N112" s="122"/>
      <c r="O112" s="103" t="s">
        <v>282</v>
      </c>
      <c r="P112" s="103">
        <v>10</v>
      </c>
    </row>
    <row r="113">
      <c r="A113" s="127" t="s">
        <v>339</v>
      </c>
      <c r="B113" s="103" t="s">
        <v>287</v>
      </c>
      <c r="C113" s="110" t="s">
        <v>307</v>
      </c>
      <c r="D113" s="103">
        <v>5</v>
      </c>
      <c r="E113" s="110">
        <v>9</v>
      </c>
      <c r="F113" s="103">
        <v>12571.2</v>
      </c>
      <c r="G113" s="103">
        <v>10381.330000000002</v>
      </c>
      <c r="H113" s="112">
        <f t="shared" si="1"/>
      </c>
      <c r="I113" s="112">
        <f t="shared" si="0"/>
      </c>
      <c r="J113" s="112">
        <f t="shared" si="2"/>
      </c>
      <c r="K113" s="110">
        <v>2</v>
      </c>
      <c r="L113" s="128">
        <v>2688</v>
      </c>
      <c r="M113" s="122" t="s">
        <v>338</v>
      </c>
      <c r="N113" s="122">
        <v>8</v>
      </c>
      <c r="O113" s="116"/>
      <c r="P113" s="103"/>
    </row>
    <row r="114">
      <c r="A114" s="127" t="s">
        <v>339</v>
      </c>
      <c r="B114" s="111" t="s">
        <v>291</v>
      </c>
      <c r="C114" s="110" t="s">
        <v>308</v>
      </c>
      <c r="D114" s="103">
        <v>5</v>
      </c>
      <c r="E114" s="110">
        <v>12</v>
      </c>
      <c r="F114" s="103">
        <v>13798.600000000002</v>
      </c>
      <c r="G114" s="103">
        <v>9497.859999999999</v>
      </c>
      <c r="H114" s="112">
        <f t="shared" si="1"/>
      </c>
      <c r="I114" s="112">
        <f t="shared" si="0"/>
      </c>
      <c r="J114" s="112">
        <f t="shared" si="2"/>
      </c>
      <c r="K114" s="110">
        <v>5</v>
      </c>
      <c r="L114" s="128">
        <v>7147</v>
      </c>
      <c r="M114" s="122"/>
      <c r="N114" s="122"/>
      <c r="O114" s="116" t="s">
        <v>290</v>
      </c>
      <c r="P114" s="103">
        <v>10</v>
      </c>
    </row>
    <row r="115">
      <c r="A115" s="127" t="s">
        <v>339</v>
      </c>
      <c r="B115" s="103" t="s">
        <v>279</v>
      </c>
      <c r="C115" s="110" t="s">
        <v>297</v>
      </c>
      <c r="D115" s="103">
        <v>5</v>
      </c>
      <c r="E115" s="110">
        <v>11</v>
      </c>
      <c r="F115" s="103">
        <v>13193.599999999999</v>
      </c>
      <c r="G115" s="110">
        <v>9407.16</v>
      </c>
      <c r="H115" s="112">
        <f t="shared" si="1"/>
      </c>
      <c r="I115" s="112">
        <f t="shared" si="0"/>
      </c>
      <c r="J115" s="112">
        <f t="shared" si="2"/>
      </c>
      <c r="K115" s="110">
        <v>1</v>
      </c>
      <c r="L115" s="110">
        <v>471</v>
      </c>
      <c r="M115" s="110" t="s">
        <v>332</v>
      </c>
      <c r="N115" s="110">
        <v>12</v>
      </c>
      <c r="O115" s="103"/>
      <c r="P115" s="103"/>
    </row>
    <row r="116">
      <c r="A116" s="132" t="s">
        <v>339</v>
      </c>
      <c r="B116" s="118"/>
      <c r="C116" s="118"/>
      <c r="D116" s="119">
        <f>SUM(D112:D115)</f>
      </c>
      <c r="E116" s="119">
        <f>SUM(E112:E115)</f>
      </c>
      <c r="F116" s="119">
        <f>SUM(F112:F115)</f>
      </c>
      <c r="G116" s="119">
        <f>SUM(G112:G115)</f>
      </c>
      <c r="H116" s="120">
        <f t="shared" si="1"/>
      </c>
      <c r="I116" s="120">
        <f t="shared" si="0"/>
      </c>
      <c r="J116" s="120">
        <f t="shared" si="2"/>
      </c>
      <c r="K116" s="119">
        <f>SUM(K112:K115)</f>
      </c>
      <c r="L116" s="119">
        <f>SUM(L112:L115)</f>
      </c>
      <c r="M116" s="121"/>
      <c r="N116" s="119">
        <f>SUM(N112:N115)</f>
      </c>
      <c r="O116" s="121"/>
      <c r="P116" s="119">
        <f>SUM(P112:P115)</f>
      </c>
    </row>
    <row r="117">
      <c r="A117" s="127" t="s">
        <v>340</v>
      </c>
      <c r="B117" s="103" t="s">
        <v>324</v>
      </c>
      <c r="C117" s="110" t="s">
        <v>280</v>
      </c>
      <c r="D117" s="110">
        <v>5</v>
      </c>
      <c r="E117" s="110">
        <v>8</v>
      </c>
      <c r="F117" s="103">
        <v>11568</v>
      </c>
      <c r="G117" s="103">
        <v>6603.299999999999</v>
      </c>
      <c r="H117" s="112">
        <f t="shared" si="1"/>
      </c>
      <c r="I117" s="112">
        <f t="shared" si="0"/>
      </c>
      <c r="J117" s="112">
        <f t="shared" si="2"/>
      </c>
      <c r="K117" s="110">
        <v>3</v>
      </c>
      <c r="L117" s="110">
        <v>4056</v>
      </c>
      <c r="M117" s="122" t="s">
        <v>341</v>
      </c>
      <c r="N117" s="122">
        <v>8</v>
      </c>
      <c r="O117" s="103" t="s">
        <v>282</v>
      </c>
      <c r="P117" s="103">
        <v>10</v>
      </c>
    </row>
    <row r="118">
      <c r="A118" s="127" t="s">
        <v>340</v>
      </c>
      <c r="B118" s="103" t="s">
        <v>302</v>
      </c>
      <c r="C118" s="110" t="s">
        <v>307</v>
      </c>
      <c r="D118" s="103">
        <v>5</v>
      </c>
      <c r="E118" s="110">
        <v>21</v>
      </c>
      <c r="F118" s="103">
        <v>20070</v>
      </c>
      <c r="G118" s="103">
        <v>8754.5</v>
      </c>
      <c r="H118" s="112">
        <f t="shared" si="1"/>
      </c>
      <c r="I118" s="112">
        <f t="shared" si="0"/>
      </c>
      <c r="J118" s="112">
        <f t="shared" si="2"/>
      </c>
      <c r="K118" s="110">
        <v>3</v>
      </c>
      <c r="L118" s="128">
        <v>2880</v>
      </c>
      <c r="M118" s="122" t="s">
        <v>342</v>
      </c>
      <c r="N118" s="122">
        <v>2</v>
      </c>
      <c r="O118" s="116"/>
      <c r="P118" s="103"/>
    </row>
    <row r="119">
      <c r="A119" s="127" t="s">
        <v>340</v>
      </c>
      <c r="B119" s="111" t="s">
        <v>279</v>
      </c>
      <c r="C119" s="110" t="s">
        <v>308</v>
      </c>
      <c r="D119" s="103">
        <v>5</v>
      </c>
      <c r="E119" s="110">
        <v>14</v>
      </c>
      <c r="F119" s="103">
        <v>14092.800000000003</v>
      </c>
      <c r="G119" s="103">
        <v>7968.63</v>
      </c>
      <c r="H119" s="112">
        <f t="shared" si="1"/>
      </c>
      <c r="I119" s="112">
        <f t="shared" si="0"/>
      </c>
      <c r="J119" s="112">
        <f t="shared" si="2"/>
      </c>
      <c r="K119" s="110">
        <v>1</v>
      </c>
      <c r="L119" s="128">
        <v>1344</v>
      </c>
      <c r="M119" s="110" t="s">
        <v>332</v>
      </c>
      <c r="N119" s="110">
        <v>10</v>
      </c>
      <c r="O119" s="116" t="s">
        <v>290</v>
      </c>
      <c r="P119" s="103">
        <v>10</v>
      </c>
    </row>
    <row r="120">
      <c r="A120" s="127" t="s">
        <v>340</v>
      </c>
      <c r="B120" s="103" t="s">
        <v>287</v>
      </c>
      <c r="C120" s="110" t="s">
        <v>297</v>
      </c>
      <c r="D120" s="103">
        <v>5</v>
      </c>
      <c r="E120" s="110">
        <v>17</v>
      </c>
      <c r="F120" s="103">
        <v>24117.59999999999</v>
      </c>
      <c r="G120" s="110">
        <v>14829.2</v>
      </c>
      <c r="H120" s="112">
        <f t="shared" si="1"/>
      </c>
      <c r="I120" s="112">
        <f t="shared" si="0"/>
      </c>
      <c r="J120" s="112">
        <f t="shared" si="2"/>
      </c>
      <c r="K120" s="110">
        <v>0</v>
      </c>
      <c r="L120" s="110">
        <v>0</v>
      </c>
      <c r="M120" s="110"/>
      <c r="N120" s="110"/>
      <c r="O120" s="103"/>
      <c r="P120" s="103"/>
    </row>
    <row r="121">
      <c r="A121" s="132" t="s">
        <v>340</v>
      </c>
      <c r="B121" s="118"/>
      <c r="C121" s="118"/>
      <c r="D121" s="119">
        <f>SUM(D117:D120)</f>
      </c>
      <c r="E121" s="119">
        <f>SUM(E117:E120)</f>
      </c>
      <c r="F121" s="119">
        <f>SUM(F117:F120)</f>
      </c>
      <c r="G121" s="119">
        <f>SUM(G117:G120)</f>
      </c>
      <c r="H121" s="120">
        <f t="shared" si="1"/>
      </c>
      <c r="I121" s="120">
        <f t="shared" si="0"/>
      </c>
      <c r="J121" s="120">
        <f t="shared" si="2"/>
      </c>
      <c r="K121" s="119">
        <f>SUM(K117:K120)</f>
      </c>
      <c r="L121" s="119">
        <f>SUM(L117:L120)</f>
      </c>
      <c r="M121" s="121"/>
      <c r="N121" s="119">
        <f>SUM(N117:N120)</f>
      </c>
      <c r="O121" s="121"/>
      <c r="P121" s="119">
        <f>SUM(P117:P120)</f>
      </c>
    </row>
    <row r="122">
      <c r="A122" s="127" t="s">
        <v>343</v>
      </c>
      <c r="B122" s="103" t="s">
        <v>324</v>
      </c>
      <c r="C122" s="110" t="s">
        <v>280</v>
      </c>
      <c r="D122" s="110">
        <v>5</v>
      </c>
      <c r="E122" s="110">
        <v>4</v>
      </c>
      <c r="F122" s="103">
        <v>5868</v>
      </c>
      <c r="G122" s="110">
        <v>6710.92</v>
      </c>
      <c r="H122" s="112">
        <f t="shared" si="1"/>
      </c>
      <c r="I122" s="112">
        <f t="shared" si="0"/>
      </c>
      <c r="J122" s="112">
        <f t="shared" si="2"/>
      </c>
      <c r="K122" s="110">
        <v>1</v>
      </c>
      <c r="L122" s="110">
        <v>1692</v>
      </c>
      <c r="M122" s="122" t="s">
        <v>341</v>
      </c>
      <c r="N122" s="122">
        <v>8</v>
      </c>
      <c r="O122" s="103" t="s">
        <v>282</v>
      </c>
      <c r="P122" s="103">
        <v>10</v>
      </c>
    </row>
    <row r="123">
      <c r="A123" s="127" t="s">
        <v>343</v>
      </c>
      <c r="B123" s="103" t="s">
        <v>302</v>
      </c>
      <c r="C123" s="110" t="s">
        <v>307</v>
      </c>
      <c r="D123" s="103">
        <v>5</v>
      </c>
      <c r="E123" s="110">
        <v>7</v>
      </c>
      <c r="F123" s="103">
        <v>4662</v>
      </c>
      <c r="G123" s="103">
        <v>5103.07</v>
      </c>
      <c r="H123" s="112">
        <f t="shared" si="1"/>
      </c>
      <c r="I123" s="112">
        <f t="shared" si="0"/>
      </c>
      <c r="J123" s="112">
        <f t="shared" si="2"/>
      </c>
      <c r="K123" s="110">
        <v>1</v>
      </c>
      <c r="L123" s="128">
        <v>380.4000000000001</v>
      </c>
      <c r="M123" s="122" t="s">
        <v>342</v>
      </c>
      <c r="N123" s="122">
        <v>2</v>
      </c>
      <c r="O123" s="116"/>
      <c r="P123" s="103"/>
    </row>
    <row r="124">
      <c r="A124" s="127" t="s">
        <v>343</v>
      </c>
      <c r="B124" s="111" t="s">
        <v>279</v>
      </c>
      <c r="C124" s="110" t="s">
        <v>308</v>
      </c>
      <c r="D124" s="103">
        <v>5</v>
      </c>
      <c r="E124" s="110">
        <v>2</v>
      </c>
      <c r="F124" s="103">
        <v>2136</v>
      </c>
      <c r="G124" s="103">
        <v>3736.5000000000005</v>
      </c>
      <c r="H124" s="112">
        <f t="shared" si="1"/>
      </c>
      <c r="I124" s="112">
        <f t="shared" si="0"/>
      </c>
      <c r="J124" s="112">
        <f t="shared" si="2"/>
      </c>
      <c r="K124" s="110">
        <v>0</v>
      </c>
      <c r="L124" s="128">
        <v>0</v>
      </c>
      <c r="M124" s="110" t="s">
        <v>332</v>
      </c>
      <c r="N124" s="110">
        <v>10</v>
      </c>
      <c r="O124" s="116" t="s">
        <v>290</v>
      </c>
      <c r="P124" s="103">
        <v>10</v>
      </c>
    </row>
    <row r="125">
      <c r="A125" s="127" t="s">
        <v>343</v>
      </c>
      <c r="B125" s="103" t="s">
        <v>287</v>
      </c>
      <c r="C125" s="110" t="s">
        <v>297</v>
      </c>
      <c r="D125" s="103">
        <v>5</v>
      </c>
      <c r="E125" s="110">
        <v>6</v>
      </c>
      <c r="F125" s="103">
        <v>10512</v>
      </c>
      <c r="G125" s="103">
        <v>5481.47</v>
      </c>
      <c r="H125" s="112">
        <f t="shared" si="1"/>
      </c>
      <c r="I125" s="112">
        <f t="shared" si="0"/>
      </c>
      <c r="J125" s="112">
        <f t="shared" si="2"/>
      </c>
      <c r="K125" s="110">
        <v>1</v>
      </c>
      <c r="L125" s="110">
        <v>2087.9999999999995</v>
      </c>
      <c r="M125" s="110"/>
      <c r="N125" s="110"/>
      <c r="O125" s="103"/>
      <c r="P125" s="103"/>
    </row>
    <row r="126">
      <c r="A126" s="132" t="s">
        <v>343</v>
      </c>
      <c r="B126" s="118"/>
      <c r="C126" s="118"/>
      <c r="D126" s="119">
        <f>SUM(D122:D125)</f>
      </c>
      <c r="E126" s="119">
        <f>SUM(E122:E125)</f>
      </c>
      <c r="F126" s="119">
        <f>SUM(F122:F125)</f>
      </c>
      <c r="G126" s="119">
        <f>SUM(G122:G125)</f>
      </c>
      <c r="H126" s="120">
        <f t="shared" si="1"/>
      </c>
      <c r="I126" s="120">
        <f t="shared" si="0"/>
      </c>
      <c r="J126" s="120">
        <f t="shared" si="2"/>
      </c>
      <c r="K126" s="119">
        <f>SUM(K122:K125)</f>
      </c>
      <c r="L126" s="119">
        <f>SUM(L122:L125)</f>
      </c>
      <c r="M126" s="121"/>
      <c r="N126" s="119">
        <f>SUM(N122:N125)</f>
      </c>
      <c r="O126" s="121"/>
      <c r="P126" s="119">
        <f>SUM(P122:P125)</f>
      </c>
    </row>
    <row r="127">
      <c r="A127" s="127" t="s">
        <v>344</v>
      </c>
      <c r="B127" s="103" t="s">
        <v>324</v>
      </c>
      <c r="C127" s="110" t="s">
        <v>280</v>
      </c>
      <c r="D127" s="110">
        <v>5</v>
      </c>
      <c r="E127" s="110">
        <v>5</v>
      </c>
      <c r="F127" s="110">
        <v>5590.8</v>
      </c>
      <c r="G127" s="110">
        <v>4810.36</v>
      </c>
      <c r="H127" s="112">
        <f t="shared" si="1"/>
      </c>
      <c r="I127" s="112">
        <f t="shared" si="0"/>
      </c>
      <c r="J127" s="112">
        <f t="shared" si="2"/>
      </c>
      <c r="K127" s="110">
        <v>1</v>
      </c>
      <c r="L127" s="110">
        <v>490.8</v>
      </c>
      <c r="M127" s="122" t="s">
        <v>345</v>
      </c>
      <c r="N127" s="122">
        <v>10</v>
      </c>
      <c r="O127" s="103" t="s">
        <v>282</v>
      </c>
      <c r="P127" s="103">
        <v>10</v>
      </c>
    </row>
    <row r="128">
      <c r="A128" s="127" t="s">
        <v>344</v>
      </c>
      <c r="B128" s="103" t="s">
        <v>302</v>
      </c>
      <c r="C128" s="110" t="s">
        <v>307</v>
      </c>
      <c r="D128" s="103">
        <v>5</v>
      </c>
      <c r="E128" s="110">
        <v>1</v>
      </c>
      <c r="F128" s="103">
        <v>1692</v>
      </c>
      <c r="G128" s="103">
        <v>5700.63</v>
      </c>
      <c r="H128" s="112">
        <f t="shared" si="1"/>
      </c>
      <c r="I128" s="112">
        <f t="shared" si="0"/>
      </c>
      <c r="J128" s="112">
        <f t="shared" si="2"/>
      </c>
      <c r="K128" s="110">
        <v>0</v>
      </c>
      <c r="L128" s="128">
        <v>0</v>
      </c>
      <c r="M128" s="122" t="s">
        <v>346</v>
      </c>
      <c r="N128" s="122">
        <v>8</v>
      </c>
      <c r="O128" s="116"/>
      <c r="P128" s="103"/>
    </row>
    <row customHeight="true" ht="14.655078346642032" r="129">
      <c r="A129" s="127" t="s">
        <v>344</v>
      </c>
      <c r="B129" s="111" t="s">
        <v>279</v>
      </c>
      <c r="C129" s="110" t="s">
        <v>308</v>
      </c>
      <c r="D129" s="103">
        <v>5</v>
      </c>
      <c r="E129" s="110">
        <v>3</v>
      </c>
      <c r="F129" s="103">
        <v>3827.999999999999</v>
      </c>
      <c r="G129" s="103">
        <v>2638.9699999999993</v>
      </c>
      <c r="H129" s="112">
        <f t="shared" si="1"/>
      </c>
      <c r="I129" s="112">
        <f t="shared" si="0"/>
      </c>
      <c r="J129" s="112">
        <f t="shared" si="2"/>
      </c>
      <c r="K129" s="110">
        <v>2</v>
      </c>
      <c r="L129" s="128">
        <v>1740</v>
      </c>
      <c r="M129" s="110" t="s">
        <v>289</v>
      </c>
      <c r="N129" s="110">
        <v>2</v>
      </c>
      <c r="O129" s="116" t="s">
        <v>290</v>
      </c>
      <c r="P129" s="103">
        <v>10</v>
      </c>
    </row>
    <row customHeight="true" ht="16.071428571428573" r="130">
      <c r="A130" s="127" t="s">
        <v>344</v>
      </c>
      <c r="B130" s="103" t="s">
        <v>287</v>
      </c>
      <c r="C130" s="110" t="s">
        <v>297</v>
      </c>
      <c r="D130" s="103">
        <v>5</v>
      </c>
      <c r="E130" s="110">
        <v>8</v>
      </c>
      <c r="F130" s="103">
        <v>13692</v>
      </c>
      <c r="G130" s="103">
        <v>5354.2</v>
      </c>
      <c r="H130" s="112">
        <f t="shared" si="1"/>
      </c>
      <c r="I130" s="112">
        <f t="shared" si="0"/>
      </c>
      <c r="J130" s="112">
        <f t="shared" si="2"/>
      </c>
      <c r="K130" s="110">
        <v>0</v>
      </c>
      <c r="L130" s="110">
        <v>0</v>
      </c>
      <c r="M130" s="110"/>
      <c r="N130" s="110"/>
      <c r="O130" s="103"/>
      <c r="P130" s="103"/>
    </row>
    <row customHeight="true" ht="16.071428571428573" r="131">
      <c r="A131" s="132" t="s">
        <v>344</v>
      </c>
      <c r="B131" s="118"/>
      <c r="C131" s="118"/>
      <c r="D131" s="119">
        <f>SUM(D127:D130)</f>
      </c>
      <c r="E131" s="119">
        <f>SUM(E127:E130)</f>
      </c>
      <c r="F131" s="119">
        <f>SUM(F127:F130)</f>
      </c>
      <c r="G131" s="119">
        <f>SUM(G127:G130)</f>
      </c>
      <c r="H131" s="120">
        <f t="shared" si="1"/>
      </c>
      <c r="I131" s="120">
        <f t="shared" si="0"/>
      </c>
      <c r="J131" s="120">
        <f t="shared" si="2"/>
      </c>
      <c r="K131" s="119">
        <f>SUM(K127:K130)</f>
      </c>
      <c r="L131" s="119">
        <f>SUM(L127:L130)</f>
      </c>
      <c r="M131" s="121"/>
      <c r="N131" s="119">
        <f>SUM(N127:N130)</f>
      </c>
      <c r="O131" s="121"/>
      <c r="P131" s="119">
        <f>SUM(P127:P130)</f>
      </c>
    </row>
    <row customHeight="true" ht="16.071428571428573" r="132">
      <c r="A132" s="127" t="s">
        <v>347</v>
      </c>
      <c r="B132" s="103" t="s">
        <v>324</v>
      </c>
      <c r="C132" s="110" t="s">
        <v>280</v>
      </c>
      <c r="D132" s="110">
        <v>5</v>
      </c>
      <c r="E132" s="110">
        <v>9</v>
      </c>
      <c r="F132" s="110">
        <v>14200.8</v>
      </c>
      <c r="G132" s="110">
        <v>6402.959999999999</v>
      </c>
      <c r="H132" s="112">
        <f t="shared" si="1"/>
      </c>
      <c r="I132" s="112">
        <f t="shared" si="0"/>
      </c>
      <c r="J132" s="112">
        <f t="shared" si="2"/>
      </c>
      <c r="K132" s="110">
        <v>4</v>
      </c>
      <c r="L132" s="110">
        <v>6223.2</v>
      </c>
      <c r="M132" s="122" t="s">
        <v>304</v>
      </c>
      <c r="N132" s="122">
        <v>10</v>
      </c>
      <c r="O132" s="103" t="s">
        <v>282</v>
      </c>
      <c r="P132" s="103">
        <v>10</v>
      </c>
    </row>
    <row customHeight="true" ht="16.071428571428573" r="133">
      <c r="A133" s="127" t="s">
        <v>347</v>
      </c>
      <c r="B133" s="103" t="s">
        <v>279</v>
      </c>
      <c r="C133" s="110" t="s">
        <v>307</v>
      </c>
      <c r="D133" s="103">
        <v>5</v>
      </c>
      <c r="E133" s="110">
        <v>8</v>
      </c>
      <c r="F133" s="103">
        <v>8154</v>
      </c>
      <c r="G133" s="103">
        <v>6397.2</v>
      </c>
      <c r="H133" s="112">
        <f t="shared" si="1"/>
      </c>
      <c r="I133" s="112">
        <f t="shared" si="0"/>
      </c>
      <c r="J133" s="112">
        <f t="shared" si="2"/>
      </c>
      <c r="K133" s="110">
        <v>3</v>
      </c>
      <c r="L133" s="128">
        <v>3084</v>
      </c>
      <c r="M133" s="122"/>
      <c r="N133" s="122"/>
      <c r="O133" s="116"/>
      <c r="P133" s="103"/>
    </row>
    <row customHeight="true" ht="16.071428571428573" r="134">
      <c r="A134" s="127" t="s">
        <v>347</v>
      </c>
      <c r="B134" s="111" t="s">
        <v>287</v>
      </c>
      <c r="C134" s="110" t="s">
        <v>308</v>
      </c>
      <c r="D134" s="103">
        <v>5</v>
      </c>
      <c r="E134" s="110">
        <v>5</v>
      </c>
      <c r="F134" s="103">
        <v>6249.600000000002</v>
      </c>
      <c r="G134" s="103">
        <v>5210.46</v>
      </c>
      <c r="H134" s="112">
        <f t="shared" si="1"/>
      </c>
      <c r="I134" s="112">
        <f t="shared" si="0"/>
      </c>
      <c r="J134" s="112">
        <f t="shared" si="2"/>
      </c>
      <c r="K134" s="110">
        <v>1</v>
      </c>
      <c r="L134" s="128">
        <v>1092</v>
      </c>
      <c r="M134" s="110" t="s">
        <v>348</v>
      </c>
      <c r="N134" s="110">
        <v>10</v>
      </c>
      <c r="O134" s="116" t="s">
        <v>290</v>
      </c>
      <c r="P134" s="103">
        <v>10</v>
      </c>
    </row>
    <row customHeight="true" ht="16.071428571428573" r="135">
      <c r="A135" s="127" t="s">
        <v>347</v>
      </c>
      <c r="B135" s="103" t="s">
        <v>291</v>
      </c>
      <c r="C135" s="110" t="s">
        <v>297</v>
      </c>
      <c r="D135" s="103">
        <v>5</v>
      </c>
      <c r="E135" s="110">
        <v>14</v>
      </c>
      <c r="F135" s="103">
        <v>16650.799999999996</v>
      </c>
      <c r="G135" s="103">
        <v>8200.88</v>
      </c>
      <c r="H135" s="112">
        <f t="shared" si="1"/>
      </c>
      <c r="I135" s="112">
        <f t="shared" si="0"/>
      </c>
      <c r="J135" s="112">
        <f t="shared" si="2"/>
      </c>
      <c r="K135" s="110">
        <v>4</v>
      </c>
      <c r="L135" s="110">
        <v>3188</v>
      </c>
      <c r="M135" s="110"/>
      <c r="N135" s="110"/>
      <c r="O135" s="103"/>
      <c r="P135" s="103"/>
    </row>
    <row customHeight="true" ht="16.071428571428573" r="136">
      <c r="A136" s="132" t="s">
        <v>347</v>
      </c>
      <c r="B136" s="118"/>
      <c r="C136" s="118"/>
      <c r="D136" s="119">
        <f>SUM(D132:D135)</f>
      </c>
      <c r="E136" s="119">
        <f>SUM(E132:E135)</f>
      </c>
      <c r="F136" s="119">
        <f>SUM(F132:F135)</f>
      </c>
      <c r="G136" s="119">
        <f>SUM(G132:G135)</f>
      </c>
      <c r="H136" s="120">
        <f t="shared" si="1"/>
      </c>
      <c r="I136" s="120">
        <f t="shared" si="0"/>
      </c>
      <c r="J136" s="120">
        <f t="shared" si="2"/>
      </c>
      <c r="K136" s="119">
        <f>SUM(K132:K135)</f>
      </c>
      <c r="L136" s="119">
        <f>SUM(L132:L135)</f>
      </c>
      <c r="M136" s="121"/>
      <c r="N136" s="119">
        <f>SUM(N132:N135)</f>
      </c>
      <c r="O136" s="121"/>
      <c r="P136" s="119">
        <f>SUM(P132:P135)</f>
      </c>
    </row>
    <row customHeight="true" ht="16.071428571428573" r="137">
      <c r="A137" s="127" t="s">
        <v>349</v>
      </c>
      <c r="B137" s="103" t="s">
        <v>324</v>
      </c>
      <c r="C137" s="110" t="s">
        <v>280</v>
      </c>
      <c r="D137" s="110">
        <v>5</v>
      </c>
      <c r="E137" s="110">
        <v>8</v>
      </c>
      <c r="F137" s="110">
        <v>11336.4</v>
      </c>
      <c r="G137" s="110">
        <v>7930.67</v>
      </c>
      <c r="H137" s="112">
        <f t="shared" si="1"/>
      </c>
      <c r="I137" s="112">
        <f t="shared" si="0"/>
      </c>
      <c r="J137" s="112">
        <f t="shared" si="2"/>
      </c>
      <c r="K137" s="110">
        <v>0</v>
      </c>
      <c r="L137" s="110">
        <v>0</v>
      </c>
      <c r="M137" s="122" t="s">
        <v>304</v>
      </c>
      <c r="N137" s="122">
        <v>10</v>
      </c>
      <c r="O137" s="103" t="s">
        <v>282</v>
      </c>
      <c r="P137" s="103">
        <v>10</v>
      </c>
    </row>
    <row customHeight="true" ht="16.071428571428573" r="138">
      <c r="A138" s="127" t="s">
        <v>349</v>
      </c>
      <c r="B138" s="103" t="s">
        <v>302</v>
      </c>
      <c r="C138" s="110" t="s">
        <v>307</v>
      </c>
      <c r="D138" s="103">
        <v>5</v>
      </c>
      <c r="E138" s="110">
        <v>7</v>
      </c>
      <c r="F138" s="103">
        <v>8160.000000000002</v>
      </c>
      <c r="G138" s="103">
        <v>6860.48</v>
      </c>
      <c r="H138" s="112">
        <f t="shared" si="1"/>
      </c>
      <c r="I138" s="112">
        <f t="shared" si="0"/>
      </c>
      <c r="J138" s="112">
        <f t="shared" si="2"/>
      </c>
      <c r="K138" s="110">
        <v>0</v>
      </c>
      <c r="L138" s="128">
        <v>0</v>
      </c>
      <c r="M138" s="122"/>
      <c r="N138" s="122"/>
      <c r="O138" s="116"/>
      <c r="P138" s="103"/>
    </row>
    <row customHeight="true" ht="16.071428571428573" r="139">
      <c r="A139" s="127" t="s">
        <v>349</v>
      </c>
      <c r="B139" s="111" t="s">
        <v>291</v>
      </c>
      <c r="C139" s="110" t="s">
        <v>308</v>
      </c>
      <c r="D139" s="103">
        <v>5</v>
      </c>
      <c r="E139" s="110">
        <v>6</v>
      </c>
      <c r="F139" s="103">
        <v>8652</v>
      </c>
      <c r="G139" s="103">
        <v>5414.92</v>
      </c>
      <c r="H139" s="112">
        <f t="shared" si="1"/>
      </c>
      <c r="I139" s="112">
        <f t="shared" si="0"/>
      </c>
      <c r="J139" s="112">
        <f t="shared" si="2"/>
      </c>
      <c r="K139" s="110">
        <v>1</v>
      </c>
      <c r="L139" s="128">
        <v>1092</v>
      </c>
      <c r="M139" s="110" t="s">
        <v>289</v>
      </c>
      <c r="N139" s="110">
        <v>10</v>
      </c>
      <c r="O139" s="116" t="s">
        <v>290</v>
      </c>
      <c r="P139" s="103">
        <v>10</v>
      </c>
    </row>
    <row r="140">
      <c r="A140" s="127" t="s">
        <v>349</v>
      </c>
      <c r="B140" s="103" t="s">
        <v>287</v>
      </c>
      <c r="C140" s="110" t="s">
        <v>297</v>
      </c>
      <c r="D140" s="103">
        <v>5</v>
      </c>
      <c r="E140" s="110">
        <v>6</v>
      </c>
      <c r="F140" s="103">
        <v>11496</v>
      </c>
      <c r="G140" s="103">
        <v>7868.4400000000005</v>
      </c>
      <c r="H140" s="112">
        <f t="shared" si="1"/>
      </c>
      <c r="I140" s="112">
        <f t="shared" si="0"/>
      </c>
      <c r="J140" s="112">
        <f t="shared" si="2"/>
      </c>
      <c r="K140" s="110">
        <v>3</v>
      </c>
      <c r="L140" s="110">
        <v>5124</v>
      </c>
      <c r="M140" s="110"/>
      <c r="N140" s="110"/>
      <c r="O140" s="103"/>
      <c r="P140" s="103"/>
    </row>
    <row r="141">
      <c r="A141" s="132" t="s">
        <v>349</v>
      </c>
      <c r="B141" s="118"/>
      <c r="C141" s="118"/>
      <c r="D141" s="119">
        <f>SUM(D137:D140)</f>
      </c>
      <c r="E141" s="119">
        <f>SUM(E137:E140)</f>
      </c>
      <c r="F141" s="119">
        <f>SUM(F137:F140)</f>
      </c>
      <c r="G141" s="119">
        <f>SUM(G137:G140)</f>
      </c>
      <c r="H141" s="120">
        <f t="shared" si="1"/>
      </c>
      <c r="I141" s="120">
        <f t="shared" si="0"/>
      </c>
      <c r="J141" s="120">
        <f t="shared" si="2"/>
      </c>
      <c r="K141" s="119">
        <f>SUM(K137:K140)</f>
      </c>
      <c r="L141" s="119">
        <f>SUM(L137:L140)</f>
      </c>
      <c r="M141" s="121"/>
      <c r="N141" s="119">
        <f>SUM(N137:N140)</f>
      </c>
      <c r="O141" s="121"/>
      <c r="P141" s="119">
        <f>SUM(P137:P140)</f>
      </c>
    </row>
    <row r="142">
      <c r="A142" s="127" t="s">
        <v>350</v>
      </c>
      <c r="B142" s="103" t="s">
        <v>324</v>
      </c>
      <c r="C142" s="110" t="s">
        <v>280</v>
      </c>
      <c r="D142" s="110">
        <v>5</v>
      </c>
      <c r="E142" s="110">
        <v>8</v>
      </c>
      <c r="F142" s="110">
        <v>9876</v>
      </c>
      <c r="G142" s="110">
        <v>8808.89</v>
      </c>
      <c r="H142" s="112">
        <f t="shared" si="1"/>
      </c>
      <c r="I142" s="112">
        <f t="shared" si="0"/>
      </c>
      <c r="J142" s="112">
        <f t="shared" si="2"/>
      </c>
      <c r="K142" s="110">
        <v>1</v>
      </c>
      <c r="L142" s="110">
        <v>444</v>
      </c>
      <c r="M142" s="122" t="s">
        <v>304</v>
      </c>
      <c r="N142" s="122">
        <v>10</v>
      </c>
      <c r="O142" s="103" t="s">
        <v>282</v>
      </c>
      <c r="P142" s="103">
        <v>10</v>
      </c>
    </row>
    <row r="143">
      <c r="A143" s="127" t="s">
        <v>350</v>
      </c>
      <c r="B143" s="103" t="s">
        <v>287</v>
      </c>
      <c r="C143" s="110" t="s">
        <v>307</v>
      </c>
      <c r="D143" s="103">
        <v>5</v>
      </c>
      <c r="E143" s="110">
        <v>14</v>
      </c>
      <c r="F143" s="110">
        <v>14179.2</v>
      </c>
      <c r="G143" s="110">
        <v>10208.97</v>
      </c>
      <c r="H143" s="112">
        <f t="shared" si="1"/>
      </c>
      <c r="I143" s="112">
        <f t="shared" si="0"/>
      </c>
      <c r="J143" s="112">
        <f t="shared" si="2"/>
      </c>
      <c r="K143" s="110">
        <v>1</v>
      </c>
      <c r="L143" s="128">
        <v>1692</v>
      </c>
      <c r="M143" s="122"/>
      <c r="N143" s="122"/>
      <c r="O143" s="116"/>
      <c r="P143" s="103"/>
    </row>
    <row r="144">
      <c r="A144" s="127" t="s">
        <v>350</v>
      </c>
      <c r="B144" s="111" t="s">
        <v>279</v>
      </c>
      <c r="C144" s="110" t="s">
        <v>308</v>
      </c>
      <c r="D144" s="103">
        <v>5</v>
      </c>
      <c r="E144" s="110">
        <v>1</v>
      </c>
      <c r="F144" s="110">
        <v>372</v>
      </c>
      <c r="G144" s="110">
        <v>3899.62</v>
      </c>
      <c r="H144" s="112">
        <f t="shared" si="1"/>
      </c>
      <c r="I144" s="112">
        <f t="shared" si="0"/>
      </c>
      <c r="J144" s="112">
        <f t="shared" si="2"/>
      </c>
      <c r="K144" s="110">
        <v>1</v>
      </c>
      <c r="L144" s="128">
        <v>372</v>
      </c>
      <c r="M144" s="110" t="s">
        <v>351</v>
      </c>
      <c r="N144" s="110">
        <v>10</v>
      </c>
      <c r="O144" s="116" t="s">
        <v>290</v>
      </c>
      <c r="P144" s="103">
        <v>10</v>
      </c>
    </row>
    <row r="145">
      <c r="A145" s="127" t="s">
        <v>350</v>
      </c>
      <c r="B145" s="103" t="s">
        <v>291</v>
      </c>
      <c r="C145" s="110" t="s">
        <v>297</v>
      </c>
      <c r="D145" s="103">
        <v>5</v>
      </c>
      <c r="E145" s="110">
        <v>17</v>
      </c>
      <c r="F145" s="110">
        <v>21919.6</v>
      </c>
      <c r="G145" s="110">
        <v>8966.98</v>
      </c>
      <c r="H145" s="112">
        <f t="shared" si="1"/>
      </c>
      <c r="I145" s="112">
        <f t="shared" si="0"/>
      </c>
      <c r="J145" s="112">
        <f t="shared" si="2"/>
      </c>
      <c r="K145" s="110">
        <v>2</v>
      </c>
      <c r="L145" s="110">
        <v>649.2</v>
      </c>
      <c r="M145" s="110"/>
      <c r="N145" s="110"/>
      <c r="O145" s="103"/>
      <c r="P145" s="103"/>
    </row>
    <row r="146">
      <c r="A146" s="132" t="s">
        <v>350</v>
      </c>
      <c r="B146" s="118"/>
      <c r="C146" s="118"/>
      <c r="D146" s="119">
        <f>SUM(D142:D145)</f>
      </c>
      <c r="E146" s="119">
        <f>SUM(E142:E145)</f>
      </c>
      <c r="F146" s="119">
        <f>SUM(F142:F145)</f>
      </c>
      <c r="G146" s="119">
        <f>SUM(G142:G145)</f>
      </c>
      <c r="H146" s="120">
        <f t="shared" si="1"/>
      </c>
      <c r="I146" s="120">
        <f t="shared" si="0"/>
      </c>
      <c r="J146" s="120">
        <f t="shared" si="2"/>
      </c>
      <c r="K146" s="119">
        <f>SUM(K142:K145)</f>
      </c>
      <c r="L146" s="119">
        <f>SUM(L142:L145)</f>
      </c>
      <c r="M146" s="121"/>
      <c r="N146" s="119">
        <f>SUM(N142:N145)</f>
      </c>
      <c r="O146" s="121"/>
      <c r="P146" s="119">
        <f>SUM(P142:P145)</f>
      </c>
    </row>
    <row r="147">
      <c r="A147" s="127" t="s">
        <v>352</v>
      </c>
      <c r="B147" s="103" t="s">
        <v>324</v>
      </c>
      <c r="C147" s="110" t="s">
        <v>280</v>
      </c>
      <c r="D147" s="110">
        <v>5</v>
      </c>
      <c r="E147" s="110">
        <v>7</v>
      </c>
      <c r="F147" s="110">
        <v>10440</v>
      </c>
      <c r="G147" s="110">
        <v>5714</v>
      </c>
      <c r="H147" s="112">
        <f t="shared" si="1"/>
      </c>
      <c r="I147" s="112">
        <f t="shared" si="0"/>
      </c>
      <c r="J147" s="112">
        <f t="shared" si="2"/>
      </c>
      <c r="K147" s="110">
        <v>2</v>
      </c>
      <c r="L147" s="110">
        <v>3780</v>
      </c>
      <c r="M147" s="122" t="s">
        <v>304</v>
      </c>
      <c r="N147" s="122">
        <v>10</v>
      </c>
      <c r="O147" s="103" t="s">
        <v>282</v>
      </c>
      <c r="P147" s="103">
        <v>10</v>
      </c>
    </row>
    <row r="148">
      <c r="A148" s="127" t="s">
        <v>352</v>
      </c>
      <c r="B148" s="103" t="s">
        <v>287</v>
      </c>
      <c r="C148" s="110" t="s">
        <v>307</v>
      </c>
      <c r="D148" s="103">
        <v>5</v>
      </c>
      <c r="E148" s="110">
        <v>9</v>
      </c>
      <c r="F148" s="110">
        <v>11779.2</v>
      </c>
      <c r="G148" s="110">
        <v>5605.74</v>
      </c>
      <c r="H148" s="112">
        <f t="shared" si="1"/>
      </c>
      <c r="I148" s="112">
        <f t="shared" si="0"/>
      </c>
      <c r="J148" s="112">
        <f t="shared" si="2"/>
      </c>
      <c r="K148" s="110">
        <v>3</v>
      </c>
      <c r="L148" s="128">
        <v>1879.2</v>
      </c>
      <c r="M148" s="122"/>
      <c r="N148" s="122"/>
      <c r="O148" s="116"/>
      <c r="P148" s="103"/>
    </row>
    <row r="149">
      <c r="A149" s="127" t="s">
        <v>352</v>
      </c>
      <c r="B149" s="111" t="s">
        <v>291</v>
      </c>
      <c r="C149" s="110" t="s">
        <v>308</v>
      </c>
      <c r="D149" s="103">
        <v>5</v>
      </c>
      <c r="E149" s="110">
        <v>8</v>
      </c>
      <c r="F149" s="110">
        <v>8650.8</v>
      </c>
      <c r="G149" s="110">
        <v>5322.73</v>
      </c>
      <c r="H149" s="112">
        <f t="shared" si="1"/>
      </c>
      <c r="I149" s="112">
        <f t="shared" si="0"/>
      </c>
      <c r="J149" s="112">
        <f t="shared" si="2"/>
      </c>
      <c r="K149" s="110">
        <v>4</v>
      </c>
      <c r="L149" s="128">
        <v>4474.8</v>
      </c>
      <c r="M149" s="110" t="s">
        <v>351</v>
      </c>
      <c r="N149" s="110">
        <v>10</v>
      </c>
      <c r="O149" s="116" t="s">
        <v>290</v>
      </c>
      <c r="P149" s="103">
        <v>10</v>
      </c>
    </row>
    <row r="150">
      <c r="A150" s="127" t="s">
        <v>352</v>
      </c>
      <c r="B150" s="103" t="s">
        <v>279</v>
      </c>
      <c r="C150" s="110" t="s">
        <v>297</v>
      </c>
      <c r="D150" s="103">
        <v>5</v>
      </c>
      <c r="E150" s="110">
        <v>11</v>
      </c>
      <c r="F150" s="110">
        <v>8526</v>
      </c>
      <c r="G150" s="110">
        <v>8290.3</v>
      </c>
      <c r="H150" s="112">
        <f t="shared" si="1"/>
      </c>
      <c r="I150" s="112">
        <f t="shared" si="0"/>
      </c>
      <c r="J150" s="112">
        <f t="shared" si="2"/>
      </c>
      <c r="K150" s="110">
        <v>0</v>
      </c>
      <c r="L150" s="110">
        <v>0</v>
      </c>
      <c r="M150" s="110"/>
      <c r="N150" s="110"/>
      <c r="O150" s="103"/>
      <c r="P150" s="103"/>
    </row>
    <row r="151">
      <c r="A151" s="132" t="s">
        <v>352</v>
      </c>
      <c r="B151" s="118"/>
      <c r="C151" s="118"/>
      <c r="D151" s="119">
        <f>SUM(D147:D150)</f>
      </c>
      <c r="E151" s="119">
        <f>SUM(E147:E150)</f>
      </c>
      <c r="F151" s="119">
        <f>SUM(F147:F150)</f>
      </c>
      <c r="G151" s="119">
        <f>SUM(G147:G150)</f>
      </c>
      <c r="H151" s="120">
        <f t="shared" si="1"/>
      </c>
      <c r="I151" s="120">
        <f t="shared" si="0"/>
      </c>
      <c r="J151" s="120">
        <f t="shared" si="2"/>
      </c>
      <c r="K151" s="119">
        <f>SUM(K147:K150)</f>
      </c>
      <c r="L151" s="119">
        <f>SUM(L147:L150)</f>
      </c>
      <c r="M151" s="121"/>
      <c r="N151" s="119">
        <f>SUM(N147:N150)</f>
      </c>
      <c r="O151" s="121"/>
      <c r="P151" s="119">
        <f>SUM(P147:P150)</f>
      </c>
    </row>
    <row r="152">
      <c r="A152" s="127" t="s">
        <v>353</v>
      </c>
      <c r="B152" s="103" t="s">
        <v>324</v>
      </c>
      <c r="C152" s="110" t="s">
        <v>280</v>
      </c>
      <c r="D152" s="110">
        <v>5</v>
      </c>
      <c r="E152" s="110">
        <v>25</v>
      </c>
      <c r="F152" s="110">
        <v>31171.2</v>
      </c>
      <c r="G152" s="110">
        <v>16699.05</v>
      </c>
      <c r="H152" s="112">
        <f t="shared" si="1"/>
      </c>
      <c r="I152" s="112">
        <f t="shared" si="0"/>
      </c>
      <c r="J152" s="112">
        <f t="shared" si="2"/>
      </c>
      <c r="K152" s="110">
        <v>8</v>
      </c>
      <c r="L152" s="110">
        <v>11568</v>
      </c>
      <c r="M152" s="122" t="s">
        <v>304</v>
      </c>
      <c r="N152" s="122">
        <v>10</v>
      </c>
      <c r="O152" s="103" t="s">
        <v>282</v>
      </c>
      <c r="P152" s="103">
        <v>10</v>
      </c>
    </row>
    <row r="153">
      <c r="A153" s="127" t="s">
        <v>353</v>
      </c>
      <c r="B153" s="103" t="s">
        <v>291</v>
      </c>
      <c r="C153" s="110" t="s">
        <v>307</v>
      </c>
      <c r="D153" s="103">
        <v>5</v>
      </c>
      <c r="E153" s="110">
        <v>14</v>
      </c>
      <c r="F153" s="110">
        <v>20941.2</v>
      </c>
      <c r="G153" s="110">
        <v>16494.77</v>
      </c>
      <c r="H153" s="112">
        <f t="shared" si="1"/>
      </c>
      <c r="I153" s="112">
        <f t="shared" si="0"/>
      </c>
      <c r="J153" s="112">
        <f t="shared" si="2"/>
      </c>
      <c r="K153" s="110">
        <v>5</v>
      </c>
      <c r="L153" s="128">
        <v>5810.4</v>
      </c>
      <c r="M153" s="122"/>
      <c r="N153" s="122"/>
      <c r="O153" s="116"/>
      <c r="P153" s="103"/>
    </row>
    <row r="154">
      <c r="A154" s="127" t="s">
        <v>353</v>
      </c>
      <c r="B154" s="111" t="s">
        <v>302</v>
      </c>
      <c r="C154" s="110" t="s">
        <v>308</v>
      </c>
      <c r="D154" s="103">
        <v>5</v>
      </c>
      <c r="E154" s="110">
        <v>12</v>
      </c>
      <c r="F154" s="110">
        <v>18393.6</v>
      </c>
      <c r="G154" s="110">
        <v>7913.74</v>
      </c>
      <c r="H154" s="112">
        <f t="shared" si="1"/>
      </c>
      <c r="I154" s="112">
        <f t="shared" si="0"/>
      </c>
      <c r="J154" s="112">
        <f t="shared" si="2"/>
      </c>
      <c r="K154" s="110">
        <v>3</v>
      </c>
      <c r="L154" s="128">
        <v>4176</v>
      </c>
      <c r="M154" s="110" t="s">
        <v>351</v>
      </c>
      <c r="N154" s="110">
        <v>10</v>
      </c>
      <c r="O154" s="116" t="s">
        <v>290</v>
      </c>
      <c r="P154" s="103">
        <v>10</v>
      </c>
    </row>
    <row r="155">
      <c r="A155" s="127" t="s">
        <v>353</v>
      </c>
      <c r="B155" s="103" t="s">
        <v>287</v>
      </c>
      <c r="C155" s="110" t="s">
        <v>297</v>
      </c>
      <c r="D155" s="103">
        <v>5</v>
      </c>
      <c r="E155" s="110">
        <v>8</v>
      </c>
      <c r="F155" s="110">
        <v>9513.6</v>
      </c>
      <c r="G155" s="110">
        <v>9971.87</v>
      </c>
      <c r="H155" s="112">
        <f t="shared" si="1"/>
      </c>
      <c r="I155" s="112">
        <f t="shared" si="0"/>
      </c>
      <c r="J155" s="112">
        <f t="shared" si="2"/>
      </c>
      <c r="K155" s="110">
        <v>1</v>
      </c>
      <c r="L155" s="110">
        <v>621.6</v>
      </c>
      <c r="M155" s="110"/>
      <c r="N155" s="110"/>
      <c r="O155" s="103"/>
      <c r="P155" s="103"/>
    </row>
    <row r="156">
      <c r="A156" s="132" t="s">
        <v>353</v>
      </c>
      <c r="B156" s="118"/>
      <c r="C156" s="118"/>
      <c r="D156" s="119">
        <f>SUM(D152:D155)</f>
      </c>
      <c r="E156" s="119">
        <f>SUM(E152:E155)</f>
      </c>
      <c r="F156" s="119">
        <f>SUM(F152:F155)</f>
      </c>
      <c r="G156" s="119">
        <f>SUM(G152:G155)</f>
      </c>
      <c r="H156" s="120">
        <f t="shared" si="1"/>
      </c>
      <c r="I156" s="120">
        <f t="shared" si="0"/>
      </c>
      <c r="J156" s="120">
        <f t="shared" si="2"/>
      </c>
      <c r="K156" s="119">
        <f>SUM(K152:K155)</f>
      </c>
      <c r="L156" s="119">
        <f>SUM(L152:L155)</f>
      </c>
      <c r="M156" s="121"/>
      <c r="N156" s="119">
        <f>SUM(N152:N155)</f>
      </c>
      <c r="O156" s="121"/>
      <c r="P156" s="119">
        <f>SUM(P152:P155)</f>
      </c>
    </row>
    <row r="157">
      <c r="A157" s="127" t="s">
        <v>354</v>
      </c>
      <c r="B157" s="103" t="s">
        <v>324</v>
      </c>
      <c r="C157" s="110" t="s">
        <v>280</v>
      </c>
      <c r="D157" s="110">
        <v>5</v>
      </c>
      <c r="E157" s="110">
        <v>9</v>
      </c>
      <c r="F157" s="110">
        <v>12708.6</v>
      </c>
      <c r="G157" s="110">
        <v>5863.32</v>
      </c>
      <c r="H157" s="112">
        <f t="shared" si="1"/>
      </c>
      <c r="I157" s="112">
        <f t="shared" si="0"/>
      </c>
      <c r="J157" s="112">
        <f t="shared" si="2"/>
      </c>
      <c r="K157" s="110">
        <v>4</v>
      </c>
      <c r="L157" s="110">
        <v>3804.6</v>
      </c>
      <c r="M157" s="122" t="s">
        <v>304</v>
      </c>
      <c r="N157" s="122">
        <v>10</v>
      </c>
      <c r="O157" s="103" t="s">
        <v>282</v>
      </c>
      <c r="P157" s="103">
        <v>10</v>
      </c>
    </row>
    <row r="158">
      <c r="A158" s="127" t="s">
        <v>354</v>
      </c>
      <c r="B158" s="103" t="s">
        <v>302</v>
      </c>
      <c r="C158" s="110" t="s">
        <v>307</v>
      </c>
      <c r="D158" s="103">
        <v>5</v>
      </c>
      <c r="E158" s="110">
        <v>9</v>
      </c>
      <c r="F158" s="110">
        <v>13526.4</v>
      </c>
      <c r="G158" s="110">
        <v>8505.1</v>
      </c>
      <c r="H158" s="112">
        <f t="shared" si="1"/>
      </c>
      <c r="I158" s="112">
        <f t="shared" si="0"/>
      </c>
      <c r="J158" s="112">
        <f t="shared" si="2"/>
      </c>
      <c r="K158" s="110">
        <v>0</v>
      </c>
      <c r="L158" s="128">
        <v>0</v>
      </c>
      <c r="M158" s="122"/>
      <c r="N158" s="122"/>
      <c r="O158" s="116"/>
      <c r="P158" s="103"/>
    </row>
    <row customHeight="true" ht="16.071428571428573" r="159">
      <c r="A159" s="127" t="s">
        <v>354</v>
      </c>
      <c r="B159" s="111" t="s">
        <v>279</v>
      </c>
      <c r="C159" s="110" t="s">
        <v>308</v>
      </c>
      <c r="D159" s="103">
        <v>5</v>
      </c>
      <c r="E159" s="110">
        <v>0</v>
      </c>
      <c r="F159" s="110">
        <v>0</v>
      </c>
      <c r="G159" s="110">
        <v>5304.94</v>
      </c>
      <c r="H159" s="112">
        <f t="shared" si="1"/>
      </c>
      <c r="I159" s="112">
        <f t="shared" si="0"/>
      </c>
      <c r="J159" s="112">
        <f t="shared" si="2"/>
      </c>
      <c r="K159" s="110">
        <v>0</v>
      </c>
      <c r="L159" s="128">
        <v>0</v>
      </c>
      <c r="M159" s="110" t="s">
        <v>351</v>
      </c>
      <c r="N159" s="110">
        <v>10</v>
      </c>
      <c r="O159" s="116" t="s">
        <v>290</v>
      </c>
      <c r="P159" s="103">
        <v>10</v>
      </c>
    </row>
    <row customHeight="true" ht="16.071428571428573" r="160">
      <c r="A160" s="127" t="s">
        <v>354</v>
      </c>
      <c r="B160" s="103" t="s">
        <v>287</v>
      </c>
      <c r="C160" s="110" t="s">
        <v>297</v>
      </c>
      <c r="D160" s="130">
        <f>5-0.75</f>
      </c>
      <c r="E160" s="110">
        <v>4</v>
      </c>
      <c r="F160" s="110">
        <v>5361.6</v>
      </c>
      <c r="G160" s="110">
        <v>6100.05</v>
      </c>
      <c r="H160" s="112">
        <f t="shared" si="1"/>
      </c>
      <c r="I160" s="112">
        <f t="shared" si="0"/>
      </c>
      <c r="J160" s="112">
        <f t="shared" si="2"/>
      </c>
      <c r="K160" s="110">
        <v>0</v>
      </c>
      <c r="L160" s="110">
        <v>0</v>
      </c>
      <c r="M160" s="110"/>
      <c r="N160" s="110"/>
      <c r="O160" s="103"/>
      <c r="P160" s="103"/>
    </row>
    <row customHeight="true" ht="16.071428571428573" r="161">
      <c r="A161" s="132" t="s">
        <v>354</v>
      </c>
      <c r="B161" s="118"/>
      <c r="C161" s="118"/>
      <c r="D161" s="119">
        <f>SUM(D157:D160)</f>
      </c>
      <c r="E161" s="119">
        <f>SUM(E157:E160)</f>
      </c>
      <c r="F161" s="119">
        <f>SUM(F157:F160)</f>
      </c>
      <c r="G161" s="119">
        <f>SUM(G157:G160)</f>
      </c>
      <c r="H161" s="120">
        <f t="shared" si="1"/>
      </c>
      <c r="I161" s="120">
        <f t="shared" si="0"/>
      </c>
      <c r="J161" s="120">
        <f t="shared" si="2"/>
      </c>
      <c r="K161" s="119">
        <f>SUM(K157:K160)</f>
      </c>
      <c r="L161" s="119">
        <f>SUM(L157:L160)</f>
      </c>
      <c r="M161" s="121"/>
      <c r="N161" s="119">
        <f>SUM(N157:N160)</f>
      </c>
      <c r="O161" s="121"/>
      <c r="P161" s="119">
        <f>SUM(P157:P160)</f>
      </c>
    </row>
    <row customHeight="true" ht="16.071428571428573" r="162">
      <c r="A162" s="127" t="s">
        <v>355</v>
      </c>
      <c r="B162" s="103" t="s">
        <v>324</v>
      </c>
      <c r="C162" s="110" t="s">
        <v>280</v>
      </c>
      <c r="D162" s="129">
        <f>5-0.5</f>
      </c>
      <c r="E162" s="110">
        <v>11</v>
      </c>
      <c r="F162" s="110">
        <v>15019.2</v>
      </c>
      <c r="G162" s="110">
        <v>4394.46</v>
      </c>
      <c r="H162" s="112">
        <f t="shared" si="1"/>
      </c>
      <c r="I162" s="112">
        <f t="shared" si="0"/>
      </c>
      <c r="J162" s="112">
        <f t="shared" si="2"/>
      </c>
      <c r="K162" s="110">
        <v>0</v>
      </c>
      <c r="L162" s="110">
        <v>0</v>
      </c>
      <c r="M162" s="122" t="s">
        <v>304</v>
      </c>
      <c r="N162" s="122">
        <v>10</v>
      </c>
      <c r="O162" s="103" t="s">
        <v>282</v>
      </c>
      <c r="P162" s="103">
        <v>10</v>
      </c>
    </row>
    <row customHeight="true" ht="16.071428571428573" r="163">
      <c r="A163" s="127" t="s">
        <v>355</v>
      </c>
      <c r="B163" s="103" t="s">
        <v>291</v>
      </c>
      <c r="C163" s="110" t="s">
        <v>307</v>
      </c>
      <c r="D163" s="130">
        <f>5-0.75</f>
      </c>
      <c r="E163" s="110">
        <v>4</v>
      </c>
      <c r="F163" s="110">
        <v>7377.6</v>
      </c>
      <c r="G163" s="110">
        <v>4512.25</v>
      </c>
      <c r="H163" s="112">
        <f t="shared" si="1"/>
      </c>
      <c r="I163" s="112">
        <f t="shared" si="0"/>
      </c>
      <c r="J163" s="112">
        <f t="shared" si="2"/>
      </c>
      <c r="K163" s="110">
        <v>3</v>
      </c>
      <c r="L163" s="128">
        <v>5366.4</v>
      </c>
      <c r="M163" s="122"/>
      <c r="N163" s="122"/>
      <c r="O163" s="116"/>
      <c r="P163" s="103"/>
    </row>
    <row r="164">
      <c r="A164" s="127" t="s">
        <v>355</v>
      </c>
      <c r="B164" s="111" t="s">
        <v>302</v>
      </c>
      <c r="C164" s="110" t="s">
        <v>308</v>
      </c>
      <c r="D164" s="130">
        <f>5-1.25</f>
      </c>
      <c r="E164" s="110">
        <v>2</v>
      </c>
      <c r="F164" s="110">
        <v>1800</v>
      </c>
      <c r="G164" s="110">
        <v>2214.15</v>
      </c>
      <c r="H164" s="112">
        <f t="shared" si="1"/>
      </c>
      <c r="I164" s="112">
        <f t="shared" si="0"/>
      </c>
      <c r="J164" s="112">
        <f t="shared" si="2"/>
      </c>
      <c r="K164" s="110">
        <v>0</v>
      </c>
      <c r="L164" s="128">
        <v>0</v>
      </c>
      <c r="M164" s="110" t="s">
        <v>351</v>
      </c>
      <c r="N164" s="110">
        <v>10</v>
      </c>
      <c r="O164" s="116" t="s">
        <v>290</v>
      </c>
      <c r="P164" s="103">
        <v>10</v>
      </c>
    </row>
    <row r="165">
      <c r="A165" s="127" t="s">
        <v>355</v>
      </c>
      <c r="B165" s="103" t="s">
        <v>279</v>
      </c>
      <c r="C165" s="110" t="s">
        <v>297</v>
      </c>
      <c r="D165" s="130">
        <f>5-0.25</f>
      </c>
      <c r="E165" s="110">
        <v>3</v>
      </c>
      <c r="F165" s="110">
        <v>4106.4</v>
      </c>
      <c r="G165" s="110">
        <v>3487.67</v>
      </c>
      <c r="H165" s="112">
        <f t="shared" si="1"/>
      </c>
      <c r="I165" s="112">
        <f t="shared" si="0"/>
      </c>
      <c r="J165" s="112">
        <f t="shared" si="2"/>
      </c>
      <c r="K165" s="110">
        <v>0</v>
      </c>
      <c r="L165" s="110">
        <v>0</v>
      </c>
      <c r="M165" s="110"/>
      <c r="N165" s="110"/>
      <c r="O165" s="103"/>
      <c r="P165" s="103"/>
    </row>
    <row r="166">
      <c r="A166" s="132" t="s">
        <v>355</v>
      </c>
      <c r="B166" s="118"/>
      <c r="C166" s="118"/>
      <c r="D166" s="119">
        <f>SUM(D162:D165)</f>
      </c>
      <c r="E166" s="119">
        <f>SUM(E162:E165)</f>
      </c>
      <c r="F166" s="119">
        <f>SUM(F162:F165)</f>
      </c>
      <c r="G166" s="119">
        <f>SUM(G162:G165)</f>
      </c>
      <c r="H166" s="120">
        <f t="shared" si="1"/>
      </c>
      <c r="I166" s="120">
        <f t="shared" si="0"/>
      </c>
      <c r="J166" s="120">
        <f t="shared" si="2"/>
      </c>
      <c r="K166" s="119">
        <f>SUM(K162:K165)</f>
      </c>
      <c r="L166" s="119">
        <f>SUM(L162:L165)</f>
      </c>
      <c r="M166" s="121"/>
      <c r="N166" s="119">
        <f>SUM(N162:N165)</f>
      </c>
      <c r="O166" s="121"/>
      <c r="P166" s="119">
        <f>SUM(P162:P165)</f>
      </c>
    </row>
    <row r="167"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</row>
    <row r="168"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</row>
    <row r="169"/>
    <row r="170">
      <c r="B170" s="133"/>
      <c r="C170" s="133"/>
      <c r="D170" s="133"/>
      <c r="E170" s="133"/>
      <c r="F170" s="133"/>
      <c r="G170" s="133"/>
      <c r="H170" s="133"/>
      <c r="I170" s="133"/>
      <c r="J170" s="134"/>
      <c r="K170" s="134"/>
    </row>
    <row r="171"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</row>
    <row r="172"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</row>
    <row r="173"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</row>
    <row r="174"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</row>
    <row r="175"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</row>
    <row r="176"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</row>
    <row r="177"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</row>
    <row r="178"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</row>
    <row r="179"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</row>
    <row r="180">
      <c r="D180" s="135"/>
      <c r="E180" s="135"/>
      <c r="F180" s="135"/>
    </row>
    <row r="181">
      <c r="C181" s="136"/>
      <c r="D181" s="135"/>
      <c r="E181" s="135"/>
      <c r="F181" s="136"/>
      <c r="G181" s="135"/>
      <c r="H181" s="135"/>
    </row>
    <row r="182">
      <c r="D182" s="135"/>
      <c r="E182" s="135"/>
      <c r="G182" s="135"/>
      <c r="H182" s="135"/>
    </row>
    <row r="183"/>
    <row r="184"/>
    <row r="185"/>
    <row r="186">
      <c r="C186" s="135"/>
      <c r="D186" s="135"/>
      <c r="E186" s="135"/>
    </row>
    <row r="187">
      <c r="D187" s="135"/>
      <c r="E187" s="135"/>
    </row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</row>
    <row r="369"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</row>
    <row r="370"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</row>
    <row r="371"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</row>
    <row r="372"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</row>
    <row r="373"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</row>
  </sheetData>
  <autoFilter ref="A1:P166"/>
  <dataValidations count="2">
    <dataValidation allowBlank="true" errorStyle="stop" showErrorMessage="true" sqref="B72:B166 B380:B384" type="list">
      <formula1>"蔡露露,杜思利,田宇尚,李雅琪,葛鑫然,段雨诺,于慧"</formula1>
    </dataValidation>
    <dataValidation allowBlank="true" errorStyle="stop" showErrorMessage="true" sqref="B2:B6 B8:B12 B14:B18 B20:B24 B26:B30 B32:B35 B37:B46 B48:B71" type="list">
      <formula1>"孟郁倩,姜可心,蔡露露,路鑫鑫,连贝贝,刘梦,杜思利,田宇尚,李雅琪,葛鑫然,段雨诺,曲缘奥"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7" min="7" style="0" width="12.64480633802817"/>
    <col collapsed="false" customWidth="true" hidden="false" max="10" min="1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4" min="14" style="0" width="11.211267605633802"/>
  </cols>
  <sheetData>
    <row r="1">
      <c r="A1" s="137" t="s">
        <v>356</v>
      </c>
      <c r="B1" s="138" t="s">
        <v>357</v>
      </c>
      <c r="C1" s="138" t="s">
        <v>358</v>
      </c>
      <c r="D1" s="138" t="s">
        <v>359</v>
      </c>
      <c r="E1" s="138" t="s">
        <v>360</v>
      </c>
      <c r="F1" s="139" t="s">
        <v>361</v>
      </c>
      <c r="G1" s="139" t="s">
        <v>362</v>
      </c>
      <c r="H1" s="139" t="s">
        <v>363</v>
      </c>
      <c r="I1" s="139" t="s">
        <v>364</v>
      </c>
      <c r="J1" s="139" t="s">
        <v>365</v>
      </c>
      <c r="K1" s="138" t="s">
        <v>366</v>
      </c>
      <c r="L1" s="138" t="s">
        <v>367</v>
      </c>
      <c r="M1" s="138" t="s">
        <v>368</v>
      </c>
      <c r="N1" s="138" t="s">
        <v>369</v>
      </c>
      <c r="O1" s="138" t="s">
        <v>370</v>
      </c>
      <c r="P1" s="138" t="s">
        <v>371</v>
      </c>
    </row>
    <row r="2">
      <c r="A2" s="140" t="s">
        <v>372</v>
      </c>
      <c r="B2" s="141" t="s">
        <v>373</v>
      </c>
      <c r="C2" s="141" t="s">
        <v>374</v>
      </c>
      <c r="D2" s="141">
        <v>4</v>
      </c>
      <c r="E2" s="141">
        <v>5</v>
      </c>
      <c r="F2" s="141">
        <v>5770.8</v>
      </c>
      <c r="G2" s="141">
        <v>6200.67</v>
      </c>
      <c r="H2" s="142">
        <f t="shared" ref="H2:H8" si="2">F2/G2</f>
      </c>
      <c r="I2" s="142">
        <f t="shared" ref="I2:I8" si="0">F2/E2</f>
      </c>
      <c r="J2" s="142">
        <f t="shared" ref="J2:J8" si="5">G2/E2</f>
      </c>
      <c r="K2" s="141">
        <v>0</v>
      </c>
      <c r="L2" s="141">
        <v>0</v>
      </c>
      <c r="M2" s="141" t="s">
        <v>375</v>
      </c>
      <c r="N2" s="141">
        <v>8</v>
      </c>
      <c r="O2" s="141" t="s">
        <v>376</v>
      </c>
      <c r="P2" s="141">
        <v>8</v>
      </c>
    </row>
    <row r="3">
      <c r="A3" s="140" t="s">
        <v>372</v>
      </c>
      <c r="B3" s="141" t="s">
        <v>377</v>
      </c>
      <c r="C3" s="141" t="s">
        <v>378</v>
      </c>
      <c r="D3" s="141">
        <v>4</v>
      </c>
      <c r="E3" s="141">
        <v>1</v>
      </c>
      <c r="F3" s="141">
        <v>396</v>
      </c>
      <c r="G3" s="141">
        <v>3732.7</v>
      </c>
      <c r="H3" s="142">
        <f t="shared" si="2"/>
      </c>
      <c r="I3" s="142">
        <f t="shared" si="0"/>
      </c>
      <c r="J3" s="142">
        <f t="shared" si="5"/>
      </c>
      <c r="K3" s="141">
        <v>0</v>
      </c>
      <c r="L3" s="141">
        <v>0</v>
      </c>
      <c r="M3" s="141"/>
      <c r="N3" s="141"/>
      <c r="O3" s="141"/>
      <c r="P3" s="143"/>
    </row>
    <row r="4">
      <c r="A4" s="144">
        <v>46174</v>
      </c>
      <c r="B4" s="145"/>
      <c r="C4" s="145"/>
      <c r="D4" s="146">
        <f>SUM(D2:D3)</f>
      </c>
      <c r="E4" s="146">
        <f>SUM(E2:E3)</f>
      </c>
      <c r="F4" s="146">
        <f>SUM(F2:F3)</f>
      </c>
      <c r="G4" s="146">
        <f>SUM(G2:G3)</f>
      </c>
      <c r="H4" s="147">
        <f t="shared" si="2"/>
      </c>
      <c r="I4" s="147">
        <f t="shared" si="0"/>
      </c>
      <c r="J4" s="147">
        <f t="shared" si="5"/>
      </c>
      <c r="K4" s="146">
        <f>SUM(K2:K3)</f>
      </c>
      <c r="L4" s="146">
        <f>SUM(L2:L3)</f>
      </c>
      <c r="M4" s="148"/>
      <c r="N4" s="149">
        <f>SUM(N2:N3)</f>
      </c>
      <c r="O4" s="148"/>
      <c r="P4" s="149">
        <f>SUM(P2:P3)</f>
      </c>
    </row>
    <row r="5">
      <c r="A5" s="140" t="s">
        <v>379</v>
      </c>
      <c r="B5" s="141" t="s">
        <v>380</v>
      </c>
      <c r="C5" s="141" t="s">
        <v>374</v>
      </c>
      <c r="D5" s="141">
        <v>4</v>
      </c>
      <c r="E5" s="141">
        <v>1</v>
      </c>
      <c r="F5" s="141">
        <v>1692</v>
      </c>
      <c r="G5" s="141">
        <v>2711.61</v>
      </c>
      <c r="H5" s="142">
        <f t="shared" si="2"/>
      </c>
      <c r="I5" s="142">
        <f t="shared" si="0"/>
      </c>
      <c r="J5" s="142">
        <f t="shared" si="5"/>
      </c>
      <c r="K5" s="141">
        <v>0</v>
      </c>
      <c r="L5" s="141">
        <v>0</v>
      </c>
      <c r="M5" s="141" t="s">
        <v>381</v>
      </c>
      <c r="N5" s="141">
        <v>8</v>
      </c>
      <c r="O5" s="141" t="s">
        <v>376</v>
      </c>
      <c r="P5" s="141">
        <v>8</v>
      </c>
    </row>
    <row r="6">
      <c r="A6" s="140" t="s">
        <v>379</v>
      </c>
      <c r="B6" s="141" t="s">
        <v>377</v>
      </c>
      <c r="C6" s="141" t="s">
        <v>378</v>
      </c>
      <c r="D6" s="141">
        <v>4</v>
      </c>
      <c r="E6" s="141">
        <v>3</v>
      </c>
      <c r="F6" s="141">
        <v>4872</v>
      </c>
      <c r="G6" s="141">
        <v>3355.51</v>
      </c>
      <c r="H6" s="142">
        <f t="shared" si="2"/>
      </c>
      <c r="I6" s="142">
        <f t="shared" si="0"/>
      </c>
      <c r="J6" s="142">
        <f t="shared" si="5"/>
      </c>
      <c r="K6" s="141">
        <v>0</v>
      </c>
      <c r="L6" s="141">
        <v>0</v>
      </c>
      <c r="M6" s="141"/>
      <c r="N6" s="141"/>
      <c r="O6" s="141"/>
      <c r="P6" s="143"/>
    </row>
    <row r="7">
      <c r="A7" s="144">
        <v>46175</v>
      </c>
      <c r="B7" s="145"/>
      <c r="C7" s="145"/>
      <c r="D7" s="146">
        <f>SUM(D5:D6)</f>
      </c>
      <c r="E7" s="146">
        <f>SUM(E5:E6)</f>
      </c>
      <c r="F7" s="146">
        <f>SUM(F5:F6)</f>
      </c>
      <c r="G7" s="146">
        <f>SUM(G5:G6)</f>
      </c>
      <c r="H7" s="147">
        <f t="shared" si="2"/>
      </c>
      <c r="I7" s="147">
        <f t="shared" si="0"/>
      </c>
      <c r="J7" s="147">
        <f t="shared" si="5"/>
      </c>
      <c r="K7" s="146">
        <f>SUM(K5:K6)</f>
      </c>
      <c r="L7" s="146">
        <f>SUM(L5:L6)</f>
      </c>
      <c r="M7" s="148"/>
      <c r="N7" s="149">
        <f>SUM(N5:N6)</f>
      </c>
      <c r="O7" s="148"/>
      <c r="P7" s="149">
        <f>SUM(P5:P6)</f>
      </c>
    </row>
    <row r="8">
      <c r="A8" s="140" t="s">
        <v>382</v>
      </c>
      <c r="B8" s="141" t="s">
        <v>380</v>
      </c>
      <c r="C8" s="141" t="s">
        <v>383</v>
      </c>
      <c r="D8" s="141">
        <v>5</v>
      </c>
      <c r="E8" s="141">
        <v>7</v>
      </c>
      <c r="F8" s="141">
        <v>8004</v>
      </c>
      <c r="G8" s="141">
        <v>3052.45</v>
      </c>
      <c r="H8" s="142">
        <f t="shared" si="2"/>
      </c>
      <c r="I8" s="142">
        <f t="shared" si="0"/>
      </c>
      <c r="J8" s="142">
        <f t="shared" si="5"/>
      </c>
      <c r="K8" s="141">
        <v>1</v>
      </c>
      <c r="L8" s="141">
        <v>1344</v>
      </c>
      <c r="M8" s="141" t="s">
        <v>384</v>
      </c>
      <c r="N8" s="141">
        <v>4</v>
      </c>
      <c r="O8" s="141" t="s">
        <v>376</v>
      </c>
      <c r="P8" s="141">
        <v>5</v>
      </c>
    </row>
    <row customHeight="true" ht="16.071428571428573" r="9">
      <c r="A9" s="140"/>
      <c r="B9" s="141"/>
      <c r="C9" s="141"/>
      <c r="D9" s="141"/>
      <c r="E9" s="141"/>
      <c r="F9" s="141"/>
      <c r="G9" s="141"/>
      <c r="H9" s="142"/>
      <c r="I9" s="142"/>
      <c r="J9" s="142"/>
      <c r="K9" s="141"/>
      <c r="L9" s="141"/>
      <c r="M9" s="141" t="s">
        <v>385</v>
      </c>
      <c r="N9" s="141">
        <v>1</v>
      </c>
      <c r="O9" s="141"/>
      <c r="P9" s="141"/>
    </row>
    <row r="10">
      <c r="A10" s="144">
        <v>46176</v>
      </c>
      <c r="B10" s="145"/>
      <c r="C10" s="145"/>
      <c r="D10" s="149">
        <f>SUM(D8)</f>
      </c>
      <c r="E10" s="149">
        <f>SUM(E8)</f>
      </c>
      <c r="F10" s="149">
        <f>SUM(F8)</f>
      </c>
      <c r="G10" s="149">
        <f>SUM(G8)</f>
      </c>
      <c r="H10" s="149">
        <f>SUM(H8)</f>
      </c>
      <c r="I10" s="149">
        <f>SUM(I8)</f>
      </c>
      <c r="J10" s="149">
        <f>SUM(J8)</f>
      </c>
      <c r="K10" s="149">
        <f>SUM(K8)</f>
      </c>
      <c r="L10" s="149">
        <f>SUM(L8)</f>
      </c>
      <c r="M10" s="148"/>
      <c r="N10" s="149">
        <f>SUM(N8:N9)</f>
      </c>
      <c r="O10" s="148"/>
      <c r="P10" s="149">
        <f>SUM(P8)</f>
      </c>
    </row>
    <row r="11">
      <c r="A11" s="140" t="s">
        <v>386</v>
      </c>
      <c r="B11" s="141" t="s">
        <v>373</v>
      </c>
      <c r="C11" s="141" t="s">
        <v>387</v>
      </c>
      <c r="D11" s="141">
        <v>5</v>
      </c>
      <c r="E11" s="141">
        <v>3</v>
      </c>
      <c r="F11" s="141">
        <v>4776</v>
      </c>
      <c r="G11" s="141">
        <v>6096.41</v>
      </c>
      <c r="H11" s="142">
        <f t="shared" ref="H11:H146" si="3">F11/G11</f>
      </c>
      <c r="I11" s="142">
        <f t="shared" ref="I11:I145" si="1">F11/E11</f>
      </c>
      <c r="J11" s="142">
        <f t="shared" ref="J11:J145" si="6">G11/E11</f>
      </c>
      <c r="K11" s="141">
        <v>1</v>
      </c>
      <c r="L11" s="141">
        <v>1344</v>
      </c>
      <c r="M11" s="141" t="s">
        <v>388</v>
      </c>
      <c r="N11" s="141">
        <v>10</v>
      </c>
      <c r="O11" s="141" t="s">
        <v>376</v>
      </c>
      <c r="P11" s="141">
        <v>10</v>
      </c>
    </row>
    <row r="12">
      <c r="A12" s="140" t="s">
        <v>386</v>
      </c>
      <c r="B12" s="140" t="s">
        <v>380</v>
      </c>
      <c r="C12" s="141" t="s">
        <v>383</v>
      </c>
      <c r="D12" s="141">
        <v>5</v>
      </c>
      <c r="E12" s="141">
        <v>5</v>
      </c>
      <c r="F12" s="141">
        <v>6792</v>
      </c>
      <c r="G12" s="141">
        <v>5525.28</v>
      </c>
      <c r="H12" s="142">
        <f t="shared" si="3"/>
      </c>
      <c r="I12" s="142">
        <f t="shared" si="1"/>
      </c>
      <c r="J12" s="142">
        <f t="shared" si="6"/>
      </c>
      <c r="K12" s="141">
        <v>0</v>
      </c>
      <c r="L12" s="141">
        <v>0</v>
      </c>
      <c r="M12" s="141"/>
      <c r="N12" s="141"/>
      <c r="O12" s="141"/>
      <c r="P12" s="143"/>
    </row>
    <row r="13">
      <c r="A13" s="144">
        <v>46177</v>
      </c>
      <c r="B13" s="145"/>
      <c r="C13" s="145"/>
      <c r="D13" s="149">
        <f>SUM(D11:D12)</f>
      </c>
      <c r="E13" s="149">
        <f>SUM(E11:E12)</f>
      </c>
      <c r="F13" s="149">
        <f>SUM(F11:F12)</f>
      </c>
      <c r="G13" s="149">
        <f>SUM(G11:G12)</f>
      </c>
      <c r="H13" s="150">
        <f t="shared" si="3"/>
      </c>
      <c r="I13" s="150">
        <f t="shared" si="1"/>
      </c>
      <c r="J13" s="150">
        <f t="shared" si="6"/>
      </c>
      <c r="K13" s="149">
        <f>SUM(K11:K12)</f>
      </c>
      <c r="L13" s="149">
        <f>SUM(L11:L12)</f>
      </c>
      <c r="M13" s="148"/>
      <c r="N13" s="149">
        <f>SUM(N11:N12)</f>
      </c>
      <c r="O13" s="148"/>
      <c r="P13" s="149">
        <f>SUM(P11:P12)</f>
      </c>
    </row>
    <row r="14">
      <c r="A14" s="140" t="s">
        <v>389</v>
      </c>
      <c r="B14" s="141" t="s">
        <v>373</v>
      </c>
      <c r="C14" s="141" t="s">
        <v>387</v>
      </c>
      <c r="D14" s="141">
        <v>5</v>
      </c>
      <c r="E14" s="141">
        <v>3</v>
      </c>
      <c r="F14" s="141">
        <v>5868</v>
      </c>
      <c r="G14" s="141">
        <v>4003.44</v>
      </c>
      <c r="H14" s="142">
        <f t="shared" si="3"/>
      </c>
      <c r="I14" s="142">
        <f t="shared" si="1"/>
      </c>
      <c r="J14" s="142">
        <f t="shared" si="6"/>
      </c>
      <c r="K14" s="141">
        <v>1</v>
      </c>
      <c r="L14" s="141">
        <v>2088</v>
      </c>
      <c r="M14" s="141" t="s">
        <v>388</v>
      </c>
      <c r="N14" s="141">
        <v>9</v>
      </c>
      <c r="O14" s="141" t="s">
        <v>376</v>
      </c>
      <c r="P14" s="141">
        <v>17</v>
      </c>
    </row>
    <row customHeight="true" ht="16.071428571428573" r="15">
      <c r="A15" s="140" t="s">
        <v>389</v>
      </c>
      <c r="B15" s="140" t="s">
        <v>380</v>
      </c>
      <c r="C15" s="141" t="s">
        <v>390</v>
      </c>
      <c r="D15" s="141">
        <v>4</v>
      </c>
      <c r="E15" s="141">
        <v>5</v>
      </c>
      <c r="F15" s="141">
        <v>6612</v>
      </c>
      <c r="G15" s="141">
        <v>4137.43</v>
      </c>
      <c r="H15" s="142">
        <f t="shared" si="3"/>
      </c>
      <c r="I15" s="142">
        <f t="shared" si="1"/>
      </c>
      <c r="J15" s="142">
        <f t="shared" si="6"/>
      </c>
      <c r="K15" s="141">
        <v>1</v>
      </c>
      <c r="L15" s="141">
        <v>1692</v>
      </c>
      <c r="M15" s="141"/>
      <c r="N15" s="141"/>
      <c r="O15" s="141"/>
      <c r="P15" s="143"/>
    </row>
    <row customHeight="true" ht="16.071428571428573" r="16">
      <c r="A16" s="140" t="s">
        <v>389</v>
      </c>
      <c r="B16" s="140" t="s">
        <v>377</v>
      </c>
      <c r="C16" s="141" t="s">
        <v>391</v>
      </c>
      <c r="D16" s="141">
        <v>4</v>
      </c>
      <c r="E16" s="141">
        <v>9</v>
      </c>
      <c r="F16" s="141">
        <v>14768.400000000001</v>
      </c>
      <c r="G16" s="141">
        <v>6314.540000000001</v>
      </c>
      <c r="H16" s="142">
        <f t="shared" si="3"/>
      </c>
      <c r="I16" s="142">
        <f t="shared" si="1"/>
      </c>
      <c r="J16" s="142">
        <f t="shared" si="6"/>
      </c>
      <c r="K16" s="141">
        <v>5</v>
      </c>
      <c r="L16" s="141">
        <v>6624</v>
      </c>
      <c r="M16" s="141" t="s">
        <v>392</v>
      </c>
      <c r="N16" s="141">
        <v>8</v>
      </c>
      <c r="O16" s="141"/>
      <c r="P16" s="143"/>
    </row>
    <row r="17">
      <c r="A17" s="140" t="s">
        <v>389</v>
      </c>
      <c r="B17" s="140" t="s">
        <v>393</v>
      </c>
      <c r="C17" s="141" t="s">
        <v>394</v>
      </c>
      <c r="D17" s="141">
        <v>4</v>
      </c>
      <c r="E17" s="141">
        <v>15</v>
      </c>
      <c r="F17" s="141">
        <v>12234.199999999997</v>
      </c>
      <c r="G17" s="141">
        <v>9840.390000000001</v>
      </c>
      <c r="H17" s="142">
        <f t="shared" si="3"/>
      </c>
      <c r="I17" s="142">
        <f t="shared" si="1"/>
      </c>
      <c r="J17" s="142">
        <f t="shared" si="6"/>
      </c>
      <c r="K17" s="141">
        <v>6</v>
      </c>
      <c r="L17" s="141">
        <v>2586.2</v>
      </c>
      <c r="M17" s="141"/>
      <c r="N17" s="141"/>
      <c r="O17" s="141"/>
      <c r="P17" s="143"/>
    </row>
    <row r="18">
      <c r="A18" s="144" t="s">
        <v>389</v>
      </c>
      <c r="B18" s="145"/>
      <c r="C18" s="145"/>
      <c r="D18" s="149">
        <f>SUM(D14:D17)</f>
      </c>
      <c r="E18" s="149">
        <f>SUM(E14:E17)</f>
      </c>
      <c r="F18" s="149">
        <f>SUM(F14:F17)</f>
      </c>
      <c r="G18" s="149">
        <f>SUM(G14:G17)</f>
      </c>
      <c r="H18" s="150">
        <f t="shared" si="3"/>
      </c>
      <c r="I18" s="150">
        <f t="shared" si="1"/>
      </c>
      <c r="J18" s="150">
        <f t="shared" si="6"/>
      </c>
      <c r="K18" s="149">
        <f>SUM(K14:K17)</f>
      </c>
      <c r="L18" s="149">
        <f>SUM(L14:L17)</f>
      </c>
      <c r="M18" s="148"/>
      <c r="N18" s="149">
        <f>SUM(N14:N17)</f>
      </c>
      <c r="O18" s="148"/>
      <c r="P18" s="149">
        <f>SUM(P14:P17)</f>
      </c>
    </row>
    <row r="19">
      <c r="A19" s="140" t="s">
        <v>395</v>
      </c>
      <c r="B19" s="141" t="s">
        <v>373</v>
      </c>
      <c r="C19" s="141" t="s">
        <v>387</v>
      </c>
      <c r="D19" s="141">
        <v>5</v>
      </c>
      <c r="E19" s="141">
        <v>9</v>
      </c>
      <c r="F19" s="141">
        <v>13293.6</v>
      </c>
      <c r="G19" s="141">
        <v>8959.47</v>
      </c>
      <c r="H19" s="142">
        <f t="shared" si="3"/>
      </c>
      <c r="I19" s="142">
        <f t="shared" si="1"/>
      </c>
      <c r="J19" s="142">
        <f t="shared" si="6"/>
      </c>
      <c r="K19" s="141">
        <v>2</v>
      </c>
      <c r="L19" s="141">
        <v>4176</v>
      </c>
      <c r="M19" s="141" t="s">
        <v>388</v>
      </c>
      <c r="N19" s="141">
        <v>9</v>
      </c>
      <c r="O19" s="141" t="s">
        <v>376</v>
      </c>
      <c r="P19" s="141">
        <v>17</v>
      </c>
    </row>
    <row r="20">
      <c r="A20" s="140" t="s">
        <v>395</v>
      </c>
      <c r="B20" s="140" t="s">
        <v>377</v>
      </c>
      <c r="C20" s="141" t="s">
        <v>390</v>
      </c>
      <c r="D20" s="141">
        <v>4</v>
      </c>
      <c r="E20" s="141">
        <v>8</v>
      </c>
      <c r="F20" s="141">
        <v>10979.999999999998</v>
      </c>
      <c r="G20" s="141">
        <v>8885.71</v>
      </c>
      <c r="H20" s="142">
        <f t="shared" si="3"/>
      </c>
      <c r="I20" s="142">
        <f t="shared" si="1"/>
      </c>
      <c r="J20" s="142">
        <f t="shared" si="6"/>
      </c>
      <c r="K20" s="141">
        <v>4</v>
      </c>
      <c r="L20" s="141">
        <v>2520</v>
      </c>
      <c r="M20" s="141"/>
      <c r="N20" s="141"/>
      <c r="O20" s="141"/>
      <c r="P20" s="143"/>
    </row>
    <row r="21">
      <c r="A21" s="140" t="s">
        <v>395</v>
      </c>
      <c r="B21" s="140" t="s">
        <v>380</v>
      </c>
      <c r="C21" s="141" t="s">
        <v>391</v>
      </c>
      <c r="D21" s="141">
        <v>4</v>
      </c>
      <c r="E21" s="141">
        <v>4</v>
      </c>
      <c r="F21" s="141">
        <v>5820</v>
      </c>
      <c r="G21" s="141">
        <v>5567.099999999999</v>
      </c>
      <c r="H21" s="142">
        <f t="shared" si="3"/>
      </c>
      <c r="I21" s="142">
        <f t="shared" si="1"/>
      </c>
      <c r="J21" s="142">
        <f t="shared" si="6"/>
      </c>
      <c r="K21" s="141">
        <v>1</v>
      </c>
      <c r="L21" s="141">
        <v>1092</v>
      </c>
      <c r="M21" s="141" t="s">
        <v>396</v>
      </c>
      <c r="N21" s="141">
        <v>8</v>
      </c>
      <c r="O21" s="141"/>
      <c r="P21" s="143"/>
    </row>
    <row r="22">
      <c r="A22" s="140" t="s">
        <v>395</v>
      </c>
      <c r="B22" s="140" t="s">
        <v>393</v>
      </c>
      <c r="C22" s="141" t="s">
        <v>394</v>
      </c>
      <c r="D22" s="141">
        <v>4</v>
      </c>
      <c r="E22" s="141">
        <v>12</v>
      </c>
      <c r="F22" s="141">
        <v>10937</v>
      </c>
      <c r="G22" s="141">
        <v>6383.720000000001</v>
      </c>
      <c r="H22" s="142">
        <f t="shared" si="3"/>
      </c>
      <c r="I22" s="142">
        <f t="shared" si="1"/>
      </c>
      <c r="J22" s="142">
        <f t="shared" si="6"/>
      </c>
      <c r="K22" s="141">
        <v>3</v>
      </c>
      <c r="L22" s="141">
        <v>3060</v>
      </c>
      <c r="M22" s="141"/>
      <c r="N22" s="141"/>
      <c r="O22" s="141"/>
      <c r="P22" s="143"/>
    </row>
    <row r="23">
      <c r="A23" s="144" t="s">
        <v>395</v>
      </c>
      <c r="B23" s="145"/>
      <c r="C23" s="145"/>
      <c r="D23" s="149">
        <f>SUM(D19:D22)</f>
      </c>
      <c r="E23" s="149">
        <f>SUM(E19:E22)</f>
      </c>
      <c r="F23" s="149">
        <f>SUM(F19:F22)</f>
      </c>
      <c r="G23" s="149">
        <f>SUM(G19:G22)</f>
      </c>
      <c r="H23" s="150">
        <f t="shared" si="3"/>
      </c>
      <c r="I23" s="150">
        <f t="shared" si="1"/>
      </c>
      <c r="J23" s="150">
        <f t="shared" si="6"/>
      </c>
      <c r="K23" s="149">
        <f>SUM(K19:K22)</f>
      </c>
      <c r="L23" s="149">
        <f>SUM(L19:L22)</f>
      </c>
      <c r="M23" s="148"/>
      <c r="N23" s="149">
        <f>SUM(N19:N22)</f>
      </c>
      <c r="O23" s="148"/>
      <c r="P23" s="149">
        <f>SUM(P19:P22)</f>
      </c>
    </row>
    <row r="24">
      <c r="A24" s="140" t="s">
        <v>397</v>
      </c>
      <c r="B24" s="141" t="s">
        <v>373</v>
      </c>
      <c r="C24" s="141" t="s">
        <v>387</v>
      </c>
      <c r="D24" s="141">
        <v>5</v>
      </c>
      <c r="E24" s="141">
        <v>11</v>
      </c>
      <c r="F24" s="141">
        <v>10825.2</v>
      </c>
      <c r="G24" s="141">
        <v>9313.48</v>
      </c>
      <c r="H24" s="142">
        <f t="shared" si="3"/>
      </c>
      <c r="I24" s="142">
        <f t="shared" si="1"/>
      </c>
      <c r="J24" s="142">
        <f t="shared" si="6"/>
      </c>
      <c r="K24" s="141">
        <v>3</v>
      </c>
      <c r="L24" s="141">
        <v>3704.4</v>
      </c>
      <c r="M24" s="141" t="s">
        <v>388</v>
      </c>
      <c r="N24" s="141">
        <v>9</v>
      </c>
      <c r="O24" s="141" t="s">
        <v>376</v>
      </c>
      <c r="P24" s="141">
        <v>17</v>
      </c>
    </row>
    <row r="25">
      <c r="A25" s="140" t="s">
        <v>397</v>
      </c>
      <c r="B25" s="140" t="s">
        <v>380</v>
      </c>
      <c r="C25" s="141" t="s">
        <v>390</v>
      </c>
      <c r="D25" s="141">
        <v>4</v>
      </c>
      <c r="E25" s="141">
        <v>14</v>
      </c>
      <c r="F25" s="141">
        <v>18855.8</v>
      </c>
      <c r="G25" s="141">
        <v>8551.78</v>
      </c>
      <c r="H25" s="142">
        <f t="shared" si="3"/>
      </c>
      <c r="I25" s="142">
        <f t="shared" si="1"/>
      </c>
      <c r="J25" s="142">
        <f t="shared" si="6"/>
      </c>
      <c r="K25" s="141">
        <v>3</v>
      </c>
      <c r="L25" s="141">
        <v>3610.8</v>
      </c>
      <c r="M25" s="141"/>
      <c r="N25" s="141"/>
      <c r="O25" s="141"/>
      <c r="P25" s="143"/>
    </row>
    <row r="26">
      <c r="A26" s="140" t="s">
        <v>397</v>
      </c>
      <c r="B26" s="140" t="s">
        <v>393</v>
      </c>
      <c r="C26" s="141" t="s">
        <v>391</v>
      </c>
      <c r="D26" s="141">
        <v>4</v>
      </c>
      <c r="E26" s="141">
        <v>8</v>
      </c>
      <c r="F26" s="141">
        <v>9152.599999999999</v>
      </c>
      <c r="G26" s="141">
        <v>9812.94</v>
      </c>
      <c r="H26" s="142">
        <f t="shared" si="3"/>
      </c>
      <c r="I26" s="142">
        <f t="shared" si="1"/>
      </c>
      <c r="J26" s="142">
        <f t="shared" si="6"/>
      </c>
      <c r="K26" s="141">
        <v>1</v>
      </c>
      <c r="L26" s="141">
        <v>465.6</v>
      </c>
      <c r="M26" s="141" t="s">
        <v>398</v>
      </c>
      <c r="N26" s="141">
        <v>8</v>
      </c>
      <c r="O26" s="141"/>
      <c r="P26" s="143"/>
    </row>
    <row r="27">
      <c r="A27" s="140" t="s">
        <v>397</v>
      </c>
      <c r="B27" s="140" t="s">
        <v>377</v>
      </c>
      <c r="C27" s="141" t="s">
        <v>394</v>
      </c>
      <c r="D27" s="141">
        <v>4</v>
      </c>
      <c r="E27" s="141">
        <v>11</v>
      </c>
      <c r="F27" s="141">
        <v>9778.800000000003</v>
      </c>
      <c r="G27" s="141">
        <v>11716.18</v>
      </c>
      <c r="H27" s="142">
        <f t="shared" si="3"/>
      </c>
      <c r="I27" s="142">
        <f t="shared" si="1"/>
      </c>
      <c r="J27" s="142">
        <f t="shared" si="6"/>
      </c>
      <c r="K27" s="141">
        <v>3</v>
      </c>
      <c r="L27" s="141">
        <v>2863.199999999999</v>
      </c>
      <c r="M27" s="141"/>
      <c r="N27" s="141"/>
      <c r="O27" s="141"/>
      <c r="P27" s="143"/>
    </row>
    <row r="28">
      <c r="A28" s="144" t="s">
        <v>397</v>
      </c>
      <c r="B28" s="145"/>
      <c r="C28" s="145"/>
      <c r="D28" s="149">
        <f>SUM(D24:D27)</f>
      </c>
      <c r="E28" s="149">
        <f>SUM(E24:E27)</f>
      </c>
      <c r="F28" s="149">
        <f>SUM(F24:F27)</f>
      </c>
      <c r="G28" s="149">
        <f>SUM(G24:G27)</f>
      </c>
      <c r="H28" s="150">
        <f t="shared" si="3"/>
      </c>
      <c r="I28" s="150">
        <f t="shared" si="1"/>
      </c>
      <c r="J28" s="150">
        <f t="shared" si="6"/>
      </c>
      <c r="K28" s="149">
        <f>SUM(K24:K27)</f>
      </c>
      <c r="L28" s="149">
        <f>SUM(L24:L27)</f>
      </c>
      <c r="M28" s="148"/>
      <c r="N28" s="149">
        <f>SUM(N24:N27)</f>
      </c>
      <c r="O28" s="148"/>
      <c r="P28" s="149">
        <f>SUM(P24:P27)</f>
      </c>
    </row>
    <row r="29">
      <c r="A29" s="140" t="s">
        <v>399</v>
      </c>
      <c r="B29" s="141" t="s">
        <v>373</v>
      </c>
      <c r="C29" s="141" t="s">
        <v>387</v>
      </c>
      <c r="D29" s="141">
        <v>5</v>
      </c>
      <c r="E29" s="141">
        <v>12</v>
      </c>
      <c r="F29" s="141">
        <v>18975.2</v>
      </c>
      <c r="G29" s="141">
        <v>11485.489999999998</v>
      </c>
      <c r="H29" s="142">
        <f t="shared" si="3"/>
      </c>
      <c r="I29" s="142">
        <f t="shared" si="1"/>
      </c>
      <c r="J29" s="142">
        <f t="shared" si="6"/>
      </c>
      <c r="K29" s="141">
        <v>2</v>
      </c>
      <c r="L29" s="141">
        <v>1052</v>
      </c>
      <c r="M29" s="141" t="s">
        <v>388</v>
      </c>
      <c r="N29" s="141">
        <v>1</v>
      </c>
      <c r="O29" s="141" t="s">
        <v>376</v>
      </c>
      <c r="P29" s="141">
        <v>17</v>
      </c>
    </row>
    <row r="30">
      <c r="A30" s="140" t="s">
        <v>399</v>
      </c>
      <c r="B30" s="140" t="s">
        <v>377</v>
      </c>
      <c r="C30" s="141" t="s">
        <v>390</v>
      </c>
      <c r="D30" s="141">
        <v>4</v>
      </c>
      <c r="E30" s="141">
        <v>9</v>
      </c>
      <c r="F30" s="141">
        <v>5919.5999999999985</v>
      </c>
      <c r="G30" s="141">
        <v>7952.85</v>
      </c>
      <c r="H30" s="142">
        <f t="shared" si="3"/>
      </c>
      <c r="I30" s="142">
        <f t="shared" si="1"/>
      </c>
      <c r="J30" s="142">
        <f t="shared" si="6"/>
      </c>
      <c r="K30" s="141">
        <v>2</v>
      </c>
      <c r="L30" s="141">
        <v>698.4</v>
      </c>
      <c r="M30" s="141" t="s">
        <v>400</v>
      </c>
      <c r="N30" s="141">
        <v>8</v>
      </c>
      <c r="O30" s="141"/>
      <c r="P30" s="143"/>
    </row>
    <row r="31">
      <c r="A31" s="140" t="s">
        <v>399</v>
      </c>
      <c r="B31" s="140" t="s">
        <v>393</v>
      </c>
      <c r="C31" s="141" t="s">
        <v>391</v>
      </c>
      <c r="D31" s="141">
        <v>4</v>
      </c>
      <c r="E31" s="141">
        <v>9</v>
      </c>
      <c r="F31" s="141">
        <v>9901.2</v>
      </c>
      <c r="G31" s="141">
        <v>9626.42</v>
      </c>
      <c r="H31" s="142">
        <f t="shared" si="3"/>
      </c>
      <c r="I31" s="142">
        <f t="shared" si="1"/>
      </c>
      <c r="J31" s="142">
        <f t="shared" si="6"/>
      </c>
      <c r="K31" s="141">
        <v>1</v>
      </c>
      <c r="L31" s="141">
        <v>1344</v>
      </c>
      <c r="M31" s="141" t="s">
        <v>398</v>
      </c>
      <c r="N31" s="141">
        <v>8</v>
      </c>
      <c r="O31" s="141"/>
      <c r="P31" s="143"/>
    </row>
    <row r="32">
      <c r="A32" s="140" t="s">
        <v>399</v>
      </c>
      <c r="B32" s="140" t="s">
        <v>380</v>
      </c>
      <c r="C32" s="141" t="s">
        <v>394</v>
      </c>
      <c r="D32" s="141">
        <v>4</v>
      </c>
      <c r="E32" s="141">
        <v>16</v>
      </c>
      <c r="F32" s="141">
        <v>22002</v>
      </c>
      <c r="G32" s="141">
        <v>12485.75</v>
      </c>
      <c r="H32" s="142">
        <f t="shared" si="3"/>
      </c>
      <c r="I32" s="142">
        <f t="shared" si="1"/>
      </c>
      <c r="J32" s="142">
        <f t="shared" si="6"/>
      </c>
      <c r="K32" s="141">
        <v>1</v>
      </c>
      <c r="L32" s="141">
        <v>1343.9999999999995</v>
      </c>
      <c r="M32" s="141"/>
      <c r="N32" s="141"/>
      <c r="O32" s="141"/>
      <c r="P32" s="143"/>
    </row>
    <row r="33">
      <c r="A33" s="144" t="s">
        <v>399</v>
      </c>
      <c r="B33" s="145"/>
      <c r="C33" s="145"/>
      <c r="D33" s="149">
        <f>SUM(D29:D32)</f>
      </c>
      <c r="E33" s="149">
        <f>SUM(E29:E32)</f>
      </c>
      <c r="F33" s="149">
        <f>SUM(F29:F32)</f>
      </c>
      <c r="G33" s="149">
        <f>SUM(G29:G32)</f>
      </c>
      <c r="H33" s="150">
        <f t="shared" si="3"/>
      </c>
      <c r="I33" s="150">
        <f t="shared" si="1"/>
      </c>
      <c r="J33" s="150">
        <f t="shared" si="6"/>
      </c>
      <c r="K33" s="149">
        <f>SUM(K29:K32)</f>
      </c>
      <c r="L33" s="149">
        <f>SUM(L29:L32)</f>
      </c>
      <c r="M33" s="148"/>
      <c r="N33" s="149">
        <f>SUM(N29:N32)</f>
      </c>
      <c r="O33" s="148"/>
      <c r="P33" s="149">
        <f>SUM(P29:P32)</f>
      </c>
    </row>
    <row r="34">
      <c r="A34" s="140" t="s">
        <v>401</v>
      </c>
      <c r="B34" s="141" t="s">
        <v>373</v>
      </c>
      <c r="C34" s="141" t="s">
        <v>387</v>
      </c>
      <c r="D34" s="141">
        <v>5</v>
      </c>
      <c r="E34" s="141">
        <v>10</v>
      </c>
      <c r="F34" s="141">
        <v>16260</v>
      </c>
      <c r="G34" s="141">
        <v>10304.990000000002</v>
      </c>
      <c r="H34" s="142">
        <f t="shared" si="3"/>
      </c>
      <c r="I34" s="142">
        <f t="shared" si="1"/>
      </c>
      <c r="J34" s="142">
        <f t="shared" si="6"/>
      </c>
      <c r="K34" s="141">
        <v>3</v>
      </c>
      <c r="L34" s="141">
        <v>4872</v>
      </c>
      <c r="M34" s="141" t="s">
        <v>402</v>
      </c>
      <c r="N34" s="141">
        <v>1</v>
      </c>
      <c r="O34" s="141" t="s">
        <v>376</v>
      </c>
      <c r="P34" s="141">
        <v>15</v>
      </c>
    </row>
    <row r="35">
      <c r="A35" s="140" t="s">
        <v>401</v>
      </c>
      <c r="B35" s="140" t="s">
        <v>380</v>
      </c>
      <c r="C35" s="141" t="s">
        <v>390</v>
      </c>
      <c r="D35" s="141">
        <v>4</v>
      </c>
      <c r="E35" s="141">
        <v>11</v>
      </c>
      <c r="F35" s="141">
        <v>13327.2</v>
      </c>
      <c r="G35" s="141">
        <v>7425.97</v>
      </c>
      <c r="H35" s="142">
        <f t="shared" si="3"/>
      </c>
      <c r="I35" s="142">
        <f t="shared" si="1"/>
      </c>
      <c r="J35" s="142">
        <f t="shared" si="6"/>
      </c>
      <c r="K35" s="141">
        <v>4</v>
      </c>
      <c r="L35" s="141">
        <v>3343.2</v>
      </c>
      <c r="M35" s="141" t="s">
        <v>403</v>
      </c>
      <c r="N35" s="141">
        <v>8</v>
      </c>
      <c r="O35" s="141"/>
      <c r="P35" s="143"/>
    </row>
    <row r="36">
      <c r="A36" s="140" t="s">
        <v>401</v>
      </c>
      <c r="B36" s="140" t="s">
        <v>377</v>
      </c>
      <c r="C36" s="141" t="s">
        <v>391</v>
      </c>
      <c r="D36" s="141">
        <v>4</v>
      </c>
      <c r="E36" s="141">
        <v>13</v>
      </c>
      <c r="F36" s="141">
        <v>9828.600000000002</v>
      </c>
      <c r="G36" s="141">
        <v>8743.56</v>
      </c>
      <c r="H36" s="142">
        <f t="shared" si="3"/>
      </c>
      <c r="I36" s="142">
        <f t="shared" si="1"/>
      </c>
      <c r="J36" s="142">
        <f t="shared" si="6"/>
      </c>
      <c r="K36" s="141">
        <v>5</v>
      </c>
      <c r="L36" s="141">
        <v>5214.000000000001</v>
      </c>
      <c r="M36" s="141" t="s">
        <v>398</v>
      </c>
      <c r="N36" s="141">
        <v>6</v>
      </c>
      <c r="O36" s="141"/>
      <c r="P36" s="143"/>
    </row>
    <row r="37">
      <c r="A37" s="140" t="s">
        <v>401</v>
      </c>
      <c r="B37" s="140" t="s">
        <v>393</v>
      </c>
      <c r="C37" s="141" t="s">
        <v>404</v>
      </c>
      <c r="D37" s="141">
        <v>2</v>
      </c>
      <c r="E37" s="141">
        <v>4</v>
      </c>
      <c r="F37" s="141">
        <v>2626</v>
      </c>
      <c r="G37" s="141">
        <v>3910.87</v>
      </c>
      <c r="H37" s="142">
        <f t="shared" si="3"/>
      </c>
      <c r="I37" s="142">
        <f t="shared" si="1"/>
      </c>
      <c r="J37" s="142">
        <f t="shared" si="6"/>
      </c>
      <c r="K37" s="141">
        <v>1</v>
      </c>
      <c r="L37" s="141">
        <v>396</v>
      </c>
      <c r="M37" s="141"/>
      <c r="N37" s="141"/>
      <c r="O37" s="141"/>
      <c r="P37" s="143"/>
    </row>
    <row r="38">
      <c r="A38" s="144">
        <v>46182</v>
      </c>
      <c r="B38" s="145"/>
      <c r="C38" s="145"/>
      <c r="D38" s="149">
        <f>SUM(D34:D37)</f>
      </c>
      <c r="E38" s="149">
        <f>SUM(E34:E37)</f>
      </c>
      <c r="F38" s="149">
        <f>SUM(F34:F37)</f>
      </c>
      <c r="G38" s="149">
        <f>SUM(G34:G37)</f>
      </c>
      <c r="H38" s="150">
        <f t="shared" si="3"/>
      </c>
      <c r="I38" s="150">
        <f t="shared" si="1"/>
      </c>
      <c r="J38" s="150">
        <f t="shared" si="6"/>
      </c>
      <c r="K38" s="149">
        <f>SUM(K34:K37)</f>
      </c>
      <c r="L38" s="149">
        <f>SUM(L34:L37)</f>
      </c>
      <c r="M38" s="148"/>
      <c r="N38" s="149">
        <f>SUM(N34:N37)</f>
      </c>
      <c r="O38" s="148"/>
      <c r="P38" s="149">
        <f>SUM(P34:P37)</f>
      </c>
    </row>
    <row r="39">
      <c r="A39" s="140" t="s">
        <v>405</v>
      </c>
      <c r="B39" s="141" t="s">
        <v>380</v>
      </c>
      <c r="C39" s="141" t="s">
        <v>387</v>
      </c>
      <c r="D39" s="141">
        <v>5</v>
      </c>
      <c r="E39" s="141">
        <v>7</v>
      </c>
      <c r="F39" s="141">
        <v>7896</v>
      </c>
      <c r="G39" s="141">
        <v>9893.98</v>
      </c>
      <c r="H39" s="142">
        <f t="shared" si="3"/>
      </c>
      <c r="I39" s="142">
        <f t="shared" si="1"/>
      </c>
      <c r="J39" s="142">
        <f t="shared" si="6"/>
      </c>
      <c r="K39" s="141">
        <v>0</v>
      </c>
      <c r="L39" s="141">
        <v>0</v>
      </c>
      <c r="M39" s="141" t="s">
        <v>388</v>
      </c>
      <c r="N39" s="141">
        <v>3</v>
      </c>
      <c r="O39" s="141" t="s">
        <v>376</v>
      </c>
      <c r="P39" s="141">
        <v>15</v>
      </c>
    </row>
    <row r="40">
      <c r="A40" s="140" t="s">
        <v>405</v>
      </c>
      <c r="B40" s="140" t="s">
        <v>377</v>
      </c>
      <c r="C40" s="141" t="s">
        <v>390</v>
      </c>
      <c r="D40" s="141">
        <v>4</v>
      </c>
      <c r="E40" s="141">
        <v>12</v>
      </c>
      <c r="F40" s="141">
        <v>14886</v>
      </c>
      <c r="G40" s="141">
        <v>12657.21</v>
      </c>
      <c r="H40" s="142">
        <f t="shared" si="3"/>
      </c>
      <c r="I40" s="142">
        <f t="shared" si="1"/>
      </c>
      <c r="J40" s="142">
        <f t="shared" si="6"/>
      </c>
      <c r="K40" s="141">
        <v>3</v>
      </c>
      <c r="L40" s="141">
        <v>3492</v>
      </c>
      <c r="M40" s="141" t="s">
        <v>400</v>
      </c>
      <c r="N40" s="141">
        <v>6</v>
      </c>
      <c r="O40" s="141"/>
      <c r="P40" s="143"/>
    </row>
    <row r="41">
      <c r="A41" s="140" t="s">
        <v>405</v>
      </c>
      <c r="B41" s="140" t="s">
        <v>373</v>
      </c>
      <c r="C41" s="141" t="s">
        <v>391</v>
      </c>
      <c r="D41" s="141">
        <v>4</v>
      </c>
      <c r="E41" s="141">
        <v>12</v>
      </c>
      <c r="F41" s="141">
        <v>16557.6</v>
      </c>
      <c r="G41" s="141">
        <v>7859.429999999999</v>
      </c>
      <c r="H41" s="142">
        <f t="shared" si="3"/>
      </c>
      <c r="I41" s="142">
        <f t="shared" si="1"/>
      </c>
      <c r="J41" s="142">
        <f t="shared" si="6"/>
      </c>
      <c r="K41" s="141">
        <v>2</v>
      </c>
      <c r="L41" s="141">
        <v>3936</v>
      </c>
      <c r="M41" s="141" t="s">
        <v>398</v>
      </c>
      <c r="N41" s="141">
        <v>8</v>
      </c>
      <c r="O41" s="141"/>
      <c r="P41" s="143"/>
    </row>
    <row r="42">
      <c r="A42" s="140" t="s">
        <v>405</v>
      </c>
      <c r="B42" s="140" t="s">
        <v>393</v>
      </c>
      <c r="C42" s="141" t="s">
        <v>394</v>
      </c>
      <c r="D42" s="141">
        <v>4</v>
      </c>
      <c r="E42" s="141">
        <v>6</v>
      </c>
      <c r="F42" s="141">
        <v>9996</v>
      </c>
      <c r="G42" s="141">
        <v>8753.39</v>
      </c>
      <c r="H42" s="142">
        <f t="shared" si="3"/>
      </c>
      <c r="I42" s="142">
        <f t="shared" si="1"/>
      </c>
      <c r="J42" s="142">
        <f t="shared" si="6"/>
      </c>
      <c r="K42" s="141">
        <v>2</v>
      </c>
      <c r="L42" s="141">
        <v>4176</v>
      </c>
      <c r="M42" s="141"/>
      <c r="N42" s="141"/>
      <c r="O42" s="141"/>
      <c r="P42" s="143"/>
    </row>
    <row r="43">
      <c r="A43" s="144" t="s">
        <v>405</v>
      </c>
      <c r="B43" s="145"/>
      <c r="C43" s="145"/>
      <c r="D43" s="149">
        <f>SUM(D39:D42)</f>
      </c>
      <c r="E43" s="149">
        <f>SUM(E39:E42)</f>
      </c>
      <c r="F43" s="149">
        <f>SUM(F39:F42)</f>
      </c>
      <c r="G43" s="149">
        <f>SUM(G39:G42)</f>
      </c>
      <c r="H43" s="150">
        <f t="shared" si="3"/>
      </c>
      <c r="I43" s="150">
        <f t="shared" si="1"/>
      </c>
      <c r="J43" s="150">
        <f t="shared" si="6"/>
      </c>
      <c r="K43" s="149">
        <f>SUM(K39:K42)</f>
      </c>
      <c r="L43" s="149">
        <f>SUM(L39:L42)</f>
      </c>
      <c r="M43" s="148"/>
      <c r="N43" s="149">
        <f>SUM(N39:N42)</f>
      </c>
      <c r="O43" s="148"/>
      <c r="P43" s="149">
        <f>SUM(P39:P42)</f>
      </c>
    </row>
    <row r="44">
      <c r="A44" s="140" t="s">
        <v>406</v>
      </c>
      <c r="B44" s="141" t="s">
        <v>373</v>
      </c>
      <c r="C44" s="141" t="s">
        <v>407</v>
      </c>
      <c r="D44" s="141">
        <v>4</v>
      </c>
      <c r="E44" s="141">
        <v>15</v>
      </c>
      <c r="F44" s="141">
        <v>23796</v>
      </c>
      <c r="G44" s="141">
        <v>9450.29</v>
      </c>
      <c r="H44" s="142">
        <f t="shared" si="3"/>
      </c>
      <c r="I44" s="142">
        <f t="shared" si="1"/>
      </c>
      <c r="J44" s="142">
        <f t="shared" si="6"/>
      </c>
      <c r="K44" s="141">
        <v>5</v>
      </c>
      <c r="L44" s="141">
        <v>8556</v>
      </c>
      <c r="M44" s="141" t="s">
        <v>408</v>
      </c>
      <c r="N44" s="141">
        <v>9</v>
      </c>
      <c r="O44" s="141" t="s">
        <v>376</v>
      </c>
      <c r="P44" s="141">
        <v>18</v>
      </c>
    </row>
    <row r="45">
      <c r="A45" s="140" t="s">
        <v>406</v>
      </c>
      <c r="B45" s="140" t="s">
        <v>377</v>
      </c>
      <c r="C45" s="141" t="s">
        <v>409</v>
      </c>
      <c r="D45" s="141">
        <v>5</v>
      </c>
      <c r="E45" s="141">
        <v>6</v>
      </c>
      <c r="F45" s="141">
        <v>7725.6</v>
      </c>
      <c r="G45" s="141">
        <v>9604.17</v>
      </c>
      <c r="H45" s="142">
        <f t="shared" si="3"/>
      </c>
      <c r="I45" s="142">
        <f t="shared" si="1"/>
      </c>
      <c r="J45" s="142">
        <f t="shared" si="6"/>
      </c>
      <c r="K45" s="141">
        <v>1</v>
      </c>
      <c r="L45" s="141">
        <v>1344</v>
      </c>
      <c r="M45" s="141"/>
      <c r="N45" s="141"/>
      <c r="O45" s="141"/>
      <c r="P45" s="143"/>
    </row>
    <row r="46">
      <c r="A46" s="140" t="s">
        <v>406</v>
      </c>
      <c r="B46" s="140" t="s">
        <v>393</v>
      </c>
      <c r="C46" s="141" t="s">
        <v>410</v>
      </c>
      <c r="D46" s="141">
        <v>5</v>
      </c>
      <c r="E46" s="141">
        <v>5</v>
      </c>
      <c r="F46" s="141">
        <v>7260</v>
      </c>
      <c r="G46" s="141">
        <v>6779.18</v>
      </c>
      <c r="H46" s="142">
        <f t="shared" si="3"/>
      </c>
      <c r="I46" s="142">
        <f t="shared" si="1"/>
      </c>
      <c r="J46" s="142">
        <f t="shared" si="6"/>
      </c>
      <c r="K46" s="141">
        <v>0</v>
      </c>
      <c r="L46" s="141">
        <v>0</v>
      </c>
      <c r="M46" s="141" t="s">
        <v>398</v>
      </c>
      <c r="N46" s="141">
        <v>9</v>
      </c>
      <c r="O46" s="141"/>
      <c r="P46" s="143"/>
    </row>
    <row r="47">
      <c r="A47" s="140" t="s">
        <v>406</v>
      </c>
      <c r="B47" s="140" t="s">
        <v>411</v>
      </c>
      <c r="C47" s="141" t="s">
        <v>412</v>
      </c>
      <c r="D47" s="141">
        <v>4</v>
      </c>
      <c r="E47" s="141">
        <v>17</v>
      </c>
      <c r="F47" s="141">
        <v>17664</v>
      </c>
      <c r="G47" s="141">
        <v>9566.65</v>
      </c>
      <c r="H47" s="142">
        <f t="shared" si="3"/>
      </c>
      <c r="I47" s="142">
        <f t="shared" si="1"/>
      </c>
      <c r="J47" s="142">
        <f t="shared" si="6"/>
      </c>
      <c r="K47" s="141">
        <v>0</v>
      </c>
      <c r="L47" s="141">
        <v>0</v>
      </c>
      <c r="M47" s="141"/>
      <c r="N47" s="141"/>
      <c r="O47" s="141"/>
      <c r="P47" s="143"/>
    </row>
    <row r="48">
      <c r="A48" s="144">
        <v>46184</v>
      </c>
      <c r="B48" s="145"/>
      <c r="C48" s="145"/>
      <c r="D48" s="149">
        <f>SUM(D44:D47)</f>
      </c>
      <c r="E48" s="149">
        <f>SUM(E44:E47)</f>
      </c>
      <c r="F48" s="149">
        <f>SUM(F44:F47)</f>
      </c>
      <c r="G48" s="149">
        <f>SUM(G44:G47)</f>
      </c>
      <c r="H48" s="150">
        <f t="shared" si="3"/>
      </c>
      <c r="I48" s="150">
        <f t="shared" si="1"/>
      </c>
      <c r="J48" s="150">
        <f t="shared" si="6"/>
      </c>
      <c r="K48" s="149">
        <f>SUM(K44:K47)</f>
      </c>
      <c r="L48" s="149">
        <f>SUM(L44:L47)</f>
      </c>
      <c r="M48" s="148"/>
      <c r="N48" s="149">
        <f>SUM(N44:N47)</f>
      </c>
      <c r="O48" s="148"/>
      <c r="P48" s="149">
        <f>SUM(P44:P47)</f>
      </c>
    </row>
    <row r="49">
      <c r="A49" s="140" t="s">
        <v>413</v>
      </c>
      <c r="B49" s="141" t="s">
        <v>373</v>
      </c>
      <c r="C49" s="141" t="s">
        <v>407</v>
      </c>
      <c r="D49" s="141">
        <v>4</v>
      </c>
      <c r="E49" s="141">
        <v>9</v>
      </c>
      <c r="F49" s="141">
        <v>11731.2</v>
      </c>
      <c r="G49" s="141">
        <v>6821.78</v>
      </c>
      <c r="H49" s="142">
        <f t="shared" si="3"/>
      </c>
      <c r="I49" s="142">
        <f t="shared" si="1"/>
      </c>
      <c r="J49" s="142">
        <f t="shared" si="6"/>
      </c>
      <c r="K49" s="141">
        <v>1</v>
      </c>
      <c r="L49" s="141">
        <v>2088</v>
      </c>
      <c r="M49" s="141" t="s">
        <v>408</v>
      </c>
      <c r="N49" s="141">
        <v>1</v>
      </c>
      <c r="O49" s="141" t="s">
        <v>376</v>
      </c>
      <c r="P49" s="141">
        <v>18</v>
      </c>
    </row>
    <row r="50">
      <c r="A50" s="140" t="s">
        <v>413</v>
      </c>
      <c r="B50" s="140" t="s">
        <v>393</v>
      </c>
      <c r="C50" s="141" t="s">
        <v>409</v>
      </c>
      <c r="D50" s="141">
        <v>5</v>
      </c>
      <c r="E50" s="141">
        <v>7</v>
      </c>
      <c r="F50" s="141">
        <v>11078.4</v>
      </c>
      <c r="G50" s="141">
        <v>8315.56</v>
      </c>
      <c r="H50" s="142">
        <f t="shared" si="3"/>
      </c>
      <c r="I50" s="142">
        <f t="shared" si="1"/>
      </c>
      <c r="J50" s="142">
        <f t="shared" si="6"/>
      </c>
      <c r="K50" s="141">
        <v>0</v>
      </c>
      <c r="L50" s="141">
        <v>0</v>
      </c>
      <c r="M50" s="141" t="s">
        <v>414</v>
      </c>
      <c r="N50" s="141">
        <v>8</v>
      </c>
      <c r="O50" s="141"/>
      <c r="P50" s="143"/>
    </row>
    <row r="51">
      <c r="A51" s="140" t="s">
        <v>413</v>
      </c>
      <c r="B51" s="140" t="s">
        <v>377</v>
      </c>
      <c r="C51" s="141" t="s">
        <v>410</v>
      </c>
      <c r="D51" s="141">
        <v>5</v>
      </c>
      <c r="E51" s="141">
        <v>7</v>
      </c>
      <c r="F51" s="141">
        <v>9684</v>
      </c>
      <c r="G51" s="141">
        <v>6969.1900000000005</v>
      </c>
      <c r="H51" s="142">
        <f t="shared" si="3"/>
      </c>
      <c r="I51" s="142">
        <f t="shared" si="1"/>
      </c>
      <c r="J51" s="142">
        <f t="shared" si="6"/>
      </c>
      <c r="K51" s="141">
        <v>0</v>
      </c>
      <c r="L51" s="141">
        <v>0</v>
      </c>
      <c r="M51" s="141" t="s">
        <v>398</v>
      </c>
      <c r="N51" s="141">
        <v>9</v>
      </c>
      <c r="O51" s="141"/>
      <c r="P51" s="143"/>
    </row>
    <row r="52">
      <c r="A52" s="140" t="s">
        <v>413</v>
      </c>
      <c r="B52" s="140" t="s">
        <v>411</v>
      </c>
      <c r="C52" s="141" t="s">
        <v>412</v>
      </c>
      <c r="D52" s="141">
        <v>4</v>
      </c>
      <c r="E52" s="141">
        <v>26</v>
      </c>
      <c r="F52" s="141">
        <v>27075.6</v>
      </c>
      <c r="G52" s="141">
        <v>10111.62</v>
      </c>
      <c r="H52" s="142">
        <f t="shared" si="3"/>
      </c>
      <c r="I52" s="142">
        <f t="shared" si="1"/>
      </c>
      <c r="J52" s="142">
        <f t="shared" si="6"/>
      </c>
      <c r="K52" s="141">
        <v>5</v>
      </c>
      <c r="L52" s="141">
        <v>3441.6000000000004</v>
      </c>
      <c r="M52" s="141"/>
      <c r="N52" s="141"/>
      <c r="O52" s="141"/>
      <c r="P52" s="143"/>
    </row>
    <row r="53">
      <c r="A53" s="144">
        <v>46185</v>
      </c>
      <c r="B53" s="145"/>
      <c r="C53" s="145"/>
      <c r="D53" s="149">
        <f>SUM(D49:D52)</f>
      </c>
      <c r="E53" s="149">
        <f>SUM(E49:E52)</f>
      </c>
      <c r="F53" s="149">
        <f>SUM(F49:F52)</f>
      </c>
      <c r="G53" s="149">
        <f>SUM(G49:G52)</f>
      </c>
      <c r="H53" s="150">
        <f t="shared" si="3"/>
      </c>
      <c r="I53" s="150">
        <f t="shared" si="1"/>
      </c>
      <c r="J53" s="150">
        <f t="shared" si="6"/>
      </c>
      <c r="K53" s="149">
        <f>SUM(K49:K52)</f>
      </c>
      <c r="L53" s="149">
        <f>SUM(L49:L52)</f>
      </c>
      <c r="M53" s="148"/>
      <c r="N53" s="149">
        <f>SUM(N49:N52)</f>
      </c>
      <c r="O53" s="148"/>
      <c r="P53" s="149">
        <f>SUM(P49:P52)</f>
      </c>
    </row>
    <row r="54">
      <c r="A54" s="140" t="s">
        <v>415</v>
      </c>
      <c r="B54" s="141" t="s">
        <v>373</v>
      </c>
      <c r="C54" s="141" t="s">
        <v>407</v>
      </c>
      <c r="D54" s="141">
        <v>4</v>
      </c>
      <c r="E54" s="141">
        <v>22</v>
      </c>
      <c r="F54" s="141">
        <v>27294.2</v>
      </c>
      <c r="G54" s="141">
        <v>10435.439999999999</v>
      </c>
      <c r="H54" s="142">
        <f t="shared" si="3"/>
      </c>
      <c r="I54" s="142">
        <f t="shared" si="1"/>
      </c>
      <c r="J54" s="142">
        <f t="shared" si="6"/>
      </c>
      <c r="K54" s="141">
        <v>7</v>
      </c>
      <c r="L54" s="141">
        <v>5672.6</v>
      </c>
      <c r="M54" s="141" t="s">
        <v>408</v>
      </c>
      <c r="N54" s="141">
        <v>1</v>
      </c>
      <c r="O54" s="141" t="s">
        <v>376</v>
      </c>
      <c r="P54" s="141">
        <v>18</v>
      </c>
    </row>
    <row r="55">
      <c r="A55" s="140" t="s">
        <v>415</v>
      </c>
      <c r="B55" s="140" t="s">
        <v>393</v>
      </c>
      <c r="C55" s="141" t="s">
        <v>409</v>
      </c>
      <c r="D55" s="141">
        <v>5</v>
      </c>
      <c r="E55" s="141">
        <v>24</v>
      </c>
      <c r="F55" s="141">
        <v>22146.200000000004</v>
      </c>
      <c r="G55" s="141">
        <v>17684.22</v>
      </c>
      <c r="H55" s="142">
        <f t="shared" si="3"/>
      </c>
      <c r="I55" s="142">
        <f t="shared" si="1"/>
      </c>
      <c r="J55" s="142">
        <f t="shared" si="6"/>
      </c>
      <c r="K55" s="141">
        <v>7</v>
      </c>
      <c r="L55" s="141">
        <v>8906.4</v>
      </c>
      <c r="M55" s="141" t="s">
        <v>414</v>
      </c>
      <c r="N55" s="141">
        <v>8</v>
      </c>
      <c r="O55" s="141"/>
      <c r="P55" s="143"/>
    </row>
    <row r="56">
      <c r="A56" s="140" t="s">
        <v>415</v>
      </c>
      <c r="B56" s="140" t="s">
        <v>377</v>
      </c>
      <c r="C56" s="141" t="s">
        <v>410</v>
      </c>
      <c r="D56" s="141">
        <v>5</v>
      </c>
      <c r="E56" s="141">
        <v>13</v>
      </c>
      <c r="F56" s="141">
        <v>15907.19999999999</v>
      </c>
      <c r="G56" s="141">
        <v>13241.94</v>
      </c>
      <c r="H56" s="142">
        <f t="shared" si="3"/>
      </c>
      <c r="I56" s="142">
        <f t="shared" si="1"/>
      </c>
      <c r="J56" s="142">
        <f t="shared" si="6"/>
      </c>
      <c r="K56" s="141">
        <v>2</v>
      </c>
      <c r="L56" s="141">
        <v>4176</v>
      </c>
      <c r="M56" s="141" t="s">
        <v>398</v>
      </c>
      <c r="N56" s="141">
        <v>9</v>
      </c>
      <c r="O56" s="141"/>
      <c r="P56" s="143"/>
    </row>
    <row r="57">
      <c r="A57" s="140" t="s">
        <v>415</v>
      </c>
      <c r="B57" s="140" t="s">
        <v>411</v>
      </c>
      <c r="C57" s="141" t="s">
        <v>412</v>
      </c>
      <c r="D57" s="141">
        <v>4</v>
      </c>
      <c r="E57" s="141">
        <v>25</v>
      </c>
      <c r="F57" s="141">
        <v>29006.4</v>
      </c>
      <c r="G57" s="141">
        <v>17413.350000000002</v>
      </c>
      <c r="H57" s="142">
        <f t="shared" si="3"/>
      </c>
      <c r="I57" s="142">
        <f t="shared" si="1"/>
      </c>
      <c r="J57" s="142">
        <f t="shared" si="6"/>
      </c>
      <c r="K57" s="141">
        <v>4</v>
      </c>
      <c r="L57" s="141">
        <v>3229.2000000000007</v>
      </c>
      <c r="M57" s="141"/>
      <c r="N57" s="141"/>
      <c r="O57" s="141"/>
      <c r="P57" s="143"/>
    </row>
    <row r="58">
      <c r="A58" s="144">
        <v>46186</v>
      </c>
      <c r="B58" s="145"/>
      <c r="C58" s="145"/>
      <c r="D58" s="149">
        <f>SUM(D54:D57)</f>
      </c>
      <c r="E58" s="149">
        <f>SUM(E54:E57)</f>
      </c>
      <c r="F58" s="149">
        <f>SUM(F54:F57)</f>
      </c>
      <c r="G58" s="149">
        <f>SUM(G54:G57)</f>
      </c>
      <c r="H58" s="150">
        <f t="shared" si="3"/>
      </c>
      <c r="I58" s="150">
        <f t="shared" si="1"/>
      </c>
      <c r="J58" s="150">
        <f t="shared" si="6"/>
      </c>
      <c r="K58" s="149">
        <f>SUM(K54:K57)</f>
      </c>
      <c r="L58" s="149">
        <f>SUM(L54:L57)</f>
      </c>
      <c r="M58" s="148"/>
      <c r="N58" s="149">
        <f>SUM(N54:N57)</f>
      </c>
      <c r="O58" s="148"/>
      <c r="P58" s="149">
        <f>SUM(P54:P57)</f>
      </c>
    </row>
    <row r="59">
      <c r="A59" s="140" t="s">
        <v>416</v>
      </c>
      <c r="B59" s="141" t="s">
        <v>373</v>
      </c>
      <c r="C59" s="141" t="s">
        <v>407</v>
      </c>
      <c r="D59" s="141">
        <v>4</v>
      </c>
      <c r="E59" s="141">
        <v>20</v>
      </c>
      <c r="F59" s="141">
        <v>23010.4</v>
      </c>
      <c r="G59" s="141">
        <v>19375.960000000003</v>
      </c>
      <c r="H59" s="142">
        <f t="shared" si="3"/>
      </c>
      <c r="I59" s="142">
        <f t="shared" si="1"/>
      </c>
      <c r="J59" s="142">
        <f t="shared" si="6"/>
      </c>
      <c r="K59" s="141">
        <v>3</v>
      </c>
      <c r="L59" s="141">
        <v>2266.8</v>
      </c>
      <c r="M59" s="141" t="s">
        <v>408</v>
      </c>
      <c r="N59" s="141">
        <v>1</v>
      </c>
      <c r="O59" s="141" t="s">
        <v>376</v>
      </c>
      <c r="P59" s="141">
        <v>18</v>
      </c>
    </row>
    <row r="60">
      <c r="A60" s="140" t="s">
        <v>416</v>
      </c>
      <c r="B60" s="140" t="s">
        <v>393</v>
      </c>
      <c r="C60" s="141" t="s">
        <v>409</v>
      </c>
      <c r="D60" s="141">
        <v>5</v>
      </c>
      <c r="E60" s="141">
        <v>19</v>
      </c>
      <c r="F60" s="141">
        <v>16405.9</v>
      </c>
      <c r="G60" s="141">
        <v>17289.01</v>
      </c>
      <c r="H60" s="142">
        <f t="shared" si="3"/>
      </c>
      <c r="I60" s="142">
        <f t="shared" si="1"/>
      </c>
      <c r="J60" s="142">
        <f t="shared" si="6"/>
      </c>
      <c r="K60" s="141">
        <v>2</v>
      </c>
      <c r="L60" s="141">
        <v>785.7</v>
      </c>
      <c r="M60" s="141" t="s">
        <v>414</v>
      </c>
      <c r="N60" s="141">
        <v>8</v>
      </c>
      <c r="O60" s="141"/>
      <c r="P60" s="143"/>
    </row>
    <row r="61">
      <c r="A61" s="140" t="s">
        <v>416</v>
      </c>
      <c r="B61" s="140" t="s">
        <v>411</v>
      </c>
      <c r="C61" s="141" t="s">
        <v>410</v>
      </c>
      <c r="D61" s="141">
        <v>5</v>
      </c>
      <c r="E61" s="141">
        <v>31</v>
      </c>
      <c r="F61" s="141">
        <v>24153.6</v>
      </c>
      <c r="G61" s="141">
        <v>19322.66</v>
      </c>
      <c r="H61" s="142">
        <f t="shared" si="3"/>
      </c>
      <c r="I61" s="142">
        <f t="shared" si="1"/>
      </c>
      <c r="J61" s="142">
        <f t="shared" si="6"/>
      </c>
      <c r="K61" s="141">
        <v>12</v>
      </c>
      <c r="L61" s="141">
        <v>8251.2</v>
      </c>
      <c r="M61" s="141" t="s">
        <v>398</v>
      </c>
      <c r="N61" s="141">
        <v>9</v>
      </c>
      <c r="O61" s="141"/>
      <c r="P61" s="143"/>
    </row>
    <row r="62">
      <c r="A62" s="140" t="s">
        <v>416</v>
      </c>
      <c r="B62" s="140" t="s">
        <v>380</v>
      </c>
      <c r="C62" s="141" t="s">
        <v>412</v>
      </c>
      <c r="D62" s="141">
        <v>4</v>
      </c>
      <c r="E62" s="141">
        <v>30</v>
      </c>
      <c r="F62" s="141">
        <v>30129.6</v>
      </c>
      <c r="G62" s="141">
        <v>27710.02</v>
      </c>
      <c r="H62" s="142">
        <f t="shared" si="3"/>
      </c>
      <c r="I62" s="142">
        <f t="shared" si="1"/>
      </c>
      <c r="J62" s="142">
        <f t="shared" si="6"/>
      </c>
      <c r="K62" s="141">
        <v>5</v>
      </c>
      <c r="L62" s="141">
        <v>3164.3999999999996</v>
      </c>
      <c r="M62" s="141"/>
      <c r="N62" s="141"/>
      <c r="O62" s="141"/>
      <c r="P62" s="143"/>
    </row>
    <row r="63">
      <c r="A63" s="144">
        <v>46187</v>
      </c>
      <c r="B63" s="145"/>
      <c r="C63" s="145"/>
      <c r="D63" s="149">
        <f>SUM(D59:D62)</f>
      </c>
      <c r="E63" s="149">
        <f>SUM(E59:E62)</f>
      </c>
      <c r="F63" s="149">
        <f>SUM(F59:F62)</f>
      </c>
      <c r="G63" s="149">
        <f>SUM(G59:G62)</f>
      </c>
      <c r="H63" s="150">
        <f t="shared" si="3"/>
      </c>
      <c r="I63" s="150">
        <f t="shared" si="1"/>
      </c>
      <c r="J63" s="150">
        <f t="shared" si="6"/>
      </c>
      <c r="K63" s="149">
        <f>SUM(K59:K62)</f>
      </c>
      <c r="L63" s="149">
        <f>SUM(L59:L62)</f>
      </c>
      <c r="M63" s="148"/>
      <c r="N63" s="149">
        <f>SUM(N59:N62)</f>
      </c>
      <c r="O63" s="148"/>
      <c r="P63" s="149">
        <f>SUM(P59:P62)</f>
      </c>
    </row>
    <row r="64">
      <c r="A64" s="140" t="s">
        <v>417</v>
      </c>
      <c r="B64" s="141" t="s">
        <v>377</v>
      </c>
      <c r="C64" s="141" t="s">
        <v>407</v>
      </c>
      <c r="D64" s="141">
        <v>4</v>
      </c>
      <c r="E64" s="141">
        <v>6</v>
      </c>
      <c r="F64" s="141">
        <v>6981.6</v>
      </c>
      <c r="G64" s="141">
        <v>9393.82</v>
      </c>
      <c r="H64" s="142">
        <f t="shared" si="3"/>
      </c>
      <c r="I64" s="142">
        <f t="shared" si="1"/>
      </c>
      <c r="J64" s="142">
        <f t="shared" si="6"/>
      </c>
      <c r="K64" s="141">
        <v>2</v>
      </c>
      <c r="L64" s="141">
        <v>1065.6</v>
      </c>
      <c r="M64" s="141" t="s">
        <v>408</v>
      </c>
      <c r="N64" s="141">
        <v>1</v>
      </c>
      <c r="O64" s="141" t="s">
        <v>376</v>
      </c>
      <c r="P64" s="141">
        <v>9</v>
      </c>
    </row>
    <row r="65">
      <c r="A65" s="140" t="s">
        <v>417</v>
      </c>
      <c r="B65" s="140" t="s">
        <v>411</v>
      </c>
      <c r="C65" s="141" t="s">
        <v>409</v>
      </c>
      <c r="D65" s="141">
        <v>5</v>
      </c>
      <c r="E65" s="141">
        <v>35</v>
      </c>
      <c r="F65" s="141">
        <v>40892.4</v>
      </c>
      <c r="G65" s="141">
        <v>20533.879999999997</v>
      </c>
      <c r="H65" s="142">
        <f t="shared" si="3"/>
      </c>
      <c r="I65" s="142">
        <f t="shared" si="1"/>
      </c>
      <c r="J65" s="142">
        <f t="shared" si="6"/>
      </c>
      <c r="K65" s="141">
        <v>6</v>
      </c>
      <c r="L65" s="141">
        <v>9852</v>
      </c>
      <c r="M65" s="141" t="s">
        <v>414</v>
      </c>
      <c r="N65" s="141">
        <v>8</v>
      </c>
      <c r="O65" s="141"/>
      <c r="P65" s="143"/>
    </row>
    <row r="66">
      <c r="A66" s="140" t="s">
        <v>417</v>
      </c>
      <c r="B66" s="140" t="s">
        <v>393</v>
      </c>
      <c r="C66" s="141" t="s">
        <v>410</v>
      </c>
      <c r="D66" s="141">
        <v>5</v>
      </c>
      <c r="E66" s="141">
        <v>31</v>
      </c>
      <c r="F66" s="141">
        <v>31270.399999999994</v>
      </c>
      <c r="G66" s="141">
        <v>19213.91</v>
      </c>
      <c r="H66" s="142">
        <f t="shared" si="3"/>
      </c>
      <c r="I66" s="142">
        <f t="shared" si="1"/>
      </c>
      <c r="J66" s="142">
        <f t="shared" si="6"/>
      </c>
      <c r="K66" s="141">
        <v>10</v>
      </c>
      <c r="L66" s="141">
        <v>14091.400000000001</v>
      </c>
      <c r="M66" s="141" t="s">
        <v>398</v>
      </c>
      <c r="N66" s="141">
        <v>9</v>
      </c>
      <c r="O66" s="141" t="s">
        <v>418</v>
      </c>
      <c r="P66" s="141">
        <v>9</v>
      </c>
    </row>
    <row r="67">
      <c r="A67" s="140" t="s">
        <v>417</v>
      </c>
      <c r="B67" s="140" t="s">
        <v>380</v>
      </c>
      <c r="C67" s="141" t="s">
        <v>412</v>
      </c>
      <c r="D67" s="141">
        <v>4</v>
      </c>
      <c r="E67" s="141">
        <v>23</v>
      </c>
      <c r="F67" s="141">
        <v>23472</v>
      </c>
      <c r="G67" s="141">
        <v>18898.48</v>
      </c>
      <c r="H67" s="142">
        <f t="shared" si="3"/>
      </c>
      <c r="I67" s="142">
        <f t="shared" si="1"/>
      </c>
      <c r="J67" s="142">
        <f t="shared" si="6"/>
      </c>
      <c r="K67" s="141">
        <v>4</v>
      </c>
      <c r="L67" s="141">
        <v>3022.7999999999993</v>
      </c>
      <c r="M67" s="141"/>
      <c r="N67" s="141"/>
      <c r="O67" s="141"/>
      <c r="P67" s="143"/>
    </row>
    <row r="68">
      <c r="A68" s="144">
        <v>46188</v>
      </c>
      <c r="B68" s="145"/>
      <c r="C68" s="145"/>
      <c r="D68" s="149">
        <f>SUM(D64:D67)</f>
      </c>
      <c r="E68" s="149">
        <f>SUM(E64:E67)</f>
      </c>
      <c r="F68" s="149">
        <f>SUM(F64:F67)</f>
      </c>
      <c r="G68" s="149">
        <f>SUM(G64:G67)</f>
      </c>
      <c r="H68" s="150">
        <f t="shared" si="3"/>
      </c>
      <c r="I68" s="150">
        <f t="shared" si="1"/>
      </c>
      <c r="J68" s="150">
        <f t="shared" si="6"/>
      </c>
      <c r="K68" s="149">
        <f>SUM(K64:K67)</f>
      </c>
      <c r="L68" s="149">
        <f>SUM(L64:L67)</f>
      </c>
      <c r="M68" s="148"/>
      <c r="N68" s="149">
        <f>SUM(N64:N67)</f>
      </c>
      <c r="O68" s="148"/>
      <c r="P68" s="149">
        <f>SUM(P64:P67)</f>
      </c>
    </row>
    <row r="69">
      <c r="A69" s="140" t="s">
        <v>419</v>
      </c>
      <c r="B69" s="141" t="s">
        <v>373</v>
      </c>
      <c r="C69" s="141" t="s">
        <v>407</v>
      </c>
      <c r="D69" s="151">
        <f>4-0.25</f>
      </c>
      <c r="E69" s="141">
        <v>29</v>
      </c>
      <c r="F69" s="141">
        <v>36309.6</v>
      </c>
      <c r="G69" s="141">
        <v>26778.79</v>
      </c>
      <c r="H69" s="142">
        <f t="shared" si="3"/>
      </c>
      <c r="I69" s="142">
        <f t="shared" si="1"/>
      </c>
      <c r="J69" s="142">
        <f t="shared" si="6"/>
      </c>
      <c r="K69" s="141">
        <v>8</v>
      </c>
      <c r="L69" s="141">
        <v>8460</v>
      </c>
      <c r="M69" s="141" t="s">
        <v>408</v>
      </c>
      <c r="N69" s="141">
        <v>1</v>
      </c>
      <c r="O69" s="141" t="s">
        <v>376</v>
      </c>
      <c r="P69" s="141">
        <v>9</v>
      </c>
    </row>
    <row r="70">
      <c r="A70" s="140" t="s">
        <v>419</v>
      </c>
      <c r="B70" s="140" t="s">
        <v>411</v>
      </c>
      <c r="C70" s="141" t="s">
        <v>409</v>
      </c>
      <c r="D70" s="141">
        <v>5</v>
      </c>
      <c r="E70" s="141">
        <v>35</v>
      </c>
      <c r="F70" s="141">
        <v>34090.8</v>
      </c>
      <c r="G70" s="141">
        <v>32558.73</v>
      </c>
      <c r="H70" s="142">
        <f t="shared" si="3"/>
      </c>
      <c r="I70" s="142">
        <f t="shared" si="1"/>
      </c>
      <c r="J70" s="142">
        <f t="shared" si="6"/>
      </c>
      <c r="K70" s="141">
        <v>11</v>
      </c>
      <c r="L70" s="141">
        <v>13023.599999999999</v>
      </c>
      <c r="M70" s="141" t="s">
        <v>414</v>
      </c>
      <c r="N70" s="141">
        <v>8</v>
      </c>
      <c r="O70" s="141"/>
      <c r="P70" s="143"/>
    </row>
    <row r="71">
      <c r="A71" s="140" t="s">
        <v>419</v>
      </c>
      <c r="B71" s="140" t="s">
        <v>377</v>
      </c>
      <c r="C71" s="141" t="s">
        <v>391</v>
      </c>
      <c r="D71" s="141">
        <v>4</v>
      </c>
      <c r="E71" s="141">
        <v>16</v>
      </c>
      <c r="F71" s="141">
        <v>17112</v>
      </c>
      <c r="G71" s="141">
        <v>15752.85</v>
      </c>
      <c r="H71" s="142">
        <f t="shared" si="3"/>
      </c>
      <c r="I71" s="142">
        <f t="shared" si="1"/>
      </c>
      <c r="J71" s="142">
        <f t="shared" si="6"/>
      </c>
      <c r="K71" s="141">
        <v>4</v>
      </c>
      <c r="L71" s="141">
        <v>3901.2000000000007</v>
      </c>
      <c r="M71" s="141" t="s">
        <v>420</v>
      </c>
      <c r="N71" s="141">
        <v>4</v>
      </c>
      <c r="O71" s="141" t="s">
        <v>418</v>
      </c>
      <c r="P71" s="141">
        <v>4</v>
      </c>
    </row>
    <row r="72">
      <c r="A72" s="144">
        <v>46189</v>
      </c>
      <c r="B72" s="145"/>
      <c r="C72" s="145"/>
      <c r="D72" s="149">
        <f>SUM(D69:D71)</f>
      </c>
      <c r="E72" s="149">
        <f>SUM(E69:E71)</f>
      </c>
      <c r="F72" s="149">
        <f>SUM(F69:F71)</f>
      </c>
      <c r="G72" s="149">
        <f>SUM(G69:G71)</f>
      </c>
      <c r="H72" s="150">
        <f t="shared" si="3"/>
      </c>
      <c r="I72" s="150">
        <f t="shared" si="1"/>
      </c>
      <c r="J72" s="150">
        <f t="shared" si="6"/>
      </c>
      <c r="K72" s="149">
        <f>SUM(K69:K71)</f>
      </c>
      <c r="L72" s="149">
        <f>SUM(L69:L71)</f>
      </c>
      <c r="M72" s="148"/>
      <c r="N72" s="149">
        <f>SUM(N69:N71)</f>
      </c>
      <c r="O72" s="148"/>
      <c r="P72" s="149">
        <f>SUM(P69:P71)</f>
      </c>
    </row>
    <row r="73">
      <c r="A73" s="140" t="s">
        <v>421</v>
      </c>
      <c r="B73" s="141" t="s">
        <v>411</v>
      </c>
      <c r="C73" s="141" t="s">
        <v>422</v>
      </c>
      <c r="D73" s="141">
        <v>4</v>
      </c>
      <c r="E73" s="141">
        <v>9</v>
      </c>
      <c r="F73" s="141">
        <v>13198.800000000001</v>
      </c>
      <c r="G73" s="141">
        <v>15584.5</v>
      </c>
      <c r="H73" s="142">
        <f t="shared" si="3"/>
      </c>
      <c r="I73" s="142">
        <f t="shared" si="1"/>
      </c>
      <c r="J73" s="142">
        <f t="shared" si="6"/>
      </c>
      <c r="K73" s="141">
        <v>3</v>
      </c>
      <c r="L73" s="141">
        <v>3282</v>
      </c>
      <c r="M73" s="141"/>
      <c r="N73" s="141"/>
      <c r="O73" s="141" t="s">
        <v>376</v>
      </c>
      <c r="P73" s="141">
        <v>7</v>
      </c>
    </row>
    <row customHeight="true" ht="16.071428571428573" r="74">
      <c r="A74" s="140" t="s">
        <v>421</v>
      </c>
      <c r="B74" s="140" t="s">
        <v>393</v>
      </c>
      <c r="C74" s="141" t="s">
        <v>423</v>
      </c>
      <c r="D74" s="141">
        <v>5</v>
      </c>
      <c r="E74" s="141">
        <v>15</v>
      </c>
      <c r="F74" s="141">
        <v>18081.799999999996</v>
      </c>
      <c r="G74" s="141">
        <v>9578.45</v>
      </c>
      <c r="H74" s="142">
        <f t="shared" si="3"/>
      </c>
      <c r="I74" s="142">
        <f t="shared" si="1"/>
      </c>
      <c r="J74" s="142">
        <f t="shared" si="6"/>
      </c>
      <c r="K74" s="141">
        <v>5</v>
      </c>
      <c r="L74" s="141">
        <v>4136.4</v>
      </c>
      <c r="M74" s="141" t="s">
        <v>414</v>
      </c>
      <c r="N74" s="141">
        <v>6</v>
      </c>
      <c r="O74" s="141"/>
      <c r="P74" s="143"/>
    </row>
    <row customHeight="true" ht="16.071428571428573" r="75">
      <c r="A75" s="140" t="s">
        <v>421</v>
      </c>
      <c r="B75" s="140" t="s">
        <v>380</v>
      </c>
      <c r="C75" s="141" t="s">
        <v>424</v>
      </c>
      <c r="D75" s="141">
        <v>5</v>
      </c>
      <c r="E75" s="141">
        <v>11</v>
      </c>
      <c r="F75" s="141">
        <v>17494.6</v>
      </c>
      <c r="G75" s="141">
        <v>10045.46</v>
      </c>
      <c r="H75" s="142">
        <f t="shared" si="3"/>
      </c>
      <c r="I75" s="142">
        <f t="shared" si="1"/>
      </c>
      <c r="J75" s="142">
        <f t="shared" si="6"/>
      </c>
      <c r="K75" s="141" t="s">
        <v>425</v>
      </c>
      <c r="L75" s="141">
        <v>1411.2</v>
      </c>
      <c r="M75" s="141" t="s">
        <v>402</v>
      </c>
      <c r="N75" s="141">
        <v>8</v>
      </c>
      <c r="O75" s="141" t="s">
        <v>418</v>
      </c>
      <c r="P75" s="141">
        <v>8</v>
      </c>
    </row>
    <row customHeight="true" ht="16.071428571428573" r="76">
      <c r="A76" s="144">
        <v>46191</v>
      </c>
      <c r="B76" s="145"/>
      <c r="C76" s="145"/>
      <c r="D76" s="149">
        <f>SUM(D73:D75)</f>
      </c>
      <c r="E76" s="149">
        <f>SUM(E73:E75)</f>
      </c>
      <c r="F76" s="149">
        <f>SUM(F73:F75)</f>
      </c>
      <c r="G76" s="149">
        <f>SUM(G73:G75)</f>
      </c>
      <c r="H76" s="150">
        <f t="shared" si="3"/>
      </c>
      <c r="I76" s="150">
        <f t="shared" si="1"/>
      </c>
      <c r="J76" s="150">
        <f t="shared" si="6"/>
      </c>
      <c r="K76" s="149">
        <f>SUM(K73:K75)</f>
      </c>
      <c r="L76" s="149">
        <f>SUM(L73:L75)</f>
      </c>
      <c r="M76" s="148"/>
      <c r="N76" s="149">
        <f>SUM(N73:N75)</f>
      </c>
      <c r="O76" s="148"/>
      <c r="P76" s="149">
        <f>SUM(P73:P75)</f>
      </c>
    </row>
    <row customHeight="true" ht="16.071428571428573" r="77">
      <c r="A77" s="140" t="s">
        <v>426</v>
      </c>
      <c r="B77" s="141" t="s">
        <v>411</v>
      </c>
      <c r="C77" s="141" t="s">
        <v>387</v>
      </c>
      <c r="D77" s="141">
        <v>5</v>
      </c>
      <c r="E77" s="141">
        <v>27</v>
      </c>
      <c r="F77" s="141">
        <v>35776.3</v>
      </c>
      <c r="G77" s="141">
        <v>18673.71</v>
      </c>
      <c r="H77" s="142">
        <f t="shared" si="3"/>
      </c>
      <c r="I77" s="142">
        <f t="shared" si="1"/>
      </c>
      <c r="J77" s="142">
        <f t="shared" si="6"/>
      </c>
      <c r="K77" s="141">
        <v>4</v>
      </c>
      <c r="L77" s="141">
        <v>6172.8</v>
      </c>
      <c r="M77" s="141" t="s">
        <v>408</v>
      </c>
      <c r="N77" s="141">
        <v>1</v>
      </c>
      <c r="O77" s="141" t="s">
        <v>376</v>
      </c>
      <c r="P77" s="141">
        <v>9</v>
      </c>
    </row>
    <row customHeight="true" ht="16.071428571428573" r="78">
      <c r="A78" s="140" t="s">
        <v>426</v>
      </c>
      <c r="B78" s="140" t="s">
        <v>393</v>
      </c>
      <c r="C78" s="141" t="s">
        <v>390</v>
      </c>
      <c r="D78" s="141">
        <v>4</v>
      </c>
      <c r="E78" s="141">
        <v>31</v>
      </c>
      <c r="F78" s="141">
        <v>35567.8</v>
      </c>
      <c r="G78" s="141">
        <v>19451.92</v>
      </c>
      <c r="H78" s="142">
        <f t="shared" si="3"/>
      </c>
      <c r="I78" s="142">
        <f t="shared" si="1"/>
      </c>
      <c r="J78" s="142">
        <f t="shared" si="6"/>
      </c>
      <c r="K78" s="141">
        <v>7</v>
      </c>
      <c r="L78" s="141">
        <v>7765.2</v>
      </c>
      <c r="M78" s="141" t="s">
        <v>414</v>
      </c>
      <c r="N78" s="141">
        <v>8</v>
      </c>
      <c r="O78" s="141"/>
      <c r="P78" s="143"/>
    </row>
    <row customHeight="true" ht="16.071428571428573" r="79">
      <c r="A79" s="140" t="s">
        <v>426</v>
      </c>
      <c r="B79" s="140" t="s">
        <v>380</v>
      </c>
      <c r="C79" s="141" t="s">
        <v>391</v>
      </c>
      <c r="D79" s="141">
        <v>4</v>
      </c>
      <c r="E79" s="141">
        <v>14</v>
      </c>
      <c r="F79" s="141">
        <v>17810.4</v>
      </c>
      <c r="G79" s="141">
        <v>13868.87</v>
      </c>
      <c r="H79" s="142">
        <f t="shared" si="3"/>
      </c>
      <c r="I79" s="142">
        <f t="shared" si="1"/>
      </c>
      <c r="J79" s="142">
        <f t="shared" si="6"/>
      </c>
      <c r="K79" s="141">
        <v>4</v>
      </c>
      <c r="L79" s="141">
        <v>4456.8</v>
      </c>
      <c r="M79" s="141" t="s">
        <v>427</v>
      </c>
      <c r="N79" s="141">
        <v>7</v>
      </c>
      <c r="O79" s="141" t="s">
        <v>418</v>
      </c>
      <c r="P79" s="141">
        <v>10</v>
      </c>
    </row>
    <row customHeight="true" ht="16.071428571428573" r="80">
      <c r="A80" s="140" t="s">
        <v>426</v>
      </c>
      <c r="B80" s="140" t="s">
        <v>375</v>
      </c>
      <c r="C80" s="141" t="s">
        <v>404</v>
      </c>
      <c r="D80" s="141">
        <v>2</v>
      </c>
      <c r="E80" s="141">
        <v>11</v>
      </c>
      <c r="F80" s="141">
        <v>15405.4</v>
      </c>
      <c r="G80" s="141">
        <v>8446.99</v>
      </c>
      <c r="H80" s="142">
        <f t="shared" si="3"/>
      </c>
      <c r="I80" s="142">
        <f t="shared" si="1"/>
      </c>
      <c r="J80" s="142">
        <f t="shared" si="6"/>
      </c>
      <c r="K80" s="141">
        <v>0</v>
      </c>
      <c r="L80" s="141">
        <v>0</v>
      </c>
      <c r="M80" s="141" t="s">
        <v>428</v>
      </c>
      <c r="N80" s="141">
        <v>3</v>
      </c>
      <c r="O80" s="141"/>
      <c r="P80" s="143"/>
    </row>
    <row customHeight="true" ht="16.071428571428573" r="81">
      <c r="A81" s="140" t="s">
        <v>426</v>
      </c>
      <c r="B81" s="140" t="s">
        <v>377</v>
      </c>
      <c r="C81" s="141" t="s">
        <v>429</v>
      </c>
      <c r="D81" s="141">
        <v>4</v>
      </c>
      <c r="E81" s="141">
        <v>26</v>
      </c>
      <c r="F81" s="141">
        <v>30164</v>
      </c>
      <c r="G81" s="141">
        <v>14152</v>
      </c>
      <c r="H81" s="142">
        <f t="shared" si="3"/>
      </c>
      <c r="I81" s="142">
        <f t="shared" si="1"/>
      </c>
      <c r="J81" s="142">
        <f t="shared" si="6"/>
      </c>
      <c r="K81" s="141">
        <v>11</v>
      </c>
      <c r="L81" s="141">
        <v>10656.8</v>
      </c>
      <c r="M81" s="141"/>
      <c r="N81" s="141"/>
      <c r="O81" s="141"/>
      <c r="P81" s="141"/>
    </row>
    <row customHeight="true" ht="16.071428571428573" r="82">
      <c r="A82" s="144">
        <v>46192</v>
      </c>
      <c r="B82" s="145"/>
      <c r="C82" s="145"/>
      <c r="D82" s="149">
        <f>SUM(D77:D81)</f>
      </c>
      <c r="E82" s="149">
        <f>SUM(E77:E81)</f>
      </c>
      <c r="F82" s="149">
        <f>SUM(F77:F81)</f>
      </c>
      <c r="G82" s="149">
        <f>SUM(G77:G81)</f>
      </c>
      <c r="H82" s="150">
        <f t="shared" si="3"/>
      </c>
      <c r="I82" s="150">
        <f t="shared" si="1"/>
      </c>
      <c r="J82" s="150">
        <f t="shared" si="6"/>
      </c>
      <c r="K82" s="149">
        <f>SUM(K77:K81)</f>
      </c>
      <c r="L82" s="149">
        <f>SUM(L77:L81)</f>
      </c>
      <c r="M82" s="148"/>
      <c r="N82" s="149">
        <f>SUM(N77:N81)</f>
      </c>
      <c r="O82" s="148"/>
      <c r="P82" s="149">
        <f>SUM(P77:P81)</f>
      </c>
    </row>
    <row customHeight="true" ht="16.071428571428573" r="83">
      <c r="A83" s="140" t="s">
        <v>430</v>
      </c>
      <c r="B83" s="141" t="s">
        <v>411</v>
      </c>
      <c r="C83" s="141" t="s">
        <v>387</v>
      </c>
      <c r="D83" s="141">
        <v>5</v>
      </c>
      <c r="E83" s="141">
        <v>24</v>
      </c>
      <c r="F83" s="141">
        <v>22735.2</v>
      </c>
      <c r="G83" s="141">
        <v>28244.63</v>
      </c>
      <c r="H83" s="142">
        <f t="shared" si="3"/>
      </c>
      <c r="I83" s="142">
        <f t="shared" si="1"/>
      </c>
      <c r="J83" s="142">
        <f t="shared" si="6"/>
      </c>
      <c r="K83" s="141">
        <v>8</v>
      </c>
      <c r="L83" s="141">
        <v>7075.2</v>
      </c>
      <c r="M83" s="141" t="s">
        <v>408</v>
      </c>
      <c r="N83" s="141">
        <v>1</v>
      </c>
      <c r="O83" s="141" t="s">
        <v>376</v>
      </c>
      <c r="P83" s="141">
        <v>9</v>
      </c>
    </row>
    <row customHeight="true" ht="16.071428571428573" r="84">
      <c r="A84" s="140" t="s">
        <v>430</v>
      </c>
      <c r="B84" s="140" t="s">
        <v>377</v>
      </c>
      <c r="C84" s="141" t="s">
        <v>390</v>
      </c>
      <c r="D84" s="141">
        <v>4</v>
      </c>
      <c r="E84" s="141">
        <v>22</v>
      </c>
      <c r="F84" s="141">
        <v>17942.8</v>
      </c>
      <c r="G84" s="141">
        <v>17864.38</v>
      </c>
      <c r="H84" s="142">
        <f t="shared" si="3"/>
      </c>
      <c r="I84" s="142">
        <f t="shared" si="1"/>
      </c>
      <c r="J84" s="142">
        <f t="shared" si="6"/>
      </c>
      <c r="K84" s="141">
        <v>4</v>
      </c>
      <c r="L84" s="141">
        <v>5212</v>
      </c>
      <c r="M84" s="141" t="s">
        <v>414</v>
      </c>
      <c r="N84" s="141">
        <v>8</v>
      </c>
      <c r="O84" s="141"/>
      <c r="P84" s="143"/>
    </row>
    <row customHeight="true" ht="16.071428571428573" r="85">
      <c r="A85" s="140" t="s">
        <v>430</v>
      </c>
      <c r="B85" s="140" t="s">
        <v>380</v>
      </c>
      <c r="C85" s="141" t="s">
        <v>391</v>
      </c>
      <c r="D85" s="141">
        <v>4</v>
      </c>
      <c r="E85" s="141">
        <v>17</v>
      </c>
      <c r="F85" s="141">
        <v>20455</v>
      </c>
      <c r="G85" s="141">
        <v>16663.21</v>
      </c>
      <c r="H85" s="142">
        <f t="shared" si="3"/>
      </c>
      <c r="I85" s="142">
        <f t="shared" si="1"/>
      </c>
      <c r="J85" s="142">
        <f t="shared" si="6"/>
      </c>
      <c r="K85" s="141">
        <v>6</v>
      </c>
      <c r="L85" s="141">
        <v>3943</v>
      </c>
      <c r="M85" s="141"/>
      <c r="N85" s="141"/>
      <c r="O85" s="141" t="s">
        <v>418</v>
      </c>
      <c r="P85" s="141">
        <v>10</v>
      </c>
    </row>
    <row customHeight="true" ht="16.071428571428573" r="86">
      <c r="A86" s="140" t="s">
        <v>430</v>
      </c>
      <c r="B86" s="140" t="s">
        <v>375</v>
      </c>
      <c r="C86" s="141" t="s">
        <v>404</v>
      </c>
      <c r="D86" s="141">
        <v>2</v>
      </c>
      <c r="E86" s="141">
        <v>10</v>
      </c>
      <c r="F86" s="141">
        <v>12900</v>
      </c>
      <c r="G86" s="141">
        <v>8070.92</v>
      </c>
      <c r="H86" s="142">
        <f t="shared" si="3"/>
      </c>
      <c r="I86" s="142">
        <f t="shared" si="1"/>
      </c>
      <c r="J86" s="142">
        <f t="shared" si="6"/>
      </c>
      <c r="K86" s="141">
        <v>3</v>
      </c>
      <c r="L86" s="141">
        <v>2880</v>
      </c>
      <c r="M86" s="141" t="s">
        <v>428</v>
      </c>
      <c r="N86" s="141">
        <v>10</v>
      </c>
      <c r="O86" s="141"/>
      <c r="P86" s="143"/>
    </row>
    <row customHeight="true" ht="16.071428571428573" r="87">
      <c r="A87" s="140" t="s">
        <v>430</v>
      </c>
      <c r="B87" s="140" t="s">
        <v>393</v>
      </c>
      <c r="C87" s="141" t="s">
        <v>429</v>
      </c>
      <c r="D87" s="141">
        <v>4</v>
      </c>
      <c r="E87" s="141">
        <v>25</v>
      </c>
      <c r="F87" s="141">
        <v>33278.4</v>
      </c>
      <c r="G87" s="141">
        <v>23014.06</v>
      </c>
      <c r="H87" s="142">
        <f t="shared" si="3"/>
      </c>
      <c r="I87" s="142">
        <f t="shared" si="1"/>
      </c>
      <c r="J87" s="142">
        <f t="shared" si="6"/>
      </c>
      <c r="K87" s="141">
        <v>1</v>
      </c>
      <c r="L87" s="141">
        <v>1692</v>
      </c>
      <c r="M87" s="141"/>
      <c r="N87" s="141"/>
      <c r="O87" s="141"/>
      <c r="P87" s="141"/>
    </row>
    <row customHeight="true" ht="16.071428571428573" r="88">
      <c r="A88" s="144">
        <v>46193</v>
      </c>
      <c r="B88" s="145"/>
      <c r="C88" s="145"/>
      <c r="D88" s="149">
        <f>SUM(D83:D87)</f>
      </c>
      <c r="E88" s="149">
        <f>SUM(E83:E87)</f>
      </c>
      <c r="F88" s="149">
        <f>SUM(F83:F87)</f>
      </c>
      <c r="G88" s="149">
        <f>SUM(G83:G87)</f>
      </c>
      <c r="H88" s="150">
        <f t="shared" si="3"/>
      </c>
      <c r="I88" s="150">
        <f t="shared" si="1"/>
      </c>
      <c r="J88" s="150">
        <f t="shared" si="6"/>
      </c>
      <c r="K88" s="149">
        <f>SUM(K83:K87)</f>
      </c>
      <c r="L88" s="149">
        <f>SUM(L83:L87)</f>
      </c>
      <c r="M88" s="148"/>
      <c r="N88" s="149">
        <f>SUM(N83:N87)</f>
      </c>
      <c r="O88" s="148"/>
      <c r="P88" s="149">
        <f>SUM(P83:P87)</f>
      </c>
    </row>
    <row customHeight="true" ht="16.071428571428573" r="89">
      <c r="A89" s="140" t="s">
        <v>431</v>
      </c>
      <c r="B89" s="141" t="s">
        <v>380</v>
      </c>
      <c r="C89" s="141" t="s">
        <v>387</v>
      </c>
      <c r="D89" s="141">
        <v>5</v>
      </c>
      <c r="E89" s="141">
        <v>20</v>
      </c>
      <c r="F89" s="141">
        <v>20756.4</v>
      </c>
      <c r="G89" s="141">
        <v>22554.35</v>
      </c>
      <c r="H89" s="142">
        <f t="shared" si="3"/>
      </c>
      <c r="I89" s="142">
        <f t="shared" si="1"/>
      </c>
      <c r="J89" s="142">
        <f t="shared" si="6"/>
      </c>
      <c r="K89" s="141">
        <v>4</v>
      </c>
      <c r="L89" s="141">
        <v>4176</v>
      </c>
      <c r="M89" s="141" t="s">
        <v>388</v>
      </c>
      <c r="N89" s="141">
        <v>9</v>
      </c>
      <c r="O89" s="141" t="s">
        <v>376</v>
      </c>
      <c r="P89" s="141">
        <v>9</v>
      </c>
    </row>
    <row customHeight="true" ht="16.071428571428573" r="90">
      <c r="A90" s="140" t="s">
        <v>431</v>
      </c>
      <c r="B90" s="140" t="s">
        <v>377</v>
      </c>
      <c r="C90" s="141" t="s">
        <v>390</v>
      </c>
      <c r="D90" s="141">
        <v>4</v>
      </c>
      <c r="E90" s="141">
        <v>12</v>
      </c>
      <c r="F90" s="141">
        <v>14043.6</v>
      </c>
      <c r="G90" s="141">
        <v>14284.22</v>
      </c>
      <c r="H90" s="142">
        <f t="shared" si="3"/>
      </c>
      <c r="I90" s="142">
        <f t="shared" si="1"/>
      </c>
      <c r="J90" s="142">
        <f t="shared" si="6"/>
      </c>
      <c r="K90" s="141">
        <v>3</v>
      </c>
      <c r="L90" s="141">
        <v>2673.6000000000004</v>
      </c>
      <c r="M90" s="141"/>
      <c r="N90" s="141"/>
      <c r="O90" s="141"/>
      <c r="P90" s="143"/>
    </row>
    <row customHeight="true" ht="16.071428571428573" r="91">
      <c r="A91" s="140" t="s">
        <v>431</v>
      </c>
      <c r="B91" s="140" t="s">
        <v>411</v>
      </c>
      <c r="C91" s="141" t="s">
        <v>391</v>
      </c>
      <c r="D91" s="141">
        <v>4</v>
      </c>
      <c r="E91" s="141">
        <v>26</v>
      </c>
      <c r="F91" s="141">
        <v>24782.4</v>
      </c>
      <c r="G91" s="141">
        <v>20342</v>
      </c>
      <c r="H91" s="142">
        <f t="shared" si="3"/>
      </c>
      <c r="I91" s="142">
        <f t="shared" si="1"/>
      </c>
      <c r="J91" s="142">
        <f t="shared" si="6"/>
      </c>
      <c r="K91" s="141">
        <v>8</v>
      </c>
      <c r="L91" s="141">
        <v>5877.6</v>
      </c>
      <c r="M91" s="141" t="s">
        <v>428</v>
      </c>
      <c r="N91" s="141">
        <v>10</v>
      </c>
      <c r="O91" s="141" t="s">
        <v>418</v>
      </c>
      <c r="P91" s="141">
        <v>10</v>
      </c>
    </row>
    <row customHeight="true" ht="16.071428571428573" r="92">
      <c r="A92" s="140" t="s">
        <v>431</v>
      </c>
      <c r="B92" s="140" t="s">
        <v>375</v>
      </c>
      <c r="C92" s="141" t="s">
        <v>404</v>
      </c>
      <c r="D92" s="141">
        <v>2</v>
      </c>
      <c r="E92" s="141">
        <v>28</v>
      </c>
      <c r="F92" s="141">
        <v>27723.6</v>
      </c>
      <c r="G92" s="141">
        <v>18386.35</v>
      </c>
      <c r="H92" s="142">
        <f t="shared" si="3"/>
      </c>
      <c r="I92" s="142">
        <f t="shared" si="1"/>
      </c>
      <c r="J92" s="142">
        <f t="shared" si="6"/>
      </c>
      <c r="K92" s="141">
        <v>2</v>
      </c>
      <c r="L92" s="141">
        <v>729.5999999999989</v>
      </c>
      <c r="M92" s="141"/>
      <c r="N92" s="141"/>
      <c r="O92" s="141"/>
      <c r="P92" s="143"/>
    </row>
    <row customHeight="true" ht="16.071428571428573" r="93">
      <c r="A93" s="140" t="s">
        <v>431</v>
      </c>
      <c r="B93" s="140" t="s">
        <v>393</v>
      </c>
      <c r="C93" s="141" t="s">
        <v>429</v>
      </c>
      <c r="D93" s="141">
        <v>4</v>
      </c>
      <c r="E93" s="141">
        <v>21</v>
      </c>
      <c r="F93" s="141">
        <v>23011.2</v>
      </c>
      <c r="G93" s="141">
        <v>21170.81</v>
      </c>
      <c r="H93" s="142">
        <f t="shared" si="3"/>
      </c>
      <c r="I93" s="142">
        <f t="shared" si="1"/>
      </c>
      <c r="J93" s="142">
        <f t="shared" si="6"/>
      </c>
      <c r="K93" s="141">
        <v>4</v>
      </c>
      <c r="L93" s="141">
        <v>3780</v>
      </c>
      <c r="M93" s="141"/>
      <c r="N93" s="141"/>
      <c r="O93" s="141"/>
      <c r="P93" s="141"/>
    </row>
    <row customHeight="true" ht="16.071428571428573" r="94">
      <c r="A94" s="144" t="s">
        <v>431</v>
      </c>
      <c r="B94" s="145"/>
      <c r="C94" s="145"/>
      <c r="D94" s="149">
        <f>SUM(D89:D93)</f>
      </c>
      <c r="E94" s="149">
        <f>SUM(E89:E93)</f>
      </c>
      <c r="F94" s="149">
        <f>SUM(F89:F93)</f>
      </c>
      <c r="G94" s="149">
        <f>SUM(G89:G93)</f>
      </c>
      <c r="H94" s="150">
        <f t="shared" si="3"/>
      </c>
      <c r="I94" s="150">
        <f t="shared" si="1"/>
      </c>
      <c r="J94" s="150">
        <f t="shared" si="6"/>
      </c>
      <c r="K94" s="149">
        <f>SUM(K89:K93)</f>
      </c>
      <c r="L94" s="149">
        <f>SUM(L89:L93)</f>
      </c>
      <c r="M94" s="148"/>
      <c r="N94" s="149">
        <f>SUM(N89:N93)</f>
      </c>
      <c r="O94" s="148"/>
      <c r="P94" s="149">
        <f>SUM(P89:P93)</f>
      </c>
    </row>
    <row customHeight="true" ht="16.071428571428573" r="95">
      <c r="A95" s="140" t="s">
        <v>432</v>
      </c>
      <c r="B95" s="141" t="s">
        <v>380</v>
      </c>
      <c r="C95" s="141" t="s">
        <v>387</v>
      </c>
      <c r="D95" s="141">
        <v>5</v>
      </c>
      <c r="E95" s="141">
        <v>16</v>
      </c>
      <c r="F95" s="141">
        <v>21499.2</v>
      </c>
      <c r="G95" s="141">
        <v>19863.16</v>
      </c>
      <c r="H95" s="142">
        <f t="shared" si="3"/>
      </c>
      <c r="I95" s="142">
        <f t="shared" si="1"/>
      </c>
      <c r="J95" s="142">
        <f t="shared" si="6"/>
      </c>
      <c r="K95" s="141">
        <v>3</v>
      </c>
      <c r="L95" s="141">
        <v>1844.4</v>
      </c>
      <c r="M95" s="141" t="s">
        <v>402</v>
      </c>
      <c r="N95" s="141">
        <v>9</v>
      </c>
      <c r="O95" s="141" t="s">
        <v>376</v>
      </c>
      <c r="P95" s="141">
        <v>9</v>
      </c>
    </row>
    <row customHeight="true" ht="16.071428571428573" r="96">
      <c r="A96" s="140" t="s">
        <v>432</v>
      </c>
      <c r="B96" s="140" t="s">
        <v>377</v>
      </c>
      <c r="C96" s="141" t="s">
        <v>390</v>
      </c>
      <c r="D96" s="141">
        <v>4</v>
      </c>
      <c r="E96" s="141">
        <v>17</v>
      </c>
      <c r="F96" s="141">
        <v>19758</v>
      </c>
      <c r="G96" s="141">
        <v>17269.32</v>
      </c>
      <c r="H96" s="142">
        <f t="shared" si="3"/>
      </c>
      <c r="I96" s="142">
        <f t="shared" si="1"/>
      </c>
      <c r="J96" s="142">
        <f t="shared" si="6"/>
      </c>
      <c r="K96" s="141">
        <v>4</v>
      </c>
      <c r="L96" s="141">
        <v>5838</v>
      </c>
      <c r="M96" s="141"/>
      <c r="N96" s="141"/>
      <c r="O96" s="141"/>
      <c r="P96" s="143"/>
    </row>
    <row customHeight="true" ht="16.071428571428573" r="97">
      <c r="A97" s="140" t="s">
        <v>432</v>
      </c>
      <c r="B97" s="140" t="s">
        <v>393</v>
      </c>
      <c r="C97" s="141" t="s">
        <v>391</v>
      </c>
      <c r="D97" s="141">
        <v>4</v>
      </c>
      <c r="E97" s="141">
        <v>23</v>
      </c>
      <c r="F97" s="141">
        <v>25508.4</v>
      </c>
      <c r="G97" s="141">
        <v>14969.58</v>
      </c>
      <c r="H97" s="142">
        <f t="shared" si="3"/>
      </c>
      <c r="I97" s="142">
        <f t="shared" si="1"/>
      </c>
      <c r="J97" s="142">
        <f t="shared" si="6"/>
      </c>
      <c r="K97" s="141">
        <v>2</v>
      </c>
      <c r="L97" s="141">
        <v>3036</v>
      </c>
      <c r="M97" s="141" t="s">
        <v>428</v>
      </c>
      <c r="N97" s="141">
        <v>10</v>
      </c>
      <c r="O97" s="141" t="s">
        <v>418</v>
      </c>
      <c r="P97" s="141">
        <v>10</v>
      </c>
    </row>
    <row customHeight="true" ht="16.071428571428573" r="98">
      <c r="A98" s="140" t="s">
        <v>432</v>
      </c>
      <c r="B98" s="140" t="s">
        <v>375</v>
      </c>
      <c r="C98" s="141" t="s">
        <v>404</v>
      </c>
      <c r="D98" s="141">
        <v>2</v>
      </c>
      <c r="E98" s="141">
        <v>21</v>
      </c>
      <c r="F98" s="141">
        <v>26320.8</v>
      </c>
      <c r="G98" s="141">
        <v>13325.73</v>
      </c>
      <c r="H98" s="142">
        <f t="shared" si="3"/>
      </c>
      <c r="I98" s="142">
        <f t="shared" si="1"/>
      </c>
      <c r="J98" s="142">
        <f t="shared" si="6"/>
      </c>
      <c r="K98" s="141">
        <v>4</v>
      </c>
      <c r="L98" s="141">
        <v>4500</v>
      </c>
      <c r="M98" s="141"/>
      <c r="N98" s="141"/>
      <c r="O98" s="141"/>
      <c r="P98" s="143"/>
    </row>
    <row customHeight="true" ht="16.071428571428573" r="99">
      <c r="A99" s="140" t="s">
        <v>432</v>
      </c>
      <c r="B99" s="140" t="s">
        <v>411</v>
      </c>
      <c r="C99" s="141" t="s">
        <v>429</v>
      </c>
      <c r="D99" s="141">
        <v>4</v>
      </c>
      <c r="E99" s="141">
        <v>41</v>
      </c>
      <c r="F99" s="141">
        <v>40077.6</v>
      </c>
      <c r="G99" s="141">
        <v>27716.670000000006</v>
      </c>
      <c r="H99" s="142">
        <f t="shared" si="3"/>
      </c>
      <c r="I99" s="142">
        <f t="shared" si="1"/>
      </c>
      <c r="J99" s="142">
        <f t="shared" si="6"/>
      </c>
      <c r="K99" s="141">
        <v>3</v>
      </c>
      <c r="L99" s="141">
        <v>2928</v>
      </c>
      <c r="M99" s="141"/>
      <c r="N99" s="141"/>
      <c r="O99" s="141"/>
      <c r="P99" s="141"/>
    </row>
    <row customHeight="true" ht="16.071428571428573" r="100">
      <c r="A100" s="144">
        <v>46195</v>
      </c>
      <c r="B100" s="145"/>
      <c r="C100" s="145"/>
      <c r="D100" s="149">
        <f>SUM(D95:D99)</f>
      </c>
      <c r="E100" s="149">
        <f>SUM(E95:E99)</f>
      </c>
      <c r="F100" s="149">
        <f>SUM(F95:F99)</f>
      </c>
      <c r="G100" s="149">
        <f>SUM(G95:G99)</f>
      </c>
      <c r="H100" s="150">
        <f t="shared" si="3"/>
      </c>
      <c r="I100" s="150">
        <f t="shared" si="1"/>
      </c>
      <c r="J100" s="150">
        <f t="shared" si="6"/>
      </c>
      <c r="K100" s="149">
        <f>SUM(K95:K99)</f>
      </c>
      <c r="L100" s="149">
        <f>SUM(L95:L99)</f>
      </c>
      <c r="M100" s="148"/>
      <c r="N100" s="149">
        <f>SUM(N95:N99)</f>
      </c>
      <c r="O100" s="148"/>
      <c r="P100" s="149">
        <f>SUM(P95:P99)</f>
      </c>
    </row>
    <row r="101">
      <c r="A101" s="140" t="s">
        <v>433</v>
      </c>
      <c r="B101" s="141" t="s">
        <v>380</v>
      </c>
      <c r="C101" s="141" t="s">
        <v>434</v>
      </c>
      <c r="D101" s="141">
        <v>5</v>
      </c>
      <c r="E101" s="141">
        <v>22</v>
      </c>
      <c r="F101" s="141">
        <v>30821.88</v>
      </c>
      <c r="G101" s="141">
        <v>18923.17</v>
      </c>
      <c r="H101" s="142">
        <f t="shared" si="3"/>
      </c>
      <c r="I101" s="142">
        <f t="shared" si="1"/>
      </c>
      <c r="J101" s="142">
        <f t="shared" si="6"/>
      </c>
      <c r="K101" s="141">
        <v>5</v>
      </c>
      <c r="L101" s="141">
        <v>5793.6</v>
      </c>
      <c r="M101" s="141" t="s">
        <v>435</v>
      </c>
      <c r="N101" s="141">
        <v>10</v>
      </c>
      <c r="O101" s="141" t="s">
        <v>376</v>
      </c>
      <c r="P101" s="141">
        <v>10</v>
      </c>
    </row>
    <row r="102">
      <c r="A102" s="140" t="s">
        <v>433</v>
      </c>
      <c r="B102" s="140" t="s">
        <v>411</v>
      </c>
      <c r="C102" s="141" t="s">
        <v>409</v>
      </c>
      <c r="D102" s="141">
        <v>5</v>
      </c>
      <c r="E102" s="141">
        <v>22</v>
      </c>
      <c r="F102" s="141">
        <v>23136</v>
      </c>
      <c r="G102" s="141">
        <v>18734.600000000002</v>
      </c>
      <c r="H102" s="142">
        <f t="shared" si="3"/>
      </c>
      <c r="I102" s="142">
        <f t="shared" si="1"/>
      </c>
      <c r="J102" s="142">
        <f t="shared" si="6"/>
      </c>
      <c r="K102" s="141">
        <v>6</v>
      </c>
      <c r="L102" s="141">
        <v>8342.4</v>
      </c>
      <c r="M102" s="141" t="s">
        <v>403</v>
      </c>
      <c r="N102" s="141">
        <v>4</v>
      </c>
      <c r="O102" s="141"/>
      <c r="P102" s="143"/>
    </row>
    <row r="103">
      <c r="A103" s="140" t="s">
        <v>433</v>
      </c>
      <c r="B103" s="140" t="s">
        <v>375</v>
      </c>
      <c r="C103" s="141" t="s">
        <v>436</v>
      </c>
      <c r="D103" s="141">
        <v>3</v>
      </c>
      <c r="E103" s="141">
        <v>25</v>
      </c>
      <c r="F103" s="141">
        <v>27078.59999999999</v>
      </c>
      <c r="G103" s="141">
        <v>15085.080000000002</v>
      </c>
      <c r="H103" s="142">
        <f t="shared" si="3"/>
      </c>
      <c r="I103" s="142">
        <f t="shared" si="1"/>
      </c>
      <c r="J103" s="142">
        <f t="shared" si="6"/>
      </c>
      <c r="K103" s="141">
        <v>8</v>
      </c>
      <c r="L103" s="141">
        <v>8563.2</v>
      </c>
      <c r="M103" s="141" t="s">
        <v>428</v>
      </c>
      <c r="N103" s="141">
        <v>4</v>
      </c>
      <c r="O103" s="141" t="s">
        <v>418</v>
      </c>
      <c r="P103" s="141">
        <v>8</v>
      </c>
    </row>
    <row r="104">
      <c r="A104" s="140" t="s">
        <v>433</v>
      </c>
      <c r="B104" s="140" t="s">
        <v>377</v>
      </c>
      <c r="C104" s="141" t="s">
        <v>437</v>
      </c>
      <c r="D104" s="141">
        <v>5</v>
      </c>
      <c r="E104" s="141">
        <v>38</v>
      </c>
      <c r="F104" s="141">
        <v>49713.72</v>
      </c>
      <c r="G104" s="141">
        <v>38305.16</v>
      </c>
      <c r="H104" s="142">
        <f t="shared" si="3"/>
      </c>
      <c r="I104" s="142">
        <f t="shared" si="1"/>
      </c>
      <c r="J104" s="142">
        <f t="shared" si="6"/>
      </c>
      <c r="K104" s="141">
        <v>6</v>
      </c>
      <c r="L104" s="141">
        <v>6330</v>
      </c>
      <c r="M104" s="141"/>
      <c r="N104" s="141"/>
      <c r="O104" s="141"/>
      <c r="P104" s="141"/>
    </row>
    <row r="105">
      <c r="A105" s="144" t="s">
        <v>433</v>
      </c>
      <c r="B105" s="145"/>
      <c r="C105" s="145"/>
      <c r="D105" s="149">
        <f>SUM(D101:D104)</f>
      </c>
      <c r="E105" s="149">
        <f>SUM(E101:E104)</f>
      </c>
      <c r="F105" s="149">
        <f>SUM(F101:F104)</f>
      </c>
      <c r="G105" s="149">
        <f>SUM(G101:G104)</f>
      </c>
      <c r="H105" s="150">
        <f t="shared" si="3"/>
      </c>
      <c r="I105" s="150">
        <f t="shared" si="1"/>
      </c>
      <c r="J105" s="150">
        <f t="shared" si="6"/>
      </c>
      <c r="K105" s="149">
        <f>SUM(K101:K104)</f>
      </c>
      <c r="L105" s="149">
        <f>SUM(L101:L104)</f>
      </c>
      <c r="M105" s="148"/>
      <c r="N105" s="149">
        <f>SUM(N101:N104)</f>
      </c>
      <c r="O105" s="148"/>
      <c r="P105" s="149">
        <f>SUM(P101:P104)</f>
      </c>
    </row>
    <row r="106">
      <c r="A106" s="140" t="s">
        <v>438</v>
      </c>
      <c r="B106" s="141" t="s">
        <v>380</v>
      </c>
      <c r="C106" s="141" t="s">
        <v>434</v>
      </c>
      <c r="D106" s="141">
        <v>5</v>
      </c>
      <c r="E106" s="141">
        <v>29</v>
      </c>
      <c r="F106" s="141">
        <v>34366.8</v>
      </c>
      <c r="G106" s="141">
        <v>24088.68</v>
      </c>
      <c r="H106" s="142">
        <f t="shared" si="3"/>
      </c>
      <c r="I106" s="142">
        <f t="shared" si="1"/>
      </c>
      <c r="J106" s="142">
        <f t="shared" si="6"/>
      </c>
      <c r="K106" s="141">
        <v>9</v>
      </c>
      <c r="L106" s="141">
        <v>10164</v>
      </c>
      <c r="M106" s="141" t="s">
        <v>400</v>
      </c>
      <c r="N106" s="141">
        <v>3</v>
      </c>
      <c r="O106" s="141" t="s">
        <v>376</v>
      </c>
      <c r="P106" s="141">
        <v>10</v>
      </c>
    </row>
    <row r="107">
      <c r="A107" s="140" t="s">
        <v>438</v>
      </c>
      <c r="B107" s="140" t="s">
        <v>411</v>
      </c>
      <c r="C107" s="141" t="s">
        <v>409</v>
      </c>
      <c r="D107" s="141">
        <v>5</v>
      </c>
      <c r="E107" s="141">
        <v>62</v>
      </c>
      <c r="F107" s="141">
        <v>59534</v>
      </c>
      <c r="G107" s="141">
        <v>43499.96</v>
      </c>
      <c r="H107" s="142">
        <f t="shared" si="3"/>
      </c>
      <c r="I107" s="142">
        <f t="shared" si="1"/>
      </c>
      <c r="J107" s="142">
        <f t="shared" si="6"/>
      </c>
      <c r="K107" s="141">
        <v>17</v>
      </c>
      <c r="L107" s="141">
        <v>23362.8</v>
      </c>
      <c r="M107" s="141" t="s">
        <v>388</v>
      </c>
      <c r="N107" s="141">
        <v>7</v>
      </c>
      <c r="O107" s="141"/>
      <c r="P107" s="143"/>
    </row>
    <row r="108">
      <c r="A108" s="140" t="s">
        <v>438</v>
      </c>
      <c r="B108" s="140" t="s">
        <v>375</v>
      </c>
      <c r="C108" s="141" t="s">
        <v>391</v>
      </c>
      <c r="D108" s="141">
        <v>4</v>
      </c>
      <c r="E108" s="141">
        <v>38</v>
      </c>
      <c r="F108" s="141">
        <v>40742.2</v>
      </c>
      <c r="G108" s="141">
        <v>36473.82</v>
      </c>
      <c r="H108" s="142">
        <f t="shared" si="3"/>
      </c>
      <c r="I108" s="142">
        <f t="shared" si="1"/>
      </c>
      <c r="J108" s="142">
        <f t="shared" si="6"/>
      </c>
      <c r="K108" s="141">
        <v>8</v>
      </c>
      <c r="L108" s="141">
        <v>6629.8</v>
      </c>
      <c r="M108" s="141" t="s">
        <v>402</v>
      </c>
      <c r="N108" s="141">
        <v>9</v>
      </c>
      <c r="O108" s="141" t="s">
        <v>418</v>
      </c>
      <c r="P108" s="141">
        <v>8</v>
      </c>
    </row>
    <row r="109">
      <c r="A109" s="140" t="s">
        <v>438</v>
      </c>
      <c r="B109" s="140" t="s">
        <v>377</v>
      </c>
      <c r="C109" s="141" t="s">
        <v>439</v>
      </c>
      <c r="D109" s="141">
        <v>5</v>
      </c>
      <c r="E109" s="141">
        <v>35</v>
      </c>
      <c r="F109" s="141">
        <v>37065.600000000006</v>
      </c>
      <c r="G109" s="141">
        <v>36281.69</v>
      </c>
      <c r="H109" s="142">
        <f t="shared" si="3"/>
      </c>
      <c r="I109" s="142">
        <f t="shared" si="1"/>
      </c>
      <c r="J109" s="142">
        <f t="shared" si="6"/>
      </c>
      <c r="K109" s="141">
        <v>3</v>
      </c>
      <c r="L109" s="141">
        <v>3408</v>
      </c>
      <c r="M109" s="141"/>
      <c r="N109" s="141"/>
      <c r="O109" s="141"/>
      <c r="P109" s="141"/>
    </row>
    <row r="110">
      <c r="A110" s="144" t="s">
        <v>438</v>
      </c>
      <c r="B110" s="145"/>
      <c r="C110" s="145"/>
      <c r="D110" s="149">
        <f>SUM(D106:D109)</f>
      </c>
      <c r="E110" s="149">
        <f>SUM(E106:E109)</f>
      </c>
      <c r="F110" s="149">
        <f>SUM(F106:F109)</f>
      </c>
      <c r="G110" s="149">
        <f>SUM(G106:G109)</f>
      </c>
      <c r="H110" s="150">
        <f t="shared" si="3"/>
      </c>
      <c r="I110" s="150">
        <f t="shared" si="1"/>
      </c>
      <c r="J110" s="150">
        <f t="shared" si="6"/>
      </c>
      <c r="K110" s="149">
        <f>SUM(K106:K109)</f>
      </c>
      <c r="L110" s="149">
        <f>SUM(L106:L109)</f>
      </c>
      <c r="M110" s="148"/>
      <c r="N110" s="149">
        <f>SUM(N106:N109)</f>
      </c>
      <c r="O110" s="148"/>
      <c r="P110" s="149">
        <f>SUM(P106:P109)</f>
      </c>
    </row>
    <row r="111">
      <c r="A111" s="140" t="s">
        <v>440</v>
      </c>
      <c r="B111" s="141" t="s">
        <v>380</v>
      </c>
      <c r="C111" s="141" t="s">
        <v>434</v>
      </c>
      <c r="D111" s="141">
        <v>5</v>
      </c>
      <c r="E111" s="141">
        <v>21</v>
      </c>
      <c r="F111" s="141">
        <v>30193</v>
      </c>
      <c r="G111" s="141">
        <v>23079.329999999998</v>
      </c>
      <c r="H111" s="142">
        <f t="shared" si="3"/>
      </c>
      <c r="I111" s="142">
        <f t="shared" si="1"/>
      </c>
      <c r="J111" s="142">
        <f t="shared" si="6"/>
      </c>
      <c r="K111" s="141">
        <v>7</v>
      </c>
      <c r="L111" s="141">
        <v>10645</v>
      </c>
      <c r="M111" s="141" t="s">
        <v>400</v>
      </c>
      <c r="N111" s="141">
        <v>6</v>
      </c>
      <c r="O111" s="141" t="s">
        <v>376</v>
      </c>
      <c r="P111" s="141">
        <v>10</v>
      </c>
    </row>
    <row r="112">
      <c r="A112" s="140" t="s">
        <v>440</v>
      </c>
      <c r="B112" s="140" t="s">
        <v>393</v>
      </c>
      <c r="C112" s="141" t="s">
        <v>409</v>
      </c>
      <c r="D112" s="141">
        <v>5</v>
      </c>
      <c r="E112" s="141">
        <v>32</v>
      </c>
      <c r="F112" s="141">
        <v>32616</v>
      </c>
      <c r="G112" s="141">
        <v>27044.93</v>
      </c>
      <c r="H112" s="142">
        <f t="shared" si="3"/>
      </c>
      <c r="I112" s="142">
        <f t="shared" si="1"/>
      </c>
      <c r="J112" s="142">
        <f t="shared" si="6"/>
      </c>
      <c r="K112" s="141">
        <v>4</v>
      </c>
      <c r="L112" s="141">
        <v>4832.4</v>
      </c>
      <c r="M112" s="141" t="s">
        <v>388</v>
      </c>
      <c r="N112" s="141">
        <v>4</v>
      </c>
      <c r="O112" s="141"/>
      <c r="P112" s="143"/>
    </row>
    <row r="113">
      <c r="A113" s="140" t="s">
        <v>440</v>
      </c>
      <c r="B113" s="140" t="s">
        <v>375</v>
      </c>
      <c r="C113" s="141" t="s">
        <v>391</v>
      </c>
      <c r="D113" s="141">
        <v>4</v>
      </c>
      <c r="E113" s="141">
        <v>23</v>
      </c>
      <c r="F113" s="141">
        <v>27320.399999999994</v>
      </c>
      <c r="G113" s="141">
        <v>23670.86</v>
      </c>
      <c r="H113" s="142">
        <f t="shared" si="3"/>
      </c>
      <c r="I113" s="142">
        <f t="shared" si="1"/>
      </c>
      <c r="J113" s="142">
        <f t="shared" si="6"/>
      </c>
      <c r="K113" s="141">
        <v>4</v>
      </c>
      <c r="L113" s="141">
        <v>3264</v>
      </c>
      <c r="M113" s="141" t="s">
        <v>402</v>
      </c>
      <c r="N113" s="141">
        <v>8</v>
      </c>
      <c r="O113" s="141" t="s">
        <v>418</v>
      </c>
      <c r="P113" s="141">
        <v>8</v>
      </c>
    </row>
    <row r="114">
      <c r="A114" s="140" t="s">
        <v>440</v>
      </c>
      <c r="B114" s="140" t="s">
        <v>377</v>
      </c>
      <c r="C114" s="141" t="s">
        <v>394</v>
      </c>
      <c r="D114" s="141">
        <v>4</v>
      </c>
      <c r="E114" s="141">
        <v>22</v>
      </c>
      <c r="F114" s="141">
        <v>18511.800000000003</v>
      </c>
      <c r="G114" s="141">
        <v>25632.33</v>
      </c>
      <c r="H114" s="142">
        <f t="shared" si="3"/>
      </c>
      <c r="I114" s="142">
        <f t="shared" si="1"/>
      </c>
      <c r="J114" s="142">
        <f t="shared" si="6"/>
      </c>
      <c r="K114" s="141">
        <v>5</v>
      </c>
      <c r="L114" s="141">
        <v>3950.4</v>
      </c>
      <c r="M114" s="141"/>
      <c r="N114" s="141"/>
      <c r="O114" s="141"/>
      <c r="P114" s="141"/>
    </row>
    <row r="115">
      <c r="A115" s="144" t="s">
        <v>440</v>
      </c>
      <c r="B115" s="145"/>
      <c r="C115" s="145"/>
      <c r="D115" s="149">
        <f>SUM(D111:D114)</f>
      </c>
      <c r="E115" s="149">
        <f>SUM(E111:E114)</f>
      </c>
      <c r="F115" s="149">
        <f>SUM(F111:F114)</f>
      </c>
      <c r="G115" s="149">
        <f>SUM(G111:G114)</f>
      </c>
      <c r="H115" s="150">
        <f t="shared" si="3"/>
      </c>
      <c r="I115" s="150">
        <f t="shared" si="1"/>
      </c>
      <c r="J115" s="150">
        <f t="shared" si="6"/>
      </c>
      <c r="K115" s="149">
        <f>SUM(K111:K114)</f>
      </c>
      <c r="L115" s="149">
        <f>SUM(L111:L114)</f>
      </c>
      <c r="M115" s="148"/>
      <c r="N115" s="149">
        <f>SUM(N111:N114)</f>
      </c>
      <c r="O115" s="148"/>
      <c r="P115" s="149">
        <f>SUM(P111:P114)</f>
      </c>
    </row>
    <row r="116">
      <c r="A116" s="140" t="s">
        <v>441</v>
      </c>
      <c r="B116" s="141" t="s">
        <v>380</v>
      </c>
      <c r="C116" s="141" t="s">
        <v>434</v>
      </c>
      <c r="D116" s="141">
        <v>5</v>
      </c>
      <c r="E116" s="141">
        <v>15</v>
      </c>
      <c r="F116" s="141">
        <v>18197.6</v>
      </c>
      <c r="G116" s="141">
        <v>19489.750000000004</v>
      </c>
      <c r="H116" s="142">
        <f t="shared" si="3"/>
      </c>
      <c r="I116" s="142">
        <f t="shared" si="1"/>
      </c>
      <c r="J116" s="142">
        <f t="shared" si="6"/>
      </c>
      <c r="K116" s="141">
        <v>4</v>
      </c>
      <c r="L116" s="141">
        <v>4995.6</v>
      </c>
      <c r="M116" s="141" t="s">
        <v>400</v>
      </c>
      <c r="N116" s="141">
        <v>6</v>
      </c>
      <c r="O116" s="141" t="s">
        <v>376</v>
      </c>
      <c r="P116" s="141">
        <v>10</v>
      </c>
    </row>
    <row r="117">
      <c r="A117" s="140" t="s">
        <v>441</v>
      </c>
      <c r="B117" s="140" t="s">
        <v>393</v>
      </c>
      <c r="C117" s="141" t="s">
        <v>378</v>
      </c>
      <c r="D117" s="141">
        <v>4</v>
      </c>
      <c r="E117" s="141">
        <v>14</v>
      </c>
      <c r="F117" s="141">
        <v>14763.400000000001</v>
      </c>
      <c r="G117" s="141">
        <v>14495.21</v>
      </c>
      <c r="H117" s="142">
        <f t="shared" si="3"/>
      </c>
      <c r="I117" s="142">
        <f t="shared" si="1"/>
      </c>
      <c r="J117" s="142">
        <f t="shared" si="6"/>
      </c>
      <c r="K117" s="141">
        <v>1</v>
      </c>
      <c r="L117" s="141">
        <v>1344</v>
      </c>
      <c r="M117" s="141" t="s">
        <v>388</v>
      </c>
      <c r="N117" s="141">
        <v>4</v>
      </c>
      <c r="O117" s="141"/>
      <c r="P117" s="143"/>
    </row>
    <row customHeight="true" ht="16.071428571428573" r="118">
      <c r="A118" s="140" t="s">
        <v>441</v>
      </c>
      <c r="B118" s="140" t="s">
        <v>442</v>
      </c>
      <c r="C118" s="141" t="s">
        <v>443</v>
      </c>
      <c r="D118" s="141">
        <v>2</v>
      </c>
      <c r="E118" s="141">
        <v>11</v>
      </c>
      <c r="F118" s="141">
        <v>8277.599999999999</v>
      </c>
      <c r="G118" s="141">
        <v>5655.24</v>
      </c>
      <c r="H118" s="142">
        <f t="shared" si="3"/>
      </c>
      <c r="I118" s="142">
        <f t="shared" si="1"/>
      </c>
      <c r="J118" s="142">
        <f t="shared" si="6"/>
      </c>
      <c r="K118" s="141">
        <v>1</v>
      </c>
      <c r="L118" s="141">
        <v>372</v>
      </c>
      <c r="M118" s="141"/>
      <c r="N118" s="141"/>
      <c r="O118" s="141"/>
      <c r="P118" s="143"/>
    </row>
    <row r="119">
      <c r="A119" s="140" t="s">
        <v>441</v>
      </c>
      <c r="B119" s="140" t="s">
        <v>375</v>
      </c>
      <c r="C119" s="141" t="s">
        <v>444</v>
      </c>
      <c r="D119" s="141">
        <v>4</v>
      </c>
      <c r="E119" s="141">
        <v>14</v>
      </c>
      <c r="F119" s="141">
        <v>17571.6</v>
      </c>
      <c r="G119" s="141">
        <v>11310.94</v>
      </c>
      <c r="H119" s="142">
        <f t="shared" si="3"/>
      </c>
      <c r="I119" s="142">
        <f t="shared" si="1"/>
      </c>
      <c r="J119" s="142">
        <f t="shared" si="6"/>
      </c>
      <c r="K119" s="141">
        <v>2</v>
      </c>
      <c r="L119" s="141">
        <v>1740</v>
      </c>
      <c r="M119" s="141" t="s">
        <v>445</v>
      </c>
      <c r="N119" s="141">
        <v>10</v>
      </c>
      <c r="O119" s="141" t="s">
        <v>418</v>
      </c>
      <c r="P119" s="141">
        <v>10</v>
      </c>
    </row>
    <row r="120">
      <c r="A120" s="140" t="s">
        <v>441</v>
      </c>
      <c r="B120" s="140" t="s">
        <v>377</v>
      </c>
      <c r="C120" s="141" t="s">
        <v>446</v>
      </c>
      <c r="D120" s="141">
        <v>5</v>
      </c>
      <c r="E120" s="141">
        <v>12</v>
      </c>
      <c r="F120" s="141">
        <v>11532</v>
      </c>
      <c r="G120" s="141">
        <v>12231.579999999998</v>
      </c>
      <c r="H120" s="142">
        <f t="shared" si="3"/>
      </c>
      <c r="I120" s="142">
        <f t="shared" si="1"/>
      </c>
      <c r="J120" s="142">
        <f t="shared" si="6"/>
      </c>
      <c r="K120" s="141">
        <v>1</v>
      </c>
      <c r="L120" s="141">
        <v>444</v>
      </c>
      <c r="M120" s="141"/>
      <c r="N120" s="141"/>
      <c r="O120" s="141"/>
      <c r="P120" s="141"/>
    </row>
    <row r="121">
      <c r="A121" s="144" t="s">
        <v>441</v>
      </c>
      <c r="B121" s="145"/>
      <c r="C121" s="145"/>
      <c r="D121" s="149">
        <f>SUM(D116:D120)</f>
      </c>
      <c r="E121" s="149">
        <f>SUM(E116:E120)</f>
      </c>
      <c r="F121" s="149">
        <f>SUM(F116:F120)</f>
      </c>
      <c r="G121" s="149">
        <f>SUM(G116:G120)</f>
      </c>
      <c r="H121" s="150">
        <f t="shared" si="3"/>
      </c>
      <c r="I121" s="150">
        <f t="shared" si="1"/>
      </c>
      <c r="J121" s="150">
        <f t="shared" si="6"/>
      </c>
      <c r="K121" s="149">
        <f>SUM(K116:K120)</f>
      </c>
      <c r="L121" s="149">
        <f>SUM(L116:L120)</f>
      </c>
      <c r="M121" s="148"/>
      <c r="N121" s="149">
        <f>SUM(N116:N120)</f>
      </c>
      <c r="O121" s="148"/>
      <c r="P121" s="149">
        <f>SUM(P116:P120)</f>
      </c>
    </row>
    <row r="122">
      <c r="A122" s="140" t="s">
        <v>447</v>
      </c>
      <c r="B122" s="141" t="s">
        <v>411</v>
      </c>
      <c r="C122" s="141" t="s">
        <v>434</v>
      </c>
      <c r="D122" s="141">
        <v>5</v>
      </c>
      <c r="E122" s="141">
        <v>25</v>
      </c>
      <c r="F122" s="141">
        <v>20508</v>
      </c>
      <c r="G122" s="141">
        <v>23437.339999999997</v>
      </c>
      <c r="H122" s="142">
        <f t="shared" si="3"/>
      </c>
      <c r="I122" s="142">
        <f t="shared" si="1"/>
      </c>
      <c r="J122" s="142">
        <f t="shared" si="6"/>
      </c>
      <c r="K122" s="141">
        <v>12</v>
      </c>
      <c r="L122" s="141">
        <v>8714.400000000001</v>
      </c>
      <c r="M122" s="141" t="s">
        <v>400</v>
      </c>
      <c r="N122" s="141">
        <v>6</v>
      </c>
      <c r="O122" s="141" t="s">
        <v>376</v>
      </c>
      <c r="P122" s="141">
        <v>10</v>
      </c>
    </row>
    <row r="123">
      <c r="A123" s="140" t="s">
        <v>447</v>
      </c>
      <c r="B123" s="141" t="s">
        <v>380</v>
      </c>
      <c r="C123" s="141" t="s">
        <v>378</v>
      </c>
      <c r="D123" s="141">
        <v>4</v>
      </c>
      <c r="E123" s="141">
        <v>18</v>
      </c>
      <c r="F123" s="141">
        <v>20894.4</v>
      </c>
      <c r="G123" s="141">
        <v>18723.65</v>
      </c>
      <c r="H123" s="142">
        <f t="shared" si="3"/>
      </c>
      <c r="I123" s="142">
        <f t="shared" si="1"/>
      </c>
      <c r="J123" s="142">
        <f t="shared" si="6"/>
      </c>
      <c r="K123" s="141">
        <v>3</v>
      </c>
      <c r="L123" s="141">
        <v>4128</v>
      </c>
      <c r="M123" s="141" t="s">
        <v>388</v>
      </c>
      <c r="N123" s="141">
        <v>4</v>
      </c>
      <c r="O123" s="141"/>
      <c r="P123" s="143"/>
    </row>
    <row r="124">
      <c r="A124" s="140" t="s">
        <v>447</v>
      </c>
      <c r="B124" s="140" t="s">
        <v>442</v>
      </c>
      <c r="C124" s="141" t="s">
        <v>443</v>
      </c>
      <c r="D124" s="141">
        <v>2</v>
      </c>
      <c r="E124" s="141">
        <v>11</v>
      </c>
      <c r="F124" s="141">
        <v>19618.799999999996</v>
      </c>
      <c r="G124" s="141">
        <v>8565.720000000001</v>
      </c>
      <c r="H124" s="142">
        <f t="shared" si="3"/>
      </c>
      <c r="I124" s="142">
        <f t="shared" si="1"/>
      </c>
      <c r="J124" s="142">
        <f t="shared" si="6"/>
      </c>
      <c r="K124" s="141">
        <v>0</v>
      </c>
      <c r="L124" s="141">
        <v>0</v>
      </c>
      <c r="M124" s="141"/>
      <c r="N124" s="141"/>
      <c r="O124" s="141"/>
      <c r="P124" s="143"/>
    </row>
    <row r="125">
      <c r="A125" s="140" t="s">
        <v>447</v>
      </c>
      <c r="B125" s="140" t="s">
        <v>393</v>
      </c>
      <c r="C125" s="141" t="s">
        <v>444</v>
      </c>
      <c r="D125" s="141">
        <v>4</v>
      </c>
      <c r="E125" s="141">
        <v>24</v>
      </c>
      <c r="F125" s="141">
        <v>28922.40000000001</v>
      </c>
      <c r="G125" s="141">
        <v>17058.72</v>
      </c>
      <c r="H125" s="142">
        <f t="shared" si="3"/>
      </c>
      <c r="I125" s="142">
        <f t="shared" si="1"/>
      </c>
      <c r="J125" s="142">
        <f t="shared" si="6"/>
      </c>
      <c r="K125" s="141">
        <v>4</v>
      </c>
      <c r="L125" s="141">
        <v>2292</v>
      </c>
      <c r="M125" s="141" t="s">
        <v>445</v>
      </c>
      <c r="N125" s="141">
        <v>10</v>
      </c>
      <c r="O125" s="141" t="s">
        <v>418</v>
      </c>
      <c r="P125" s="141">
        <v>10</v>
      </c>
    </row>
    <row r="126">
      <c r="A126" s="140" t="s">
        <v>447</v>
      </c>
      <c r="B126" s="140" t="s">
        <v>375</v>
      </c>
      <c r="C126" s="141" t="s">
        <v>446</v>
      </c>
      <c r="D126" s="141">
        <v>5</v>
      </c>
      <c r="E126" s="141">
        <v>43</v>
      </c>
      <c r="F126" s="141">
        <v>43682.399999999994</v>
      </c>
      <c r="G126" s="141">
        <v>27377.37</v>
      </c>
      <c r="H126" s="142">
        <f t="shared" si="3"/>
      </c>
      <c r="I126" s="142">
        <f t="shared" si="1"/>
      </c>
      <c r="J126" s="142">
        <f t="shared" si="6"/>
      </c>
      <c r="K126" s="141">
        <v>9</v>
      </c>
      <c r="L126" s="141">
        <v>9362.4</v>
      </c>
      <c r="M126" s="141"/>
      <c r="N126" s="141"/>
      <c r="O126" s="141"/>
      <c r="P126" s="141"/>
    </row>
    <row r="127">
      <c r="A127" s="144" t="s">
        <v>447</v>
      </c>
      <c r="B127" s="145"/>
      <c r="C127" s="145"/>
      <c r="D127" s="149">
        <f>SUM(D122:D126)</f>
      </c>
      <c r="E127" s="149">
        <f>SUM(E122:E126)</f>
      </c>
      <c r="F127" s="149">
        <f>SUM(F122:F126)</f>
      </c>
      <c r="G127" s="149">
        <f>SUM(G122:G126)</f>
      </c>
      <c r="H127" s="150">
        <f t="shared" si="3"/>
      </c>
      <c r="I127" s="150">
        <f t="shared" si="1"/>
      </c>
      <c r="J127" s="150">
        <f t="shared" si="6"/>
      </c>
      <c r="K127" s="149">
        <f>SUM(K122:K126)</f>
      </c>
      <c r="L127" s="149">
        <f>SUM(L122:L126)</f>
      </c>
      <c r="M127" s="148"/>
      <c r="N127" s="149">
        <f>SUM(N122:N126)</f>
      </c>
      <c r="O127" s="148"/>
      <c r="P127" s="149">
        <f>SUM(P122:P126)</f>
      </c>
    </row>
    <row r="128">
      <c r="A128" s="140" t="s">
        <v>448</v>
      </c>
      <c r="B128" s="141" t="s">
        <v>411</v>
      </c>
      <c r="C128" s="141" t="s">
        <v>434</v>
      </c>
      <c r="D128" s="141">
        <v>5</v>
      </c>
      <c r="E128" s="141">
        <v>41</v>
      </c>
      <c r="F128" s="141">
        <v>42943.8</v>
      </c>
      <c r="G128" s="141">
        <v>31228.699999999997</v>
      </c>
      <c r="H128" s="142">
        <f t="shared" si="3"/>
      </c>
      <c r="I128" s="142">
        <f t="shared" si="1"/>
      </c>
      <c r="J128" s="142">
        <f t="shared" si="6"/>
      </c>
      <c r="K128" s="141">
        <v>8</v>
      </c>
      <c r="L128" s="141">
        <v>10884</v>
      </c>
      <c r="M128" s="141" t="s">
        <v>449</v>
      </c>
      <c r="N128" s="141">
        <v>2</v>
      </c>
      <c r="O128" s="141" t="s">
        <v>376</v>
      </c>
      <c r="P128" s="141">
        <v>10</v>
      </c>
    </row>
    <row r="129">
      <c r="A129" s="140" t="s">
        <v>448</v>
      </c>
      <c r="B129" s="141" t="s">
        <v>450</v>
      </c>
      <c r="C129" s="141" t="s">
        <v>451</v>
      </c>
      <c r="D129" s="141">
        <v>2</v>
      </c>
      <c r="E129" s="141">
        <v>19</v>
      </c>
      <c r="F129" s="141">
        <v>20548.799999999996</v>
      </c>
      <c r="G129" s="141">
        <v>11853.07</v>
      </c>
      <c r="H129" s="142">
        <f t="shared" si="3"/>
      </c>
      <c r="I129" s="142">
        <f t="shared" si="1"/>
      </c>
      <c r="J129" s="142">
        <f t="shared" si="6"/>
      </c>
      <c r="K129" s="141">
        <v>4</v>
      </c>
      <c r="L129" s="141">
        <v>4404</v>
      </c>
      <c r="M129" s="141" t="s">
        <v>392</v>
      </c>
      <c r="N129" s="141">
        <v>8</v>
      </c>
      <c r="O129" s="141"/>
      <c r="P129" s="143"/>
    </row>
    <row r="130">
      <c r="A130" s="140" t="s">
        <v>448</v>
      </c>
      <c r="B130" s="140" t="s">
        <v>380</v>
      </c>
      <c r="C130" s="141" t="s">
        <v>452</v>
      </c>
      <c r="D130" s="141">
        <v>4</v>
      </c>
      <c r="E130" s="141">
        <v>42</v>
      </c>
      <c r="F130" s="141">
        <v>41107.200000000004</v>
      </c>
      <c r="G130" s="141">
        <v>32167.980000000003</v>
      </c>
      <c r="H130" s="142">
        <f t="shared" si="3"/>
      </c>
      <c r="I130" s="142">
        <f t="shared" si="1"/>
      </c>
      <c r="J130" s="142">
        <f t="shared" si="6"/>
      </c>
      <c r="K130" s="141">
        <v>12</v>
      </c>
      <c r="L130" s="141">
        <v>11013.6</v>
      </c>
      <c r="M130" s="141"/>
      <c r="N130" s="141"/>
      <c r="O130" s="141"/>
      <c r="P130" s="143"/>
    </row>
    <row r="131">
      <c r="A131" s="140" t="s">
        <v>448</v>
      </c>
      <c r="B131" s="140" t="s">
        <v>393</v>
      </c>
      <c r="C131" s="141" t="s">
        <v>444</v>
      </c>
      <c r="D131" s="141">
        <v>4</v>
      </c>
      <c r="E131" s="141">
        <v>25</v>
      </c>
      <c r="F131" s="141">
        <v>31857.59999999999</v>
      </c>
      <c r="G131" s="141">
        <v>25298.64</v>
      </c>
      <c r="H131" s="142">
        <f t="shared" si="3"/>
      </c>
      <c r="I131" s="142">
        <f t="shared" si="1"/>
      </c>
      <c r="J131" s="142">
        <f t="shared" si="6"/>
      </c>
      <c r="K131" s="141">
        <v>4</v>
      </c>
      <c r="L131" s="141">
        <v>3504</v>
      </c>
      <c r="M131" s="141" t="s">
        <v>445</v>
      </c>
      <c r="N131" s="141">
        <v>10</v>
      </c>
      <c r="O131" s="141" t="s">
        <v>418</v>
      </c>
      <c r="P131" s="141">
        <v>10</v>
      </c>
    </row>
    <row r="132">
      <c r="A132" s="140" t="s">
        <v>448</v>
      </c>
      <c r="B132" s="140" t="s">
        <v>377</v>
      </c>
      <c r="C132" s="141" t="s">
        <v>446</v>
      </c>
      <c r="D132" s="141">
        <v>5</v>
      </c>
      <c r="E132" s="141">
        <v>30</v>
      </c>
      <c r="F132" s="141">
        <v>31895</v>
      </c>
      <c r="G132" s="141">
        <v>38439.21</v>
      </c>
      <c r="H132" s="142">
        <f t="shared" si="3"/>
      </c>
      <c r="I132" s="142">
        <f t="shared" si="1"/>
      </c>
      <c r="J132" s="142">
        <f t="shared" si="6"/>
      </c>
      <c r="K132" s="141">
        <v>5</v>
      </c>
      <c r="L132" s="141">
        <v>4129</v>
      </c>
      <c r="M132" s="141"/>
      <c r="N132" s="141"/>
      <c r="O132" s="141"/>
      <c r="P132" s="141"/>
    </row>
    <row r="133">
      <c r="A133" s="144">
        <v>46201</v>
      </c>
      <c r="B133" s="145"/>
      <c r="C133" s="145"/>
      <c r="D133" s="149">
        <f>SUM(D128:D132)</f>
      </c>
      <c r="E133" s="149">
        <f>SUM(E128:E132)</f>
      </c>
      <c r="F133" s="149">
        <f>SUM(F128:F132)</f>
      </c>
      <c r="G133" s="149">
        <f>SUM(G128:G132)</f>
      </c>
      <c r="H133" s="150">
        <f t="shared" si="3"/>
      </c>
      <c r="I133" s="150">
        <f t="shared" si="1"/>
      </c>
      <c r="J133" s="150">
        <f t="shared" si="6"/>
      </c>
      <c r="K133" s="149">
        <f>SUM(K128:K132)</f>
      </c>
      <c r="L133" s="149">
        <f>SUM(L128:L132)</f>
      </c>
      <c r="M133" s="148"/>
      <c r="N133" s="149">
        <f>SUM(N128:N132)</f>
      </c>
      <c r="O133" s="148"/>
      <c r="P133" s="149">
        <f>SUM(P128:P132)</f>
      </c>
    </row>
    <row r="134">
      <c r="A134" s="140" t="s">
        <v>453</v>
      </c>
      <c r="B134" s="141" t="s">
        <v>380</v>
      </c>
      <c r="C134" s="141" t="s">
        <v>434</v>
      </c>
      <c r="D134" s="141">
        <v>5</v>
      </c>
      <c r="E134" s="141">
        <v>36</v>
      </c>
      <c r="F134" s="141">
        <v>36985</v>
      </c>
      <c r="G134" s="141">
        <v>31334.32</v>
      </c>
      <c r="H134" s="142">
        <f t="shared" si="3"/>
      </c>
      <c r="I134" s="142">
        <f t="shared" si="1"/>
      </c>
      <c r="J134" s="142">
        <f t="shared" si="6"/>
      </c>
      <c r="K134" s="141">
        <v>11</v>
      </c>
      <c r="L134" s="141">
        <v>12216</v>
      </c>
      <c r="M134" s="141" t="s">
        <v>449</v>
      </c>
      <c r="N134" s="141">
        <v>2</v>
      </c>
      <c r="O134" s="141" t="s">
        <v>376</v>
      </c>
      <c r="P134" s="141">
        <v>10</v>
      </c>
    </row>
    <row r="135">
      <c r="A135" s="140" t="s">
        <v>453</v>
      </c>
      <c r="B135" s="141" t="s">
        <v>450</v>
      </c>
      <c r="C135" s="141" t="s">
        <v>451</v>
      </c>
      <c r="D135" s="141">
        <v>2</v>
      </c>
      <c r="E135" s="141">
        <v>22</v>
      </c>
      <c r="F135" s="141">
        <v>27528</v>
      </c>
      <c r="G135" s="141">
        <v>16462.47</v>
      </c>
      <c r="H135" s="142">
        <f t="shared" si="3"/>
      </c>
      <c r="I135" s="142">
        <f t="shared" si="1"/>
      </c>
      <c r="J135" s="142">
        <f t="shared" si="6"/>
      </c>
      <c r="K135" s="141">
        <v>6</v>
      </c>
      <c r="L135" s="141">
        <v>6804</v>
      </c>
      <c r="M135" s="141" t="s">
        <v>392</v>
      </c>
      <c r="N135" s="141">
        <v>8</v>
      </c>
      <c r="O135" s="141"/>
      <c r="P135" s="143"/>
    </row>
    <row r="136">
      <c r="A136" s="140" t="s">
        <v>453</v>
      </c>
      <c r="B136" s="140" t="s">
        <v>411</v>
      </c>
      <c r="C136" s="141" t="s">
        <v>452</v>
      </c>
      <c r="D136" s="141">
        <v>4</v>
      </c>
      <c r="E136" s="141">
        <v>26</v>
      </c>
      <c r="F136" s="141">
        <v>37420.8</v>
      </c>
      <c r="G136" s="141">
        <v>29879.659999999996</v>
      </c>
      <c r="H136" s="142">
        <f t="shared" si="3"/>
      </c>
      <c r="I136" s="142">
        <f t="shared" si="1"/>
      </c>
      <c r="J136" s="142">
        <f t="shared" si="6"/>
      </c>
      <c r="K136" s="141">
        <v>6</v>
      </c>
      <c r="L136" s="141">
        <v>8359.2</v>
      </c>
      <c r="M136" s="141"/>
      <c r="N136" s="141"/>
      <c r="O136" s="141"/>
      <c r="P136" s="143"/>
    </row>
    <row r="137">
      <c r="A137" s="140" t="s">
        <v>453</v>
      </c>
      <c r="B137" s="140" t="s">
        <v>393</v>
      </c>
      <c r="C137" s="141" t="s">
        <v>444</v>
      </c>
      <c r="D137" s="141">
        <v>4</v>
      </c>
      <c r="E137" s="141">
        <v>25</v>
      </c>
      <c r="F137" s="141">
        <v>25651.199999999997</v>
      </c>
      <c r="G137" s="141">
        <v>25251.28</v>
      </c>
      <c r="H137" s="142">
        <f t="shared" si="3"/>
      </c>
      <c r="I137" s="142">
        <f t="shared" si="1"/>
      </c>
      <c r="J137" s="142">
        <f t="shared" si="6"/>
      </c>
      <c r="K137" s="141">
        <v>7</v>
      </c>
      <c r="L137" s="141">
        <v>7939.2</v>
      </c>
      <c r="M137" s="141" t="s">
        <v>445</v>
      </c>
      <c r="N137" s="141">
        <v>10</v>
      </c>
      <c r="O137" s="141" t="s">
        <v>418</v>
      </c>
      <c r="P137" s="141">
        <v>10</v>
      </c>
    </row>
    <row r="138">
      <c r="A138" s="140" t="s">
        <v>453</v>
      </c>
      <c r="B138" s="140" t="s">
        <v>377</v>
      </c>
      <c r="C138" s="141" t="s">
        <v>446</v>
      </c>
      <c r="D138" s="151">
        <f>5-0.5</f>
      </c>
      <c r="E138" s="141">
        <v>35</v>
      </c>
      <c r="F138" s="141">
        <v>49298.600000000006</v>
      </c>
      <c r="G138" s="141">
        <v>28084.760000000002</v>
      </c>
      <c r="H138" s="142">
        <f t="shared" si="3"/>
      </c>
      <c r="I138" s="142">
        <f t="shared" si="1"/>
      </c>
      <c r="J138" s="142">
        <f t="shared" si="6"/>
      </c>
      <c r="K138" s="141">
        <v>7</v>
      </c>
      <c r="L138" s="141">
        <v>11532.000000000004</v>
      </c>
      <c r="M138" s="141"/>
      <c r="N138" s="141"/>
      <c r="O138" s="141"/>
      <c r="P138" s="141"/>
    </row>
    <row r="139">
      <c r="A139" s="144">
        <v>46202</v>
      </c>
      <c r="B139" s="145"/>
      <c r="C139" s="145"/>
      <c r="D139" s="149">
        <f>SUM(D134:D138)</f>
      </c>
      <c r="E139" s="149">
        <f>SUM(E134:E138)</f>
      </c>
      <c r="F139" s="149">
        <f>SUM(F134:F138)</f>
      </c>
      <c r="G139" s="149">
        <f>SUM(G134:G138)</f>
      </c>
      <c r="H139" s="150">
        <f t="shared" si="3"/>
      </c>
      <c r="I139" s="150">
        <f t="shared" si="1"/>
      </c>
      <c r="J139" s="150">
        <f t="shared" si="6"/>
      </c>
      <c r="K139" s="149">
        <f>SUM(K134:K138)</f>
      </c>
      <c r="L139" s="149">
        <f>SUM(L134:L138)</f>
      </c>
      <c r="M139" s="148"/>
      <c r="N139" s="149">
        <f>SUM(N134:N138)</f>
      </c>
      <c r="O139" s="148"/>
      <c r="P139" s="149">
        <f>SUM(P134:P138)</f>
      </c>
    </row>
    <row r="140">
      <c r="A140" s="140" t="s">
        <v>454</v>
      </c>
      <c r="B140" s="141" t="s">
        <v>380</v>
      </c>
      <c r="C140" s="141" t="s">
        <v>434</v>
      </c>
      <c r="D140" s="151">
        <f>5-0.25</f>
      </c>
      <c r="E140" s="141">
        <v>51</v>
      </c>
      <c r="F140" s="141">
        <v>51589.2</v>
      </c>
      <c r="G140" s="141">
        <v>49302.490000000005</v>
      </c>
      <c r="H140" s="142">
        <f t="shared" si="3"/>
      </c>
      <c r="I140" s="142">
        <f t="shared" si="1"/>
      </c>
      <c r="J140" s="142">
        <f t="shared" si="6"/>
      </c>
      <c r="K140" s="141">
        <v>11</v>
      </c>
      <c r="L140" s="141">
        <v>12490.8</v>
      </c>
      <c r="M140" s="141"/>
      <c r="N140" s="141"/>
      <c r="O140" s="141" t="s">
        <v>376</v>
      </c>
      <c r="P140" s="141">
        <v>10</v>
      </c>
    </row>
    <row r="141">
      <c r="A141" s="140" t="s">
        <v>454</v>
      </c>
      <c r="B141" s="141" t="s">
        <v>442</v>
      </c>
      <c r="C141" s="141" t="s">
        <v>455</v>
      </c>
      <c r="D141" s="141">
        <v>3</v>
      </c>
      <c r="E141" s="141">
        <v>10</v>
      </c>
      <c r="F141" s="141">
        <v>13374</v>
      </c>
      <c r="G141" s="141">
        <v>18605.04</v>
      </c>
      <c r="H141" s="142">
        <f t="shared" si="3"/>
      </c>
      <c r="I141" s="142">
        <f t="shared" si="1"/>
      </c>
      <c r="J141" s="142">
        <f t="shared" si="6"/>
      </c>
      <c r="K141" s="141">
        <v>2</v>
      </c>
      <c r="L141" s="141">
        <v>3780</v>
      </c>
      <c r="M141" s="141" t="s">
        <v>392</v>
      </c>
      <c r="N141" s="141">
        <v>10</v>
      </c>
      <c r="O141" s="141"/>
      <c r="P141" s="143"/>
    </row>
    <row r="142">
      <c r="A142" s="140" t="s">
        <v>454</v>
      </c>
      <c r="B142" s="140" t="s">
        <v>393</v>
      </c>
      <c r="C142" s="141" t="s">
        <v>456</v>
      </c>
      <c r="D142" s="151">
        <f t="shared" ref="D142:D143" si="7">4-0.25</f>
      </c>
      <c r="E142" s="141">
        <v>16</v>
      </c>
      <c r="F142" s="141">
        <v>17674.800000000003</v>
      </c>
      <c r="G142" s="141">
        <v>13094.98</v>
      </c>
      <c r="H142" s="142">
        <f t="shared" si="3"/>
      </c>
      <c r="I142" s="142">
        <f t="shared" si="1"/>
      </c>
      <c r="J142" s="142">
        <f t="shared" si="6"/>
      </c>
      <c r="K142" s="141">
        <v>6</v>
      </c>
      <c r="L142" s="141">
        <v>5760</v>
      </c>
      <c r="M142" s="141"/>
      <c r="N142" s="141"/>
      <c r="O142" s="141"/>
      <c r="P142" s="143"/>
    </row>
    <row r="143">
      <c r="A143" s="140" t="s">
        <v>454</v>
      </c>
      <c r="B143" s="140" t="s">
        <v>411</v>
      </c>
      <c r="C143" s="141" t="s">
        <v>457</v>
      </c>
      <c r="D143" s="151">
        <f t="shared" si="7"/>
      </c>
      <c r="E143" s="141">
        <v>35</v>
      </c>
      <c r="F143" s="141">
        <v>48432</v>
      </c>
      <c r="G143" s="141">
        <v>28817.25</v>
      </c>
      <c r="H143" s="142">
        <f t="shared" si="3"/>
      </c>
      <c r="I143" s="142">
        <f t="shared" si="1"/>
      </c>
      <c r="J143" s="142">
        <f t="shared" si="6"/>
      </c>
      <c r="K143" s="141">
        <v>8</v>
      </c>
      <c r="L143" s="141">
        <v>12057.6</v>
      </c>
      <c r="M143" s="141" t="s">
        <v>445</v>
      </c>
      <c r="N143" s="141">
        <v>10</v>
      </c>
      <c r="O143" s="141" t="s">
        <v>418</v>
      </c>
      <c r="P143" s="141">
        <v>10</v>
      </c>
    </row>
    <row r="144">
      <c r="A144" s="140" t="s">
        <v>454</v>
      </c>
      <c r="B144" s="140" t="s">
        <v>375</v>
      </c>
      <c r="C144" s="141" t="s">
        <v>429</v>
      </c>
      <c r="D144" s="141">
        <v>4</v>
      </c>
      <c r="E144" s="141">
        <v>31</v>
      </c>
      <c r="F144" s="141">
        <v>22924.79999999999</v>
      </c>
      <c r="G144" s="141">
        <v>24485.75</v>
      </c>
      <c r="H144" s="142">
        <f t="shared" si="3"/>
      </c>
      <c r="I144" s="142">
        <f t="shared" si="1"/>
      </c>
      <c r="J144" s="142">
        <f t="shared" si="6"/>
      </c>
      <c r="K144" s="141">
        <v>1</v>
      </c>
      <c r="L144" s="141">
        <v>1344</v>
      </c>
      <c r="M144" s="141"/>
      <c r="N144" s="141"/>
      <c r="O144" s="141"/>
      <c r="P144" s="141"/>
    </row>
    <row r="145">
      <c r="A145" s="144">
        <v>46203</v>
      </c>
      <c r="B145" s="145"/>
      <c r="C145" s="145"/>
      <c r="D145" s="149">
        <f>SUM(D140:D144)</f>
      </c>
      <c r="E145" s="149">
        <f>SUM(E140:E144)</f>
      </c>
      <c r="F145" s="149">
        <f>SUM(F140:F144)</f>
      </c>
      <c r="G145" s="149">
        <f>SUM(G140:G144)</f>
      </c>
      <c r="H145" s="150">
        <f t="shared" si="3"/>
      </c>
      <c r="I145" s="150">
        <f t="shared" si="1"/>
      </c>
      <c r="J145" s="150">
        <f t="shared" si="6"/>
      </c>
      <c r="K145" s="149">
        <f>SUM(K140:K144)</f>
      </c>
      <c r="L145" s="149">
        <f>SUM(L140:L144)</f>
      </c>
      <c r="M145" s="148"/>
      <c r="N145" s="149">
        <f>SUM(N140:N144)</f>
      </c>
      <c r="O145" s="148"/>
      <c r="P145" s="149">
        <f>SUM(P140:P144)</f>
      </c>
    </row>
    <row r="146">
      <c r="C146" s="152" t="s">
        <v>458</v>
      </c>
      <c r="D146" s="153">
        <f>D135+D129</f>
      </c>
      <c r="E146" s="153">
        <f>E135+E129</f>
      </c>
      <c r="F146" s="153">
        <f>F135+F129</f>
      </c>
      <c r="G146" s="153">
        <f>G135+G129</f>
      </c>
      <c r="H146" s="154">
        <f t="shared" si="3"/>
      </c>
      <c r="I146" s="154">
        <f>G146/D146</f>
      </c>
      <c r="J146" s="153"/>
    </row>
    <row r="147"/>
    <row r="148"/>
    <row r="149"/>
    <row r="150"/>
    <row r="151"/>
    <row r="152">
      <c r="I152" s="155"/>
      <c r="J152" s="155"/>
      <c r="K152" s="155"/>
      <c r="L152" s="155"/>
      <c r="M152" s="155"/>
      <c r="N152" s="155"/>
      <c r="O152" s="155"/>
    </row>
    <row r="153">
      <c r="H153" s="155"/>
      <c r="I153" s="156" t="s">
        <v>459</v>
      </c>
      <c r="J153" s="157"/>
      <c r="K153" s="157"/>
      <c r="L153" s="157"/>
      <c r="M153" s="157"/>
      <c r="N153" s="157"/>
      <c r="O153" s="157"/>
      <c r="P153" s="155"/>
    </row>
    <row r="154">
      <c r="H154" s="155"/>
      <c r="I154" s="158" t="s">
        <v>357</v>
      </c>
      <c r="J154" s="159" t="s">
        <v>359</v>
      </c>
      <c r="K154" s="159" t="s">
        <v>460</v>
      </c>
      <c r="L154" s="159" t="s">
        <v>361</v>
      </c>
      <c r="M154" s="159" t="s">
        <v>362</v>
      </c>
      <c r="N154" s="159" t="s">
        <v>363</v>
      </c>
      <c r="O154" s="160" t="s">
        <v>461</v>
      </c>
      <c r="P154" s="155"/>
    </row>
    <row r="155">
      <c r="H155" s="155"/>
      <c r="I155" s="161" t="s">
        <v>450</v>
      </c>
      <c r="J155" s="162">
        <v>4</v>
      </c>
      <c r="K155" s="162">
        <v>41</v>
      </c>
      <c r="L155" s="162">
        <v>48076.799999999996</v>
      </c>
      <c r="M155" s="162">
        <v>28315.54</v>
      </c>
      <c r="N155" s="163">
        <f t="shared" ref="N155:N163" si="4">L155/M155</f>
      </c>
      <c r="O155" s="164">
        <f t="shared" ref="O155:O163" si="8">M155/J155</f>
      </c>
      <c r="P155" s="155"/>
    </row>
    <row r="156">
      <c r="H156" s="155"/>
      <c r="I156" s="161" t="s">
        <v>442</v>
      </c>
      <c r="J156" s="162">
        <v>7</v>
      </c>
      <c r="K156" s="162">
        <v>32</v>
      </c>
      <c r="L156" s="162">
        <v>41270.399999999994</v>
      </c>
      <c r="M156" s="162">
        <v>32826</v>
      </c>
      <c r="N156" s="163">
        <f t="shared" si="4"/>
      </c>
      <c r="O156" s="164">
        <f t="shared" si="8"/>
      </c>
      <c r="P156" s="155"/>
    </row>
    <row r="157">
      <c r="H157" s="155"/>
      <c r="I157" s="161" t="s">
        <v>375</v>
      </c>
      <c r="J157" s="162">
        <v>32</v>
      </c>
      <c r="K157" s="162">
        <v>244</v>
      </c>
      <c r="L157" s="162">
        <v>261669.79999999996</v>
      </c>
      <c r="M157" s="162">
        <v>186633.80999999997</v>
      </c>
      <c r="N157" s="163">
        <f t="shared" si="4"/>
      </c>
      <c r="O157" s="164">
        <f t="shared" si="8"/>
      </c>
      <c r="P157" s="155"/>
    </row>
    <row r="158">
      <c r="H158" s="155"/>
      <c r="I158" s="161" t="s">
        <v>373</v>
      </c>
      <c r="J158" s="162">
        <v>58</v>
      </c>
      <c r="K158" s="162">
        <v>160</v>
      </c>
      <c r="L158" s="162">
        <v>214467.8</v>
      </c>
      <c r="M158" s="162">
        <v>137085.64</v>
      </c>
      <c r="N158" s="163">
        <f t="shared" si="4"/>
      </c>
      <c r="O158" s="164">
        <f t="shared" si="8"/>
      </c>
      <c r="P158" s="155"/>
    </row>
    <row r="159">
      <c r="H159" s="155"/>
      <c r="I159" s="161" t="s">
        <v>411</v>
      </c>
      <c r="J159" s="162">
        <v>78</v>
      </c>
      <c r="K159" s="162">
        <v>507</v>
      </c>
      <c r="L159" s="162">
        <v>541427.7</v>
      </c>
      <c r="M159" s="162">
        <v>395665.91000000003</v>
      </c>
      <c r="N159" s="163">
        <f t="shared" si="4"/>
      </c>
      <c r="O159" s="164">
        <f t="shared" si="8"/>
      </c>
      <c r="P159" s="155"/>
    </row>
    <row r="160">
      <c r="H160" s="155"/>
      <c r="I160" s="161" t="s">
        <v>393</v>
      </c>
      <c r="J160" s="162">
        <v>93</v>
      </c>
      <c r="K160" s="165">
        <v>391</v>
      </c>
      <c r="L160" s="162">
        <v>429940.9</v>
      </c>
      <c r="M160" s="162">
        <v>328038.18999999994</v>
      </c>
      <c r="N160" s="163">
        <f t="shared" si="4"/>
      </c>
      <c r="O160" s="164">
        <f t="shared" si="8"/>
      </c>
      <c r="P160" s="155"/>
    </row>
    <row customHeight="true" ht="16.071428571428573" r="161">
      <c r="H161" s="155"/>
      <c r="I161" s="161" t="s">
        <v>377</v>
      </c>
      <c r="J161" s="162">
        <v>100</v>
      </c>
      <c r="K161" s="162">
        <v>363</v>
      </c>
      <c r="L161" s="162">
        <v>408764.92000000004</v>
      </c>
      <c r="M161" s="162">
        <v>360864.88000000006</v>
      </c>
      <c r="N161" s="163">
        <f t="shared" si="4"/>
      </c>
      <c r="O161" s="164">
        <f t="shared" si="8"/>
      </c>
      <c r="P161" s="155"/>
    </row>
    <row r="162">
      <c r="H162" s="155"/>
      <c r="I162" s="161" t="s">
        <v>380</v>
      </c>
      <c r="J162" s="162">
        <v>108</v>
      </c>
      <c r="K162" s="162">
        <v>435</v>
      </c>
      <c r="L162" s="162">
        <v>506773.28</v>
      </c>
      <c r="M162" s="162">
        <v>406064.27</v>
      </c>
      <c r="N162" s="163">
        <f t="shared" si="4"/>
      </c>
      <c r="O162" s="164">
        <f t="shared" si="8"/>
      </c>
      <c r="P162" s="155"/>
    </row>
    <row r="163">
      <c r="H163" s="155"/>
      <c r="I163" s="166" t="s">
        <v>462</v>
      </c>
      <c r="J163" s="167">
        <f>SUM(J155:J162)</f>
      </c>
      <c r="K163" s="167">
        <v>391</v>
      </c>
      <c r="L163" s="167">
        <f>SUM(L155:L162)</f>
      </c>
      <c r="M163" s="167">
        <f>SUM(M155:M162)</f>
      </c>
      <c r="N163" s="168">
        <f t="shared" si="4"/>
      </c>
      <c r="O163" s="169">
        <f t="shared" si="8"/>
      </c>
      <c r="P163" s="155"/>
    </row>
    <row r="164">
      <c r="I164" s="155"/>
      <c r="J164" s="155"/>
      <c r="K164" s="155"/>
      <c r="L164" s="155"/>
      <c r="M164" s="155"/>
      <c r="N164" s="155"/>
      <c r="O164" s="155"/>
    </row>
  </sheetData>
  <autoFilter ref="A1:P146"/>
  <mergeCells>
    <mergeCell ref="I153:O153"/>
  </mergeCells>
  <dataValidations count="7">
    <dataValidation allowBlank="true" errorStyle="stop" showErrorMessage="true" sqref="B14:B17 B19:B22 B24:B27 B29:B32 B34:B37 B39:B42" type="list">
      <formula1>"孟郁倩,姜可心,蔡露露,路鑫鑫,连贝贝,刘梦,杜思利,田宇尚"</formula1>
    </dataValidation>
    <dataValidation allowBlank="true" errorStyle="stop" showErrorMessage="true" sqref="B44:B47 B49:B52 B54:B57 B59:B62 B64:B67 B69:B71 B73:B75" type="list">
      <formula1>"孟郁倩,姜可心,蔡露露,路鑫鑫,连贝贝,刘梦,杜思利,田宇尚,李雅琪"</formula1>
    </dataValidation>
    <dataValidation allowBlank="true" errorStyle="stop" showErrorMessage="true" sqref="B77:B81 B83:B87 B89:B93 B95:B99 B101:B104 B106:B109 B111:B114" type="list">
      <formula1>"孟郁倩,姜可心,蔡露露,路鑫鑫,连贝贝,刘梦,杜思利,田宇尚,李雅琪,葛鑫然"</formula1>
    </dataValidation>
    <dataValidation allowBlank="true" errorStyle="stop" showErrorMessage="true" sqref="B116:B120 B122:B126" type="list">
      <formula1>"孟郁倩,姜可心,蔡露露,路鑫鑫,连贝贝,刘梦,杜思利,田宇尚,李雅琪,葛鑫然,段雨诺"</formula1>
    </dataValidation>
    <dataValidation allowBlank="true" errorStyle="stop" showErrorMessage="true" sqref="B128:B132 B134:B138 B140:B144" type="list">
      <formula1>"孟郁倩,姜可心,蔡露露,路鑫鑫,连贝贝,刘梦,杜思利,田宇尚,李雅琪,葛鑫然,段雨诺,曲缘奥"</formula1>
    </dataValidation>
    <dataValidation allowBlank="true" errorStyle="stop" showErrorMessage="true" sqref="B2:B3" type="list">
      <formula1>"孟郁倩,姜可心,蔡露露,路鑫鑫,连贝贝,刘梦"</formula1>
    </dataValidation>
    <dataValidation allowBlank="true" errorStyle="stop" showErrorMessage="true" sqref="B5:B6 B8:B9 B11:B12" type="list">
      <formula1>"孟郁倩,姜可心,蔡露露,路鑫鑫,连贝贝,刘梦,杜思利"</formula1>
    </dataValidation>
  </dataValidation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</cols>
  <sheetData>
    <row r="1">
      <c r="A1" s="170" t="s">
        <v>463</v>
      </c>
      <c r="B1" s="171" t="s">
        <v>464</v>
      </c>
      <c r="C1" s="171" t="s">
        <v>465</v>
      </c>
      <c r="D1" s="171" t="s">
        <v>466</v>
      </c>
      <c r="E1" s="171" t="s">
        <v>467</v>
      </c>
      <c r="F1" s="172" t="s">
        <v>468</v>
      </c>
      <c r="G1" s="172" t="s">
        <v>469</v>
      </c>
      <c r="H1" s="172" t="s">
        <v>470</v>
      </c>
      <c r="I1" s="172" t="s">
        <v>471</v>
      </c>
      <c r="J1" s="172" t="s">
        <v>472</v>
      </c>
      <c r="K1" s="171" t="s">
        <v>473</v>
      </c>
      <c r="L1" s="171" t="s">
        <v>474</v>
      </c>
      <c r="M1" s="171" t="s">
        <v>475</v>
      </c>
      <c r="N1" s="171" t="s">
        <v>476</v>
      </c>
      <c r="O1" s="171" t="s">
        <v>477</v>
      </c>
      <c r="P1" s="171" t="s">
        <v>478</v>
      </c>
      <c r="Q1" s="173"/>
    </row>
    <row r="2">
      <c r="A2" s="174" t="s">
        <v>479</v>
      </c>
      <c r="B2" s="175" t="s">
        <v>480</v>
      </c>
      <c r="C2" s="175" t="s">
        <v>481</v>
      </c>
      <c r="D2" s="175">
        <v>5</v>
      </c>
      <c r="E2" s="175">
        <v>8</v>
      </c>
      <c r="F2" s="175">
        <v>15034.8</v>
      </c>
      <c r="G2" s="175">
        <v>7179.08</v>
      </c>
      <c r="H2" s="176">
        <f t="shared" ref="H2:H10" si="0">F2/G2</f>
      </c>
      <c r="I2" s="176">
        <f t="shared" ref="I2:I10" si="6">F2/E2</f>
      </c>
      <c r="J2" s="176">
        <f t="shared" ref="J2:J10" si="12">G2/E2</f>
      </c>
      <c r="K2" s="175">
        <v>1</v>
      </c>
      <c r="L2" s="175">
        <v>679.2</v>
      </c>
      <c r="M2" s="175" t="s">
        <v>482</v>
      </c>
      <c r="N2" s="175">
        <v>6</v>
      </c>
      <c r="O2" s="175" t="s">
        <v>483</v>
      </c>
      <c r="P2" s="175">
        <v>7</v>
      </c>
      <c r="Q2" s="173"/>
    </row>
    <row r="3">
      <c r="A3" s="174" t="s">
        <v>479</v>
      </c>
      <c r="B3" s="175" t="s">
        <v>484</v>
      </c>
      <c r="C3" s="175" t="s">
        <v>485</v>
      </c>
      <c r="D3" s="175">
        <v>2</v>
      </c>
      <c r="E3" s="175">
        <v>0</v>
      </c>
      <c r="F3" s="175">
        <v>0</v>
      </c>
      <c r="G3" s="175">
        <v>1277.51</v>
      </c>
      <c r="H3" s="176">
        <f t="shared" si="0"/>
      </c>
      <c r="I3" s="176">
        <f t="shared" si="6"/>
      </c>
      <c r="J3" s="176">
        <f t="shared" si="12"/>
      </c>
      <c r="K3" s="175">
        <v>0</v>
      </c>
      <c r="L3" s="175">
        <v>0</v>
      </c>
      <c r="M3" s="175" t="s">
        <v>486</v>
      </c>
      <c r="N3" s="175">
        <v>1</v>
      </c>
      <c r="O3" s="175"/>
      <c r="P3" s="177"/>
      <c r="Q3" s="173"/>
    </row>
    <row r="4">
      <c r="A4" s="178">
        <v>46143</v>
      </c>
      <c r="B4" s="179"/>
      <c r="C4" s="179"/>
      <c r="D4" s="180">
        <f>SUM(D2:D3)</f>
      </c>
      <c r="E4" s="180">
        <f>SUM(E2:E3)</f>
      </c>
      <c r="F4" s="180">
        <f>SUM(F2:F3)</f>
      </c>
      <c r="G4" s="180">
        <f>SUM(G2:G3)</f>
      </c>
      <c r="H4" s="181">
        <f t="shared" si="0"/>
      </c>
      <c r="I4" s="181">
        <f t="shared" si="6"/>
      </c>
      <c r="J4" s="181">
        <f t="shared" si="12"/>
      </c>
      <c r="K4" s="180">
        <f>SUM(K2:K3)</f>
      </c>
      <c r="L4" s="180">
        <f>SUM(L2:L3)</f>
      </c>
      <c r="M4" s="182"/>
      <c r="N4" s="183">
        <f>SUM(N2:N3)</f>
      </c>
      <c r="O4" s="182"/>
      <c r="P4" s="183">
        <f>SUM(P2:P3)</f>
      </c>
      <c r="Q4" s="173"/>
    </row>
    <row r="5">
      <c r="A5" s="174" t="s">
        <v>487</v>
      </c>
      <c r="B5" s="175" t="s">
        <v>480</v>
      </c>
      <c r="C5" s="175" t="s">
        <v>481</v>
      </c>
      <c r="D5" s="175">
        <v>5</v>
      </c>
      <c r="E5" s="175">
        <v>2</v>
      </c>
      <c r="F5" s="175">
        <v>2383.2</v>
      </c>
      <c r="G5" s="175">
        <v>3997.63</v>
      </c>
      <c r="H5" s="176">
        <f t="shared" si="0"/>
      </c>
      <c r="I5" s="176">
        <f t="shared" si="6"/>
      </c>
      <c r="J5" s="176">
        <f t="shared" si="12"/>
      </c>
      <c r="K5" s="175">
        <v>0</v>
      </c>
      <c r="L5" s="175">
        <v>0</v>
      </c>
      <c r="M5" s="175" t="s">
        <v>482</v>
      </c>
      <c r="N5" s="175">
        <v>6</v>
      </c>
      <c r="O5" s="175" t="s">
        <v>483</v>
      </c>
      <c r="P5" s="175">
        <v>7</v>
      </c>
    </row>
    <row r="6">
      <c r="A6" s="174" t="s">
        <v>487</v>
      </c>
      <c r="B6" s="175" t="s">
        <v>484</v>
      </c>
      <c r="C6" s="175" t="s">
        <v>485</v>
      </c>
      <c r="D6" s="175">
        <v>2</v>
      </c>
      <c r="E6" s="175">
        <v>1</v>
      </c>
      <c r="F6" s="175">
        <v>1663.2000000000003</v>
      </c>
      <c r="G6" s="175">
        <v>579.69</v>
      </c>
      <c r="H6" s="176">
        <f t="shared" si="0"/>
      </c>
      <c r="I6" s="176">
        <f t="shared" si="6"/>
      </c>
      <c r="J6" s="176">
        <f t="shared" si="12"/>
      </c>
      <c r="K6" s="175">
        <v>0</v>
      </c>
      <c r="L6" s="175">
        <v>0</v>
      </c>
      <c r="M6" s="175" t="s">
        <v>486</v>
      </c>
      <c r="N6" s="175">
        <v>1</v>
      </c>
      <c r="O6" s="175"/>
      <c r="P6" s="177"/>
    </row>
    <row r="7">
      <c r="A7" s="178">
        <v>46144</v>
      </c>
      <c r="B7" s="179"/>
      <c r="C7" s="179"/>
      <c r="D7" s="180">
        <f>SUM(D5:D6)</f>
      </c>
      <c r="E7" s="180">
        <f>SUM(E5:E6)</f>
      </c>
      <c r="F7" s="180">
        <f>SUM(F5:F6)</f>
      </c>
      <c r="G7" s="180">
        <f>SUM(G5:G6)</f>
      </c>
      <c r="H7" s="181">
        <f t="shared" si="0"/>
      </c>
      <c r="I7" s="181">
        <f t="shared" si="6"/>
      </c>
      <c r="J7" s="181">
        <f t="shared" si="12"/>
      </c>
      <c r="K7" s="180">
        <f>SUM(K5:K6)</f>
      </c>
      <c r="L7" s="180">
        <f>SUM(L5:L6)</f>
      </c>
      <c r="M7" s="182"/>
      <c r="N7" s="183">
        <f>SUM(N5:N6)</f>
      </c>
      <c r="O7" s="182"/>
      <c r="P7" s="183">
        <f>SUM(P5:P6)</f>
      </c>
    </row>
    <row r="8">
      <c r="A8" s="174" t="s">
        <v>488</v>
      </c>
      <c r="B8" s="175" t="s">
        <v>480</v>
      </c>
      <c r="C8" s="175" t="s">
        <v>489</v>
      </c>
      <c r="D8" s="175">
        <v>5</v>
      </c>
      <c r="E8" s="175">
        <v>3</v>
      </c>
      <c r="F8" s="175">
        <v>3873.6</v>
      </c>
      <c r="G8" s="175">
        <v>4639.96</v>
      </c>
      <c r="H8" s="176">
        <f t="shared" si="0"/>
      </c>
      <c r="I8" s="176">
        <f t="shared" si="6"/>
      </c>
      <c r="J8" s="176">
        <f t="shared" si="12"/>
      </c>
      <c r="K8" s="175">
        <v>0</v>
      </c>
      <c r="L8" s="175">
        <v>0</v>
      </c>
      <c r="M8" s="175" t="s">
        <v>482</v>
      </c>
      <c r="N8" s="175">
        <v>5</v>
      </c>
      <c r="O8" s="175" t="s">
        <v>483</v>
      </c>
      <c r="P8" s="177">
        <v>5</v>
      </c>
    </row>
    <row r="9">
      <c r="A9" s="184">
        <v>46145</v>
      </c>
      <c r="B9" s="185"/>
      <c r="C9" s="185"/>
      <c r="D9" s="186">
        <f>SUM(D8)</f>
      </c>
      <c r="E9" s="186">
        <f>SUM(E8)</f>
      </c>
      <c r="F9" s="186">
        <f>SUM(F8)</f>
      </c>
      <c r="G9" s="186">
        <f>SUM(G8)</f>
      </c>
      <c r="H9" s="187">
        <f t="shared" si="0"/>
      </c>
      <c r="I9" s="187">
        <f t="shared" si="6"/>
      </c>
      <c r="J9" s="187">
        <f t="shared" si="12"/>
      </c>
      <c r="K9" s="186">
        <f>SUM(K8)</f>
      </c>
      <c r="L9" s="186">
        <f>SUM(L8)</f>
      </c>
      <c r="M9" s="188"/>
      <c r="N9" s="189">
        <v>5</v>
      </c>
      <c r="O9" s="188"/>
      <c r="P9" s="189">
        <v>5</v>
      </c>
    </row>
    <row r="10">
      <c r="A10" s="174" t="s">
        <v>490</v>
      </c>
      <c r="B10" s="175" t="s">
        <v>480</v>
      </c>
      <c r="C10" s="175" t="s">
        <v>481</v>
      </c>
      <c r="D10" s="175">
        <v>5</v>
      </c>
      <c r="E10" s="175">
        <v>5</v>
      </c>
      <c r="F10" s="175">
        <v>5383.2</v>
      </c>
      <c r="G10" s="175">
        <v>2430.7599999999998</v>
      </c>
      <c r="H10" s="176">
        <f t="shared" si="0"/>
      </c>
      <c r="I10" s="176">
        <f t="shared" si="6"/>
      </c>
      <c r="J10" s="176">
        <f t="shared" si="12"/>
      </c>
      <c r="K10" s="175">
        <v>0</v>
      </c>
      <c r="L10" s="175">
        <v>0</v>
      </c>
      <c r="M10" s="175" t="s">
        <v>482</v>
      </c>
      <c r="N10" s="175">
        <v>4</v>
      </c>
      <c r="O10" s="175" t="s">
        <v>483</v>
      </c>
      <c r="P10" s="177">
        <v>5</v>
      </c>
    </row>
    <row r="11">
      <c r="A11" s="174" t="s">
        <v>490</v>
      </c>
      <c r="B11" s="175"/>
      <c r="C11" s="175"/>
      <c r="D11" s="175"/>
      <c r="E11" s="175"/>
      <c r="F11" s="175"/>
      <c r="G11" s="175"/>
      <c r="H11" s="176"/>
      <c r="I11" s="176"/>
      <c r="J11" s="176"/>
      <c r="K11" s="175"/>
      <c r="L11" s="175"/>
      <c r="M11" s="175" t="s">
        <v>486</v>
      </c>
      <c r="N11" s="175">
        <v>1</v>
      </c>
      <c r="O11" s="175"/>
      <c r="P11" s="177"/>
    </row>
    <row r="12">
      <c r="A12" s="184">
        <v>46146</v>
      </c>
      <c r="B12" s="185"/>
      <c r="C12" s="185"/>
      <c r="D12" s="186">
        <f>SUM(D10:D11)</f>
      </c>
      <c r="E12" s="186">
        <f>SUM(E10:E11)</f>
      </c>
      <c r="F12" s="186">
        <f>SUM(F10:F11)</f>
      </c>
      <c r="G12" s="186">
        <f>SUM(G10:G11)</f>
      </c>
      <c r="H12" s="187">
        <f t="shared" ref="H12:H22" si="1">F12/G12</f>
      </c>
      <c r="I12" s="187">
        <f t="shared" ref="I12:I22" si="7">F12/E12</f>
      </c>
      <c r="J12" s="187">
        <f t="shared" ref="J12:J22" si="13">G12/E12</f>
      </c>
      <c r="K12" s="186">
        <f>SUM(K10:K11)</f>
      </c>
      <c r="L12" s="186">
        <f>SUM(L10:L11)</f>
      </c>
      <c r="M12" s="188"/>
      <c r="N12" s="189">
        <v>5</v>
      </c>
      <c r="O12" s="188"/>
      <c r="P12" s="189">
        <v>5</v>
      </c>
    </row>
    <row r="13">
      <c r="A13" s="174" t="s">
        <v>491</v>
      </c>
      <c r="B13" s="175" t="s">
        <v>480</v>
      </c>
      <c r="C13" s="175" t="s">
        <v>481</v>
      </c>
      <c r="D13" s="175">
        <v>5</v>
      </c>
      <c r="E13" s="175">
        <v>0</v>
      </c>
      <c r="F13" s="175">
        <v>0</v>
      </c>
      <c r="G13" s="175">
        <v>2242.06</v>
      </c>
      <c r="H13" s="176">
        <f t="shared" si="1"/>
      </c>
      <c r="I13" s="176">
        <f t="shared" si="7"/>
      </c>
      <c r="J13" s="176">
        <f t="shared" si="13"/>
      </c>
      <c r="K13" s="175">
        <v>0</v>
      </c>
      <c r="L13" s="175">
        <v>0</v>
      </c>
      <c r="M13" s="175" t="s">
        <v>482</v>
      </c>
      <c r="N13" s="175">
        <v>6</v>
      </c>
      <c r="O13" s="175" t="s">
        <v>483</v>
      </c>
      <c r="P13" s="175">
        <v>7</v>
      </c>
    </row>
    <row r="14">
      <c r="A14" s="174" t="s">
        <v>491</v>
      </c>
      <c r="B14" s="175" t="s">
        <v>484</v>
      </c>
      <c r="C14" s="175" t="s">
        <v>485</v>
      </c>
      <c r="D14" s="175">
        <v>2</v>
      </c>
      <c r="E14" s="175">
        <v>0</v>
      </c>
      <c r="F14" s="175">
        <v>0</v>
      </c>
      <c r="G14" s="175">
        <v>564.4200000000001</v>
      </c>
      <c r="H14" s="176">
        <f t="shared" si="1"/>
      </c>
      <c r="I14" s="176">
        <f t="shared" si="7"/>
      </c>
      <c r="J14" s="176">
        <f t="shared" si="13"/>
      </c>
      <c r="K14" s="175">
        <v>0</v>
      </c>
      <c r="L14" s="175">
        <v>0</v>
      </c>
      <c r="M14" s="175" t="s">
        <v>486</v>
      </c>
      <c r="N14" s="175">
        <v>1</v>
      </c>
      <c r="O14" s="175"/>
      <c r="P14" s="177"/>
    </row>
    <row r="15">
      <c r="A15" s="178">
        <v>46147</v>
      </c>
      <c r="B15" s="179"/>
      <c r="C15" s="179"/>
      <c r="D15" s="180">
        <f>SUM(D13:D14)</f>
      </c>
      <c r="E15" s="180">
        <f>SUM(E13:E14)</f>
      </c>
      <c r="F15" s="180">
        <f>SUM(F13:F14)</f>
      </c>
      <c r="G15" s="180">
        <f>SUM(G13:G14)</f>
      </c>
      <c r="H15" s="181">
        <f t="shared" si="1"/>
      </c>
      <c r="I15" s="181">
        <f t="shared" si="7"/>
      </c>
      <c r="J15" s="181">
        <f t="shared" si="13"/>
      </c>
      <c r="K15" s="180">
        <f>SUM(K13:K14)</f>
      </c>
      <c r="L15" s="180">
        <f>SUM(L13:L14)</f>
      </c>
      <c r="M15" s="182"/>
      <c r="N15" s="183">
        <f>SUM(N13:N14)</f>
      </c>
      <c r="O15" s="182"/>
      <c r="P15" s="183">
        <f>SUM(P13:P14)</f>
      </c>
    </row>
    <row r="16">
      <c r="A16" s="174" t="s">
        <v>492</v>
      </c>
      <c r="B16" s="175" t="s">
        <v>480</v>
      </c>
      <c r="C16" s="175" t="s">
        <v>481</v>
      </c>
      <c r="D16" s="175">
        <v>5</v>
      </c>
      <c r="E16" s="175">
        <v>2</v>
      </c>
      <c r="F16" s="175">
        <v>1788</v>
      </c>
      <c r="G16" s="175">
        <v>4144.860000000001</v>
      </c>
      <c r="H16" s="176">
        <f t="shared" si="1"/>
      </c>
      <c r="I16" s="176">
        <f t="shared" si="7"/>
      </c>
      <c r="J16" s="176">
        <f t="shared" si="13"/>
      </c>
      <c r="K16" s="175">
        <v>0</v>
      </c>
      <c r="L16" s="175">
        <v>0</v>
      </c>
      <c r="M16" s="175" t="s">
        <v>493</v>
      </c>
      <c r="N16" s="175">
        <v>2</v>
      </c>
      <c r="O16" s="175" t="s">
        <v>483</v>
      </c>
      <c r="P16" s="175">
        <v>7</v>
      </c>
    </row>
    <row r="17">
      <c r="A17" s="174" t="s">
        <v>492</v>
      </c>
      <c r="B17" s="175" t="s">
        <v>484</v>
      </c>
      <c r="C17" s="175" t="s">
        <v>485</v>
      </c>
      <c r="D17" s="175">
        <v>2</v>
      </c>
      <c r="E17" s="175">
        <v>0</v>
      </c>
      <c r="F17" s="175">
        <v>0</v>
      </c>
      <c r="G17" s="175">
        <v>659.61</v>
      </c>
      <c r="H17" s="176">
        <f t="shared" si="1"/>
      </c>
      <c r="I17" s="176">
        <f t="shared" si="7"/>
      </c>
      <c r="J17" s="176">
        <f t="shared" si="13"/>
      </c>
      <c r="K17" s="175">
        <v>0</v>
      </c>
      <c r="L17" s="175">
        <v>0</v>
      </c>
      <c r="M17" s="175" t="s">
        <v>482</v>
      </c>
      <c r="N17" s="175">
        <v>5</v>
      </c>
      <c r="O17" s="175"/>
      <c r="P17" s="177"/>
    </row>
    <row r="18">
      <c r="A18" s="178">
        <v>46148</v>
      </c>
      <c r="B18" s="179"/>
      <c r="C18" s="179"/>
      <c r="D18" s="180">
        <f>SUM(D16:D17)</f>
      </c>
      <c r="E18" s="180">
        <f>SUM(E16:E17)</f>
      </c>
      <c r="F18" s="180">
        <f>SUM(F16:F17)</f>
      </c>
      <c r="G18" s="180">
        <f>SUM(G16:G17)</f>
      </c>
      <c r="H18" s="181">
        <f t="shared" si="1"/>
      </c>
      <c r="I18" s="181">
        <f t="shared" si="7"/>
      </c>
      <c r="J18" s="181">
        <f t="shared" si="13"/>
      </c>
      <c r="K18" s="180">
        <f>SUM(K16:K17)</f>
      </c>
      <c r="L18" s="180">
        <f>SUM(L16:L17)</f>
      </c>
      <c r="M18" s="182"/>
      <c r="N18" s="183">
        <f>SUM(N16:N17)</f>
      </c>
      <c r="O18" s="182"/>
      <c r="P18" s="183">
        <f>SUM(P16:P17)</f>
      </c>
    </row>
    <row r="19">
      <c r="A19" s="174" t="s">
        <v>494</v>
      </c>
      <c r="B19" s="175" t="s">
        <v>495</v>
      </c>
      <c r="C19" s="175" t="s">
        <v>481</v>
      </c>
      <c r="D19" s="175">
        <v>5</v>
      </c>
      <c r="E19" s="175">
        <v>2</v>
      </c>
      <c r="F19" s="175">
        <v>2354.4</v>
      </c>
      <c r="G19" s="175">
        <v>3697.7</v>
      </c>
      <c r="H19" s="176">
        <f t="shared" si="1"/>
      </c>
      <c r="I19" s="176">
        <f t="shared" si="7"/>
      </c>
      <c r="J19" s="176">
        <f t="shared" si="13"/>
      </c>
      <c r="K19" s="175">
        <v>0</v>
      </c>
      <c r="L19" s="175">
        <v>0</v>
      </c>
      <c r="M19" s="175" t="s">
        <v>493</v>
      </c>
      <c r="N19" s="175">
        <v>2</v>
      </c>
      <c r="O19" s="175" t="s">
        <v>483</v>
      </c>
      <c r="P19" s="175">
        <v>7</v>
      </c>
    </row>
    <row r="20">
      <c r="A20" s="174" t="s">
        <v>494</v>
      </c>
      <c r="B20" s="175" t="s">
        <v>484</v>
      </c>
      <c r="C20" s="175" t="s">
        <v>485</v>
      </c>
      <c r="D20" s="190">
        <v>1.75</v>
      </c>
      <c r="E20" s="175">
        <v>0</v>
      </c>
      <c r="F20" s="175">
        <v>0</v>
      </c>
      <c r="G20" s="175">
        <v>1167.73</v>
      </c>
      <c r="H20" s="176">
        <f t="shared" si="1"/>
      </c>
      <c r="I20" s="176">
        <f t="shared" si="7"/>
      </c>
      <c r="J20" s="176">
        <f t="shared" si="13"/>
      </c>
      <c r="K20" s="175">
        <v>0</v>
      </c>
      <c r="L20" s="175">
        <v>0</v>
      </c>
      <c r="M20" s="175" t="s">
        <v>482</v>
      </c>
      <c r="N20" s="175">
        <v>5</v>
      </c>
      <c r="O20" s="175"/>
      <c r="P20" s="177"/>
    </row>
    <row r="21">
      <c r="A21" s="178">
        <v>46149</v>
      </c>
      <c r="B21" s="179"/>
      <c r="C21" s="179"/>
      <c r="D21" s="180">
        <f>SUM(D19:D20)</f>
      </c>
      <c r="E21" s="180">
        <f>SUM(E19:E20)</f>
      </c>
      <c r="F21" s="180">
        <f>SUM(F19:F20)</f>
      </c>
      <c r="G21" s="180">
        <f>SUM(G19:G20)</f>
      </c>
      <c r="H21" s="181">
        <f t="shared" si="1"/>
      </c>
      <c r="I21" s="181">
        <f t="shared" si="7"/>
      </c>
      <c r="J21" s="181">
        <f t="shared" si="13"/>
      </c>
      <c r="K21" s="180">
        <f>SUM(K19:K20)</f>
      </c>
      <c r="L21" s="180">
        <f>SUM(L19:L20)</f>
      </c>
      <c r="M21" s="182"/>
      <c r="N21" s="183">
        <f>SUM(N19:N20)</f>
      </c>
      <c r="O21" s="182"/>
      <c r="P21" s="183">
        <f>SUM(P19:P20)</f>
      </c>
    </row>
    <row r="22">
      <c r="A22" s="174" t="s">
        <v>496</v>
      </c>
      <c r="B22" s="175" t="s">
        <v>495</v>
      </c>
      <c r="C22" s="175" t="s">
        <v>481</v>
      </c>
      <c r="D22" s="175">
        <v>5</v>
      </c>
      <c r="E22" s="175">
        <v>2</v>
      </c>
      <c r="F22" s="175">
        <v>1159.2</v>
      </c>
      <c r="G22" s="175">
        <v>1819.22</v>
      </c>
      <c r="H22" s="176">
        <f t="shared" si="1"/>
      </c>
      <c r="I22" s="176">
        <f t="shared" si="7"/>
      </c>
      <c r="J22" s="176">
        <f t="shared" si="13"/>
      </c>
      <c r="K22" s="175">
        <v>0</v>
      </c>
      <c r="L22" s="175">
        <v>0</v>
      </c>
      <c r="M22" s="175" t="s">
        <v>493</v>
      </c>
      <c r="N22" s="175">
        <v>2</v>
      </c>
      <c r="O22" s="175" t="s">
        <v>483</v>
      </c>
      <c r="P22" s="177">
        <v>5</v>
      </c>
    </row>
    <row r="23">
      <c r="A23" s="174" t="s">
        <v>496</v>
      </c>
      <c r="B23" s="175"/>
      <c r="C23" s="175"/>
      <c r="D23" s="175"/>
      <c r="E23" s="175"/>
      <c r="F23" s="175"/>
      <c r="G23" s="175"/>
      <c r="H23" s="176"/>
      <c r="I23" s="176"/>
      <c r="J23" s="176"/>
      <c r="K23" s="175"/>
      <c r="L23" s="175"/>
      <c r="M23" s="175" t="s">
        <v>482</v>
      </c>
      <c r="N23" s="175">
        <v>3</v>
      </c>
      <c r="O23" s="175"/>
      <c r="P23" s="177"/>
    </row>
    <row r="24">
      <c r="A24" s="184">
        <v>46150</v>
      </c>
      <c r="B24" s="185"/>
      <c r="C24" s="185"/>
      <c r="D24" s="186">
        <f>SUM(D22:D23)</f>
      </c>
      <c r="E24" s="186">
        <f>SUM(E22:E23)</f>
      </c>
      <c r="F24" s="186">
        <f>SUM(F22:F23)</f>
      </c>
      <c r="G24" s="186">
        <f>SUM(G22:G23)</f>
      </c>
      <c r="H24" s="187">
        <f t="shared" ref="H24:H25" si="2">F24/G24</f>
      </c>
      <c r="I24" s="187">
        <f t="shared" ref="I24:I25" si="8">F24/E24</f>
      </c>
      <c r="J24" s="187">
        <f t="shared" ref="J24:J25" si="14">G24/E24</f>
      </c>
      <c r="K24" s="186">
        <f>SUM(K22:K23)</f>
      </c>
      <c r="L24" s="186">
        <f>SUM(L22:L23)</f>
      </c>
      <c r="M24" s="188"/>
      <c r="N24" s="189">
        <v>5</v>
      </c>
      <c r="O24" s="188"/>
      <c r="P24" s="189">
        <v>5</v>
      </c>
    </row>
    <row r="25">
      <c r="A25" s="174" t="s">
        <v>497</v>
      </c>
      <c r="B25" s="175" t="s">
        <v>495</v>
      </c>
      <c r="C25" s="175" t="s">
        <v>481</v>
      </c>
      <c r="D25" s="175">
        <v>5</v>
      </c>
      <c r="E25" s="175">
        <v>1</v>
      </c>
      <c r="F25" s="175">
        <v>1663.2</v>
      </c>
      <c r="G25" s="175">
        <v>2657.37</v>
      </c>
      <c r="H25" s="176">
        <f t="shared" si="2"/>
      </c>
      <c r="I25" s="176">
        <f t="shared" si="8"/>
      </c>
      <c r="J25" s="176">
        <f t="shared" si="14"/>
      </c>
      <c r="K25" s="175">
        <v>1</v>
      </c>
      <c r="L25" s="175">
        <v>1663.2</v>
      </c>
      <c r="M25" s="175" t="s">
        <v>498</v>
      </c>
      <c r="N25" s="175">
        <v>1</v>
      </c>
      <c r="O25" s="175" t="s">
        <v>483</v>
      </c>
      <c r="P25" s="177">
        <v>5</v>
      </c>
    </row>
    <row r="26">
      <c r="A26" s="174" t="s">
        <v>497</v>
      </c>
      <c r="B26" s="175"/>
      <c r="C26" s="175"/>
      <c r="D26" s="175"/>
      <c r="E26" s="175"/>
      <c r="F26" s="175"/>
      <c r="G26" s="175"/>
      <c r="H26" s="176"/>
      <c r="I26" s="176"/>
      <c r="J26" s="176"/>
      <c r="K26" s="175"/>
      <c r="L26" s="175"/>
      <c r="M26" s="175" t="s">
        <v>499</v>
      </c>
      <c r="N26" s="175">
        <v>4</v>
      </c>
      <c r="O26" s="175"/>
      <c r="P26" s="177"/>
    </row>
    <row r="27">
      <c r="A27" s="184">
        <v>46151</v>
      </c>
      <c r="B27" s="185"/>
      <c r="C27" s="185"/>
      <c r="D27" s="186">
        <f>SUM(D25:D26)</f>
      </c>
      <c r="E27" s="186">
        <f>SUM(E25:E26)</f>
      </c>
      <c r="F27" s="186">
        <f>SUM(F25:F26)</f>
      </c>
      <c r="G27" s="186">
        <f>SUM(G25:G26)</f>
      </c>
      <c r="H27" s="187">
        <f t="shared" ref="H27:H28" si="3">F27/G27</f>
      </c>
      <c r="I27" s="187">
        <f t="shared" ref="I27:I28" si="9">F27/E27</f>
      </c>
      <c r="J27" s="187">
        <f t="shared" ref="J27:J28" si="15">G27/E27</f>
      </c>
      <c r="K27" s="186">
        <f>SUM(K25:K26)</f>
      </c>
      <c r="L27" s="186">
        <f>SUM(L25:L26)</f>
      </c>
      <c r="M27" s="188"/>
      <c r="N27" s="189">
        <v>5</v>
      </c>
      <c r="O27" s="188"/>
      <c r="P27" s="189">
        <v>5</v>
      </c>
    </row>
    <row r="28">
      <c r="A28" s="174" t="s">
        <v>500</v>
      </c>
      <c r="B28" s="175" t="s">
        <v>495</v>
      </c>
      <c r="C28" s="175" t="s">
        <v>481</v>
      </c>
      <c r="D28" s="175">
        <v>5</v>
      </c>
      <c r="E28" s="175">
        <v>2</v>
      </c>
      <c r="F28" s="175">
        <v>4358.2</v>
      </c>
      <c r="G28" s="175">
        <v>2636.91</v>
      </c>
      <c r="H28" s="176">
        <f t="shared" si="3"/>
      </c>
      <c r="I28" s="176">
        <f t="shared" si="9"/>
      </c>
      <c r="J28" s="176">
        <f t="shared" si="15"/>
      </c>
      <c r="K28" s="175">
        <v>1</v>
      </c>
      <c r="L28" s="175">
        <v>2407.2</v>
      </c>
      <c r="M28" s="175" t="s">
        <v>501</v>
      </c>
      <c r="N28" s="175">
        <v>1</v>
      </c>
      <c r="O28" s="175" t="s">
        <v>483</v>
      </c>
      <c r="P28" s="177">
        <v>5</v>
      </c>
    </row>
    <row r="29">
      <c r="A29" s="174" t="s">
        <v>500</v>
      </c>
      <c r="B29" s="175"/>
      <c r="C29" s="175"/>
      <c r="D29" s="175"/>
      <c r="E29" s="175"/>
      <c r="F29" s="175"/>
      <c r="G29" s="175"/>
      <c r="H29" s="176"/>
      <c r="I29" s="176"/>
      <c r="J29" s="176"/>
      <c r="K29" s="175"/>
      <c r="L29" s="175"/>
      <c r="M29" s="175" t="s">
        <v>502</v>
      </c>
      <c r="N29" s="175">
        <v>4</v>
      </c>
      <c r="O29" s="175"/>
      <c r="P29" s="177"/>
    </row>
    <row r="30">
      <c r="A30" s="184">
        <v>46152</v>
      </c>
      <c r="B30" s="185"/>
      <c r="C30" s="185"/>
      <c r="D30" s="186">
        <f>SUM(D28:D29)</f>
      </c>
      <c r="E30" s="186">
        <f>SUM(E28:E29)</f>
      </c>
      <c r="F30" s="186">
        <f>SUM(F28:F29)</f>
      </c>
      <c r="G30" s="186">
        <f>SUM(G28:G29)</f>
      </c>
      <c r="H30" s="187">
        <f t="shared" ref="H30:H40" si="4">F30/G30</f>
      </c>
      <c r="I30" s="187">
        <f t="shared" ref="I30:I40" si="10">F30/E30</f>
      </c>
      <c r="J30" s="187">
        <f t="shared" ref="J30:J40" si="16">G30/E30</f>
      </c>
      <c r="K30" s="186">
        <f>SUM(K28:K29)</f>
      </c>
      <c r="L30" s="186">
        <f>SUM(L28:L29)</f>
      </c>
      <c r="M30" s="188"/>
      <c r="N30" s="189">
        <v>5</v>
      </c>
      <c r="O30" s="188"/>
      <c r="P30" s="189">
        <v>5</v>
      </c>
    </row>
    <row r="31">
      <c r="A31" s="174" t="s">
        <v>503</v>
      </c>
      <c r="B31" s="175" t="s">
        <v>495</v>
      </c>
      <c r="C31" s="175" t="s">
        <v>481</v>
      </c>
      <c r="D31" s="175">
        <v>5</v>
      </c>
      <c r="E31" s="175">
        <v>2</v>
      </c>
      <c r="F31" s="175">
        <v>604.8</v>
      </c>
      <c r="G31" s="175">
        <v>1570.22</v>
      </c>
      <c r="H31" s="176">
        <f t="shared" si="4"/>
      </c>
      <c r="I31" s="176">
        <f t="shared" si="10"/>
      </c>
      <c r="J31" s="176">
        <f t="shared" si="16"/>
      </c>
      <c r="K31" s="175">
        <v>0</v>
      </c>
      <c r="L31" s="175">
        <v>0</v>
      </c>
      <c r="M31" s="175" t="s">
        <v>501</v>
      </c>
      <c r="N31" s="175">
        <v>10</v>
      </c>
      <c r="O31" s="175" t="s">
        <v>483</v>
      </c>
      <c r="P31" s="175">
        <v>10</v>
      </c>
    </row>
    <row r="32">
      <c r="A32" s="174" t="s">
        <v>503</v>
      </c>
      <c r="B32" s="175" t="s">
        <v>480</v>
      </c>
      <c r="C32" s="175" t="s">
        <v>489</v>
      </c>
      <c r="D32" s="175">
        <v>5</v>
      </c>
      <c r="E32" s="175">
        <v>1</v>
      </c>
      <c r="F32" s="175">
        <v>1411.2</v>
      </c>
      <c r="G32" s="175">
        <v>2384.51</v>
      </c>
      <c r="H32" s="176">
        <f t="shared" si="4"/>
      </c>
      <c r="I32" s="176">
        <f t="shared" si="10"/>
      </c>
      <c r="J32" s="176">
        <f t="shared" si="16"/>
      </c>
      <c r="K32" s="175">
        <v>0</v>
      </c>
      <c r="L32" s="175">
        <v>0</v>
      </c>
      <c r="M32" s="175"/>
      <c r="N32" s="175"/>
      <c r="O32" s="175"/>
      <c r="P32" s="177"/>
    </row>
    <row r="33">
      <c r="A33" s="184">
        <v>46153</v>
      </c>
      <c r="B33" s="185"/>
      <c r="C33" s="185"/>
      <c r="D33" s="186">
        <f>SUM(D31:D32)</f>
      </c>
      <c r="E33" s="186">
        <f>SUM(E31:E32)</f>
      </c>
      <c r="F33" s="186">
        <f>SUM(F31:F32)</f>
      </c>
      <c r="G33" s="186">
        <f>SUM(G31:G32)</f>
      </c>
      <c r="H33" s="187">
        <f t="shared" si="4"/>
      </c>
      <c r="I33" s="187">
        <f t="shared" si="10"/>
      </c>
      <c r="J33" s="187">
        <f t="shared" si="16"/>
      </c>
      <c r="K33" s="186">
        <f>SUM(K31:K32)</f>
      </c>
      <c r="L33" s="186">
        <f>SUM(L31:L32)</f>
      </c>
      <c r="M33" s="188"/>
      <c r="N33" s="189">
        <f>N31+N32</f>
      </c>
      <c r="O33" s="188"/>
      <c r="P33" s="189">
        <f>P31+P32</f>
      </c>
    </row>
    <row r="34">
      <c r="A34" s="174" t="s">
        <v>504</v>
      </c>
      <c r="B34" s="175" t="s">
        <v>480</v>
      </c>
      <c r="C34" s="175" t="s">
        <v>481</v>
      </c>
      <c r="D34" s="175">
        <v>5</v>
      </c>
      <c r="E34" s="175">
        <v>0</v>
      </c>
      <c r="F34" s="175">
        <v>0</v>
      </c>
      <c r="G34" s="175">
        <v>965.22</v>
      </c>
      <c r="H34" s="176">
        <f t="shared" si="4"/>
      </c>
      <c r="I34" s="176">
        <f t="shared" si="10"/>
      </c>
      <c r="J34" s="176">
        <f t="shared" si="16"/>
      </c>
      <c r="K34" s="175">
        <v>0</v>
      </c>
      <c r="L34" s="175">
        <v>0</v>
      </c>
      <c r="M34" s="175" t="s">
        <v>501</v>
      </c>
      <c r="N34" s="175">
        <v>10</v>
      </c>
      <c r="O34" s="175" t="s">
        <v>483</v>
      </c>
      <c r="P34" s="175">
        <v>10</v>
      </c>
    </row>
    <row r="35">
      <c r="A35" s="174" t="s">
        <v>504</v>
      </c>
      <c r="B35" s="175" t="s">
        <v>495</v>
      </c>
      <c r="C35" s="175" t="s">
        <v>489</v>
      </c>
      <c r="D35" s="175">
        <v>5</v>
      </c>
      <c r="E35" s="175">
        <v>2</v>
      </c>
      <c r="F35" s="175">
        <v>2702.4</v>
      </c>
      <c r="G35" s="175">
        <v>2398.63</v>
      </c>
      <c r="H35" s="176">
        <f t="shared" si="4"/>
      </c>
      <c r="I35" s="176">
        <f t="shared" si="10"/>
      </c>
      <c r="J35" s="176">
        <f t="shared" si="16"/>
      </c>
      <c r="K35" s="175">
        <v>0</v>
      </c>
      <c r="L35" s="175">
        <v>0</v>
      </c>
      <c r="M35" s="175"/>
      <c r="N35" s="175"/>
      <c r="O35" s="175"/>
      <c r="P35" s="177"/>
    </row>
    <row r="36">
      <c r="A36" s="184">
        <v>46154</v>
      </c>
      <c r="B36" s="185"/>
      <c r="C36" s="185"/>
      <c r="D36" s="186">
        <f>SUM(D34:D35)</f>
      </c>
      <c r="E36" s="186">
        <f>SUM(E34:E35)</f>
      </c>
      <c r="F36" s="186">
        <f>SUM(F34:F35)</f>
      </c>
      <c r="G36" s="186">
        <f>SUM(G34:G35)</f>
      </c>
      <c r="H36" s="187">
        <f t="shared" si="4"/>
      </c>
      <c r="I36" s="187">
        <f t="shared" si="10"/>
      </c>
      <c r="J36" s="187">
        <f t="shared" si="16"/>
      </c>
      <c r="K36" s="186">
        <f>SUM(K34:K35)</f>
      </c>
      <c r="L36" s="186">
        <f>SUM(L34:L35)</f>
      </c>
      <c r="M36" s="188"/>
      <c r="N36" s="189">
        <f>N34+N35</f>
      </c>
      <c r="O36" s="188"/>
      <c r="P36" s="189">
        <f>P34+P35</f>
      </c>
    </row>
    <row r="37">
      <c r="A37" s="174" t="s">
        <v>505</v>
      </c>
      <c r="B37" s="175" t="s">
        <v>480</v>
      </c>
      <c r="C37" s="175" t="s">
        <v>481</v>
      </c>
      <c r="D37" s="175">
        <v>5</v>
      </c>
      <c r="E37" s="175">
        <v>1</v>
      </c>
      <c r="F37" s="175">
        <v>715.2</v>
      </c>
      <c r="G37" s="175">
        <v>2236.68</v>
      </c>
      <c r="H37" s="176">
        <f t="shared" si="4"/>
      </c>
      <c r="I37" s="176">
        <f t="shared" si="10"/>
      </c>
      <c r="J37" s="176">
        <f t="shared" si="16"/>
      </c>
      <c r="K37" s="175">
        <v>0</v>
      </c>
      <c r="L37" s="175">
        <v>0</v>
      </c>
      <c r="M37" s="175" t="s">
        <v>506</v>
      </c>
      <c r="N37" s="175">
        <v>10</v>
      </c>
      <c r="O37" s="175" t="s">
        <v>483</v>
      </c>
      <c r="P37" s="175">
        <v>10</v>
      </c>
    </row>
    <row r="38">
      <c r="A38" s="174" t="s">
        <v>505</v>
      </c>
      <c r="B38" s="175" t="s">
        <v>495</v>
      </c>
      <c r="C38" s="175" t="s">
        <v>489</v>
      </c>
      <c r="D38" s="175">
        <v>5</v>
      </c>
      <c r="E38" s="175">
        <v>5</v>
      </c>
      <c r="F38" s="175">
        <v>4947.24</v>
      </c>
      <c r="G38" s="175">
        <v>3535.86</v>
      </c>
      <c r="H38" s="176">
        <f t="shared" si="4"/>
      </c>
      <c r="I38" s="176">
        <f t="shared" si="10"/>
      </c>
      <c r="J38" s="176">
        <f t="shared" si="16"/>
      </c>
      <c r="K38" s="175">
        <v>1</v>
      </c>
      <c r="L38" s="175">
        <v>2011.2</v>
      </c>
      <c r="M38" s="175"/>
      <c r="N38" s="175"/>
      <c r="O38" s="175"/>
      <c r="P38" s="177"/>
    </row>
    <row r="39">
      <c r="A39" s="184">
        <v>46155</v>
      </c>
      <c r="B39" s="185"/>
      <c r="C39" s="185"/>
      <c r="D39" s="186">
        <f>SUM(D37:D38)</f>
      </c>
      <c r="E39" s="186">
        <f>SUM(E37:E38)</f>
      </c>
      <c r="F39" s="186">
        <f>SUM(F37:F38)</f>
      </c>
      <c r="G39" s="186">
        <f>SUM(G37:G38)</f>
      </c>
      <c r="H39" s="187">
        <f t="shared" si="4"/>
      </c>
      <c r="I39" s="187">
        <f t="shared" si="10"/>
      </c>
      <c r="J39" s="187">
        <f t="shared" si="16"/>
      </c>
      <c r="K39" s="186">
        <f>SUM(K37:K38)</f>
      </c>
      <c r="L39" s="186">
        <f>SUM(L37:L38)</f>
      </c>
      <c r="M39" s="188"/>
      <c r="N39" s="189">
        <f>N37+N38</f>
      </c>
      <c r="O39" s="188"/>
      <c r="P39" s="189">
        <f>P37+P38</f>
      </c>
    </row>
    <row r="40">
      <c r="A40" s="174" t="s">
        <v>507</v>
      </c>
      <c r="B40" s="175" t="s">
        <v>480</v>
      </c>
      <c r="C40" s="175" t="s">
        <v>481</v>
      </c>
      <c r="D40" s="175">
        <v>5</v>
      </c>
      <c r="E40" s="175">
        <v>2</v>
      </c>
      <c r="F40" s="175">
        <v>2702.4</v>
      </c>
      <c r="G40" s="175">
        <v>1331.02</v>
      </c>
      <c r="H40" s="176">
        <f t="shared" si="4"/>
      </c>
      <c r="I40" s="176">
        <f t="shared" si="10"/>
      </c>
      <c r="J40" s="176">
        <f t="shared" si="16"/>
      </c>
      <c r="K40" s="175">
        <v>1</v>
      </c>
      <c r="L40" s="175">
        <v>2011.2</v>
      </c>
      <c r="M40" s="175" t="s">
        <v>486</v>
      </c>
      <c r="N40" s="175">
        <v>1</v>
      </c>
      <c r="O40" s="175" t="s">
        <v>483</v>
      </c>
      <c r="P40" s="177">
        <v>5</v>
      </c>
    </row>
    <row r="41">
      <c r="A41" s="174" t="s">
        <v>507</v>
      </c>
      <c r="B41" s="175"/>
      <c r="C41" s="175"/>
      <c r="D41" s="175"/>
      <c r="E41" s="175"/>
      <c r="F41" s="175"/>
      <c r="G41" s="175"/>
      <c r="H41" s="176"/>
      <c r="I41" s="176"/>
      <c r="J41" s="176"/>
      <c r="K41" s="175"/>
      <c r="L41" s="175"/>
      <c r="M41" s="175" t="s">
        <v>482</v>
      </c>
      <c r="N41" s="175">
        <v>4</v>
      </c>
      <c r="O41" s="175"/>
      <c r="P41" s="177"/>
    </row>
    <row r="42">
      <c r="A42" s="184">
        <v>46156</v>
      </c>
      <c r="B42" s="185"/>
      <c r="C42" s="185"/>
      <c r="D42" s="186">
        <f>SUM(D40:D41)</f>
      </c>
      <c r="E42" s="186">
        <f>SUM(E40:E41)</f>
      </c>
      <c r="F42" s="186">
        <f>SUM(F40:F41)</f>
      </c>
      <c r="G42" s="186">
        <f>SUM(G40:G41)</f>
      </c>
      <c r="H42" s="187">
        <f t="shared" ref="H42:H90" si="5">F42/G42</f>
      </c>
      <c r="I42" s="187">
        <f t="shared" ref="I42:I90" si="11">F42/E42</f>
      </c>
      <c r="J42" s="187">
        <f t="shared" ref="J42:J90" si="17">G42/E42</f>
      </c>
      <c r="K42" s="186">
        <f>SUM(K40:K41)</f>
      </c>
      <c r="L42" s="186">
        <f>SUM(L40:L41)</f>
      </c>
      <c r="M42" s="188"/>
      <c r="N42" s="189">
        <v>5</v>
      </c>
      <c r="O42" s="188"/>
      <c r="P42" s="189">
        <v>5</v>
      </c>
    </row>
    <row r="43">
      <c r="A43" s="174" t="s">
        <v>508</v>
      </c>
      <c r="B43" s="175" t="s">
        <v>480</v>
      </c>
      <c r="C43" s="175" t="s">
        <v>481</v>
      </c>
      <c r="D43" s="175">
        <v>5</v>
      </c>
      <c r="E43" s="175">
        <v>2</v>
      </c>
      <c r="F43" s="175">
        <v>802.8</v>
      </c>
      <c r="G43" s="175">
        <v>2224.63</v>
      </c>
      <c r="H43" s="176">
        <f t="shared" si="5"/>
      </c>
      <c r="I43" s="176">
        <f t="shared" si="11"/>
      </c>
      <c r="J43" s="176">
        <f t="shared" si="17"/>
      </c>
      <c r="K43" s="175">
        <v>1</v>
      </c>
      <c r="L43" s="175">
        <v>358.8</v>
      </c>
      <c r="M43" s="175" t="s">
        <v>486</v>
      </c>
      <c r="N43" s="175">
        <v>1</v>
      </c>
      <c r="O43" s="175" t="s">
        <v>483</v>
      </c>
      <c r="P43" s="175">
        <v>10</v>
      </c>
    </row>
    <row r="44">
      <c r="A44" s="174" t="s">
        <v>508</v>
      </c>
      <c r="B44" s="175" t="s">
        <v>495</v>
      </c>
      <c r="C44" s="175" t="s">
        <v>489</v>
      </c>
      <c r="D44" s="175">
        <v>5</v>
      </c>
      <c r="E44" s="175">
        <v>2</v>
      </c>
      <c r="F44" s="175">
        <v>3703.2</v>
      </c>
      <c r="G44" s="175">
        <v>1755.7</v>
      </c>
      <c r="H44" s="176">
        <f t="shared" si="5"/>
      </c>
      <c r="I44" s="176">
        <f t="shared" si="11"/>
      </c>
      <c r="J44" s="176">
        <f t="shared" si="17"/>
      </c>
      <c r="K44" s="175">
        <v>0</v>
      </c>
      <c r="L44" s="175">
        <v>0</v>
      </c>
      <c r="M44" s="175" t="s">
        <v>482</v>
      </c>
      <c r="N44" s="175">
        <v>9</v>
      </c>
      <c r="O44" s="175"/>
      <c r="P44" s="177"/>
    </row>
    <row r="45">
      <c r="A45" s="184">
        <v>46157</v>
      </c>
      <c r="B45" s="185"/>
      <c r="C45" s="185"/>
      <c r="D45" s="186">
        <f>SUM(D43:D44)</f>
      </c>
      <c r="E45" s="186">
        <f>SUM(E43:E44)</f>
      </c>
      <c r="F45" s="186">
        <f>SUM(F43:F44)</f>
      </c>
      <c r="G45" s="186">
        <f>SUM(G43:G44)</f>
      </c>
      <c r="H45" s="187">
        <f t="shared" si="5"/>
      </c>
      <c r="I45" s="187">
        <f t="shared" si="11"/>
      </c>
      <c r="J45" s="187">
        <f t="shared" si="17"/>
      </c>
      <c r="K45" s="186">
        <f>SUM(K43:K44)</f>
      </c>
      <c r="L45" s="186">
        <f>SUM(L43:L44)</f>
      </c>
      <c r="M45" s="188"/>
      <c r="N45" s="189">
        <f>N43+N44</f>
      </c>
      <c r="O45" s="188"/>
      <c r="P45" s="189">
        <f>P43+P44</f>
      </c>
    </row>
    <row r="46">
      <c r="A46" s="174" t="s">
        <v>509</v>
      </c>
      <c r="B46" s="175" t="s">
        <v>495</v>
      </c>
      <c r="C46" s="175" t="s">
        <v>481</v>
      </c>
      <c r="D46" s="175">
        <v>5</v>
      </c>
      <c r="E46" s="175">
        <v>0</v>
      </c>
      <c r="F46" s="175">
        <v>0</v>
      </c>
      <c r="G46" s="175">
        <v>1402.9699999999998</v>
      </c>
      <c r="H46" s="176">
        <f t="shared" si="5"/>
      </c>
      <c r="I46" s="176">
        <f t="shared" si="11"/>
      </c>
      <c r="J46" s="176">
        <f t="shared" si="17"/>
      </c>
      <c r="K46" s="175">
        <v>0</v>
      </c>
      <c r="L46" s="175">
        <v>0</v>
      </c>
      <c r="M46" s="175" t="s">
        <v>486</v>
      </c>
      <c r="N46" s="175">
        <v>1</v>
      </c>
      <c r="O46" s="175" t="s">
        <v>483</v>
      </c>
      <c r="P46" s="175">
        <v>10</v>
      </c>
    </row>
    <row r="47">
      <c r="A47" s="174" t="s">
        <v>509</v>
      </c>
      <c r="B47" s="175" t="s">
        <v>480</v>
      </c>
      <c r="C47" s="175" t="s">
        <v>489</v>
      </c>
      <c r="D47" s="175">
        <v>5</v>
      </c>
      <c r="E47" s="175">
        <v>0</v>
      </c>
      <c r="F47" s="175">
        <v>0</v>
      </c>
      <c r="G47" s="175">
        <v>1772.51</v>
      </c>
      <c r="H47" s="176">
        <f t="shared" si="5"/>
      </c>
      <c r="I47" s="176">
        <f t="shared" si="11"/>
      </c>
      <c r="J47" s="176">
        <f t="shared" si="17"/>
      </c>
      <c r="K47" s="175">
        <v>0</v>
      </c>
      <c r="L47" s="175">
        <v>0</v>
      </c>
      <c r="M47" s="175" t="s">
        <v>482</v>
      </c>
      <c r="N47" s="175">
        <v>9</v>
      </c>
      <c r="O47" s="175"/>
      <c r="P47" s="177"/>
    </row>
    <row r="48">
      <c r="A48" s="184">
        <v>46158</v>
      </c>
      <c r="B48" s="185"/>
      <c r="C48" s="185"/>
      <c r="D48" s="186">
        <f>SUM(D46:D47)</f>
      </c>
      <c r="E48" s="186">
        <f>SUM(E46:E47)</f>
      </c>
      <c r="F48" s="186">
        <f>SUM(F46:F47)</f>
      </c>
      <c r="G48" s="186">
        <f>SUM(G46:G47)</f>
      </c>
      <c r="H48" s="187">
        <f t="shared" si="5"/>
      </c>
      <c r="I48" s="187">
        <f t="shared" si="11"/>
      </c>
      <c r="J48" s="187">
        <f t="shared" si="17"/>
      </c>
      <c r="K48" s="186">
        <f>SUM(K46:K47)</f>
      </c>
      <c r="L48" s="186">
        <f>SUM(L46:L47)</f>
      </c>
      <c r="M48" s="188"/>
      <c r="N48" s="189">
        <f>N46+N47</f>
      </c>
      <c r="O48" s="188"/>
      <c r="P48" s="189">
        <f>P46+P47</f>
      </c>
    </row>
    <row r="49">
      <c r="A49" s="174" t="s">
        <v>510</v>
      </c>
      <c r="B49" s="175" t="s">
        <v>495</v>
      </c>
      <c r="C49" s="175" t="s">
        <v>481</v>
      </c>
      <c r="D49" s="175">
        <v>5</v>
      </c>
      <c r="E49" s="175">
        <v>2</v>
      </c>
      <c r="F49" s="175">
        <v>3302.3999999999996</v>
      </c>
      <c r="G49" s="175">
        <v>1311.76</v>
      </c>
      <c r="H49" s="176">
        <f t="shared" si="5"/>
      </c>
      <c r="I49" s="176">
        <f t="shared" si="11"/>
      </c>
      <c r="J49" s="176">
        <f t="shared" si="17"/>
      </c>
      <c r="K49" s="175">
        <v>0</v>
      </c>
      <c r="L49" s="175">
        <v>0</v>
      </c>
      <c r="M49" s="175" t="s">
        <v>486</v>
      </c>
      <c r="N49" s="175">
        <v>1</v>
      </c>
      <c r="O49" s="175" t="s">
        <v>483</v>
      </c>
      <c r="P49" s="175">
        <v>10</v>
      </c>
    </row>
    <row r="50">
      <c r="A50" s="174" t="s">
        <v>510</v>
      </c>
      <c r="B50" s="175" t="s">
        <v>480</v>
      </c>
      <c r="C50" s="175" t="s">
        <v>489</v>
      </c>
      <c r="D50" s="175">
        <v>5</v>
      </c>
      <c r="E50" s="175">
        <v>19</v>
      </c>
      <c r="F50" s="175">
        <v>17677.199999999997</v>
      </c>
      <c r="G50" s="175">
        <v>9956.05</v>
      </c>
      <c r="H50" s="176">
        <f t="shared" si="5"/>
      </c>
      <c r="I50" s="176">
        <f t="shared" si="11"/>
      </c>
      <c r="J50" s="176">
        <f t="shared" si="17"/>
      </c>
      <c r="K50" s="175">
        <v>2</v>
      </c>
      <c r="L50" s="175">
        <v>3933.6</v>
      </c>
      <c r="M50" s="175" t="s">
        <v>482</v>
      </c>
      <c r="N50" s="175">
        <v>9</v>
      </c>
      <c r="O50" s="175"/>
      <c r="P50" s="177"/>
    </row>
    <row r="51">
      <c r="A51" s="184">
        <v>46159</v>
      </c>
      <c r="B51" s="185"/>
      <c r="C51" s="185"/>
      <c r="D51" s="186">
        <f>SUM(D49:D50)</f>
      </c>
      <c r="E51" s="186">
        <f>SUM(E49:E50)</f>
      </c>
      <c r="F51" s="186">
        <f>SUM(F49:F50)</f>
      </c>
      <c r="G51" s="186">
        <f>SUM(G49:G50)</f>
      </c>
      <c r="H51" s="187">
        <f t="shared" si="5"/>
      </c>
      <c r="I51" s="187">
        <f t="shared" si="11"/>
      </c>
      <c r="J51" s="187">
        <f t="shared" si="17"/>
      </c>
      <c r="K51" s="186">
        <f>SUM(K49:K50)</f>
      </c>
      <c r="L51" s="186">
        <f>SUM(L49:L50)</f>
      </c>
      <c r="M51" s="188"/>
      <c r="N51" s="189">
        <f>N49+N50</f>
      </c>
      <c r="O51" s="188"/>
      <c r="P51" s="189">
        <f>P49+P50</f>
      </c>
    </row>
    <row r="52">
      <c r="A52" s="174" t="s">
        <v>511</v>
      </c>
      <c r="B52" s="175" t="s">
        <v>495</v>
      </c>
      <c r="C52" s="175" t="s">
        <v>481</v>
      </c>
      <c r="D52" s="175">
        <v>5</v>
      </c>
      <c r="E52" s="175">
        <v>4</v>
      </c>
      <c r="F52" s="175">
        <v>6100.8</v>
      </c>
      <c r="G52" s="175">
        <v>3695.81</v>
      </c>
      <c r="H52" s="176">
        <f t="shared" si="5"/>
      </c>
      <c r="I52" s="176">
        <f t="shared" si="11"/>
      </c>
      <c r="J52" s="176">
        <f t="shared" si="17"/>
      </c>
      <c r="K52" s="175">
        <v>1</v>
      </c>
      <c r="L52" s="175">
        <v>763.2</v>
      </c>
      <c r="M52" s="175" t="s">
        <v>486</v>
      </c>
      <c r="N52" s="175">
        <v>1</v>
      </c>
      <c r="O52" s="175" t="s">
        <v>483</v>
      </c>
      <c r="P52" s="175">
        <v>10</v>
      </c>
    </row>
    <row r="53">
      <c r="A53" s="174" t="s">
        <v>511</v>
      </c>
      <c r="B53" s="175" t="s">
        <v>480</v>
      </c>
      <c r="C53" s="175" t="s">
        <v>489</v>
      </c>
      <c r="D53" s="175">
        <v>5</v>
      </c>
      <c r="E53" s="175">
        <v>6</v>
      </c>
      <c r="F53" s="175">
        <v>6415.199999999999</v>
      </c>
      <c r="G53" s="175">
        <v>6583.26</v>
      </c>
      <c r="H53" s="176">
        <f t="shared" si="5"/>
      </c>
      <c r="I53" s="176">
        <f t="shared" si="11"/>
      </c>
      <c r="J53" s="176">
        <f t="shared" si="17"/>
      </c>
      <c r="K53" s="175">
        <v>0</v>
      </c>
      <c r="L53" s="175">
        <v>0</v>
      </c>
      <c r="M53" s="175" t="s">
        <v>482</v>
      </c>
      <c r="N53" s="175">
        <v>9</v>
      </c>
      <c r="O53" s="175"/>
      <c r="P53" s="177"/>
    </row>
    <row r="54">
      <c r="A54" s="184">
        <v>46160</v>
      </c>
      <c r="B54" s="185"/>
      <c r="C54" s="185"/>
      <c r="D54" s="186">
        <f>SUM(D52:D53)</f>
      </c>
      <c r="E54" s="186">
        <f>SUM(E52:E53)</f>
      </c>
      <c r="F54" s="186">
        <f>SUM(F52:F53)</f>
      </c>
      <c r="G54" s="186">
        <f>SUM(G52:G53)</f>
      </c>
      <c r="H54" s="187">
        <f t="shared" si="5"/>
      </c>
      <c r="I54" s="187">
        <f t="shared" si="11"/>
      </c>
      <c r="J54" s="187">
        <f t="shared" si="17"/>
      </c>
      <c r="K54" s="186">
        <f>SUM(K52:K53)</f>
      </c>
      <c r="L54" s="186">
        <f>SUM(L52:L53)</f>
      </c>
      <c r="M54" s="188"/>
      <c r="N54" s="189">
        <f>N52+N53</f>
      </c>
      <c r="O54" s="188"/>
      <c r="P54" s="189">
        <f>P52+P53</f>
      </c>
    </row>
    <row r="55">
      <c r="A55" s="174" t="s">
        <v>512</v>
      </c>
      <c r="B55" s="175" t="s">
        <v>480</v>
      </c>
      <c r="C55" s="175" t="s">
        <v>481</v>
      </c>
      <c r="D55" s="175">
        <v>5</v>
      </c>
      <c r="E55" s="175">
        <v>0</v>
      </c>
      <c r="F55" s="175">
        <v>0</v>
      </c>
      <c r="G55" s="175">
        <v>2381.95</v>
      </c>
      <c r="H55" s="176">
        <f t="shared" si="5"/>
      </c>
      <c r="I55" s="176">
        <f t="shared" si="11"/>
      </c>
      <c r="J55" s="176">
        <f t="shared" si="17"/>
      </c>
      <c r="K55" s="175">
        <v>0</v>
      </c>
      <c r="L55" s="175">
        <v>0</v>
      </c>
      <c r="M55" s="175" t="s">
        <v>486</v>
      </c>
      <c r="N55" s="175">
        <v>1</v>
      </c>
      <c r="O55" s="175" t="s">
        <v>483</v>
      </c>
      <c r="P55" s="175">
        <v>10</v>
      </c>
    </row>
    <row r="56">
      <c r="A56" s="174" t="s">
        <v>512</v>
      </c>
      <c r="B56" s="175" t="s">
        <v>495</v>
      </c>
      <c r="C56" s="175" t="s">
        <v>489</v>
      </c>
      <c r="D56" s="175">
        <v>5</v>
      </c>
      <c r="E56" s="175">
        <v>10</v>
      </c>
      <c r="F56" s="175">
        <v>15369.6</v>
      </c>
      <c r="G56" s="175">
        <v>9718.58</v>
      </c>
      <c r="H56" s="176">
        <f t="shared" si="5"/>
      </c>
      <c r="I56" s="176">
        <f t="shared" si="11"/>
      </c>
      <c r="J56" s="176">
        <f t="shared" si="17"/>
      </c>
      <c r="K56" s="175">
        <v>0</v>
      </c>
      <c r="L56" s="175">
        <v>0</v>
      </c>
      <c r="M56" s="175" t="s">
        <v>482</v>
      </c>
      <c r="N56" s="175">
        <v>9</v>
      </c>
      <c r="O56" s="175"/>
      <c r="P56" s="177"/>
    </row>
    <row r="57">
      <c r="A57" s="184">
        <v>46161</v>
      </c>
      <c r="B57" s="185"/>
      <c r="C57" s="185"/>
      <c r="D57" s="186">
        <f>SUM(D55:D56)</f>
      </c>
      <c r="E57" s="186">
        <f>SUM(E55:E56)</f>
      </c>
      <c r="F57" s="186">
        <f>SUM(F55:F56)</f>
      </c>
      <c r="G57" s="186">
        <f>SUM(G55:G56)</f>
      </c>
      <c r="H57" s="187">
        <f t="shared" si="5"/>
      </c>
      <c r="I57" s="187">
        <f t="shared" si="11"/>
      </c>
      <c r="J57" s="187">
        <f t="shared" si="17"/>
      </c>
      <c r="K57" s="186">
        <f>SUM(K55:K56)</f>
      </c>
      <c r="L57" s="186">
        <f>SUM(L55:L56)</f>
      </c>
      <c r="M57" s="188"/>
      <c r="N57" s="189">
        <f>N55+N56</f>
      </c>
      <c r="O57" s="188"/>
      <c r="P57" s="189">
        <f>P55+P56</f>
      </c>
    </row>
    <row r="58">
      <c r="A58" s="174" t="s">
        <v>513</v>
      </c>
      <c r="B58" s="175" t="s">
        <v>495</v>
      </c>
      <c r="C58" s="175" t="s">
        <v>481</v>
      </c>
      <c r="D58" s="175">
        <v>5</v>
      </c>
      <c r="E58" s="175">
        <v>1</v>
      </c>
      <c r="F58" s="175">
        <v>2011.2</v>
      </c>
      <c r="G58" s="175">
        <v>2709.8300000000004</v>
      </c>
      <c r="H58" s="176">
        <f t="shared" si="5"/>
      </c>
      <c r="I58" s="176">
        <f t="shared" si="11"/>
      </c>
      <c r="J58" s="176">
        <f t="shared" si="17"/>
      </c>
      <c r="K58" s="175">
        <v>0</v>
      </c>
      <c r="L58" s="175">
        <v>0</v>
      </c>
      <c r="M58" s="175" t="s">
        <v>486</v>
      </c>
      <c r="N58" s="175">
        <v>1</v>
      </c>
      <c r="O58" s="175" t="s">
        <v>483</v>
      </c>
      <c r="P58" s="175">
        <v>10</v>
      </c>
    </row>
    <row r="59">
      <c r="A59" s="174" t="s">
        <v>513</v>
      </c>
      <c r="B59" s="175" t="s">
        <v>480</v>
      </c>
      <c r="C59" s="175" t="s">
        <v>489</v>
      </c>
      <c r="D59" s="175">
        <v>5</v>
      </c>
      <c r="E59" s="175">
        <v>5</v>
      </c>
      <c r="F59" s="175">
        <v>8883.599999999999</v>
      </c>
      <c r="G59" s="175">
        <v>6226.45</v>
      </c>
      <c r="H59" s="176">
        <f t="shared" si="5"/>
      </c>
      <c r="I59" s="176">
        <f t="shared" si="11"/>
      </c>
      <c r="J59" s="176">
        <f t="shared" si="17"/>
      </c>
      <c r="K59" s="175">
        <v>1</v>
      </c>
      <c r="L59" s="175">
        <v>2592</v>
      </c>
      <c r="M59" s="175" t="s">
        <v>482</v>
      </c>
      <c r="N59" s="175">
        <v>9</v>
      </c>
      <c r="O59" s="175"/>
      <c r="P59" s="177"/>
    </row>
    <row r="60">
      <c r="A60" s="184">
        <v>46162</v>
      </c>
      <c r="B60" s="185"/>
      <c r="C60" s="185"/>
      <c r="D60" s="186">
        <f>SUM(D58:D59)</f>
      </c>
      <c r="E60" s="186">
        <f>SUM(E58:E59)</f>
      </c>
      <c r="F60" s="186">
        <f>SUM(F58:F59)</f>
      </c>
      <c r="G60" s="186">
        <f>SUM(G58:G59)</f>
      </c>
      <c r="H60" s="187">
        <f t="shared" si="5"/>
      </c>
      <c r="I60" s="187">
        <f t="shared" si="11"/>
      </c>
      <c r="J60" s="187">
        <f t="shared" si="17"/>
      </c>
      <c r="K60" s="186">
        <f>SUM(K58:K59)</f>
      </c>
      <c r="L60" s="186">
        <f>SUM(L58:L59)</f>
      </c>
      <c r="M60" s="188"/>
      <c r="N60" s="189">
        <f>N58+N59</f>
      </c>
      <c r="O60" s="188"/>
      <c r="P60" s="189">
        <f>P58+P59</f>
      </c>
    </row>
    <row r="61">
      <c r="A61" s="174" t="s">
        <v>514</v>
      </c>
      <c r="B61" s="175" t="s">
        <v>495</v>
      </c>
      <c r="C61" s="175" t="s">
        <v>481</v>
      </c>
      <c r="D61" s="175">
        <v>5</v>
      </c>
      <c r="E61" s="175">
        <v>2</v>
      </c>
      <c r="F61" s="175">
        <v>4495.2</v>
      </c>
      <c r="G61" s="175">
        <v>3081.34</v>
      </c>
      <c r="H61" s="176">
        <f t="shared" si="5"/>
      </c>
      <c r="I61" s="176">
        <f t="shared" si="11"/>
      </c>
      <c r="J61" s="176">
        <f t="shared" si="17"/>
      </c>
      <c r="K61" s="175">
        <v>1</v>
      </c>
      <c r="L61" s="175">
        <v>2088</v>
      </c>
      <c r="M61" s="175" t="s">
        <v>486</v>
      </c>
      <c r="N61" s="175">
        <v>1</v>
      </c>
      <c r="O61" s="175" t="s">
        <v>483</v>
      </c>
      <c r="P61" s="175">
        <v>10</v>
      </c>
    </row>
    <row r="62">
      <c r="A62" s="174" t="s">
        <v>514</v>
      </c>
      <c r="B62" s="175" t="s">
        <v>480</v>
      </c>
      <c r="C62" s="175" t="s">
        <v>489</v>
      </c>
      <c r="D62" s="175">
        <v>5</v>
      </c>
      <c r="E62" s="175">
        <v>15</v>
      </c>
      <c r="F62" s="175">
        <v>18556.8</v>
      </c>
      <c r="G62" s="175">
        <v>7652.62</v>
      </c>
      <c r="H62" s="176">
        <f t="shared" si="5"/>
      </c>
      <c r="I62" s="176">
        <f t="shared" si="11"/>
      </c>
      <c r="J62" s="176">
        <f t="shared" si="17"/>
      </c>
      <c r="K62" s="175">
        <v>4</v>
      </c>
      <c r="L62" s="175">
        <v>3436.8</v>
      </c>
      <c r="M62" s="175" t="s">
        <v>482</v>
      </c>
      <c r="N62" s="175">
        <v>9</v>
      </c>
      <c r="O62" s="175"/>
      <c r="P62" s="177"/>
    </row>
    <row r="63">
      <c r="A63" s="184">
        <v>46163</v>
      </c>
      <c r="B63" s="185"/>
      <c r="C63" s="185"/>
      <c r="D63" s="186">
        <f>SUM(D61:D62)</f>
      </c>
      <c r="E63" s="186">
        <f>SUM(E61:E62)</f>
      </c>
      <c r="F63" s="186">
        <f>SUM(F61:F62)</f>
      </c>
      <c r="G63" s="186">
        <f>SUM(G61:G62)</f>
      </c>
      <c r="H63" s="187">
        <f t="shared" si="5"/>
      </c>
      <c r="I63" s="187">
        <f t="shared" si="11"/>
      </c>
      <c r="J63" s="187">
        <f t="shared" si="17"/>
      </c>
      <c r="K63" s="186">
        <f>SUM(K61:K62)</f>
      </c>
      <c r="L63" s="186">
        <f>SUM(L61:L62)</f>
      </c>
      <c r="M63" s="188"/>
      <c r="N63" s="189">
        <f>N61+N62</f>
      </c>
      <c r="O63" s="188"/>
      <c r="P63" s="189">
        <f>P61+P62</f>
      </c>
    </row>
    <row r="64">
      <c r="A64" s="174" t="s">
        <v>515</v>
      </c>
      <c r="B64" s="175" t="s">
        <v>480</v>
      </c>
      <c r="C64" s="175" t="s">
        <v>481</v>
      </c>
      <c r="D64" s="175">
        <v>5</v>
      </c>
      <c r="E64" s="175">
        <v>6</v>
      </c>
      <c r="F64" s="175">
        <v>7382</v>
      </c>
      <c r="G64" s="175">
        <v>7882.6</v>
      </c>
      <c r="H64" s="176">
        <f t="shared" si="5"/>
      </c>
      <c r="I64" s="176">
        <f t="shared" si="11"/>
      </c>
      <c r="J64" s="176">
        <f t="shared" si="17"/>
      </c>
      <c r="K64" s="175">
        <v>3</v>
      </c>
      <c r="L64" s="175">
        <v>2709.6</v>
      </c>
      <c r="M64" s="175" t="s">
        <v>486</v>
      </c>
      <c r="N64" s="175">
        <v>1</v>
      </c>
      <c r="O64" s="175" t="s">
        <v>483</v>
      </c>
      <c r="P64" s="175">
        <v>10</v>
      </c>
    </row>
    <row r="65">
      <c r="A65" s="174" t="s">
        <v>515</v>
      </c>
      <c r="B65" s="175" t="s">
        <v>495</v>
      </c>
      <c r="C65" s="175" t="s">
        <v>489</v>
      </c>
      <c r="D65" s="175">
        <v>5</v>
      </c>
      <c r="E65" s="175">
        <v>3</v>
      </c>
      <c r="F65" s="175">
        <v>3279.6000000000004</v>
      </c>
      <c r="G65" s="175">
        <v>3690.17</v>
      </c>
      <c r="H65" s="176">
        <f t="shared" si="5"/>
      </c>
      <c r="I65" s="176">
        <f t="shared" si="11"/>
      </c>
      <c r="J65" s="176">
        <f t="shared" si="17"/>
      </c>
      <c r="K65" s="175">
        <v>0</v>
      </c>
      <c r="L65" s="175">
        <v>0</v>
      </c>
      <c r="M65" s="175" t="s">
        <v>482</v>
      </c>
      <c r="N65" s="175">
        <v>9</v>
      </c>
      <c r="O65" s="175"/>
      <c r="P65" s="177"/>
    </row>
    <row r="66">
      <c r="A66" s="184">
        <v>46164</v>
      </c>
      <c r="B66" s="185"/>
      <c r="C66" s="185"/>
      <c r="D66" s="186">
        <f>SUM(D64:D65)</f>
      </c>
      <c r="E66" s="186">
        <f>SUM(E64:E65)</f>
      </c>
      <c r="F66" s="186">
        <f>SUM(F64:F65)</f>
      </c>
      <c r="G66" s="186">
        <f>SUM(G64:G65)</f>
      </c>
      <c r="H66" s="187">
        <f t="shared" si="5"/>
      </c>
      <c r="I66" s="187">
        <f t="shared" si="11"/>
      </c>
      <c r="J66" s="187">
        <f t="shared" si="17"/>
      </c>
      <c r="K66" s="186">
        <f>SUM(K64:K65)</f>
      </c>
      <c r="L66" s="186">
        <f>SUM(L64:L65)</f>
      </c>
      <c r="M66" s="188"/>
      <c r="N66" s="189">
        <f>N64+N65</f>
      </c>
      <c r="O66" s="188"/>
      <c r="P66" s="189">
        <f>P64+P65</f>
      </c>
    </row>
    <row r="67">
      <c r="A67" s="174" t="s">
        <v>516</v>
      </c>
      <c r="B67" s="175" t="s">
        <v>495</v>
      </c>
      <c r="C67" s="175" t="s">
        <v>481</v>
      </c>
      <c r="D67" s="175">
        <v>5</v>
      </c>
      <c r="E67" s="175">
        <v>3</v>
      </c>
      <c r="F67" s="175">
        <v>4466.4</v>
      </c>
      <c r="G67" s="175">
        <v>2747.26</v>
      </c>
      <c r="H67" s="176">
        <f t="shared" si="5"/>
      </c>
      <c r="I67" s="176">
        <f t="shared" si="11"/>
      </c>
      <c r="J67" s="176">
        <f t="shared" si="17"/>
      </c>
      <c r="K67" s="175">
        <v>1</v>
      </c>
      <c r="L67" s="175">
        <v>715.2</v>
      </c>
      <c r="M67" s="175" t="s">
        <v>486</v>
      </c>
      <c r="N67" s="175">
        <v>1</v>
      </c>
      <c r="O67" s="175" t="s">
        <v>483</v>
      </c>
      <c r="P67" s="175">
        <v>8</v>
      </c>
    </row>
    <row r="68">
      <c r="A68" s="174" t="s">
        <v>516</v>
      </c>
      <c r="B68" s="175" t="s">
        <v>480</v>
      </c>
      <c r="C68" s="175" t="s">
        <v>517</v>
      </c>
      <c r="D68" s="175">
        <v>3</v>
      </c>
      <c r="E68" s="175">
        <v>1</v>
      </c>
      <c r="F68" s="175">
        <v>372</v>
      </c>
      <c r="G68" s="175">
        <v>1797.13</v>
      </c>
      <c r="H68" s="176">
        <f t="shared" si="5"/>
      </c>
      <c r="I68" s="176">
        <f t="shared" si="11"/>
      </c>
      <c r="J68" s="176">
        <f t="shared" si="17"/>
      </c>
      <c r="K68" s="175">
        <v>0</v>
      </c>
      <c r="L68" s="175">
        <v>0</v>
      </c>
      <c r="M68" s="175" t="s">
        <v>482</v>
      </c>
      <c r="N68" s="175">
        <v>7</v>
      </c>
      <c r="O68" s="175"/>
      <c r="P68" s="177"/>
    </row>
    <row r="69">
      <c r="A69" s="184">
        <v>46165</v>
      </c>
      <c r="B69" s="185"/>
      <c r="C69" s="185"/>
      <c r="D69" s="186">
        <f>SUM(D67:D68)</f>
      </c>
      <c r="E69" s="186">
        <f>SUM(E67:E68)</f>
      </c>
      <c r="F69" s="186">
        <f>SUM(F67:F68)</f>
      </c>
      <c r="G69" s="186">
        <f>SUM(G67:G68)</f>
      </c>
      <c r="H69" s="187">
        <f t="shared" si="5"/>
      </c>
      <c r="I69" s="187">
        <f t="shared" si="11"/>
      </c>
      <c r="J69" s="187">
        <f t="shared" si="17"/>
      </c>
      <c r="K69" s="186">
        <f>SUM(K67:K68)</f>
      </c>
      <c r="L69" s="186">
        <f>SUM(L67:L68)</f>
      </c>
      <c r="M69" s="188"/>
      <c r="N69" s="189">
        <f>N67+N68</f>
      </c>
      <c r="O69" s="188"/>
      <c r="P69" s="189">
        <f>P67+P68</f>
      </c>
    </row>
    <row r="70">
      <c r="A70" s="174" t="s">
        <v>518</v>
      </c>
      <c r="B70" s="175" t="s">
        <v>495</v>
      </c>
      <c r="C70" s="175" t="s">
        <v>481</v>
      </c>
      <c r="D70" s="175">
        <v>5</v>
      </c>
      <c r="E70" s="175">
        <v>4</v>
      </c>
      <c r="F70" s="175">
        <v>8013.6</v>
      </c>
      <c r="G70" s="175">
        <v>2785.09</v>
      </c>
      <c r="H70" s="176">
        <f t="shared" si="5"/>
      </c>
      <c r="I70" s="176">
        <f t="shared" si="11"/>
      </c>
      <c r="J70" s="176">
        <f t="shared" si="17"/>
      </c>
      <c r="K70" s="175">
        <v>2</v>
      </c>
      <c r="L70" s="175">
        <v>3518.3999999999996</v>
      </c>
      <c r="M70" s="175" t="s">
        <v>486</v>
      </c>
      <c r="N70" s="175">
        <v>1</v>
      </c>
      <c r="O70" s="175" t="s">
        <v>483</v>
      </c>
      <c r="P70" s="175">
        <v>10</v>
      </c>
    </row>
    <row r="71">
      <c r="A71" s="174" t="s">
        <v>518</v>
      </c>
      <c r="B71" s="175" t="s">
        <v>480</v>
      </c>
      <c r="C71" s="175" t="s">
        <v>489</v>
      </c>
      <c r="D71" s="175">
        <v>5</v>
      </c>
      <c r="E71" s="175">
        <v>8</v>
      </c>
      <c r="F71" s="175">
        <v>8503.199999999999</v>
      </c>
      <c r="G71" s="175">
        <v>13093.42</v>
      </c>
      <c r="H71" s="176">
        <f t="shared" si="5"/>
      </c>
      <c r="I71" s="176">
        <f t="shared" si="11"/>
      </c>
      <c r="J71" s="176">
        <f t="shared" si="17"/>
      </c>
      <c r="K71" s="175">
        <v>2</v>
      </c>
      <c r="L71" s="175">
        <v>3355.2</v>
      </c>
      <c r="M71" s="175" t="s">
        <v>482</v>
      </c>
      <c r="N71" s="175">
        <v>9</v>
      </c>
      <c r="O71" s="175"/>
      <c r="P71" s="177"/>
    </row>
    <row r="72">
      <c r="A72" s="184">
        <v>46166</v>
      </c>
      <c r="B72" s="185"/>
      <c r="C72" s="185"/>
      <c r="D72" s="186">
        <f>SUM(D70:D71)</f>
      </c>
      <c r="E72" s="186">
        <f>SUM(E70:E71)</f>
      </c>
      <c r="F72" s="186">
        <f>SUM(F70:F71)</f>
      </c>
      <c r="G72" s="186">
        <f>SUM(G70:G71)</f>
      </c>
      <c r="H72" s="187">
        <f t="shared" si="5"/>
      </c>
      <c r="I72" s="187">
        <f t="shared" si="11"/>
      </c>
      <c r="J72" s="187">
        <f t="shared" si="17"/>
      </c>
      <c r="K72" s="186">
        <f>SUM(K70:K71)</f>
      </c>
      <c r="L72" s="186">
        <f>SUM(L70:L71)</f>
      </c>
      <c r="M72" s="188"/>
      <c r="N72" s="189">
        <f>N70+N71</f>
      </c>
      <c r="O72" s="188"/>
      <c r="P72" s="189">
        <f>P70+P71</f>
      </c>
    </row>
    <row r="73">
      <c r="A73" s="174" t="s">
        <v>519</v>
      </c>
      <c r="B73" s="175" t="s">
        <v>480</v>
      </c>
      <c r="C73" s="175" t="s">
        <v>481</v>
      </c>
      <c r="D73" s="175">
        <v>5</v>
      </c>
      <c r="E73" s="175">
        <v>2</v>
      </c>
      <c r="F73" s="175">
        <v>2511</v>
      </c>
      <c r="G73" s="175">
        <v>6290.750000000001</v>
      </c>
      <c r="H73" s="176">
        <f t="shared" si="5"/>
      </c>
      <c r="I73" s="176">
        <f t="shared" si="11"/>
      </c>
      <c r="J73" s="176">
        <f t="shared" si="17"/>
      </c>
      <c r="K73" s="175">
        <v>0</v>
      </c>
      <c r="L73" s="175">
        <v>0</v>
      </c>
      <c r="M73" s="175" t="s">
        <v>486</v>
      </c>
      <c r="N73" s="175">
        <v>1</v>
      </c>
      <c r="O73" s="175" t="s">
        <v>483</v>
      </c>
      <c r="P73" s="175">
        <v>10</v>
      </c>
    </row>
    <row r="74">
      <c r="A74" s="174" t="s">
        <v>519</v>
      </c>
      <c r="B74" s="175" t="s">
        <v>495</v>
      </c>
      <c r="C74" s="175" t="s">
        <v>489</v>
      </c>
      <c r="D74" s="175">
        <v>5</v>
      </c>
      <c r="E74" s="175">
        <v>9</v>
      </c>
      <c r="F74" s="175">
        <v>15739.2</v>
      </c>
      <c r="G74" s="175">
        <v>6492.540000000001</v>
      </c>
      <c r="H74" s="176">
        <f t="shared" si="5"/>
      </c>
      <c r="I74" s="176">
        <f t="shared" si="11"/>
      </c>
      <c r="J74" s="176">
        <f t="shared" si="17"/>
      </c>
      <c r="K74" s="175">
        <v>0</v>
      </c>
      <c r="L74" s="175">
        <v>0</v>
      </c>
      <c r="M74" s="175" t="s">
        <v>482</v>
      </c>
      <c r="N74" s="175">
        <v>9</v>
      </c>
      <c r="O74" s="175"/>
      <c r="P74" s="177"/>
    </row>
    <row r="75">
      <c r="A75" s="184">
        <v>46167</v>
      </c>
      <c r="B75" s="185"/>
      <c r="C75" s="185"/>
      <c r="D75" s="186">
        <f>SUM(D73:D74)</f>
      </c>
      <c r="E75" s="186">
        <f>SUM(E73:E74)</f>
      </c>
      <c r="F75" s="186">
        <f>SUM(F73:F74)</f>
      </c>
      <c r="G75" s="186">
        <f>SUM(G73:G74)</f>
      </c>
      <c r="H75" s="187">
        <f t="shared" si="5"/>
      </c>
      <c r="I75" s="187">
        <f t="shared" si="11"/>
      </c>
      <c r="J75" s="187">
        <f t="shared" si="17"/>
      </c>
      <c r="K75" s="186">
        <f>SUM(K73:K74)</f>
      </c>
      <c r="L75" s="186">
        <f>SUM(L73:L74)</f>
      </c>
      <c r="M75" s="188"/>
      <c r="N75" s="189">
        <f>N73+N74</f>
      </c>
      <c r="O75" s="188"/>
      <c r="P75" s="189">
        <f>P73+P74</f>
      </c>
    </row>
    <row r="76">
      <c r="A76" s="174" t="s">
        <v>520</v>
      </c>
      <c r="B76" s="175" t="s">
        <v>495</v>
      </c>
      <c r="C76" s="175" t="s">
        <v>521</v>
      </c>
      <c r="D76" s="175">
        <v>4</v>
      </c>
      <c r="E76" s="175">
        <v>2</v>
      </c>
      <c r="F76" s="175">
        <v>2136</v>
      </c>
      <c r="G76" s="175">
        <v>1226.3400000000001</v>
      </c>
      <c r="H76" s="176">
        <f t="shared" si="5"/>
      </c>
      <c r="I76" s="176">
        <f t="shared" si="11"/>
      </c>
      <c r="J76" s="176">
        <f t="shared" si="17"/>
      </c>
      <c r="K76" s="175">
        <v>0</v>
      </c>
      <c r="L76" s="175">
        <v>0</v>
      </c>
      <c r="M76" s="175" t="s">
        <v>522</v>
      </c>
      <c r="N76" s="175">
        <v>8</v>
      </c>
      <c r="O76" s="175" t="s">
        <v>523</v>
      </c>
      <c r="P76" s="175">
        <v>8</v>
      </c>
    </row>
    <row r="77">
      <c r="A77" s="174" t="s">
        <v>520</v>
      </c>
      <c r="B77" s="175" t="s">
        <v>480</v>
      </c>
      <c r="C77" s="175" t="s">
        <v>524</v>
      </c>
      <c r="D77" s="175">
        <v>4</v>
      </c>
      <c r="E77" s="175">
        <v>3</v>
      </c>
      <c r="F77" s="175">
        <v>865.1999999999998</v>
      </c>
      <c r="G77" s="175">
        <v>2685.8599999999997</v>
      </c>
      <c r="H77" s="176">
        <f t="shared" si="5"/>
      </c>
      <c r="I77" s="176">
        <f t="shared" si="11"/>
      </c>
      <c r="J77" s="176">
        <f t="shared" si="17"/>
      </c>
      <c r="K77" s="175">
        <v>0</v>
      </c>
      <c r="L77" s="175">
        <v>0</v>
      </c>
      <c r="M77" s="175"/>
      <c r="N77" s="175"/>
      <c r="O77" s="175"/>
      <c r="P77" s="177"/>
    </row>
    <row r="78">
      <c r="A78" s="184" t="s">
        <v>520</v>
      </c>
      <c r="B78" s="185"/>
      <c r="C78" s="185"/>
      <c r="D78" s="186">
        <f>SUM(D76:D77)</f>
      </c>
      <c r="E78" s="186">
        <f>SUM(E76:E77)</f>
      </c>
      <c r="F78" s="186">
        <f>SUM(F76:F77)</f>
      </c>
      <c r="G78" s="186">
        <f>SUM(G76:G77)</f>
      </c>
      <c r="H78" s="187">
        <f t="shared" si="5"/>
      </c>
      <c r="I78" s="187">
        <f t="shared" si="11"/>
      </c>
      <c r="J78" s="187">
        <f t="shared" si="17"/>
      </c>
      <c r="K78" s="186">
        <f>SUM(K76:K77)</f>
      </c>
      <c r="L78" s="186">
        <f>SUM(L76:L77)</f>
      </c>
      <c r="M78" s="188"/>
      <c r="N78" s="189">
        <f>N76+N77</f>
      </c>
      <c r="O78" s="188"/>
      <c r="P78" s="189">
        <f>P76+P77</f>
      </c>
    </row>
    <row r="79">
      <c r="A79" s="174" t="s">
        <v>525</v>
      </c>
      <c r="B79" s="175" t="s">
        <v>495</v>
      </c>
      <c r="C79" s="175" t="s">
        <v>521</v>
      </c>
      <c r="D79" s="175">
        <v>4</v>
      </c>
      <c r="E79" s="175">
        <v>0</v>
      </c>
      <c r="F79" s="175">
        <v>0</v>
      </c>
      <c r="G79" s="175">
        <v>1037.21</v>
      </c>
      <c r="H79" s="176">
        <f t="shared" si="5"/>
      </c>
      <c r="I79" s="176">
        <f t="shared" si="11"/>
      </c>
      <c r="J79" s="176">
        <f t="shared" si="17"/>
      </c>
      <c r="K79" s="175">
        <v>0</v>
      </c>
      <c r="L79" s="175">
        <v>0</v>
      </c>
      <c r="M79" s="175" t="s">
        <v>506</v>
      </c>
      <c r="N79" s="175">
        <v>8</v>
      </c>
      <c r="O79" s="175" t="s">
        <v>523</v>
      </c>
      <c r="P79" s="175">
        <v>8</v>
      </c>
    </row>
    <row r="80">
      <c r="A80" s="174" t="s">
        <v>525</v>
      </c>
      <c r="B80" s="175" t="s">
        <v>480</v>
      </c>
      <c r="C80" s="175" t="s">
        <v>524</v>
      </c>
      <c r="D80" s="175">
        <v>4</v>
      </c>
      <c r="E80" s="175">
        <v>0</v>
      </c>
      <c r="F80" s="175">
        <v>0</v>
      </c>
      <c r="G80" s="175">
        <v>1217.38</v>
      </c>
      <c r="H80" s="176">
        <f t="shared" si="5"/>
      </c>
      <c r="I80" s="176">
        <f t="shared" si="11"/>
      </c>
      <c r="J80" s="176">
        <f t="shared" si="17"/>
      </c>
      <c r="K80" s="175">
        <v>0</v>
      </c>
      <c r="L80" s="175">
        <v>0</v>
      </c>
      <c r="M80" s="175"/>
      <c r="N80" s="175"/>
      <c r="O80" s="175"/>
      <c r="P80" s="177"/>
    </row>
    <row r="81">
      <c r="A81" s="184">
        <v>46170</v>
      </c>
      <c r="B81" s="185"/>
      <c r="C81" s="185"/>
      <c r="D81" s="186">
        <f>SUM(D79:D80)</f>
      </c>
      <c r="E81" s="186">
        <f>SUM(E79:E80)</f>
      </c>
      <c r="F81" s="186">
        <f>SUM(F79:F80)</f>
      </c>
      <c r="G81" s="186">
        <f>SUM(G79:G80)</f>
      </c>
      <c r="H81" s="187">
        <f t="shared" si="5"/>
      </c>
      <c r="I81" s="187">
        <f t="shared" si="11"/>
      </c>
      <c r="J81" s="187">
        <f t="shared" si="17"/>
      </c>
      <c r="K81" s="186">
        <f>SUM(K79:K80)</f>
      </c>
      <c r="L81" s="186">
        <f>SUM(L79:L80)</f>
      </c>
      <c r="M81" s="188"/>
      <c r="N81" s="189">
        <f>N79+N80</f>
      </c>
      <c r="O81" s="188"/>
      <c r="P81" s="189">
        <f>P79+P80</f>
      </c>
    </row>
    <row r="82">
      <c r="A82" s="174" t="s">
        <v>526</v>
      </c>
      <c r="B82" s="175" t="s">
        <v>480</v>
      </c>
      <c r="C82" s="175" t="s">
        <v>521</v>
      </c>
      <c r="D82" s="175">
        <v>4</v>
      </c>
      <c r="E82" s="175">
        <v>2</v>
      </c>
      <c r="F82" s="175">
        <v>2448</v>
      </c>
      <c r="G82" s="175">
        <v>4387.33</v>
      </c>
      <c r="H82" s="176">
        <f t="shared" si="5"/>
      </c>
      <c r="I82" s="176">
        <f t="shared" si="11"/>
      </c>
      <c r="J82" s="176">
        <f t="shared" si="17"/>
      </c>
      <c r="K82" s="175">
        <v>0</v>
      </c>
      <c r="L82" s="175">
        <v>0</v>
      </c>
      <c r="M82" s="175" t="s">
        <v>506</v>
      </c>
      <c r="N82" s="175">
        <v>8</v>
      </c>
      <c r="O82" s="175" t="s">
        <v>523</v>
      </c>
      <c r="P82" s="175">
        <v>8</v>
      </c>
    </row>
    <row r="83">
      <c r="A83" s="174" t="s">
        <v>526</v>
      </c>
      <c r="B83" s="175" t="s">
        <v>495</v>
      </c>
      <c r="C83" s="175" t="s">
        <v>524</v>
      </c>
      <c r="D83" s="175">
        <v>4</v>
      </c>
      <c r="E83" s="175">
        <v>6</v>
      </c>
      <c r="F83" s="175">
        <v>8834.4</v>
      </c>
      <c r="G83" s="175">
        <v>6031.38</v>
      </c>
      <c r="H83" s="176">
        <f t="shared" si="5"/>
      </c>
      <c r="I83" s="176">
        <f t="shared" si="11"/>
      </c>
      <c r="J83" s="176">
        <f t="shared" si="17"/>
      </c>
      <c r="K83" s="175">
        <v>1</v>
      </c>
      <c r="L83" s="175">
        <v>1344</v>
      </c>
      <c r="M83" s="175"/>
      <c r="N83" s="175"/>
      <c r="O83" s="175"/>
      <c r="P83" s="177"/>
    </row>
    <row r="84">
      <c r="A84" s="184">
        <v>46171</v>
      </c>
      <c r="B84" s="185"/>
      <c r="C84" s="185"/>
      <c r="D84" s="186">
        <f>SUM(D82:D83)</f>
      </c>
      <c r="E84" s="186">
        <f>SUM(E82:E83)</f>
      </c>
      <c r="F84" s="186">
        <f>SUM(F82:F83)</f>
      </c>
      <c r="G84" s="186">
        <f>SUM(G82:G83)</f>
      </c>
      <c r="H84" s="187">
        <f t="shared" si="5"/>
      </c>
      <c r="I84" s="187">
        <f t="shared" si="11"/>
      </c>
      <c r="J84" s="187">
        <f t="shared" si="17"/>
      </c>
      <c r="K84" s="186">
        <f>SUM(K82:K83)</f>
      </c>
      <c r="L84" s="186">
        <f>SUM(L82:L83)</f>
      </c>
      <c r="M84" s="188"/>
      <c r="N84" s="189">
        <f>N82+N83</f>
      </c>
      <c r="O84" s="188"/>
      <c r="P84" s="189">
        <f>P82+P83</f>
      </c>
    </row>
    <row r="85">
      <c r="A85" s="174" t="s">
        <v>527</v>
      </c>
      <c r="B85" s="175" t="s">
        <v>480</v>
      </c>
      <c r="C85" s="175" t="s">
        <v>521</v>
      </c>
      <c r="D85" s="175">
        <v>4</v>
      </c>
      <c r="E85" s="175">
        <v>1</v>
      </c>
      <c r="F85" s="175">
        <v>456</v>
      </c>
      <c r="G85" s="175">
        <v>4089.66</v>
      </c>
      <c r="H85" s="176">
        <f t="shared" si="5"/>
      </c>
      <c r="I85" s="176">
        <f t="shared" si="11"/>
      </c>
      <c r="J85" s="176">
        <f t="shared" si="17"/>
      </c>
      <c r="K85" s="175">
        <v>0</v>
      </c>
      <c r="L85" s="175">
        <v>0</v>
      </c>
      <c r="M85" s="175" t="s">
        <v>506</v>
      </c>
      <c r="N85" s="175">
        <v>8</v>
      </c>
      <c r="O85" s="175" t="s">
        <v>523</v>
      </c>
      <c r="P85" s="175">
        <v>8</v>
      </c>
    </row>
    <row r="86">
      <c r="A86" s="174" t="s">
        <v>527</v>
      </c>
      <c r="B86" s="175" t="s">
        <v>495</v>
      </c>
      <c r="C86" s="175" t="s">
        <v>524</v>
      </c>
      <c r="D86" s="175">
        <v>4</v>
      </c>
      <c r="E86" s="175">
        <v>10</v>
      </c>
      <c r="F86" s="175">
        <v>12765.6</v>
      </c>
      <c r="G86" s="175">
        <v>9311.33</v>
      </c>
      <c r="H86" s="176">
        <f t="shared" si="5"/>
      </c>
      <c r="I86" s="176">
        <f t="shared" si="11"/>
      </c>
      <c r="J86" s="176">
        <f t="shared" si="17"/>
      </c>
      <c r="K86" s="175">
        <v>2</v>
      </c>
      <c r="L86" s="175">
        <v>3780</v>
      </c>
      <c r="M86" s="175"/>
      <c r="N86" s="175"/>
      <c r="O86" s="175"/>
      <c r="P86" s="177"/>
    </row>
    <row r="87">
      <c r="A87" s="184">
        <v>46172</v>
      </c>
      <c r="B87" s="185"/>
      <c r="C87" s="185"/>
      <c r="D87" s="186">
        <f>SUM(D85:D86)</f>
      </c>
      <c r="E87" s="186">
        <f>SUM(E85:E86)</f>
      </c>
      <c r="F87" s="186">
        <f>SUM(F85:F86)</f>
      </c>
      <c r="G87" s="186">
        <f>SUM(G85:G86)</f>
      </c>
      <c r="H87" s="187">
        <f t="shared" si="5"/>
      </c>
      <c r="I87" s="187">
        <f t="shared" si="11"/>
      </c>
      <c r="J87" s="187">
        <f t="shared" si="17"/>
      </c>
      <c r="K87" s="186">
        <f>SUM(K85:K86)</f>
      </c>
      <c r="L87" s="186">
        <f>SUM(L85:L86)</f>
      </c>
      <c r="M87" s="188"/>
      <c r="N87" s="189">
        <f>N85+N86</f>
      </c>
      <c r="O87" s="188"/>
      <c r="P87" s="189">
        <f>P85+P86</f>
      </c>
    </row>
    <row r="88">
      <c r="A88" s="174" t="s">
        <v>528</v>
      </c>
      <c r="B88" s="175" t="s">
        <v>495</v>
      </c>
      <c r="C88" s="175" t="s">
        <v>521</v>
      </c>
      <c r="D88" s="175">
        <v>4</v>
      </c>
      <c r="E88" s="175">
        <v>5</v>
      </c>
      <c r="F88" s="175">
        <v>6372</v>
      </c>
      <c r="G88" s="175">
        <v>4916.44</v>
      </c>
      <c r="H88" s="176">
        <f t="shared" si="5"/>
      </c>
      <c r="I88" s="176">
        <f t="shared" si="11"/>
      </c>
      <c r="J88" s="176">
        <f t="shared" si="17"/>
      </c>
      <c r="K88" s="175">
        <v>0</v>
      </c>
      <c r="L88" s="175">
        <v>0</v>
      </c>
      <c r="M88" s="175" t="s">
        <v>529</v>
      </c>
      <c r="N88" s="175">
        <v>8</v>
      </c>
      <c r="O88" s="175" t="s">
        <v>523</v>
      </c>
      <c r="P88" s="175">
        <v>8</v>
      </c>
    </row>
    <row r="89">
      <c r="A89" s="174" t="s">
        <v>528</v>
      </c>
      <c r="B89" s="175" t="s">
        <v>480</v>
      </c>
      <c r="C89" s="175" t="s">
        <v>524</v>
      </c>
      <c r="D89" s="175">
        <v>4</v>
      </c>
      <c r="E89" s="175">
        <v>15</v>
      </c>
      <c r="F89" s="175">
        <v>9454.8</v>
      </c>
      <c r="G89" s="175">
        <v>5346.490000000001</v>
      </c>
      <c r="H89" s="176">
        <f t="shared" si="5"/>
      </c>
      <c r="I89" s="176">
        <f t="shared" si="11"/>
      </c>
      <c r="J89" s="176">
        <f t="shared" si="17"/>
      </c>
      <c r="K89" s="175">
        <v>0</v>
      </c>
      <c r="L89" s="175">
        <v>0</v>
      </c>
      <c r="M89" s="175"/>
      <c r="N89" s="175"/>
      <c r="O89" s="175"/>
      <c r="P89" s="177"/>
    </row>
    <row r="90">
      <c r="A90" s="184" t="s">
        <v>528</v>
      </c>
      <c r="B90" s="185"/>
      <c r="C90" s="185"/>
      <c r="D90" s="186">
        <f>SUM(D88:D89)</f>
      </c>
      <c r="E90" s="186">
        <f>SUM(E88:E89)</f>
      </c>
      <c r="F90" s="186">
        <f>SUM(F88:F89)</f>
      </c>
      <c r="G90" s="186">
        <f>SUM(G88:G89)</f>
      </c>
      <c r="H90" s="187">
        <f t="shared" si="5"/>
      </c>
      <c r="I90" s="187">
        <f t="shared" si="11"/>
      </c>
      <c r="J90" s="187">
        <f t="shared" si="17"/>
      </c>
      <c r="K90" s="186">
        <f>SUM(K88:K89)</f>
      </c>
      <c r="L90" s="186">
        <f>SUM(L88:L89)</f>
      </c>
      <c r="M90" s="188"/>
      <c r="N90" s="189">
        <f>N88+N89</f>
      </c>
      <c r="O90" s="188"/>
      <c r="P90" s="189">
        <f>P88+P89</f>
      </c>
    </row>
    <row r="91"/>
    <row r="92"/>
    <row r="93"/>
    <row r="94">
      <c r="J94" s="191"/>
    </row>
    <row r="95">
      <c r="J95" s="192"/>
    </row>
    <row r="96"/>
    <row r="97">
      <c r="I97" s="193"/>
    </row>
  </sheetData>
  <autoFilter ref="A1:T189"/>
  <dataValidations count="4">
    <dataValidation allowBlank="true" errorStyle="stop" showErrorMessage="true" sqref="B8:B8 B10:B11" type="list">
      <formula1>"孟郁倩,姜可心,蔡露露,路鑫鑫"</formula1>
    </dataValidation>
    <dataValidation allowBlank="true" errorStyle="stop" showErrorMessage="true" sqref="B19:B20 B22:B22 B25:B25 B28:B28 B31:B31 B34:B34 B37:B37 B40:B40 B43:B43 B46:B46 B49:B49 B52:B52 B55:B55 B58:B58 B61:B61 B64:B64 B67:B67 B70:B70 B73:B73 B76:B76 B79:B79 B82:B83 B85:B86 B88:B89" type="list">
      <formula1>"孟郁倩,姜可心,蔡露露,路鑫鑫,连贝贝,杜思利"</formula1>
    </dataValidation>
    <dataValidation allowBlank="true" errorStyle="stop" showErrorMessage="true" sqref="B23:B23 B26:B26 B29:B29 B32:B32 B35:B35 B38:B38 B41:B41 B44:B44 B47:B47 B50:B50 B53:B53 B56:B56 B59:B59 B62:B62 B65:B65 B68:B68 B71:B71 B74:B74 B77:B77 B80:B80" type="list">
      <formula1>"孟郁倩,姜可心,蔡露露,路鑫鑫,杜思利"</formula1>
    </dataValidation>
    <dataValidation allowBlank="true" errorStyle="stop" showErrorMessage="true" sqref="B2:B3 B5:B6 B13:B14 B16:B17" type="list">
      <formula1>"孟郁倩,姜可心,蔡露露,路鑫鑫,连贝贝"</formula1>
    </dataValidation>
  </dataValidation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9" min="9" style="0" width="12.64480633802817"/>
    <col collapsed="false" customWidth="true" hidden="false" max="13" min="13" style="0" width="12.64480633802817"/>
    <col collapsed="false" customWidth="true" hidden="false" max="1" min="1" style="0" width="11.211267605633802"/>
    <col collapsed="false" customWidth="true" hidden="false" max="8" min="8" style="0" width="12.64480633802817"/>
    <col collapsed="false" customWidth="true" hidden="false" max="12" min="12" style="0" width="12.64480633802817"/>
    <col collapsed="false" customWidth="true" hidden="false" max="16" min="16" style="0" width="12.64480633802817"/>
    <col collapsed="false" customWidth="true" hidden="false" max="4" min="4" style="0" width="11.211267605633802"/>
    <col collapsed="false" customWidth="true" hidden="false" max="7" min="7" style="0" width="11.211267605633802"/>
    <col collapsed="false" customWidth="true" hidden="false" max="11" min="11" style="0" width="12.64480633802817"/>
    <col collapsed="false" customWidth="true" hidden="false" max="15" min="15" style="0" width="12.64480633802817"/>
    <col collapsed="false" customWidth="true" hidden="false" max="3" min="3" style="0" width="11.211267605633802"/>
    <col collapsed="false" customWidth="true" hidden="false" max="6" min="6" style="0" width="11.211267605633802"/>
    <col collapsed="false" customWidth="true" hidden="false" max="10" min="10" style="0" width="12.64480633802817"/>
    <col collapsed="false" customWidth="true" hidden="false" max="14" min="14" style="0" width="12.64480633802817"/>
    <col collapsed="false" customWidth="true" hidden="false" max="2" min="2" style="0" width="11.211267605633802"/>
  </cols>
  <sheetData>
    <row customHeight="true" ht="16.071428571428573" r="1">
      <c r="A1" s="194" t="s">
        <v>530</v>
      </c>
      <c r="B1" s="195" t="s">
        <v>531</v>
      </c>
      <c r="C1" s="195" t="s">
        <v>532</v>
      </c>
      <c r="D1" s="195" t="s">
        <v>533</v>
      </c>
      <c r="E1" s="195" t="s">
        <v>534</v>
      </c>
      <c r="F1" s="196" t="s">
        <v>535</v>
      </c>
      <c r="G1" s="196" t="s">
        <v>536</v>
      </c>
      <c r="H1" s="196" t="s">
        <v>537</v>
      </c>
      <c r="I1" s="196" t="s">
        <v>538</v>
      </c>
      <c r="J1" s="196" t="s">
        <v>539</v>
      </c>
      <c r="K1" s="195" t="s">
        <v>540</v>
      </c>
      <c r="L1" s="195" t="s">
        <v>541</v>
      </c>
      <c r="M1" s="195" t="s">
        <v>542</v>
      </c>
      <c r="N1" s="195" t="s">
        <v>543</v>
      </c>
      <c r="O1" s="195" t="s">
        <v>544</v>
      </c>
      <c r="P1" s="195" t="s">
        <v>545</v>
      </c>
    </row>
    <row r="2">
      <c r="A2" s="197" t="s">
        <v>546</v>
      </c>
      <c r="B2" s="198" t="s">
        <v>547</v>
      </c>
      <c r="C2" s="198" t="s">
        <v>548</v>
      </c>
      <c r="D2" s="198">
        <v>5</v>
      </c>
      <c r="E2" s="198">
        <v>1</v>
      </c>
      <c r="F2" s="198">
        <v>1092</v>
      </c>
      <c r="G2" s="198">
        <v>1015.5</v>
      </c>
      <c r="H2" s="199">
        <f t="shared" ref="H2:H9" si="1">F2/G2</f>
      </c>
      <c r="I2" s="199">
        <f t="shared" ref="I2:I9" si="10">F2/E2</f>
      </c>
      <c r="J2" s="199">
        <f t="shared" ref="J2:J9" si="5">G2/E2</f>
      </c>
      <c r="K2" s="198">
        <v>0</v>
      </c>
      <c r="L2" s="198">
        <v>0</v>
      </c>
      <c r="M2" s="198" t="s">
        <v>549</v>
      </c>
      <c r="N2" s="198">
        <v>7</v>
      </c>
      <c r="O2" s="198" t="s">
        <v>550</v>
      </c>
      <c r="P2" s="198">
        <v>15</v>
      </c>
    </row>
    <row r="3">
      <c r="A3" s="197" t="s">
        <v>546</v>
      </c>
      <c r="B3" s="198" t="s">
        <v>551</v>
      </c>
      <c r="C3" s="198" t="s">
        <v>552</v>
      </c>
      <c r="D3" s="198">
        <v>5</v>
      </c>
      <c r="E3" s="198">
        <v>0</v>
      </c>
      <c r="F3" s="198">
        <v>0</v>
      </c>
      <c r="G3" s="198">
        <v>1398.32</v>
      </c>
      <c r="H3" s="199">
        <f t="shared" si="1"/>
      </c>
      <c r="I3" s="199">
        <f t="shared" si="10"/>
      </c>
      <c r="J3" s="199">
        <f t="shared" si="5"/>
      </c>
      <c r="K3" s="198">
        <v>0</v>
      </c>
      <c r="L3" s="198">
        <v>0</v>
      </c>
      <c r="M3" s="198"/>
      <c r="N3" s="198"/>
      <c r="O3" s="200"/>
      <c r="P3" s="201"/>
    </row>
    <row r="4">
      <c r="A4" s="197" t="s">
        <v>546</v>
      </c>
      <c r="B4" s="198" t="s">
        <v>553</v>
      </c>
      <c r="C4" s="198" t="s">
        <v>554</v>
      </c>
      <c r="D4" s="198">
        <v>5</v>
      </c>
      <c r="E4" s="198">
        <v>3</v>
      </c>
      <c r="F4" s="198">
        <v>2286</v>
      </c>
      <c r="G4" s="198">
        <v>2729.23</v>
      </c>
      <c r="H4" s="199">
        <f t="shared" si="1"/>
      </c>
      <c r="I4" s="199">
        <f t="shared" si="10"/>
      </c>
      <c r="J4" s="199">
        <f t="shared" si="5"/>
      </c>
      <c r="K4" s="198">
        <v>2</v>
      </c>
      <c r="L4" s="198">
        <v>1842</v>
      </c>
      <c r="M4" s="198" t="s">
        <v>555</v>
      </c>
      <c r="N4" s="198">
        <v>8</v>
      </c>
      <c r="O4" s="201"/>
      <c r="P4" s="201"/>
    </row>
    <row r="5">
      <c r="A5" s="202" t="s">
        <v>546</v>
      </c>
      <c r="B5" s="203"/>
      <c r="C5" s="203"/>
      <c r="D5" s="204">
        <f>SUM(D2:D4)</f>
      </c>
      <c r="E5" s="204">
        <f>SUM(E2:E4)</f>
      </c>
      <c r="F5" s="204">
        <f>SUM(F2:F4)</f>
      </c>
      <c r="G5" s="204">
        <f>SUM(G2:G4)</f>
      </c>
      <c r="H5" s="205">
        <f t="shared" si="1"/>
      </c>
      <c r="I5" s="205">
        <f t="shared" si="10"/>
      </c>
      <c r="J5" s="205">
        <f t="shared" si="5"/>
      </c>
      <c r="K5" s="204">
        <f>SUM(K2:K4)</f>
      </c>
      <c r="L5" s="204">
        <f>SUM(L2:L4)</f>
      </c>
      <c r="M5" s="206"/>
      <c r="N5" s="204">
        <f>SUM(N2:N4)</f>
      </c>
      <c r="O5" s="206"/>
      <c r="P5" s="204">
        <f>SUM(P2:P4)</f>
      </c>
    </row>
    <row r="6">
      <c r="A6" s="197" t="s">
        <v>556</v>
      </c>
      <c r="B6" s="198" t="s">
        <v>547</v>
      </c>
      <c r="C6" s="198" t="s">
        <v>548</v>
      </c>
      <c r="D6" s="198">
        <v>5</v>
      </c>
      <c r="E6" s="198">
        <v>1</v>
      </c>
      <c r="F6" s="198">
        <v>1663.2</v>
      </c>
      <c r="G6" s="198">
        <v>2366.1099999999997</v>
      </c>
      <c r="H6" s="199">
        <f t="shared" si="1"/>
      </c>
      <c r="I6" s="199">
        <f t="shared" si="10"/>
      </c>
      <c r="J6" s="199">
        <f t="shared" si="5"/>
      </c>
      <c r="K6" s="198">
        <v>0</v>
      </c>
      <c r="L6" s="198">
        <v>0</v>
      </c>
      <c r="M6" s="198" t="s">
        <v>549</v>
      </c>
      <c r="N6" s="198">
        <v>7</v>
      </c>
      <c r="O6" s="198" t="s">
        <v>550</v>
      </c>
      <c r="P6" s="198">
        <v>10</v>
      </c>
    </row>
    <row r="7">
      <c r="A7" s="197" t="s">
        <v>556</v>
      </c>
      <c r="B7" s="198" t="s">
        <v>553</v>
      </c>
      <c r="C7" s="198" t="s">
        <v>552</v>
      </c>
      <c r="D7" s="198">
        <v>5</v>
      </c>
      <c r="E7" s="198">
        <v>1</v>
      </c>
      <c r="F7" s="198">
        <v>723.6000000000001</v>
      </c>
      <c r="G7" s="198">
        <v>1420.98</v>
      </c>
      <c r="H7" s="199">
        <f t="shared" si="1"/>
      </c>
      <c r="I7" s="199">
        <f t="shared" si="10"/>
      </c>
      <c r="J7" s="199">
        <f t="shared" si="5"/>
      </c>
      <c r="K7" s="198">
        <v>0</v>
      </c>
      <c r="L7" s="198">
        <v>0</v>
      </c>
      <c r="M7" s="198" t="s">
        <v>557</v>
      </c>
      <c r="N7" s="198">
        <v>3</v>
      </c>
      <c r="O7" s="200"/>
      <c r="P7" s="201"/>
    </row>
    <row r="8">
      <c r="A8" s="207">
        <v>46125</v>
      </c>
      <c r="B8" s="203"/>
      <c r="C8" s="203"/>
      <c r="D8" s="204">
        <f>SUM(D6:D7)</f>
      </c>
      <c r="E8" s="204">
        <f>SUM(E6:E7)</f>
      </c>
      <c r="F8" s="204">
        <f>SUM(F6:F7)</f>
      </c>
      <c r="G8" s="204">
        <f>SUM(G6:G7)</f>
      </c>
      <c r="H8" s="205">
        <f t="shared" si="1"/>
      </c>
      <c r="I8" s="205">
        <f t="shared" si="10"/>
      </c>
      <c r="J8" s="205">
        <f t="shared" si="5"/>
      </c>
      <c r="K8" s="204">
        <f>SUM(K6:K7)</f>
      </c>
      <c r="L8" s="204">
        <f>SUM(L6:L7)</f>
      </c>
      <c r="M8" s="206"/>
      <c r="N8" s="204">
        <f>SUM(N6:N7)</f>
      </c>
      <c r="O8" s="206"/>
      <c r="P8" s="204">
        <f>SUM(P6:P7)</f>
      </c>
    </row>
    <row r="9">
      <c r="A9" s="197" t="s">
        <v>558</v>
      </c>
      <c r="B9" s="201" t="s">
        <v>559</v>
      </c>
      <c r="C9" s="198" t="s">
        <v>552</v>
      </c>
      <c r="D9" s="198">
        <v>5</v>
      </c>
      <c r="E9" s="198">
        <v>0</v>
      </c>
      <c r="F9" s="198">
        <v>0</v>
      </c>
      <c r="G9" s="198">
        <v>1269.64</v>
      </c>
      <c r="H9" s="199">
        <f t="shared" si="1"/>
      </c>
      <c r="I9" s="199">
        <f t="shared" si="10"/>
      </c>
      <c r="J9" s="199">
        <f t="shared" si="5"/>
      </c>
      <c r="K9" s="198">
        <v>0</v>
      </c>
      <c r="L9" s="198">
        <v>0</v>
      </c>
      <c r="M9" s="198" t="s">
        <v>560</v>
      </c>
      <c r="N9" s="198">
        <v>1</v>
      </c>
      <c r="O9" s="198" t="s">
        <v>550</v>
      </c>
      <c r="P9" s="198">
        <v>10</v>
      </c>
    </row>
    <row customHeight="true" ht="16.071428571428573" r="10">
      <c r="A10" s="197"/>
      <c r="B10" s="201"/>
      <c r="C10" s="198"/>
      <c r="D10" s="198"/>
      <c r="E10" s="198"/>
      <c r="F10" s="198"/>
      <c r="G10" s="198"/>
      <c r="H10" s="199"/>
      <c r="I10" s="199"/>
      <c r="J10" s="199"/>
      <c r="K10" s="198"/>
      <c r="L10" s="198"/>
      <c r="M10" s="198" t="s">
        <v>561</v>
      </c>
      <c r="N10" s="198">
        <v>3.5</v>
      </c>
      <c r="O10" s="198"/>
      <c r="P10" s="198"/>
    </row>
    <row r="11">
      <c r="A11" s="197" t="s">
        <v>558</v>
      </c>
      <c r="B11" s="198" t="s">
        <v>553</v>
      </c>
      <c r="C11" s="198" t="s">
        <v>562</v>
      </c>
      <c r="D11" s="198">
        <v>0.5</v>
      </c>
      <c r="E11" s="198">
        <v>0</v>
      </c>
      <c r="F11" s="198">
        <v>0</v>
      </c>
      <c r="G11" s="198">
        <v>217.63000000000002</v>
      </c>
      <c r="H11" s="199">
        <f t="shared" ref="H11:H54" si="2">F11/G11</f>
      </c>
      <c r="I11" s="199">
        <f t="shared" ref="I11:I54" si="11">F11/E11</f>
      </c>
      <c r="J11" s="199">
        <f t="shared" ref="J11:J34" si="6">G11/E11</f>
      </c>
      <c r="K11" s="198">
        <v>0</v>
      </c>
      <c r="L11" s="198">
        <v>0</v>
      </c>
      <c r="M11" s="198" t="s">
        <v>563</v>
      </c>
      <c r="N11" s="198">
        <v>1</v>
      </c>
      <c r="O11" s="198"/>
      <c r="P11" s="201"/>
    </row>
    <row r="12">
      <c r="A12" s="207">
        <v>46126</v>
      </c>
      <c r="B12" s="203"/>
      <c r="C12" s="203"/>
      <c r="D12" s="204">
        <f>SUM(D9:D11)</f>
      </c>
      <c r="E12" s="204">
        <f>SUM(E9:E11)</f>
      </c>
      <c r="F12" s="204">
        <f>SUM(F9:F11)</f>
      </c>
      <c r="G12" s="204">
        <f>SUM(G9:G11)</f>
      </c>
      <c r="H12" s="205">
        <f t="shared" si="2"/>
      </c>
      <c r="I12" s="205">
        <f t="shared" si="11"/>
      </c>
      <c r="J12" s="205">
        <f t="shared" si="6"/>
      </c>
      <c r="K12" s="204">
        <f>SUM(K9:K11)</f>
      </c>
      <c r="L12" s="204">
        <f>SUM(L9:L11)</f>
      </c>
      <c r="M12" s="206"/>
      <c r="N12" s="204">
        <f>SUM(N9:N11)</f>
      </c>
      <c r="O12" s="206"/>
      <c r="P12" s="204">
        <f>SUM(P9:P11)</f>
      </c>
    </row>
    <row r="13">
      <c r="A13" s="197" t="s">
        <v>564</v>
      </c>
      <c r="B13" s="198" t="s">
        <v>559</v>
      </c>
      <c r="C13" s="198" t="s">
        <v>552</v>
      </c>
      <c r="D13" s="198">
        <v>5</v>
      </c>
      <c r="E13" s="198">
        <v>3</v>
      </c>
      <c r="F13" s="198">
        <v>2611.2</v>
      </c>
      <c r="G13" s="198">
        <v>3396.4799999999996</v>
      </c>
      <c r="H13" s="199">
        <f t="shared" si="2"/>
      </c>
      <c r="I13" s="199">
        <f t="shared" si="11"/>
      </c>
      <c r="J13" s="199">
        <f t="shared" si="6"/>
      </c>
      <c r="K13" s="198">
        <v>0</v>
      </c>
      <c r="L13" s="198">
        <v>0</v>
      </c>
      <c r="M13" s="198" t="s">
        <v>555</v>
      </c>
      <c r="N13" s="198">
        <v>10</v>
      </c>
      <c r="O13" s="198" t="s">
        <v>550</v>
      </c>
      <c r="P13" s="198">
        <v>10</v>
      </c>
    </row>
    <row r="14">
      <c r="A14" s="197" t="s">
        <v>564</v>
      </c>
      <c r="B14" s="198" t="s">
        <v>553</v>
      </c>
      <c r="C14" s="198" t="s">
        <v>554</v>
      </c>
      <c r="D14" s="198">
        <v>5</v>
      </c>
      <c r="E14" s="198">
        <v>2</v>
      </c>
      <c r="F14" s="198">
        <v>2023.1999999999998</v>
      </c>
      <c r="G14" s="198">
        <v>786.9699999999999</v>
      </c>
      <c r="H14" s="199">
        <f t="shared" si="2"/>
      </c>
      <c r="I14" s="199">
        <f t="shared" si="11"/>
      </c>
      <c r="J14" s="199">
        <f t="shared" si="6"/>
      </c>
      <c r="K14" s="198">
        <v>0</v>
      </c>
      <c r="L14" s="198">
        <v>0</v>
      </c>
      <c r="M14" s="198"/>
      <c r="N14" s="198"/>
      <c r="O14" s="200"/>
      <c r="P14" s="201"/>
    </row>
    <row r="15">
      <c r="A15" s="207">
        <v>46127</v>
      </c>
      <c r="B15" s="203"/>
      <c r="C15" s="203"/>
      <c r="D15" s="204">
        <f>SUM(D13:D14)</f>
      </c>
      <c r="E15" s="204">
        <f>SUM(E13:E14)</f>
      </c>
      <c r="F15" s="204">
        <f>SUM(F13:F14)</f>
      </c>
      <c r="G15" s="204">
        <f>SUM(G13:G14)</f>
      </c>
      <c r="H15" s="205">
        <f t="shared" si="2"/>
      </c>
      <c r="I15" s="205">
        <f t="shared" si="11"/>
      </c>
      <c r="J15" s="205">
        <f t="shared" si="6"/>
      </c>
      <c r="K15" s="204">
        <f>SUM(K13:K14)</f>
      </c>
      <c r="L15" s="204">
        <f>SUM(L13:L14)</f>
      </c>
      <c r="M15" s="206"/>
      <c r="N15" s="204">
        <f>SUM(N13:N14)</f>
      </c>
      <c r="O15" s="206"/>
      <c r="P15" s="204">
        <f>SUM(P13:P14)</f>
      </c>
    </row>
    <row r="16">
      <c r="A16" s="197" t="s">
        <v>565</v>
      </c>
      <c r="B16" s="198" t="s">
        <v>559</v>
      </c>
      <c r="C16" s="198" t="s">
        <v>552</v>
      </c>
      <c r="D16" s="198">
        <v>5</v>
      </c>
      <c r="E16" s="198">
        <v>2</v>
      </c>
      <c r="F16" s="198">
        <v>3422.4</v>
      </c>
      <c r="G16" s="198">
        <v>2486.7200000000003</v>
      </c>
      <c r="H16" s="199">
        <f t="shared" si="2"/>
      </c>
      <c r="I16" s="199">
        <f t="shared" si="11"/>
      </c>
      <c r="J16" s="199">
        <f t="shared" si="6"/>
      </c>
      <c r="K16" s="198">
        <v>0</v>
      </c>
      <c r="L16" s="198">
        <v>0</v>
      </c>
      <c r="M16" s="198" t="s">
        <v>555</v>
      </c>
      <c r="N16" s="198">
        <v>10</v>
      </c>
      <c r="O16" s="198" t="s">
        <v>550</v>
      </c>
      <c r="P16" s="198">
        <v>10</v>
      </c>
    </row>
    <row customHeight="true" ht="16.071428571428573" r="17">
      <c r="A17" s="197" t="s">
        <v>565</v>
      </c>
      <c r="B17" s="198" t="s">
        <v>553</v>
      </c>
      <c r="C17" s="198" t="s">
        <v>554</v>
      </c>
      <c r="D17" s="198">
        <v>5</v>
      </c>
      <c r="E17" s="198">
        <v>9</v>
      </c>
      <c r="F17" s="198">
        <v>15932.4</v>
      </c>
      <c r="G17" s="198">
        <v>7858.51</v>
      </c>
      <c r="H17" s="199">
        <f t="shared" si="2"/>
      </c>
      <c r="I17" s="199">
        <f t="shared" si="11"/>
      </c>
      <c r="J17" s="199">
        <f t="shared" si="6"/>
      </c>
      <c r="K17" s="198">
        <v>3</v>
      </c>
      <c r="L17" s="198">
        <v>4378.8</v>
      </c>
      <c r="M17" s="198"/>
      <c r="N17" s="198"/>
      <c r="O17" s="200"/>
      <c r="P17" s="201"/>
    </row>
    <row customHeight="true" ht="16.071428571428573" r="18">
      <c r="A18" s="207">
        <v>46128</v>
      </c>
      <c r="B18" s="203"/>
      <c r="C18" s="203"/>
      <c r="D18" s="204">
        <f>SUM(D16:D17)</f>
      </c>
      <c r="E18" s="204">
        <f>SUM(E16:E17)</f>
      </c>
      <c r="F18" s="204">
        <f>SUM(F16:F17)</f>
      </c>
      <c r="G18" s="204">
        <f>SUM(G16:G17)</f>
      </c>
      <c r="H18" s="205">
        <f t="shared" si="2"/>
      </c>
      <c r="I18" s="205">
        <f t="shared" si="11"/>
      </c>
      <c r="J18" s="205">
        <f t="shared" si="6"/>
      </c>
      <c r="K18" s="204">
        <f>SUM(K16:K17)</f>
      </c>
      <c r="L18" s="204">
        <f>SUM(L16:L17)</f>
      </c>
      <c r="M18" s="206"/>
      <c r="N18" s="204">
        <f>SUM(N16:N17)</f>
      </c>
      <c r="O18" s="206"/>
      <c r="P18" s="204">
        <f>SUM(P16:P17)</f>
      </c>
    </row>
    <row customHeight="true" ht="16.071428571428573" r="19">
      <c r="A19" s="197" t="s">
        <v>566</v>
      </c>
      <c r="B19" s="198" t="s">
        <v>553</v>
      </c>
      <c r="C19" s="198" t="s">
        <v>552</v>
      </c>
      <c r="D19" s="198">
        <v>5</v>
      </c>
      <c r="E19" s="198">
        <v>3</v>
      </c>
      <c r="F19" s="198">
        <v>2206.8</v>
      </c>
      <c r="G19" s="198">
        <v>2362.16</v>
      </c>
      <c r="H19" s="199">
        <f t="shared" si="2"/>
      </c>
      <c r="I19" s="199">
        <f t="shared" si="11"/>
      </c>
      <c r="J19" s="199">
        <f t="shared" si="6"/>
      </c>
      <c r="K19" s="198">
        <v>0</v>
      </c>
      <c r="L19" s="198">
        <v>0</v>
      </c>
      <c r="M19" s="198" t="s">
        <v>555</v>
      </c>
      <c r="N19" s="198">
        <v>10</v>
      </c>
      <c r="O19" s="201" t="s">
        <v>550</v>
      </c>
      <c r="P19" s="198">
        <v>10</v>
      </c>
    </row>
    <row customHeight="true" ht="16.071428571428573" r="20">
      <c r="A20" s="197" t="s">
        <v>566</v>
      </c>
      <c r="B20" s="198" t="s">
        <v>559</v>
      </c>
      <c r="C20" s="198" t="s">
        <v>554</v>
      </c>
      <c r="D20" s="198">
        <v>5</v>
      </c>
      <c r="E20" s="198">
        <v>3</v>
      </c>
      <c r="F20" s="198">
        <v>5109.599999999999</v>
      </c>
      <c r="G20" s="198">
        <v>5014.79</v>
      </c>
      <c r="H20" s="199">
        <f t="shared" si="2"/>
      </c>
      <c r="I20" s="199">
        <f t="shared" si="11"/>
      </c>
      <c r="J20" s="199">
        <f t="shared" si="6"/>
      </c>
      <c r="K20" s="198">
        <v>0</v>
      </c>
      <c r="L20" s="198">
        <v>0</v>
      </c>
      <c r="M20" s="198"/>
      <c r="N20" s="198"/>
      <c r="O20" s="200"/>
      <c r="P20" s="201"/>
    </row>
    <row r="21">
      <c r="A21" s="207">
        <v>46129</v>
      </c>
      <c r="B21" s="203"/>
      <c r="C21" s="203"/>
      <c r="D21" s="204">
        <f>SUM(D19:D20)</f>
      </c>
      <c r="E21" s="204">
        <f>SUM(E19:E20)</f>
      </c>
      <c r="F21" s="204">
        <f>SUM(F19:F20)</f>
      </c>
      <c r="G21" s="204">
        <f>SUM(G19:G20)</f>
      </c>
      <c r="H21" s="205">
        <f t="shared" si="2"/>
      </c>
      <c r="I21" s="205">
        <f t="shared" si="11"/>
      </c>
      <c r="J21" s="205">
        <f t="shared" si="6"/>
      </c>
      <c r="K21" s="204">
        <f>SUM(K19:K20)</f>
      </c>
      <c r="L21" s="204">
        <f>SUM(L19:L20)</f>
      </c>
      <c r="M21" s="206"/>
      <c r="N21" s="204">
        <f>SUM(N19:N20)</f>
      </c>
      <c r="O21" s="206"/>
      <c r="P21" s="204">
        <f>SUM(P19:P20)</f>
      </c>
    </row>
    <row r="22">
      <c r="A22" s="197" t="s">
        <v>567</v>
      </c>
      <c r="B22" s="198" t="s">
        <v>559</v>
      </c>
      <c r="C22" s="198" t="s">
        <v>552</v>
      </c>
      <c r="D22" s="198">
        <v>5</v>
      </c>
      <c r="E22" s="198">
        <v>4</v>
      </c>
      <c r="F22" s="198">
        <v>6601</v>
      </c>
      <c r="G22" s="198">
        <v>5073.31</v>
      </c>
      <c r="H22" s="199">
        <f t="shared" si="2"/>
      </c>
      <c r="I22" s="199">
        <f t="shared" si="11"/>
      </c>
      <c r="J22" s="199">
        <f t="shared" si="6"/>
      </c>
      <c r="K22" s="198">
        <v>0</v>
      </c>
      <c r="L22" s="198">
        <v>0</v>
      </c>
      <c r="M22" s="198" t="s">
        <v>555</v>
      </c>
      <c r="N22" s="198">
        <v>10</v>
      </c>
      <c r="O22" s="198" t="s">
        <v>550</v>
      </c>
      <c r="P22" s="198">
        <v>10</v>
      </c>
    </row>
    <row r="23">
      <c r="A23" s="197" t="s">
        <v>567</v>
      </c>
      <c r="B23" s="198" t="s">
        <v>553</v>
      </c>
      <c r="C23" s="198" t="s">
        <v>554</v>
      </c>
      <c r="D23" s="198">
        <v>5</v>
      </c>
      <c r="E23" s="198">
        <v>3</v>
      </c>
      <c r="F23" s="198">
        <v>3178.7999999999993</v>
      </c>
      <c r="G23" s="198">
        <v>3476.22</v>
      </c>
      <c r="H23" s="199">
        <f t="shared" si="2"/>
      </c>
      <c r="I23" s="199">
        <f t="shared" si="11"/>
      </c>
      <c r="J23" s="199">
        <f t="shared" si="6"/>
      </c>
      <c r="K23" s="198">
        <v>0</v>
      </c>
      <c r="L23" s="198">
        <v>0</v>
      </c>
      <c r="M23" s="198"/>
      <c r="N23" s="198"/>
      <c r="O23" s="200"/>
      <c r="P23" s="201"/>
    </row>
    <row r="24">
      <c r="A24" s="207">
        <v>46130</v>
      </c>
      <c r="B24" s="203"/>
      <c r="C24" s="203"/>
      <c r="D24" s="204">
        <f>SUM(D22:D23)</f>
      </c>
      <c r="E24" s="204">
        <f>SUM(E22:E23)</f>
      </c>
      <c r="F24" s="204">
        <f>SUM(F22:F23)</f>
      </c>
      <c r="G24" s="204">
        <f>SUM(G22:G23)</f>
      </c>
      <c r="H24" s="205">
        <f t="shared" si="2"/>
      </c>
      <c r="I24" s="205">
        <f t="shared" si="11"/>
      </c>
      <c r="J24" s="205">
        <f t="shared" si="6"/>
      </c>
      <c r="K24" s="204">
        <f>SUM(K22:K23)</f>
      </c>
      <c r="L24" s="204">
        <f>SUM(L22:L23)</f>
      </c>
      <c r="M24" s="206"/>
      <c r="N24" s="204">
        <f>SUM(N22:N23)</f>
      </c>
      <c r="O24" s="206"/>
      <c r="P24" s="204">
        <f>SUM(P22:P23)</f>
      </c>
    </row>
    <row r="25">
      <c r="A25" s="197" t="s">
        <v>568</v>
      </c>
      <c r="B25" s="198" t="s">
        <v>559</v>
      </c>
      <c r="C25" s="198" t="s">
        <v>569</v>
      </c>
      <c r="D25" s="198">
        <v>4</v>
      </c>
      <c r="E25" s="198">
        <v>2</v>
      </c>
      <c r="F25" s="198">
        <v>2455.2</v>
      </c>
      <c r="G25" s="198">
        <v>1388.3600000000001</v>
      </c>
      <c r="H25" s="199">
        <f t="shared" si="2"/>
      </c>
      <c r="I25" s="199">
        <f t="shared" si="11"/>
      </c>
      <c r="J25" s="199">
        <f t="shared" si="6"/>
      </c>
      <c r="K25" s="198">
        <v>0</v>
      </c>
      <c r="L25" s="198">
        <v>0</v>
      </c>
      <c r="M25" s="198" t="s">
        <v>555</v>
      </c>
      <c r="N25" s="198">
        <v>10</v>
      </c>
      <c r="O25" s="198" t="s">
        <v>550</v>
      </c>
      <c r="P25" s="198">
        <v>10</v>
      </c>
    </row>
    <row r="26">
      <c r="A26" s="197" t="s">
        <v>568</v>
      </c>
      <c r="B26" s="198" t="s">
        <v>553</v>
      </c>
      <c r="C26" s="198" t="s">
        <v>570</v>
      </c>
      <c r="D26" s="198">
        <v>6</v>
      </c>
      <c r="E26" s="198">
        <v>6</v>
      </c>
      <c r="F26" s="198">
        <v>7844.400000000001</v>
      </c>
      <c r="G26" s="198">
        <v>3709.3099999999995</v>
      </c>
      <c r="H26" s="199">
        <f t="shared" si="2"/>
      </c>
      <c r="I26" s="199">
        <f t="shared" si="11"/>
      </c>
      <c r="J26" s="199">
        <f t="shared" si="6"/>
      </c>
      <c r="K26" s="198">
        <v>0</v>
      </c>
      <c r="L26" s="198">
        <v>0</v>
      </c>
      <c r="M26" s="198"/>
      <c r="N26" s="198"/>
      <c r="O26" s="200"/>
      <c r="P26" s="201"/>
    </row>
    <row r="27">
      <c r="A27" s="207">
        <v>46131</v>
      </c>
      <c r="B27" s="203"/>
      <c r="C27" s="203"/>
      <c r="D27" s="204">
        <f>SUM(D25:D26)</f>
      </c>
      <c r="E27" s="204">
        <f>SUM(E25:E26)</f>
      </c>
      <c r="F27" s="204">
        <f>SUM(F25:F26)</f>
      </c>
      <c r="G27" s="204">
        <f>SUM(G25:G26)</f>
      </c>
      <c r="H27" s="205">
        <f t="shared" si="2"/>
      </c>
      <c r="I27" s="205">
        <f t="shared" si="11"/>
      </c>
      <c r="J27" s="205">
        <f t="shared" si="6"/>
      </c>
      <c r="K27" s="204">
        <f>SUM(K25:K26)</f>
      </c>
      <c r="L27" s="204">
        <f>SUM(L25:L26)</f>
      </c>
      <c r="M27" s="206"/>
      <c r="N27" s="204">
        <f>SUM(N25:N26)</f>
      </c>
      <c r="O27" s="206"/>
      <c r="P27" s="204">
        <f>SUM(P25:P26)</f>
      </c>
    </row>
    <row r="28">
      <c r="A28" s="197" t="s">
        <v>571</v>
      </c>
      <c r="B28" s="198" t="s">
        <v>559</v>
      </c>
      <c r="C28" s="198" t="s">
        <v>552</v>
      </c>
      <c r="D28" s="198">
        <v>5</v>
      </c>
      <c r="E28" s="198">
        <v>0</v>
      </c>
      <c r="F28" s="198">
        <v>0</v>
      </c>
      <c r="G28" s="198">
        <v>2369.1600000000003</v>
      </c>
      <c r="H28" s="199">
        <f t="shared" si="2"/>
      </c>
      <c r="I28" s="199">
        <f t="shared" si="11"/>
      </c>
      <c r="J28" s="199">
        <f t="shared" si="6"/>
      </c>
      <c r="K28" s="198">
        <v>0</v>
      </c>
      <c r="L28" s="198">
        <v>0</v>
      </c>
      <c r="M28" s="198" t="s">
        <v>555</v>
      </c>
      <c r="N28" s="198">
        <v>10</v>
      </c>
      <c r="O28" s="198" t="s">
        <v>550</v>
      </c>
      <c r="P28" s="198">
        <v>10</v>
      </c>
    </row>
    <row r="29">
      <c r="A29" s="197" t="s">
        <v>571</v>
      </c>
      <c r="B29" s="198" t="s">
        <v>553</v>
      </c>
      <c r="C29" s="198" t="s">
        <v>554</v>
      </c>
      <c r="D29" s="198">
        <v>5</v>
      </c>
      <c r="E29" s="198">
        <v>8</v>
      </c>
      <c r="F29" s="198">
        <v>3984.4</v>
      </c>
      <c r="G29" s="198">
        <v>2425.17</v>
      </c>
      <c r="H29" s="199">
        <f t="shared" si="2"/>
      </c>
      <c r="I29" s="199">
        <f t="shared" si="11"/>
      </c>
      <c r="J29" s="199">
        <f t="shared" si="6"/>
      </c>
      <c r="K29" s="198">
        <v>1</v>
      </c>
      <c r="L29" s="198">
        <v>177.6</v>
      </c>
      <c r="M29" s="198"/>
      <c r="N29" s="198"/>
      <c r="O29" s="200"/>
      <c r="P29" s="201"/>
    </row>
    <row r="30">
      <c r="A30" s="207">
        <v>46132</v>
      </c>
      <c r="B30" s="203"/>
      <c r="C30" s="203"/>
      <c r="D30" s="204">
        <f>SUM(D28:D29)</f>
      </c>
      <c r="E30" s="204">
        <f>SUM(E28:E29)</f>
      </c>
      <c r="F30" s="204">
        <f>SUM(F28:F29)</f>
      </c>
      <c r="G30" s="204">
        <f>SUM(G28:G29)</f>
      </c>
      <c r="H30" s="205">
        <f t="shared" si="2"/>
      </c>
      <c r="I30" s="205">
        <f t="shared" si="11"/>
      </c>
      <c r="J30" s="205">
        <f t="shared" si="6"/>
      </c>
      <c r="K30" s="204">
        <f>SUM(K28:K29)</f>
      </c>
      <c r="L30" s="204">
        <f>SUM(L28:L29)</f>
      </c>
      <c r="M30" s="206"/>
      <c r="N30" s="204">
        <f>SUM(N28:N29)</f>
      </c>
      <c r="O30" s="206"/>
      <c r="P30" s="204">
        <f>SUM(P28:P29)</f>
      </c>
    </row>
    <row r="31">
      <c r="A31" s="197" t="s">
        <v>572</v>
      </c>
      <c r="B31" s="198" t="s">
        <v>553</v>
      </c>
      <c r="C31" s="198" t="s">
        <v>552</v>
      </c>
      <c r="D31" s="198">
        <v>5</v>
      </c>
      <c r="E31" s="198">
        <v>6</v>
      </c>
      <c r="F31" s="198">
        <v>4582.8</v>
      </c>
      <c r="G31" s="198">
        <v>3624.7400000000002</v>
      </c>
      <c r="H31" s="199">
        <f t="shared" si="2"/>
      </c>
      <c r="I31" s="199">
        <f t="shared" si="11"/>
      </c>
      <c r="J31" s="199">
        <f t="shared" si="6"/>
      </c>
      <c r="K31" s="198">
        <v>2</v>
      </c>
      <c r="L31" s="198">
        <v>2347.2</v>
      </c>
      <c r="M31" s="198" t="s">
        <v>555</v>
      </c>
      <c r="N31" s="198">
        <v>10</v>
      </c>
      <c r="O31" s="198" t="s">
        <v>550</v>
      </c>
      <c r="P31" s="198">
        <v>10</v>
      </c>
    </row>
    <row r="32">
      <c r="A32" s="197" t="s">
        <v>572</v>
      </c>
      <c r="B32" s="198" t="s">
        <v>559</v>
      </c>
      <c r="C32" s="198" t="s">
        <v>554</v>
      </c>
      <c r="D32" s="198">
        <v>5</v>
      </c>
      <c r="E32" s="198">
        <v>5</v>
      </c>
      <c r="F32" s="198">
        <v>7721.999999999999</v>
      </c>
      <c r="G32" s="198">
        <v>6463.04</v>
      </c>
      <c r="H32" s="199">
        <f t="shared" si="2"/>
      </c>
      <c r="I32" s="199">
        <f t="shared" si="11"/>
      </c>
      <c r="J32" s="199">
        <f t="shared" si="6"/>
      </c>
      <c r="K32" s="198">
        <v>0</v>
      </c>
      <c r="L32" s="198">
        <v>0</v>
      </c>
      <c r="M32" s="198"/>
      <c r="N32" s="198"/>
      <c r="O32" s="200"/>
      <c r="P32" s="201"/>
    </row>
    <row r="33">
      <c r="A33" s="207">
        <v>46133</v>
      </c>
      <c r="B33" s="203"/>
      <c r="C33" s="203"/>
      <c r="D33" s="204">
        <f>SUM(D31:D32)</f>
      </c>
      <c r="E33" s="204">
        <f>SUM(E31:E32)</f>
      </c>
      <c r="F33" s="204">
        <f>SUM(F31:F32)</f>
      </c>
      <c r="G33" s="204">
        <f>SUM(G31:G32)</f>
      </c>
      <c r="H33" s="205">
        <f t="shared" si="2"/>
      </c>
      <c r="I33" s="205">
        <f t="shared" si="11"/>
      </c>
      <c r="J33" s="205">
        <f t="shared" si="6"/>
      </c>
      <c r="K33" s="204">
        <f>SUM(K31:K32)</f>
      </c>
      <c r="L33" s="204">
        <f>SUM(L31:L32)</f>
      </c>
      <c r="M33" s="206"/>
      <c r="N33" s="204">
        <f>SUM(N31:N32)</f>
      </c>
      <c r="O33" s="206"/>
      <c r="P33" s="204">
        <f>SUM(P31:P32)</f>
      </c>
    </row>
    <row r="34">
      <c r="A34" s="197" t="s">
        <v>573</v>
      </c>
      <c r="B34" s="201" t="s">
        <v>559</v>
      </c>
      <c r="C34" s="201" t="s">
        <v>574</v>
      </c>
      <c r="D34" s="201">
        <v>4</v>
      </c>
      <c r="E34" s="198">
        <v>3</v>
      </c>
      <c r="F34" s="201">
        <v>3696</v>
      </c>
      <c r="G34" s="201">
        <v>3561.26</v>
      </c>
      <c r="H34" s="199">
        <f t="shared" si="2"/>
      </c>
      <c r="I34" s="199">
        <f t="shared" si="11"/>
      </c>
      <c r="J34" s="199">
        <f t="shared" si="6"/>
      </c>
      <c r="K34" s="198">
        <v>1</v>
      </c>
      <c r="L34" s="201">
        <v>1411.2</v>
      </c>
      <c r="M34" s="198" t="s">
        <v>575</v>
      </c>
      <c r="N34" s="201">
        <v>8</v>
      </c>
      <c r="O34" s="201" t="s">
        <v>576</v>
      </c>
      <c r="P34" s="198">
        <v>16</v>
      </c>
    </row>
    <row r="35">
      <c r="A35" s="197" t="s">
        <v>573</v>
      </c>
      <c r="B35" s="201" t="s">
        <v>577</v>
      </c>
      <c r="C35" s="201" t="s">
        <v>578</v>
      </c>
      <c r="D35" s="201">
        <v>4</v>
      </c>
      <c r="E35" s="198">
        <v>4</v>
      </c>
      <c r="F35" s="201">
        <v>6384</v>
      </c>
      <c r="G35" s="201">
        <v>2980.6899999999996</v>
      </c>
      <c r="H35" s="199">
        <f t="shared" si="2"/>
      </c>
      <c r="I35" s="199">
        <f t="shared" si="11"/>
      </c>
      <c r="J35" s="199">
        <f>G34/E35</f>
      </c>
      <c r="K35" s="198">
        <v>0</v>
      </c>
      <c r="L35" s="198">
        <v>0</v>
      </c>
      <c r="M35" s="201"/>
      <c r="N35" s="201"/>
      <c r="O35" s="208"/>
      <c r="P35" s="201"/>
    </row>
    <row r="36">
      <c r="A36" s="197" t="s">
        <v>573</v>
      </c>
      <c r="B36" s="201" t="s">
        <v>579</v>
      </c>
      <c r="C36" s="201" t="s">
        <v>580</v>
      </c>
      <c r="D36" s="201">
        <v>4</v>
      </c>
      <c r="E36" s="198">
        <v>2</v>
      </c>
      <c r="F36" s="201">
        <v>2266.7999999999993</v>
      </c>
      <c r="G36" s="201">
        <v>1929.6799999999998</v>
      </c>
      <c r="H36" s="199">
        <f t="shared" si="2"/>
      </c>
      <c r="I36" s="199">
        <f t="shared" si="11"/>
      </c>
      <c r="J36" s="199">
        <f t="shared" ref="J36:J39" si="7">G36/E36</f>
      </c>
      <c r="K36" s="198">
        <v>1</v>
      </c>
      <c r="L36" s="198">
        <v>178.79999999999995</v>
      </c>
      <c r="M36" s="201"/>
      <c r="N36" s="201"/>
      <c r="O36" s="201"/>
      <c r="P36" s="201"/>
    </row>
    <row r="37">
      <c r="A37" s="197" t="s">
        <v>573</v>
      </c>
      <c r="B37" s="201" t="s">
        <v>553</v>
      </c>
      <c r="C37" s="201" t="s">
        <v>581</v>
      </c>
      <c r="D37" s="201">
        <v>4</v>
      </c>
      <c r="E37" s="198">
        <v>2</v>
      </c>
      <c r="F37" s="201">
        <v>2190</v>
      </c>
      <c r="G37" s="201">
        <v>3171.8</v>
      </c>
      <c r="H37" s="199">
        <f t="shared" si="2"/>
      </c>
      <c r="I37" s="199">
        <f t="shared" si="11"/>
      </c>
      <c r="J37" s="199">
        <f t="shared" si="7"/>
      </c>
      <c r="K37" s="198">
        <v>0</v>
      </c>
      <c r="L37" s="198">
        <v>0</v>
      </c>
      <c r="M37" s="198" t="s">
        <v>555</v>
      </c>
      <c r="N37" s="201">
        <v>8</v>
      </c>
      <c r="O37" s="201"/>
      <c r="P37" s="201"/>
    </row>
    <row r="38">
      <c r="A38" s="209" t="s">
        <v>573</v>
      </c>
      <c r="B38" s="203"/>
      <c r="C38" s="203"/>
      <c r="D38" s="204">
        <f>SUM(D34:D37)</f>
      </c>
      <c r="E38" s="204">
        <f>SUM(E34:E37)</f>
      </c>
      <c r="F38" s="204">
        <f>SUM(F34:F37)</f>
      </c>
      <c r="G38" s="204">
        <f>SUM(G34:G37)</f>
      </c>
      <c r="H38" s="205">
        <f t="shared" si="2"/>
      </c>
      <c r="I38" s="205">
        <f t="shared" si="11"/>
      </c>
      <c r="J38" s="205">
        <f t="shared" si="7"/>
      </c>
      <c r="K38" s="204">
        <f>SUM(K34:K37)</f>
      </c>
      <c r="L38" s="204">
        <f>SUM(L34:L37)</f>
      </c>
      <c r="M38" s="206"/>
      <c r="N38" s="204">
        <f>SUM(N34:N37)</f>
      </c>
      <c r="O38" s="206"/>
      <c r="P38" s="206">
        <f>SUM(P34:P37)</f>
      </c>
    </row>
    <row r="39">
      <c r="A39" s="197" t="s">
        <v>582</v>
      </c>
      <c r="B39" s="201" t="s">
        <v>577</v>
      </c>
      <c r="C39" s="201" t="s">
        <v>574</v>
      </c>
      <c r="D39" s="201">
        <v>4</v>
      </c>
      <c r="E39" s="198">
        <v>6</v>
      </c>
      <c r="F39" s="198">
        <v>11640</v>
      </c>
      <c r="G39" s="198">
        <v>6968.6</v>
      </c>
      <c r="H39" s="199">
        <f t="shared" si="2"/>
      </c>
      <c r="I39" s="199">
        <f t="shared" si="11"/>
      </c>
      <c r="J39" s="199">
        <f t="shared" si="7"/>
      </c>
      <c r="K39" s="198">
        <v>0</v>
      </c>
      <c r="L39" s="198">
        <v>0</v>
      </c>
      <c r="M39" s="198" t="s">
        <v>583</v>
      </c>
      <c r="N39" s="198">
        <v>7</v>
      </c>
      <c r="O39" s="201" t="s">
        <v>576</v>
      </c>
      <c r="P39" s="198">
        <v>16</v>
      </c>
    </row>
    <row r="40">
      <c r="A40" s="197" t="s">
        <v>582</v>
      </c>
      <c r="B40" s="201" t="s">
        <v>559</v>
      </c>
      <c r="C40" s="201" t="s">
        <v>578</v>
      </c>
      <c r="D40" s="201">
        <v>4</v>
      </c>
      <c r="E40" s="198">
        <v>4</v>
      </c>
      <c r="F40" s="198">
        <v>4209.6</v>
      </c>
      <c r="G40" s="198">
        <v>10327.76</v>
      </c>
      <c r="H40" s="199">
        <f t="shared" si="2"/>
      </c>
      <c r="I40" s="199">
        <f t="shared" si="11"/>
      </c>
      <c r="J40" s="199">
        <f>G39/E40</f>
      </c>
      <c r="K40" s="198">
        <v>0</v>
      </c>
      <c r="L40" s="198">
        <v>0</v>
      </c>
      <c r="M40" s="201"/>
      <c r="N40" s="201"/>
      <c r="O40" s="208"/>
      <c r="P40" s="201"/>
    </row>
    <row r="41">
      <c r="A41" s="197" t="s">
        <v>582</v>
      </c>
      <c r="B41" s="201" t="s">
        <v>584</v>
      </c>
      <c r="C41" s="201" t="s">
        <v>580</v>
      </c>
      <c r="D41" s="201">
        <v>4</v>
      </c>
      <c r="E41" s="198">
        <v>2</v>
      </c>
      <c r="F41" s="198">
        <v>3703.2</v>
      </c>
      <c r="G41" s="198">
        <v>2055.84</v>
      </c>
      <c r="H41" s="199">
        <f t="shared" si="2"/>
      </c>
      <c r="I41" s="199">
        <f t="shared" si="11"/>
      </c>
      <c r="J41" s="199">
        <f t="shared" ref="J41:J54" si="8">G41/E41</f>
      </c>
      <c r="K41" s="198">
        <v>0</v>
      </c>
      <c r="L41" s="198">
        <v>0</v>
      </c>
      <c r="M41" s="201"/>
      <c r="N41" s="201"/>
      <c r="O41" s="201"/>
      <c r="P41" s="201"/>
    </row>
    <row r="42">
      <c r="A42" s="197" t="s">
        <v>582</v>
      </c>
      <c r="B42" s="201" t="s">
        <v>553</v>
      </c>
      <c r="C42" s="201" t="s">
        <v>581</v>
      </c>
      <c r="D42" s="201">
        <v>4</v>
      </c>
      <c r="E42" s="198">
        <v>5</v>
      </c>
      <c r="F42" s="198">
        <v>6187.2</v>
      </c>
      <c r="G42" s="198">
        <v>3273.26</v>
      </c>
      <c r="H42" s="199">
        <f t="shared" si="2"/>
      </c>
      <c r="I42" s="199">
        <f t="shared" si="11"/>
      </c>
      <c r="J42" s="199">
        <f t="shared" si="8"/>
      </c>
      <c r="K42" s="198">
        <v>0</v>
      </c>
      <c r="L42" s="198">
        <v>0</v>
      </c>
      <c r="M42" s="198" t="s">
        <v>585</v>
      </c>
      <c r="N42" s="198">
        <v>9</v>
      </c>
      <c r="O42" s="201"/>
      <c r="P42" s="201"/>
    </row>
    <row r="43">
      <c r="A43" s="207">
        <v>46135</v>
      </c>
      <c r="B43" s="203"/>
      <c r="C43" s="203"/>
      <c r="D43" s="204">
        <f>SUM(D39:D42)</f>
      </c>
      <c r="E43" s="204">
        <f>SUM(E39:E42)</f>
      </c>
      <c r="F43" s="204">
        <f>SUM(F39:F42)</f>
      </c>
      <c r="G43" s="204">
        <f>SUM(G39:G42)</f>
      </c>
      <c r="H43" s="205">
        <f t="shared" si="2"/>
      </c>
      <c r="I43" s="205">
        <f t="shared" si="11"/>
      </c>
      <c r="J43" s="205">
        <f t="shared" si="8"/>
      </c>
      <c r="K43" s="204">
        <f>SUM(K39:K42)</f>
      </c>
      <c r="L43" s="204">
        <f>SUM(L39:L42)</f>
      </c>
      <c r="M43" s="206"/>
      <c r="N43" s="204">
        <f>SUM(N39:N42)</f>
      </c>
      <c r="O43" s="206"/>
      <c r="P43" s="206">
        <f>SUM(P39:P42)</f>
      </c>
    </row>
    <row r="44">
      <c r="A44" s="197" t="s">
        <v>586</v>
      </c>
      <c r="B44" s="198" t="s">
        <v>553</v>
      </c>
      <c r="C44" s="198" t="s">
        <v>552</v>
      </c>
      <c r="D44" s="198">
        <v>5</v>
      </c>
      <c r="E44" s="198">
        <v>2</v>
      </c>
      <c r="F44" s="198">
        <v>1260</v>
      </c>
      <c r="G44" s="198">
        <v>2666.75</v>
      </c>
      <c r="H44" s="199">
        <f t="shared" si="2"/>
      </c>
      <c r="I44" s="199">
        <f t="shared" si="11"/>
      </c>
      <c r="J44" s="199">
        <f t="shared" si="8"/>
      </c>
      <c r="K44" s="198">
        <v>1</v>
      </c>
      <c r="L44" s="198">
        <v>444</v>
      </c>
      <c r="M44" s="198" t="s">
        <v>587</v>
      </c>
      <c r="N44" s="198">
        <v>10</v>
      </c>
      <c r="O44" s="198" t="s">
        <v>550</v>
      </c>
      <c r="P44" s="198">
        <v>10</v>
      </c>
    </row>
    <row r="45">
      <c r="A45" s="197" t="s">
        <v>586</v>
      </c>
      <c r="B45" s="198" t="s">
        <v>559</v>
      </c>
      <c r="C45" s="198" t="s">
        <v>554</v>
      </c>
      <c r="D45" s="198">
        <v>5</v>
      </c>
      <c r="E45" s="198">
        <v>3</v>
      </c>
      <c r="F45" s="198">
        <v>4394.4</v>
      </c>
      <c r="G45" s="198">
        <v>3156.05</v>
      </c>
      <c r="H45" s="199">
        <f t="shared" si="2"/>
      </c>
      <c r="I45" s="199">
        <f t="shared" si="11"/>
      </c>
      <c r="J45" s="199">
        <f t="shared" si="8"/>
      </c>
      <c r="K45" s="198">
        <v>1</v>
      </c>
      <c r="L45" s="198">
        <v>691.2</v>
      </c>
      <c r="M45" s="198"/>
      <c r="N45" s="198"/>
      <c r="O45" s="200"/>
      <c r="P45" s="201"/>
    </row>
    <row r="46">
      <c r="A46" s="207">
        <v>46136</v>
      </c>
      <c r="B46" s="203"/>
      <c r="C46" s="203"/>
      <c r="D46" s="204">
        <f>SUM(D44:D45)</f>
      </c>
      <c r="E46" s="204">
        <f>SUM(E44:E45)</f>
      </c>
      <c r="F46" s="204">
        <f>SUM(F44:F45)</f>
      </c>
      <c r="G46" s="204">
        <f>SUM(G44:G45)</f>
      </c>
      <c r="H46" s="205">
        <f t="shared" si="2"/>
      </c>
      <c r="I46" s="205">
        <f t="shared" si="11"/>
      </c>
      <c r="J46" s="205">
        <f t="shared" si="8"/>
      </c>
      <c r="K46" s="204">
        <f>SUM(K44:K45)</f>
      </c>
      <c r="L46" s="204">
        <f>SUM(L44:L45)</f>
      </c>
      <c r="M46" s="206"/>
      <c r="N46" s="204">
        <f>SUM(N44:N45)</f>
      </c>
      <c r="O46" s="206"/>
      <c r="P46" s="204">
        <f>SUM(P44:P45)</f>
      </c>
    </row>
    <row r="47">
      <c r="A47" s="197" t="s">
        <v>588</v>
      </c>
      <c r="B47" s="198" t="s">
        <v>559</v>
      </c>
      <c r="C47" s="198" t="s">
        <v>552</v>
      </c>
      <c r="D47" s="210">
        <v>4</v>
      </c>
      <c r="E47" s="198">
        <v>2</v>
      </c>
      <c r="F47" s="198">
        <v>3355.2</v>
      </c>
      <c r="G47" s="198">
        <v>4357.92</v>
      </c>
      <c r="H47" s="199">
        <f t="shared" si="2"/>
      </c>
      <c r="I47" s="199">
        <f t="shared" si="11"/>
      </c>
      <c r="J47" s="199">
        <f t="shared" si="8"/>
      </c>
      <c r="K47" s="198">
        <v>1</v>
      </c>
      <c r="L47" s="198">
        <v>1663.2</v>
      </c>
      <c r="M47" s="198" t="s">
        <v>587</v>
      </c>
      <c r="N47" s="198">
        <v>10</v>
      </c>
      <c r="O47" s="198" t="s">
        <v>550</v>
      </c>
      <c r="P47" s="198">
        <v>10</v>
      </c>
    </row>
    <row r="48">
      <c r="A48" s="197" t="s">
        <v>588</v>
      </c>
      <c r="B48" s="198" t="s">
        <v>553</v>
      </c>
      <c r="C48" s="198" t="s">
        <v>554</v>
      </c>
      <c r="D48" s="198">
        <v>5</v>
      </c>
      <c r="E48" s="198">
        <v>1</v>
      </c>
      <c r="F48" s="198">
        <v>1692</v>
      </c>
      <c r="G48" s="198">
        <v>3017.81</v>
      </c>
      <c r="H48" s="199">
        <f t="shared" si="2"/>
      </c>
      <c r="I48" s="199">
        <f t="shared" si="11"/>
      </c>
      <c r="J48" s="199">
        <f t="shared" si="8"/>
      </c>
      <c r="K48" s="198">
        <v>0</v>
      </c>
      <c r="L48" s="198">
        <v>0</v>
      </c>
      <c r="M48" s="198"/>
      <c r="N48" s="198"/>
      <c r="O48" s="200"/>
      <c r="P48" s="201"/>
    </row>
    <row r="49">
      <c r="A49" s="207">
        <v>46137</v>
      </c>
      <c r="B49" s="203"/>
      <c r="C49" s="203"/>
      <c r="D49" s="204">
        <f>SUM(D47:D48)</f>
      </c>
      <c r="E49" s="204">
        <f>SUM(E47:E48)</f>
      </c>
      <c r="F49" s="204">
        <f>SUM(F47:F48)</f>
      </c>
      <c r="G49" s="204">
        <f>SUM(G47:G48)</f>
      </c>
      <c r="H49" s="205">
        <f t="shared" si="2"/>
      </c>
      <c r="I49" s="205">
        <f t="shared" si="11"/>
      </c>
      <c r="J49" s="205">
        <f t="shared" si="8"/>
      </c>
      <c r="K49" s="204">
        <f>SUM(K47:K48)</f>
      </c>
      <c r="L49" s="204">
        <f>SUM(L47:L48)</f>
      </c>
      <c r="M49" s="206"/>
      <c r="N49" s="204">
        <f>SUM(N47:N48)</f>
      </c>
      <c r="O49" s="206"/>
      <c r="P49" s="204">
        <f>SUM(P47:P48)</f>
      </c>
    </row>
    <row r="50">
      <c r="A50" s="197" t="s">
        <v>589</v>
      </c>
      <c r="B50" s="198" t="s">
        <v>553</v>
      </c>
      <c r="C50" s="198" t="s">
        <v>554</v>
      </c>
      <c r="D50" s="198">
        <v>5</v>
      </c>
      <c r="E50" s="198">
        <v>9</v>
      </c>
      <c r="F50" s="198">
        <v>6025.2</v>
      </c>
      <c r="G50" s="198">
        <v>8451.970000000001</v>
      </c>
      <c r="H50" s="199">
        <f t="shared" si="2"/>
      </c>
      <c r="I50" s="199">
        <f t="shared" si="11"/>
      </c>
      <c r="J50" s="199">
        <f t="shared" si="8"/>
      </c>
      <c r="K50" s="198">
        <v>1</v>
      </c>
      <c r="L50" s="198">
        <v>396</v>
      </c>
      <c r="M50" s="198" t="s">
        <v>590</v>
      </c>
      <c r="N50" s="198">
        <v>5</v>
      </c>
      <c r="O50" s="198" t="s">
        <v>550</v>
      </c>
      <c r="P50" s="201">
        <v>5</v>
      </c>
    </row>
    <row r="51">
      <c r="A51" s="207">
        <v>46139</v>
      </c>
      <c r="B51" s="203"/>
      <c r="C51" s="203"/>
      <c r="D51" s="204">
        <f>SUM(D50)</f>
      </c>
      <c r="E51" s="204">
        <f>SUM(E50)</f>
      </c>
      <c r="F51" s="204">
        <f>SUM(F50)</f>
      </c>
      <c r="G51" s="204">
        <f>SUM(G50)</f>
      </c>
      <c r="H51" s="205">
        <f t="shared" si="2"/>
      </c>
      <c r="I51" s="205">
        <f t="shared" si="11"/>
      </c>
      <c r="J51" s="205">
        <f t="shared" si="8"/>
      </c>
      <c r="K51" s="204">
        <f>SUM(K50)</f>
      </c>
      <c r="L51" s="204">
        <f>SUM(L50)</f>
      </c>
      <c r="M51" s="206"/>
      <c r="N51" s="211">
        <v>5</v>
      </c>
      <c r="O51" s="206"/>
      <c r="P51" s="211">
        <v>5</v>
      </c>
    </row>
    <row r="52">
      <c r="A52" s="197" t="s">
        <v>591</v>
      </c>
      <c r="B52" s="198" t="s">
        <v>553</v>
      </c>
      <c r="C52" s="198" t="s">
        <v>554</v>
      </c>
      <c r="D52" s="198">
        <v>5</v>
      </c>
      <c r="E52" s="198">
        <v>1</v>
      </c>
      <c r="F52" s="198">
        <v>2011.2</v>
      </c>
      <c r="G52" s="198">
        <v>4145.0599999999995</v>
      </c>
      <c r="H52" s="199">
        <f t="shared" si="2"/>
      </c>
      <c r="I52" s="199">
        <f t="shared" si="11"/>
      </c>
      <c r="J52" s="199">
        <f t="shared" si="8"/>
      </c>
      <c r="K52" s="198">
        <v>0</v>
      </c>
      <c r="L52" s="198">
        <v>0</v>
      </c>
      <c r="M52" s="198" t="s">
        <v>590</v>
      </c>
      <c r="N52" s="198">
        <v>5</v>
      </c>
      <c r="O52" s="198" t="s">
        <v>550</v>
      </c>
      <c r="P52" s="201">
        <v>5</v>
      </c>
    </row>
    <row customHeight="true" ht="16.071428571428573" r="53">
      <c r="A53" s="207">
        <v>46140</v>
      </c>
      <c r="B53" s="203"/>
      <c r="C53" s="203"/>
      <c r="D53" s="204">
        <f>SUM(D52)</f>
      </c>
      <c r="E53" s="204">
        <f>SUM(E52)</f>
      </c>
      <c r="F53" s="204">
        <f>SUM(F52)</f>
      </c>
      <c r="G53" s="204">
        <f>SUM(G52)</f>
      </c>
      <c r="H53" s="205">
        <f t="shared" si="2"/>
      </c>
      <c r="I53" s="205">
        <f t="shared" si="11"/>
      </c>
      <c r="J53" s="205">
        <f t="shared" si="8"/>
      </c>
      <c r="K53" s="204">
        <f>SUM(K52)</f>
      </c>
      <c r="L53" s="204">
        <f>SUM(L52)</f>
      </c>
      <c r="M53" s="206"/>
      <c r="N53" s="211">
        <v>5</v>
      </c>
      <c r="O53" s="206"/>
      <c r="P53" s="211">
        <v>5</v>
      </c>
    </row>
    <row customHeight="true" ht="16.071428571428573" r="54">
      <c r="A54" s="197" t="s">
        <v>592</v>
      </c>
      <c r="B54" s="198" t="s">
        <v>553</v>
      </c>
      <c r="C54" s="198" t="s">
        <v>552</v>
      </c>
      <c r="D54" s="198">
        <v>5</v>
      </c>
      <c r="E54" s="198">
        <v>11</v>
      </c>
      <c r="F54" s="198">
        <v>13990.8</v>
      </c>
      <c r="G54" s="198">
        <v>10610.98</v>
      </c>
      <c r="H54" s="199">
        <f t="shared" si="2"/>
      </c>
      <c r="I54" s="199">
        <f t="shared" si="11"/>
      </c>
      <c r="J54" s="199">
        <f t="shared" si="8"/>
      </c>
      <c r="K54" s="198">
        <v>2</v>
      </c>
      <c r="L54" s="198">
        <v>2757.6</v>
      </c>
      <c r="M54" s="198" t="s">
        <v>590</v>
      </c>
      <c r="N54" s="198">
        <v>4</v>
      </c>
      <c r="O54" s="198" t="s">
        <v>550</v>
      </c>
      <c r="P54" s="201">
        <v>5</v>
      </c>
    </row>
    <row customHeight="true" ht="16.071428571428573" r="55">
      <c r="A55" s="197"/>
      <c r="B55" s="198"/>
      <c r="C55" s="198"/>
      <c r="D55" s="198"/>
      <c r="E55" s="198"/>
      <c r="F55" s="198"/>
      <c r="G55" s="198"/>
      <c r="H55" s="199"/>
      <c r="I55" s="199"/>
      <c r="J55" s="199"/>
      <c r="K55" s="198"/>
      <c r="L55" s="198"/>
      <c r="M55" s="198" t="s">
        <v>555</v>
      </c>
      <c r="N55" s="198">
        <v>1</v>
      </c>
      <c r="O55" s="198"/>
      <c r="P55" s="201"/>
    </row>
    <row customHeight="true" ht="16.071428571428573" r="56">
      <c r="A56" s="207">
        <v>46141</v>
      </c>
      <c r="B56" s="203"/>
      <c r="C56" s="203"/>
      <c r="D56" s="204">
        <f>SUM(D54:D55)</f>
      </c>
      <c r="E56" s="204">
        <f>SUM(E54)</f>
      </c>
      <c r="F56" s="204">
        <f>SUM(F54)</f>
      </c>
      <c r="G56" s="204">
        <f>SUM(G54)</f>
      </c>
      <c r="H56" s="205">
        <f t="shared" ref="H56:H57" si="3">F56/G56</f>
      </c>
      <c r="I56" s="205">
        <f t="shared" ref="I56:I57" si="12">F56/E56</f>
      </c>
      <c r="J56" s="205">
        <f t="shared" ref="J56:J57" si="9">G56/E56</f>
      </c>
      <c r="K56" s="204">
        <f>SUM(K54)</f>
      </c>
      <c r="L56" s="204">
        <f>SUM(L54)</f>
      </c>
      <c r="M56" s="206"/>
      <c r="N56" s="211">
        <v>5</v>
      </c>
      <c r="O56" s="206"/>
      <c r="P56" s="211">
        <v>5</v>
      </c>
    </row>
    <row customHeight="true" ht="16.071428571428573" r="57">
      <c r="A57" s="197" t="s">
        <v>593</v>
      </c>
      <c r="B57" s="198" t="s">
        <v>553</v>
      </c>
      <c r="C57" s="198" t="s">
        <v>552</v>
      </c>
      <c r="D57" s="210">
        <v>4.5</v>
      </c>
      <c r="E57" s="198">
        <v>4</v>
      </c>
      <c r="F57" s="198">
        <v>3163.2</v>
      </c>
      <c r="G57" s="198">
        <v>3271.0400000000004</v>
      </c>
      <c r="H57" s="199">
        <f t="shared" si="3"/>
      </c>
      <c r="I57" s="199">
        <f t="shared" si="12"/>
      </c>
      <c r="J57" s="199">
        <f t="shared" si="9"/>
      </c>
      <c r="K57" s="198">
        <v>0</v>
      </c>
      <c r="L57" s="198">
        <v>0</v>
      </c>
      <c r="M57" s="198" t="s">
        <v>590</v>
      </c>
      <c r="N57" s="198">
        <v>4</v>
      </c>
      <c r="O57" s="198" t="s">
        <v>550</v>
      </c>
      <c r="P57" s="201">
        <v>5</v>
      </c>
    </row>
    <row customHeight="true" ht="16.071428571428573" r="58">
      <c r="A58" s="197"/>
      <c r="B58" s="198"/>
      <c r="C58" s="198"/>
      <c r="D58" s="198"/>
      <c r="E58" s="198"/>
      <c r="F58" s="198"/>
      <c r="G58" s="198"/>
      <c r="H58" s="199"/>
      <c r="I58" s="199"/>
      <c r="J58" s="199"/>
      <c r="K58" s="198"/>
      <c r="L58" s="198"/>
      <c r="M58" s="198" t="s">
        <v>555</v>
      </c>
      <c r="N58" s="198">
        <v>1</v>
      </c>
      <c r="O58" s="198"/>
      <c r="P58" s="201"/>
    </row>
    <row customHeight="true" ht="16.071428571428573" r="59">
      <c r="A59" s="212">
        <v>46142</v>
      </c>
      <c r="B59" s="213"/>
      <c r="C59" s="213"/>
      <c r="D59" s="214">
        <f>SUM(D57:D58)</f>
      </c>
      <c r="E59" s="214">
        <f>SUM(E57:E58)</f>
      </c>
      <c r="F59" s="214">
        <f>SUM(F57:F58)</f>
      </c>
      <c r="G59" s="214">
        <f>SUM(G57:G58)</f>
      </c>
      <c r="H59" s="215">
        <f>F59/G59</f>
      </c>
      <c r="I59" s="215">
        <f>F59/E59</f>
      </c>
      <c r="J59" s="215">
        <f>G59/E59</f>
      </c>
      <c r="K59" s="214">
        <f>SUM(K57:K58)</f>
      </c>
      <c r="L59" s="214">
        <f>SUM(L57:L58)</f>
      </c>
      <c r="M59" s="216"/>
      <c r="N59" s="217">
        <v>5</v>
      </c>
      <c r="O59" s="216"/>
      <c r="P59" s="217">
        <v>5</v>
      </c>
    </row>
    <row customHeight="true" ht="16.071428571428573" r="60"/>
    <row customHeight="true" ht="16.071428571428573" r="61"/>
    <row customHeight="true" ht="16.071428571428573" r="62"/>
    <row customHeight="true" ht="16.071428571428573" r="63"/>
    <row customHeight="true" ht="16.071428571428573" r="64"/>
    <row r="65"/>
    <row r="66"/>
    <row r="67"/>
    <row r="68"/>
    <row r="69"/>
    <row r="70"/>
    <row r="71"/>
    <row r="72"/>
    <row r="73"/>
    <row r="74">
      <c r="E74" s="218" t="s">
        <v>594</v>
      </c>
      <c r="F74" s="219"/>
      <c r="G74" s="219"/>
      <c r="H74" s="219"/>
      <c r="I74" s="219"/>
      <c r="J74" s="219"/>
      <c r="K74" s="219"/>
    </row>
    <row r="75">
      <c r="J75" s="220" t="s">
        <v>595</v>
      </c>
      <c r="K75" s="220" t="s">
        <v>596</v>
      </c>
    </row>
    <row r="76">
      <c r="J76" s="221">
        <f t="shared" ref="J76:J82" si="4">H76/I76</f>
      </c>
      <c r="K76">
        <f t="shared" ref="K76:K82" si="0">I76/F76</f>
      </c>
    </row>
    <row r="77">
      <c r="J77" s="221">
        <f t="shared" si="4"/>
      </c>
      <c r="K77">
        <f t="shared" si="0"/>
      </c>
    </row>
    <row r="78">
      <c r="J78" s="221">
        <f t="shared" si="4"/>
      </c>
      <c r="K78">
        <f t="shared" si="0"/>
      </c>
    </row>
    <row r="79">
      <c r="J79" s="221">
        <f t="shared" si="4"/>
      </c>
      <c r="K79">
        <f t="shared" si="0"/>
      </c>
    </row>
    <row r="80">
      <c r="J80" s="221">
        <f t="shared" si="4"/>
      </c>
      <c r="K80">
        <f t="shared" si="0"/>
      </c>
    </row>
    <row r="81">
      <c r="J81" s="221">
        <f t="shared" si="4"/>
      </c>
      <c r="K81">
        <f t="shared" si="0"/>
      </c>
    </row>
    <row r="82">
      <c r="J82" s="222">
        <f t="shared" si="4"/>
      </c>
      <c r="K82" s="223">
        <f t="shared" si="0"/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>
      <c r="G155" s="224"/>
      <c r="H155" s="221"/>
    </row>
    <row r="156">
      <c r="J156" s="225"/>
      <c r="K156" s="225"/>
      <c r="L156" s="225"/>
      <c r="M156" s="225"/>
    </row>
    <row r="157">
      <c r="J157" s="225"/>
      <c r="K157" s="225"/>
      <c r="L157" s="225"/>
      <c r="M157" s="225"/>
    </row>
  </sheetData>
  <autoFilter ref="A1:P153"/>
  <mergeCells>
    <mergeCell ref="E74:K74"/>
  </mergeCells>
  <dataValidations count="5">
    <dataValidation allowBlank="true" errorStyle="stop" showErrorMessage="true" sqref="B2:B4 B6:B7" type="list">
      <formula1>"孟郁倩,姜可心,蔡露露"</formula1>
    </dataValidation>
    <dataValidation allowBlank="true" errorStyle="stop" showErrorMessage="true" sqref="B9:B10" type="list">
      <formula1>"姜可心,蒲奕西,楚松宁,路鑫鑫,高娟,栗敏纳,日总,蔡露露,王硕硕"</formula1>
    </dataValidation>
    <dataValidation allowBlank="true" errorStyle="stop" showErrorMessage="true" sqref="B11:B11 B13:B14 B16:B17 B19:B20 B22:B23 B25:B26 B28:B29 B31:B32 B44:B45 B47:B48 B50:B50 B52:B52 B54:B55 B57:B58" type="list">
      <formula1>"孟郁倩,姜可心,蔡露露,路鑫鑫"</formula1>
    </dataValidation>
    <dataValidation allowBlank="true" errorStyle="stop" showErrorMessage="true" sqref="B34:B37" type="list">
      <formula1>"孟郁倩,姜可心,蔡露露,路鑫鑫,刘杰宇,刘梦"</formula1>
    </dataValidation>
    <dataValidation allowBlank="true" errorStyle="stop" showErrorMessage="true" sqref="B39:B42" type="list">
      <formula1>"孟郁倩,姜可心,蔡露露,路鑫鑫,刘杰宇,刘梦,王硕硕"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