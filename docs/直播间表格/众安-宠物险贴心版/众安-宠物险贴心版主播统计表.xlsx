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8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6" sheetId="2" r:id="rId5"/>
    <sheet name="2026.5" sheetId="3" r:id="rId7"/>
    <sheet name="2026.4" sheetId="4" r:id="rId9"/>
    <sheet name="2026.7" sheetId="5" r:id="rId11"/>
    <sheet name="2026.8" sheetId="6" r:id="rId13"/>
    <sheet name="8月亚宠展手机" sheetId="7" r:id="rId16"/>
    <sheet name="2026.9" sheetId="8" r:id="rId18"/>
    <sheet name="2026.10" sheetId="9" r:id="rId20"/>
  </sheets>
  <calcPr calcMode="auto"/>
  <pivotCaches>
    <pivotCache cacheId="1" r:id="rId6"/>
    <pivotCache cacheId="2" r:id="rId8"/>
    <pivotCache cacheId="3" r:id="rId10"/>
    <pivotCache cacheId="4" r:id="rId12"/>
    <pivotCache cacheId="5" r:id="rId14"/>
    <pivotCache cacheId="6" r:id="rId15"/>
    <pivotCache cacheId="7" r:id="rId17"/>
    <pivotCache cacheId="8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<sst xmlns="http://schemas.openxmlformats.org/spreadsheetml/2006/main" count="572" uniqueCount="572">
  <si>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</si>
  <si>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</si>
  <si>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</si>
  <si>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</si>
  <si>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</si>
  <si>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</si>
  <si>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</si>
  <si>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</si>
  <si>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</si>
  <si>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</si>
  <si>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</si>
  <si>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</si>
  <si>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</si>
  <si>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</si>
  <si>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</si>
  <si>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</si>
  <si>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</si>
  <si>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</si>
  <si>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</si>
  <si>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2026.6.1（安心号）</t>
  </si>
  <si>
    <t xml:space="preserve">孙晓松</t>
  </si>
  <si>
    <t xml:space="preserve">8:00-8:30</t>
  </si>
  <si>
    <t xml:space="preserve">2026.6.1</t>
  </si>
  <si>
    <t xml:space="preserve">10:00-12:00</t>
  </si>
  <si>
    <t xml:space="preserve">张凯悬</t>
  </si>
  <si>
    <t xml:space="preserve">12:00-16:00</t>
  </si>
  <si>
    <t xml:space="preserve">姜晓双</t>
  </si>
  <si>
    <t xml:space="preserve">芦鑫鑫</t>
  </si>
  <si>
    <t xml:space="preserve">16:00-18:30</t>
  </si>
  <si>
    <t xml:space="preserve">贾占通双</t>
  </si>
  <si>
    <t xml:space="preserve">韩萌萌</t>
  </si>
  <si>
    <t xml:space="preserve">20:00-24:00</t>
  </si>
  <si>
    <t xml:space="preserve">2026.6.2</t>
  </si>
  <si>
    <t xml:space="preserve">8:00-12:00</t>
  </si>
  <si>
    <t xml:space="preserve">姜晓</t>
  </si>
  <si>
    <t xml:space="preserve">16:00-20:00</t>
  </si>
  <si>
    <t xml:space="preserve">2026.6.3</t>
  </si>
  <si>
    <t xml:space="preserve">2026.6.4</t>
  </si>
  <si>
    <t xml:space="preserve">侯荞一</t>
  </si>
  <si>
    <t xml:space="preserve">2026.6.5</t>
  </si>
  <si>
    <t xml:space="preserve">何彩樱双</t>
  </si>
  <si>
    <t xml:space="preserve">2026.6.6</t>
  </si>
  <si>
    <t xml:space="preserve">2026.6.7</t>
  </si>
  <si>
    <t xml:space="preserve">2026.6.8</t>
  </si>
  <si>
    <t xml:space="preserve">2026.6.9</t>
  </si>
  <si>
    <t xml:space="preserve">12:00-15:00</t>
  </si>
  <si>
    <t xml:space="preserve">2026.6.10</t>
  </si>
  <si>
    <t xml:space="preserve">2026.6.11</t>
  </si>
  <si>
    <t xml:space="preserve">2026.6.12</t>
  </si>
  <si>
    <t xml:space="preserve">6:00-10:00</t>
  </si>
  <si>
    <t xml:space="preserve">10:00-14:00</t>
  </si>
  <si>
    <t xml:space="preserve">姜晓早</t>
  </si>
  <si>
    <t xml:space="preserve">14:00-18:00</t>
  </si>
  <si>
    <t xml:space="preserve">18:00-22:00</t>
  </si>
  <si>
    <t xml:space="preserve">贾占通晚</t>
  </si>
  <si>
    <t xml:space="preserve">22:00-2:00</t>
  </si>
  <si>
    <t xml:space="preserve">2026.6.13</t>
  </si>
  <si>
    <t xml:space="preserve">2026.6.14</t>
  </si>
  <si>
    <t xml:space="preserve">2026.6.15</t>
  </si>
  <si>
    <t xml:space="preserve">2026.6.16</t>
  </si>
  <si>
    <t xml:space="preserve">申奥</t>
  </si>
  <si>
    <t xml:space="preserve">18:00-21:00</t>
  </si>
  <si>
    <t xml:space="preserve">21:00-2:00</t>
  </si>
  <si>
    <t xml:space="preserve">2026.6.17</t>
  </si>
  <si>
    <t xml:space="preserve">6:00-11:00</t>
  </si>
  <si>
    <t xml:space="preserve">11:00-16:00</t>
  </si>
  <si>
    <t xml:space="preserve">卢佳轩早</t>
  </si>
  <si>
    <t xml:space="preserve">16:00-18:00</t>
  </si>
  <si>
    <t xml:space="preserve">张滋怡晚</t>
  </si>
  <si>
    <t xml:space="preserve">2026.6.18</t>
  </si>
  <si>
    <t xml:space="preserve">何彩樱早</t>
  </si>
  <si>
    <t xml:space="preserve">20:00-22:00</t>
  </si>
  <si>
    <t xml:space="preserve">2026.6.19</t>
  </si>
  <si>
    <t xml:space="preserve">宁凯静早</t>
  </si>
  <si>
    <t xml:space="preserve">姜晓晚</t>
  </si>
  <si>
    <t xml:space="preserve">2026.6.20</t>
  </si>
  <si>
    <t xml:space="preserve">20:00-2:00</t>
  </si>
  <si>
    <t xml:space="preserve">2026.6.21</t>
  </si>
  <si>
    <t xml:space="preserve">2026.6.22</t>
  </si>
  <si>
    <t xml:space="preserve">11:00-15:00</t>
  </si>
  <si>
    <t xml:space="preserve">15:00-20:00</t>
  </si>
  <si>
    <t xml:space="preserve">2026.6.23</t>
  </si>
  <si>
    <t xml:space="preserve">10:00-16:00</t>
  </si>
  <si>
    <t xml:space="preserve">2026.6.24</t>
  </si>
  <si>
    <t xml:space="preserve">10:00-15:00</t>
  </si>
  <si>
    <t xml:space="preserve">15:00-18:30</t>
  </si>
  <si>
    <t xml:space="preserve">18:30-22:00</t>
  </si>
  <si>
    <t xml:space="preserve">2026.6.25</t>
  </si>
  <si>
    <t xml:space="preserve">6:00-09:00/12:00-15:00</t>
  </si>
  <si>
    <t xml:space="preserve">9:00-12:00/15:00-18:00</t>
  </si>
  <si>
    <t xml:space="preserve">2026.6.26</t>
  </si>
  <si>
    <t xml:space="preserve">14:00-15:00/16:00-17:00</t>
  </si>
  <si>
    <t xml:space="preserve">17:00-21:00</t>
  </si>
  <si>
    <t xml:space="preserve">2026.6.27</t>
  </si>
  <si>
    <t xml:space="preserve">宁凯静晚</t>
  </si>
  <si>
    <t xml:space="preserve">2026.6.28</t>
  </si>
  <si>
    <t xml:space="preserve">2026.6.29</t>
  </si>
  <si>
    <t xml:space="preserve">14:00-19:00</t>
  </si>
  <si>
    <t xml:space="preserve">19:00-24:00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</si>
  <si>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</si>
  <si>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</si>
  <si>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</si>
  <si>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</si>
  <si>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</si>
  <si>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</si>
  <si>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</si>
  <si>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</si>
  <si>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</si>
  <si>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</si>
  <si>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</si>
  <si>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</si>
  <si>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</si>
  <si>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</si>
  <si>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</si>
  <si>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</si>
  <si>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</si>
  <si>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</si>
  <si>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2026.5.1</t>
  </si>
  <si>
    <t xml:space="preserve">孙晓松</t>
  </si>
  <si>
    <t xml:space="preserve">16:00-21:00</t>
  </si>
  <si>
    <t xml:space="preserve">刘纯宇</t>
  </si>
  <si>
    <t xml:space="preserve">21:00-24:00</t>
  </si>
  <si>
    <t xml:space="preserve">何彩樱双</t>
  </si>
  <si>
    <t xml:space="preserve">2026.5.2</t>
  </si>
  <si>
    <t xml:space="preserve">16:00-20:00</t>
  </si>
  <si>
    <t xml:space="preserve">20:00-24:00</t>
  </si>
  <si>
    <t xml:space="preserve">何彩樱</t>
  </si>
  <si>
    <t xml:space="preserve">2026.5.3</t>
  </si>
  <si>
    <t xml:space="preserve">2026.5.4</t>
  </si>
  <si>
    <t xml:space="preserve">2026.5.5</t>
  </si>
  <si>
    <t xml:space="preserve">16:00-18:00</t>
  </si>
  <si>
    <t xml:space="preserve">董柯言双</t>
  </si>
  <si>
    <t xml:space="preserve">牛书洁</t>
  </si>
  <si>
    <t xml:space="preserve">18:00-21:00</t>
  </si>
  <si>
    <t xml:space="preserve">2026.5.6</t>
  </si>
  <si>
    <t xml:space="preserve">2026.5.7</t>
  </si>
  <si>
    <t xml:space="preserve">董柯言</t>
  </si>
  <si>
    <t xml:space="preserve">2026.5.8</t>
  </si>
  <si>
    <t xml:space="preserve">2026.5.9</t>
  </si>
  <si>
    <t xml:space="preserve">2026.5.10</t>
  </si>
  <si>
    <t xml:space="preserve">16:00-19:00</t>
  </si>
  <si>
    <t xml:space="preserve">张凯悬</t>
  </si>
  <si>
    <t xml:space="preserve">19:00-21:00</t>
  </si>
  <si>
    <t xml:space="preserve">2026.5.11</t>
  </si>
  <si>
    <t xml:space="preserve">2026.5.12</t>
  </si>
  <si>
    <t xml:space="preserve">08:00-13:00</t>
  </si>
  <si>
    <t xml:space="preserve">卢佳轩双</t>
  </si>
  <si>
    <t xml:space="preserve">13:00-16:00</t>
  </si>
  <si>
    <t xml:space="preserve">侯荞一</t>
  </si>
  <si>
    <t xml:space="preserve">2026.5.13</t>
  </si>
  <si>
    <t xml:space="preserve">姜晓</t>
  </si>
  <si>
    <t xml:space="preserve">2026.5.14</t>
  </si>
  <si>
    <t xml:space="preserve">2026.5.15</t>
  </si>
  <si>
    <t xml:space="preserve">08:00-11:00</t>
  </si>
  <si>
    <t xml:space="preserve">芦鑫鑫</t>
  </si>
  <si>
    <t xml:space="preserve">11:00-13:00</t>
  </si>
  <si>
    <t xml:space="preserve">13:00-17:00</t>
  </si>
  <si>
    <t xml:space="preserve">17:00-20:00</t>
  </si>
  <si>
    <t xml:space="preserve">2026.5.16</t>
  </si>
  <si>
    <t xml:space="preserve">08:00-12:00</t>
  </si>
  <si>
    <t xml:space="preserve">12:00-15:00</t>
  </si>
  <si>
    <t xml:space="preserve">15:00-18:00</t>
  </si>
  <si>
    <t xml:space="preserve">贾占通双</t>
  </si>
  <si>
    <t xml:space="preserve">2026.5.17</t>
  </si>
  <si>
    <t xml:space="preserve">15:00-17:00</t>
  </si>
  <si>
    <t xml:space="preserve">2026.5.18</t>
  </si>
  <si>
    <t xml:space="preserve">姜晓双</t>
  </si>
  <si>
    <t xml:space="preserve">18:00-20:00</t>
  </si>
  <si>
    <t xml:space="preserve">韩萌萌</t>
  </si>
  <si>
    <t xml:space="preserve">2026.5.19</t>
  </si>
  <si>
    <t xml:space="preserve">2026.5.20</t>
  </si>
  <si>
    <t xml:space="preserve">12:00-16:00</t>
  </si>
  <si>
    <t xml:space="preserve">张滋怡双</t>
  </si>
  <si>
    <t xml:space="preserve">19:00-24:00</t>
  </si>
  <si>
    <t xml:space="preserve">2026.5.21</t>
  </si>
  <si>
    <t xml:space="preserve">08:00-09:30</t>
  </si>
  <si>
    <t xml:space="preserve">2026.5.22</t>
  </si>
  <si>
    <t xml:space="preserve">2026.5.28</t>
  </si>
  <si>
    <t xml:space="preserve">23:00-3:00</t>
  </si>
  <si>
    <t xml:space="preserve">张滋怡</t>
  </si>
  <si>
    <t xml:space="preserve">2026.5.29</t>
  </si>
  <si>
    <t xml:space="preserve">2026.5.30</t>
  </si>
  <si>
    <t xml:space="preserve">8:00-12:00</t>
  </si>
  <si>
    <t xml:space="preserve">16:00-19:30</t>
  </si>
  <si>
    <t xml:space="preserve">19:30-24:00</t>
  </si>
  <si>
    <t xml:space="preserve">2026.5.31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</si>
  <si>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</si>
  <si>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</si>
  <si>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</si>
  <si>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</si>
  <si>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</si>
  <si>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</si>
  <si>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</si>
  <si>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</si>
  <si>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</si>
  <si>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</si>
  <si>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</si>
  <si>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</si>
  <si>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</si>
  <si>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</si>
  <si>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</si>
  <si>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</si>
  <si>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</si>
  <si>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</si>
  <si>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2026.4.30</t>
  </si>
  <si>
    <t xml:space="preserve">孙晓松</t>
  </si>
  <si>
    <t xml:space="preserve">16:00-20:00</t>
  </si>
  <si>
    <t xml:space="preserve">何彩樱双</t>
  </si>
  <si>
    <t xml:space="preserve">刘纯宇</t>
  </si>
  <si>
    <t xml:space="preserve">21:30-24:00</t>
  </si>
  <si>
    <t xml:space="preserve">闫雪儒双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</si>
  <si>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</si>
  <si>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</si>
  <si>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</si>
  <si>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</si>
  <si>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</si>
  <si>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</si>
  <si>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</si>
  <si>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</si>
  <si>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</si>
  <si>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</si>
  <si>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</si>
  <si>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</si>
  <si>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</si>
  <si>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</si>
  <si>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</si>
  <si>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助播2</t>
  </si>
  <si>
    <t xml:space="preserve">投手</t>
  </si>
  <si>
    <t xml:space="preserve">投手时长</t>
  </si>
  <si>
    <t xml:space="preserve">2026.7.21</t>
  </si>
  <si>
    <t xml:space="preserve">孙晓松</t>
  </si>
  <si>
    <t xml:space="preserve">20:00-01:00</t>
  </si>
  <si>
    <t xml:space="preserve">何彩樱</t>
  </si>
  <si>
    <t xml:space="preserve">邓大攀</t>
  </si>
  <si>
    <t xml:space="preserve">2026.7.22</t>
  </si>
  <si>
    <t xml:space="preserve">芦鑫鑫</t>
  </si>
  <si>
    <t xml:space="preserve">6:00-11:00</t>
  </si>
  <si>
    <t xml:space="preserve">11:00-16:00</t>
  </si>
  <si>
    <t xml:space="preserve">宁凯静早</t>
  </si>
  <si>
    <t xml:space="preserve">侯荞一</t>
  </si>
  <si>
    <t xml:space="preserve">16:00-21:00</t>
  </si>
  <si>
    <t xml:space="preserve">何彩樱晚</t>
  </si>
  <si>
    <t xml:space="preserve">张凯悬</t>
  </si>
  <si>
    <t xml:space="preserve">21:00-02:00</t>
  </si>
  <si>
    <t xml:space="preserve">2026.7.23</t>
  </si>
  <si>
    <t xml:space="preserve">谢镇雨</t>
  </si>
  <si>
    <t xml:space="preserve">2026.7.24</t>
  </si>
  <si>
    <t xml:space="preserve">2026.7.25</t>
  </si>
  <si>
    <t xml:space="preserve">9:00-14:00</t>
  </si>
  <si>
    <t xml:space="preserve">14:00-19:00</t>
  </si>
  <si>
    <t xml:space="preserve">宁凯静</t>
  </si>
  <si>
    <t xml:space="preserve">19:00-00:00</t>
  </si>
  <si>
    <t xml:space="preserve">2026.7.26</t>
  </si>
  <si>
    <t xml:space="preserve">6:00-08:00</t>
  </si>
  <si>
    <t xml:space="preserve">11:00-13:30/14:00-16:00</t>
  </si>
  <si>
    <t xml:space="preserve">韩萌萌</t>
  </si>
  <si>
    <t xml:space="preserve">2026.7.27</t>
  </si>
  <si>
    <t xml:space="preserve">何彩樱双</t>
  </si>
  <si>
    <t xml:space="preserve">19:00-22:00</t>
  </si>
  <si>
    <t xml:space="preserve">2026.7.28</t>
  </si>
  <si>
    <t xml:space="preserve">11:00-15:00</t>
  </si>
  <si>
    <t xml:space="preserve">谢子柔</t>
  </si>
  <si>
    <t xml:space="preserve">15:00-17:00</t>
  </si>
  <si>
    <t xml:space="preserve">17:00-20:00</t>
  </si>
  <si>
    <t xml:space="preserve">赵子淳</t>
  </si>
  <si>
    <t xml:space="preserve">20:00-23:00</t>
  </si>
  <si>
    <t xml:space="preserve">2026.7.29</t>
  </si>
  <si>
    <t xml:space="preserve">任梦莹</t>
  </si>
  <si>
    <t xml:space="preserve">17:00-21:00</t>
  </si>
  <si>
    <t xml:space="preserve">曹颖慧双</t>
  </si>
  <si>
    <t xml:space="preserve">21:00-23:00</t>
  </si>
  <si>
    <t xml:space="preserve">2026.7.30</t>
  </si>
  <si>
    <t xml:space="preserve">姜晓</t>
  </si>
  <si>
    <t xml:space="preserve">21:00-01:00</t>
  </si>
  <si>
    <t xml:space="preserve">2026.7.31</t>
  </si>
  <si>
    <t xml:space="preserve">11:00-13:00</t>
  </si>
  <si>
    <t xml:space="preserve">13:00-15:00</t>
  </si>
  <si>
    <t xml:space="preserve">15:00-19:00</t>
  </si>
  <si>
    <t xml:space="preserve">19:00-21:00</t>
  </si>
  <si>
    <t xml:space="preserve">总保单数</t>
  </si>
  <si>
    <t xml:space="preserve">家庭单数</t>
  </si>
  <si>
    <t xml:space="preserve">总年化保费</t>
  </si>
  <si>
    <t xml:space="preserve">投放消耗</t>
  </si>
  <si>
    <t xml:space="preserve">家庭单</t>
  </si>
  <si>
    <t xml:space="preserve">6:00-02:00</t>
  </si>
  <si>
    <t xml:space="preserve">9:00-00:00</t>
  </si>
  <si>
    <t xml:space="preserve">6:00-08:00/11:00-13:30/16:00-02:00</t>
  </si>
  <si>
    <t xml:space="preserve">9:00-22:00</t>
  </si>
  <si>
    <t xml:space="preserve">总投放消耗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</si>
  <si>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</si>
  <si>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</si>
  <si>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</si>
  <si>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</si>
  <si>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</si>
  <si>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</si>
  <si>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</si>
  <si>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</si>
  <si>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</si>
  <si>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</si>
  <si>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</si>
  <si>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</si>
  <si>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</si>
  <si>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</si>
  <si>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</si>
  <si>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2026.8.1</t>
  </si>
  <si>
    <t xml:space="preserve">韩萌萌</t>
  </si>
  <si>
    <t xml:space="preserve">6:00-11:00</t>
  </si>
  <si>
    <t xml:space="preserve">任梦莹</t>
  </si>
  <si>
    <t xml:space="preserve">11:00-13:00</t>
  </si>
  <si>
    <t xml:space="preserve">谢子柔</t>
  </si>
  <si>
    <t xml:space="preserve">13:00-15:00</t>
  </si>
  <si>
    <t xml:space="preserve">宁凯静早</t>
  </si>
  <si>
    <t xml:space="preserve">孙晓松</t>
  </si>
  <si>
    <t xml:space="preserve">15:00-19:00</t>
  </si>
  <si>
    <t xml:space="preserve">赵子淳</t>
  </si>
  <si>
    <t xml:space="preserve">19:00-21:00</t>
  </si>
  <si>
    <t xml:space="preserve">姜晓</t>
  </si>
  <si>
    <t xml:space="preserve">芦鑫鑫</t>
  </si>
  <si>
    <t xml:space="preserve">21:00-01:00</t>
  </si>
  <si>
    <t xml:space="preserve">2026.8.2</t>
  </si>
  <si>
    <t xml:space="preserve">13:00-16:00</t>
  </si>
  <si>
    <t xml:space="preserve">16:00-20:00</t>
  </si>
  <si>
    <t xml:space="preserve">20:00-22:00</t>
  </si>
  <si>
    <t xml:space="preserve">何彩樱晚</t>
  </si>
  <si>
    <t xml:space="preserve">22:00-02:00</t>
  </si>
  <si>
    <t xml:space="preserve">2026.8.3</t>
  </si>
  <si>
    <t xml:space="preserve">何彩樱</t>
  </si>
  <si>
    <t xml:space="preserve">2026.8.4</t>
  </si>
  <si>
    <t xml:space="preserve">11:00-16:00</t>
  </si>
  <si>
    <t xml:space="preserve">16:00-19:00</t>
  </si>
  <si>
    <t xml:space="preserve">19:00-22:00</t>
  </si>
  <si>
    <t xml:space="preserve">22:00-01:00</t>
  </si>
  <si>
    <t xml:space="preserve">2026.8.5</t>
  </si>
  <si>
    <t xml:space="preserve">19:00-23:00</t>
  </si>
  <si>
    <t xml:space="preserve">23:00-02:00</t>
  </si>
  <si>
    <t xml:space="preserve">2026.8.6</t>
  </si>
  <si>
    <t xml:space="preserve">2026.8.7</t>
  </si>
  <si>
    <t xml:space="preserve">2026.8.8</t>
  </si>
  <si>
    <t xml:space="preserve">2026.8.9</t>
  </si>
  <si>
    <t xml:space="preserve">6:00-10:00</t>
  </si>
  <si>
    <t xml:space="preserve">10:00-14:00</t>
  </si>
  <si>
    <t xml:space="preserve">14:00-18:00</t>
  </si>
  <si>
    <t xml:space="preserve">18:00-22:00</t>
  </si>
  <si>
    <t xml:space="preserve">2026.8.10</t>
  </si>
  <si>
    <t xml:space="preserve">18:00-19:00/19:30-22:00</t>
  </si>
  <si>
    <t xml:space="preserve">姜晓晚</t>
  </si>
  <si>
    <t xml:space="preserve">2026.8.11</t>
  </si>
  <si>
    <t xml:space="preserve">2026.8.12</t>
  </si>
  <si>
    <t xml:space="preserve">2026.8.13</t>
  </si>
  <si>
    <t xml:space="preserve">06:00-10:00</t>
  </si>
  <si>
    <t xml:space="preserve">董柯言早</t>
  </si>
  <si>
    <t xml:space="preserve">宁凯静晚</t>
  </si>
  <si>
    <t xml:space="preserve">2026.8.14</t>
  </si>
  <si>
    <t xml:space="preserve">何彩樱早</t>
  </si>
  <si>
    <t xml:space="preserve">2026.8.15</t>
  </si>
  <si>
    <t xml:space="preserve">10:00-15:00</t>
  </si>
  <si>
    <t xml:space="preserve">15:00-18:00</t>
  </si>
  <si>
    <t xml:space="preserve">2026.8.16</t>
  </si>
  <si>
    <t xml:space="preserve">2026.8.17</t>
  </si>
  <si>
    <t xml:space="preserve">2026.8.18</t>
  </si>
  <si>
    <t xml:space="preserve">19:00-24:00</t>
  </si>
  <si>
    <t xml:space="preserve">宁凯静</t>
  </si>
  <si>
    <t xml:space="preserve">2026.8.19</t>
  </si>
  <si>
    <t xml:space="preserve">10:00-11:00/11:30-12:00</t>
  </si>
  <si>
    <t xml:space="preserve">12:00-14:00</t>
  </si>
  <si>
    <t xml:space="preserve">14:00-16:00</t>
  </si>
  <si>
    <t xml:space="preserve">任子硕</t>
  </si>
  <si>
    <t xml:space="preserve">16:00-18:00</t>
  </si>
  <si>
    <t xml:space="preserve">2026.8.20</t>
  </si>
  <si>
    <t xml:space="preserve">10:00-12:00</t>
  </si>
  <si>
    <t xml:space="preserve">2026.8.21</t>
  </si>
  <si>
    <t xml:space="preserve">16:00-17:30</t>
  </si>
  <si>
    <t xml:space="preserve">2026.8.22</t>
  </si>
  <si>
    <t xml:space="preserve">14:00-17:00</t>
  </si>
  <si>
    <t xml:space="preserve">17:00-20:00</t>
  </si>
  <si>
    <t xml:space="preserve">2026.8.23</t>
  </si>
  <si>
    <t xml:space="preserve">12:00-16:00</t>
  </si>
  <si>
    <t xml:space="preserve">姜晓双</t>
  </si>
  <si>
    <t xml:space="preserve">20:00-24:00</t>
  </si>
  <si>
    <t xml:space="preserve">2026.8.24</t>
  </si>
  <si>
    <t xml:space="preserve">董柯言双</t>
  </si>
  <si>
    <t xml:space="preserve">张怡棣双</t>
  </si>
  <si>
    <t xml:space="preserve">2026.8.25</t>
  </si>
  <si>
    <t xml:space="preserve">18:00-21:00</t>
  </si>
  <si>
    <t xml:space="preserve">21:00-24:00</t>
  </si>
  <si>
    <t xml:space="preserve">张怡棣</t>
  </si>
  <si>
    <t xml:space="preserve">2026.8.26</t>
  </si>
  <si>
    <t xml:space="preserve">10:00-13:00</t>
  </si>
  <si>
    <t xml:space="preserve">13:00-17:00</t>
  </si>
  <si>
    <t xml:space="preserve">董柯言</t>
  </si>
  <si>
    <t xml:space="preserve">17:00-21:00</t>
  </si>
  <si>
    <t xml:space="preserve">2026.8.27</t>
  </si>
  <si>
    <t xml:space="preserve">曹颖慧</t>
  </si>
  <si>
    <t xml:space="preserve">2026.8.28</t>
  </si>
  <si>
    <t xml:space="preserve">2026.8.29</t>
  </si>
  <si>
    <t xml:space="preserve">2026.8.30</t>
  </si>
  <si>
    <t xml:space="preserve">2026.8.31</t>
  </si>
  <si>
    <t xml:space="preserve">roi</t>
  </si>
  <si>
    <t xml:space="preserve">时耗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</si>
  <si>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</si>
  <si>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</si>
  <si>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</si>
  <si>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</si>
  <si>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</si>
  <si>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</si>
  <si>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</si>
  <si>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</si>
  <si>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</si>
  <si>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</si>
  <si>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</si>
  <si>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</si>
  <si>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</si>
  <si>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</si>
  <si>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</si>
  <si>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</si>
  <si>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2026.8.19</t>
  </si>
  <si>
    <t xml:space="preserve">芦鑫鑫</t>
  </si>
  <si>
    <t xml:space="preserve">11:00-15:00</t>
  </si>
  <si>
    <t xml:space="preserve">任子硕双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</si>
  <si>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</si>
  <si>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</si>
  <si>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</si>
  <si>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</si>
  <si>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</si>
  <si>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</si>
  <si>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</si>
  <si>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</si>
  <si>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</si>
  <si>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</si>
  <si>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</si>
  <si>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</si>
  <si>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</si>
  <si>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</si>
  <si>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</si>
  <si>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2026.9.1</t>
  </si>
  <si>
    <t xml:space="preserve">孙晓松</t>
  </si>
  <si>
    <t xml:space="preserve">06:00-10:00</t>
  </si>
  <si>
    <t xml:space="preserve">宁凯静早</t>
  </si>
  <si>
    <t xml:space="preserve">韩萌萌</t>
  </si>
  <si>
    <t xml:space="preserve">10:00-14:00</t>
  </si>
  <si>
    <t xml:space="preserve">任梦莹</t>
  </si>
  <si>
    <t xml:space="preserve">14:00-17:00</t>
  </si>
  <si>
    <t xml:space="preserve">董柯言双</t>
  </si>
  <si>
    <t xml:space="preserve">谢子柔</t>
  </si>
  <si>
    <t xml:space="preserve">17:00-20:00</t>
  </si>
  <si>
    <t xml:space="preserve">芦鑫鑫</t>
  </si>
  <si>
    <t xml:space="preserve">20:00-24:00</t>
  </si>
  <si>
    <t xml:space="preserve">2026.9.2</t>
  </si>
  <si>
    <t xml:space="preserve">2026.9.3</t>
  </si>
  <si>
    <t xml:space="preserve">2026.9.4</t>
  </si>
  <si>
    <t xml:space="preserve">17:00-20:30</t>
  </si>
  <si>
    <t xml:space="preserve">2026.9.5</t>
  </si>
  <si>
    <t xml:space="preserve">17:00-21:00</t>
  </si>
  <si>
    <t xml:space="preserve">21:00-24:00</t>
  </si>
  <si>
    <t xml:space="preserve">2026.9.6</t>
  </si>
  <si>
    <t xml:space="preserve">何彩樱早</t>
  </si>
  <si>
    <t xml:space="preserve">2026.9.7</t>
  </si>
  <si>
    <t xml:space="preserve">2026.9.8</t>
  </si>
  <si>
    <t xml:space="preserve">宁凯静</t>
  </si>
  <si>
    <t xml:space="preserve">2026.9.9</t>
  </si>
  <si>
    <t xml:space="preserve">何彩樱双</t>
  </si>
  <si>
    <t xml:space="preserve">14:00-18:00</t>
  </si>
  <si>
    <t xml:space="preserve">2026.9.10</t>
  </si>
  <si>
    <t xml:space="preserve">2026.9.11</t>
  </si>
  <si>
    <t xml:space="preserve">2026.9.12</t>
  </si>
  <si>
    <t xml:space="preserve">2026.9.13</t>
  </si>
  <si>
    <t xml:space="preserve">2026.9.14</t>
  </si>
  <si>
    <t xml:space="preserve">2026.9.15</t>
  </si>
  <si>
    <t xml:space="preserve">06:00-11:00</t>
  </si>
  <si>
    <t xml:space="preserve">11:00-15:00</t>
  </si>
  <si>
    <t xml:space="preserve">15:00-18:00</t>
  </si>
  <si>
    <t xml:space="preserve">2026.9.16</t>
  </si>
  <si>
    <t xml:space="preserve">张凯悬</t>
  </si>
  <si>
    <t xml:space="preserve">2026.9.17</t>
  </si>
  <si>
    <t xml:space="preserve">闫小姗双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</si>
  <si>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</si>
  <si>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</si>
  <si>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</si>
  <si>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</si>
  <si>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2026.9.22</t>
  </si>
  <si>
    <t xml:space="preserve">2026.9.23</t>
  </si>
  <si>
    <t xml:space="preserve">2026.9.24</t>
  </si>
  <si>
    <t xml:space="preserve">15:00-19:00</t>
  </si>
  <si>
    <t xml:space="preserve">杨博</t>
  </si>
  <si>
    <t xml:space="preserve">2026.9.25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</si>
  <si>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</si>
  <si>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</si>
  <si>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</si>
  <si>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</si>
  <si>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</si>
  <si>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赵佳敏</t>
  </si>
  <si>
    <t xml:space="preserve">11:00-14:00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</si>
  <si>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</si>
  <si>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</si>
  <si>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</si>
  <si>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</si>
  <si>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</si>
  <si>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</si>
  <si>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</si>
  <si>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保险支付数</t>
  </si>
  <si>
    <t xml:space="preserve">保单数量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</si>
  <si>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</si>
  <si>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</si>
  <si>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</si>
  <si>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</si>
  <si>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</si>
  <si>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</si>
  <si>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</si>
  <si>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</si>
  <si>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2026.10.1</t>
  </si>
  <si>
    <t xml:space="preserve">孙晓松</t>
  </si>
  <si>
    <t xml:space="preserve">06:00-11:00</t>
  </si>
  <si>
    <t xml:space="preserve">何彩樱早</t>
  </si>
  <si>
    <t xml:space="preserve">杨洋</t>
  </si>
  <si>
    <t xml:space="preserve">11:00-14:00</t>
  </si>
  <si>
    <t xml:space="preserve">2026.10.2</t>
  </si>
  <si>
    <t xml:space="preserve">06:00-10:00</t>
  </si>
  <si>
    <t xml:space="preserve">赵佳敏</t>
  </si>
  <si>
    <t xml:space="preserve">10:00-14:00</t>
  </si>
  <si>
    <t xml:space="preserve">2026.10.3</t>
  </si>
  <si>
    <t xml:space="preserve">2026.10.4</t>
  </si>
  <si>
    <t xml:space="preserve">张凯悬</t>
  </si>
  <si>
    <t xml:space="preserve">10:00-13:00</t>
  </si>
  <si>
    <t xml:space="preserve">2026.10.5</t>
  </si>
  <si>
    <t xml:space="preserve">10:00-15:00</t>
  </si>
  <si>
    <t xml:space="preserve">2026.10.6</t>
  </si>
  <si>
    <t xml:space="preserve">07:00-11:00</t>
  </si>
  <si>
    <t xml:space="preserve">何彩樱</t>
  </si>
  <si>
    <t xml:space="preserve">11:00-15:00</t>
  </si>
  <si>
    <t xml:space="preserve">2026.10.7</t>
  </si>
  <si>
    <t xml:space="preserve">2026.10.8</t>
  </si>
  <si>
    <t xml:space="preserve">已核对</t>
  </si>
  <si>
    <t xml:space="preserve">2026.10.9</t>
  </si>
  <si>
    <t xml:space="preserve">芦鑫鑫</t>
  </si>
  <si>
    <t xml:space="preserve">2026.10.10</t>
  </si>
  <si>
    <t xml:space="preserve">07:00-12:00</t>
  </si>
  <si>
    <t xml:space="preserve">12:00-16:00</t>
  </si>
  <si>
    <t xml:space="preserve">2026.10.11</t>
  </si>
  <si>
    <t xml:space="preserve">07:00-10:00</t>
  </si>
  <si>
    <t xml:space="preserve">14:00-17:00</t>
  </si>
  <si>
    <t xml:space="preserve">07:00-17:00</t>
  </si>
  <si>
    <t xml:space="preserve">2026.10.12</t>
  </si>
  <si>
    <t xml:space="preserve">董柯言</t>
  </si>
  <si>
    <t xml:space="preserve">14:00-16:00</t>
  </si>
  <si>
    <t xml:space="preserve">07:00-16:00</t>
  </si>
  <si>
    <t xml:space="preserve">2026.10.13</t>
  </si>
  <si>
    <t xml:space="preserve">07:30-10:00</t>
  </si>
  <si>
    <t xml:space="preserve">07:30-16:00</t>
  </si>
  <si>
    <t xml:space="preserve">2026.10.14</t>
  </si>
  <si>
    <t xml:space="preserve">07:00-14:00</t>
  </si>
  <si>
    <t xml:space="preserve">2026.10.15</t>
  </si>
  <si>
    <t xml:space="preserve">07:00-15:00</t>
  </si>
  <si>
    <t xml:space="preserve">2026.10.16</t>
  </si>
  <si>
    <t xml:space="preserve">冉翠颖</t>
  </si>
  <si>
    <t xml:space="preserve">2026.10.17</t>
  </si>
  <si>
    <t xml:space="preserve">2026.10.18</t>
  </si>
  <si>
    <t xml:space="preserve">15:00-19:00</t>
  </si>
  <si>
    <t xml:space="preserve">张怡棣双</t>
  </si>
  <si>
    <t xml:space="preserve">2026.10.19</t>
  </si>
  <si>
    <t xml:space="preserve">07:00-09:00</t>
  </si>
  <si>
    <t xml:space="preserve">09:00-13:00</t>
  </si>
  <si>
    <t xml:space="preserve">13:00-17:00</t>
  </si>
  <si>
    <t xml:space="preserve">总保单数</t>
  </si>
  <si>
    <t xml:space="preserve">家庭单数</t>
  </si>
  <si>
    <t xml:space="preserve">总年化保费</t>
  </si>
  <si>
    <t xml:space="preserve">投放消耗</t>
  </si>
  <si>
    <t xml:space="preserve">家庭单</t>
  </si>
  <si>
    <t xml:space="preserve">7:00-17:00</t>
  </si>
  <si>
    <t xml:space="preserve">7:00-16:00</t>
  </si>
  <si>
    <t xml:space="preserve">7:30-16:00</t>
  </si>
  <si>
    <t xml:space="preserve">7:00-14:00</t>
  </si>
  <si>
    <t xml:space="preserve">7:00-15:00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</si>
</sst>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164" formatCode="0.00"/>
    <numFmt numFmtId="165" formatCode="0.00_);[Red](0.00)"/>
    <numFmt numFmtId="166" formatCode="0.00_);(0.00)"/>
    <numFmt numFmtId="167" formatCode="#,##0"/>
    <numFmt numFmtId="168" formatCode="0.00"/>
    <numFmt numFmtId="169" formatCode="0.00_);[Red](0.00)"/>
    <numFmt numFmtId="170" formatCode="#,##0.00"/>
    <numFmt numFmtId="171" formatCode="0.00_);(0.00)"/>
    <numFmt numFmtId="172" formatCode="0.00"/>
    <numFmt numFmtId="173" formatCode="0.00_);[Red](0.00)"/>
    <numFmt numFmtId="174" formatCode="0.00"/>
    <numFmt numFmtId="175" formatCode="0.00_);[Red](0.00)"/>
    <numFmt numFmtId="176" formatCode="0.00_);(0.00)"/>
    <numFmt numFmtId="177" formatCode="0.00"/>
    <numFmt numFmtId="178" formatCode="0.00_);[Red](0.00)"/>
    <numFmt numFmtId="179" formatCode="0.00_);(0.00)"/>
    <numFmt numFmtId="180" formatCode="0.00"/>
    <numFmt numFmtId="181" formatCode="0.00_);[Red](0.00)"/>
    <numFmt numFmtId="182" formatCode="0.00"/>
    <numFmt numFmtId="183" formatCode="0.00_);[Red](0.00)"/>
    <numFmt numFmtId="184" formatCode="0.00_);(0.00)"/>
    <numFmt numFmtId="185" formatCode="0.00"/>
    <numFmt numFmtId="186" formatCode="0.00_);[Red](0.00)"/>
    <numFmt numFmtId="187" formatCode="0.00_);(0.00)"/>
  </numFmts>
  <fonts count="10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rgb="FF323335"/>
      <name val="PingFang SC"/>
      <family val="2"/>
    </font>
    <font>
      <sz val="9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8F959E"/>
      <name val="Calibri"/>
      <family val="2"/>
      <scheme val="minor"/>
    </font>
    <font>
      <b val="true"/>
      <sz val="14"/>
      <color rgb="FFFFFFFF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F5F6F7"/>
        <bgColor/>
      </patternFill>
    </fill>
    <fill>
      <patternFill patternType="solid">
        <fgColor rgb="FF00B0F0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5F6FF"/>
        <bgColor/>
      </patternFill>
    </fill>
    <fill>
      <patternFill patternType="solid">
        <fgColor rgb="FFFFFFFF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F8F9FA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00B0F0"/>
        <bgColor/>
      </patternFill>
    </fill>
  </fills>
  <borders count="7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6" xfId="0">
      <alignment horizontal="center" vertical="center"/>
    </xf>
    <xf applyAlignment="true" applyBorder="false" applyFill="false" applyFont="true" applyNumberFormat="true" applyProtection="false" borderId="4" fillId="0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true" applyProtection="false" borderId="5" fillId="3" fontId="1" numFmtId="166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true" applyFont="true" applyNumberFormat="false" applyProtection="false" borderId="7" fillId="4" fontId="3" numFmtId="0" xfId="0">
      <alignment horizontal="center" vertical="center"/>
    </xf>
    <xf applyAlignment="true" applyBorder="false" applyFill="true" applyFont="true" applyNumberFormat="false" applyProtection="false" borderId="8" fillId="4" fontId="3" numFmtId="0" xfId="0">
      <alignment horizontal="center" vertical="center"/>
    </xf>
    <xf applyAlignment="true" applyBorder="false" applyFill="true" applyFont="true" applyNumberFormat="false" applyProtection="false" borderId="7" fillId="4" fontId="3" numFmtId="0" xfId="0">
      <alignment horizontal="center" vertical="center"/>
    </xf>
    <xf applyAlignment="true" applyBorder="false" applyFill="true" applyFont="true" applyNumberFormat="true" applyProtection="false" borderId="7" fillId="4" fontId="3" numFmtId="164" xfId="0">
      <alignment horizontal="center" vertical="center"/>
    </xf>
    <xf applyAlignment="true" applyBorder="false" applyFill="true" applyFont="true" applyNumberFormat="true" applyProtection="false" borderId="7" fillId="4" fontId="3" numFmtId="165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true" applyFont="true" applyNumberFormat="true" applyProtection="false" borderId="5" fillId="3" fontId="1" numFmtId="164" xfId="0">
      <alignment horizontal="center" vertical="center"/>
    </xf>
    <xf applyAlignment="true" applyBorder="false" applyFill="true" applyFont="true" applyNumberFormat="true" applyProtection="false" borderId="2" fillId="3" fontId="1" numFmtId="164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66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true" applyFont="true" applyNumberFormat="true" applyProtection="false" borderId="5" fillId="3" fontId="1" numFmtId="166" xfId="0">
      <alignment horizontal="center" vertical="center"/>
    </xf>
    <xf applyAlignment="true" applyBorder="false" applyFill="false" applyFont="true" applyNumberFormat="true" applyProtection="false" borderId="5" fillId="0" fontId="1" numFmtId="166" xfId="0">
      <alignment horizontal="center" vertical="center"/>
    </xf>
    <xf applyAlignment="true" applyBorder="false" applyFill="true" applyFont="true" applyNumberFormat="true" applyProtection="false" borderId="7" fillId="3" fontId="1" numFmtId="166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7" fillId="3" fontId="4" numFmtId="0" xfId="0">
      <alignment horizontal="center" vertical="center"/>
    </xf>
    <xf applyAlignment="true" applyBorder="false" applyFill="true" applyFont="true" applyNumberFormat="false" applyProtection="false" borderId="7" fillId="3" fontId="4" numFmtId="0" xfId="0">
      <alignment horizontal="center" vertical="center"/>
    </xf>
    <xf applyAlignment="true" applyBorder="false" applyFill="true" applyFont="true" applyNumberFormat="true" applyProtection="false" borderId="2" fillId="3" fontId="4" numFmtId="166" xfId="0">
      <alignment horizontal="center" vertical="center"/>
    </xf>
    <xf applyAlignment="true" applyBorder="false" applyFill="true" applyFont="true" applyNumberFormat="true" applyProtection="false" borderId="2" fillId="3" fontId="4" numFmtId="166" xfId="0">
      <alignment horizontal="center" vertical="center"/>
    </xf>
    <xf applyAlignment="true" applyBorder="false" applyFill="true" applyFont="true" applyNumberFormat="true" applyProtection="false" borderId="5" fillId="3" fontId="4" numFmtId="166" xfId="0">
      <alignment horizontal="center" vertical="center"/>
    </xf>
    <xf applyAlignment="true" applyBorder="false" applyFill="true" applyFont="true" applyNumberFormat="true" applyProtection="false" borderId="2" fillId="3" fontId="4" numFmtId="166" xfId="0">
      <alignment horizontal="center" vertical="center"/>
    </xf>
    <xf applyAlignment="true" applyBorder="false" applyFill="true" applyFont="true" applyNumberFormat="true" applyProtection="false" borderId="2" fillId="3" fontId="1" numFmtId="166" xfId="0">
      <alignment horizontal="center" vertical="center"/>
    </xf>
    <xf applyAlignment="true" applyBorder="false" applyFill="true" applyFont="true" applyNumberFormat="true" applyProtection="false" borderId="7" fillId="3" fontId="4" numFmtId="166" xfId="0">
      <alignment horizontal="center" vertical="center"/>
    </xf>
    <xf applyAlignment="true" applyBorder="false" applyFill="true" applyFont="true" applyNumberFormat="true" applyProtection="false" borderId="7" fillId="3" fontId="1" numFmtId="166" xfId="0">
      <alignment horizontal="center" vertical="center"/>
    </xf>
    <xf applyAlignment="true" applyBorder="false" applyFill="true" applyFont="true" applyNumberFormat="true" applyProtection="false" borderId="0" fillId="3" fontId="1" numFmtId="166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true" applyProtection="false" borderId="6" fillId="3" fontId="1" numFmtId="166" xfId="0">
      <alignment horizontal="center" vertical="center"/>
    </xf>
    <xf applyAlignment="true" applyBorder="false" applyFill="true" applyFont="true" applyNumberFormat="true" applyProtection="false" borderId="3" fillId="3" fontId="1" numFmtId="166" xfId="0">
      <alignment horizontal="center" vertical="center"/>
    </xf>
    <xf applyAlignment="true" applyBorder="false" applyFill="false" applyFont="true" applyNumberFormat="true" applyProtection="false" borderId="9" fillId="0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true" applyProtection="false" borderId="7" fillId="0" fontId="1" numFmtId="166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8" fillId="4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6" numFmtId="0" xfId="0">
      <alignment horizontal="center" vertical="center"/>
    </xf>
    <xf applyAlignment="true" applyBorder="false" applyFill="false" applyFont="true" applyNumberFormat="true" applyProtection="false" borderId="3" fillId="0" fontId="1" numFmtId="16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true" applyFont="true" applyNumberFormat="true" applyProtection="false" borderId="10" fillId="5" fontId="1" numFmtId="168" xfId="0">
      <alignment horizontal="center" vertical="center"/>
    </xf>
    <xf applyAlignment="true" applyBorder="false" applyFill="true" applyFont="true" applyNumberFormat="true" applyProtection="false" borderId="10" fillId="5" fontId="1" numFmtId="16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11" fillId="0" fontId="1" numFmtId="168" xfId="0">
      <alignment horizontal="center" vertical="center"/>
    </xf>
    <xf applyAlignment="true" applyBorder="false" applyFill="false" applyFont="true" applyNumberFormat="true" applyProtection="false" borderId="11" fillId="0" fontId="1" numFmtId="16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true" applyProtection="false" borderId="10" fillId="0" fontId="1" numFmtId="169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true" applyFont="true" applyNumberFormat="false" applyProtection="false" borderId="12" fillId="6" fontId="3" numFmtId="0" xfId="0">
      <alignment horizontal="center" vertical="center"/>
    </xf>
    <xf applyAlignment="true" applyBorder="false" applyFill="true" applyFont="true" applyNumberFormat="false" applyProtection="false" borderId="10" fillId="6" fontId="3" numFmtId="0" xfId="0">
      <alignment horizontal="center" vertical="center"/>
    </xf>
    <xf applyAlignment="true" applyBorder="false" applyFill="true" applyFont="true" applyNumberFormat="true" applyProtection="false" borderId="10" fillId="6" fontId="3" numFmtId="168" xfId="0">
      <alignment horizontal="center" vertical="center"/>
    </xf>
    <xf applyAlignment="true" applyBorder="false" applyFill="true" applyFont="true" applyNumberFormat="true" applyProtection="false" borderId="10" fillId="6" fontId="3" numFmtId="16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68" xfId="0">
      <alignment horizontal="center" vertical="center"/>
    </xf>
    <xf applyAlignment="true" applyBorder="false" applyFill="false" applyFont="true" applyNumberFormat="true" applyProtection="false" borderId="13" fillId="0" fontId="1" numFmtId="169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true" applyFont="true" applyNumberFormat="false" applyProtection="false" borderId="13" fillId="6" fontId="3" numFmtId="0" xfId="0">
      <alignment horizontal="center" vertical="center"/>
    </xf>
    <xf applyAlignment="true" applyBorder="false" applyFill="true" applyFont="true" applyNumberFormat="false" applyProtection="false" borderId="13" fillId="6" fontId="3" numFmtId="0" xfId="0">
      <alignment horizontal="center" vertical="center"/>
    </xf>
    <xf applyAlignment="true" applyBorder="false" applyFill="true" applyFont="true" applyNumberFormat="true" applyProtection="false" borderId="13" fillId="6" fontId="3" numFmtId="168" xfId="0">
      <alignment horizontal="center" vertical="center"/>
    </xf>
    <xf applyAlignment="true" applyBorder="false" applyFill="true" applyFont="true" applyNumberFormat="true" applyProtection="false" borderId="13" fillId="6" fontId="3" numFmtId="169" xfId="0">
      <alignment horizontal="center" vertical="center"/>
    </xf>
    <xf applyAlignment="true" applyBorder="false" applyFill="true" applyFont="true" applyNumberFormat="false" applyProtection="false" borderId="14" fillId="6" fontId="3" numFmtId="0" xfId="0">
      <alignment horizontal="center" vertical="center"/>
    </xf>
    <xf applyAlignment="true" applyBorder="false" applyFill="true" applyFont="true" applyNumberFormat="true" applyProtection="false" borderId="14" fillId="6" fontId="3" numFmtId="168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68" xfId="0">
      <alignment horizontal="center" vertical="center"/>
    </xf>
    <xf applyAlignment="true" applyBorder="false" applyFill="false" applyFont="true" applyNumberFormat="true" applyProtection="false" borderId="16" fillId="0" fontId="1" numFmtId="169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true" applyProtection="false" borderId="17" fillId="0" fontId="1" numFmtId="168" xfId="0">
      <alignment horizontal="center" vertical="center"/>
    </xf>
    <xf applyAlignment="true" applyBorder="false" applyFill="false" applyFont="true" applyNumberFormat="true" applyProtection="false" borderId="13" fillId="0" fontId="1" numFmtId="17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6" numFmtId="0" xfId="0">
      <alignment horizontal="center" vertical="center"/>
    </xf>
    <xf applyAlignment="true" applyBorder="false" applyFill="true" applyFont="true" applyNumberFormat="false" applyProtection="false" borderId="0" fillId="7" fontId="1" numFmtId="0" xfId="0">
      <alignment horizontal="center" vertical="center"/>
    </xf>
    <xf applyAlignment="true" applyBorder="false" applyFill="true" applyFont="true" applyNumberFormat="false" applyProtection="false" borderId="14" fillId="7" fontId="1" numFmtId="0" xfId="0">
      <alignment horizontal="center" vertical="center"/>
    </xf>
    <xf applyAlignment="true" applyBorder="false" applyFill="true" applyFont="true" applyNumberFormat="true" applyProtection="false" borderId="14" fillId="7" fontId="1" numFmtId="171" xfId="0">
      <alignment horizontal="center" vertical="center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true" applyFont="true" applyNumberFormat="true" applyProtection="false" borderId="13" fillId="7" fontId="1" numFmtId="171" xfId="0">
      <alignment horizontal="center" vertical="center"/>
    </xf>
    <xf applyAlignment="true" applyBorder="false" applyFill="true" applyFont="true" applyNumberFormat="false" applyProtection="false" borderId="14" fillId="6" fontId="3" numFmtId="0" xfId="0">
      <alignment horizontal="center" vertical="center"/>
    </xf>
    <xf applyAlignment="true" applyBorder="false" applyFill="true" applyFont="true" applyNumberFormat="false" applyProtection="false" borderId="19" fillId="6" fontId="3" numFmtId="0" xfId="0">
      <alignment horizontal="center" vertical="center"/>
    </xf>
    <xf applyAlignment="true" applyBorder="false" applyFill="true" applyFont="true" applyNumberFormat="true" applyProtection="false" borderId="14" fillId="6" fontId="3" numFmtId="169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true" applyFont="true" applyNumberFormat="false" applyProtection="false" borderId="17" fillId="7" fontId="1" numFmtId="0" xfId="0">
      <alignment horizontal="center" vertical="center"/>
    </xf>
    <xf applyAlignment="true" applyBorder="false" applyFill="true" applyFont="true" applyNumberFormat="true" applyProtection="false" borderId="17" fillId="7" fontId="1" numFmtId="171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8" xfId="0">
      <alignment horizontal="center" vertical="center"/>
    </xf>
    <xf applyAlignment="true" applyBorder="false" applyFill="true" applyFont="true" applyNumberFormat="false" applyProtection="false" borderId="20" fillId="9" fontId="1" numFmtId="0" xfId="0">
      <alignment horizontal="center" vertical="center"/>
    </xf>
    <xf applyAlignment="true" applyBorder="false" applyFill="true" applyFont="true" applyNumberFormat="true" applyProtection="false" borderId="20" fillId="9" fontId="1" numFmtId="172" xfId="0">
      <alignment horizontal="center" vertical="center"/>
    </xf>
    <xf applyAlignment="true" applyBorder="false" applyFill="true" applyFont="true" applyNumberFormat="true" applyProtection="false" borderId="20" fillId="9" fontId="1" numFmtId="173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6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72" xfId="0">
      <alignment horizontal="center" vertical="center"/>
    </xf>
    <xf applyAlignment="true" applyBorder="false" applyFill="false" applyFont="true" applyNumberFormat="true" applyProtection="false" borderId="21" fillId="0" fontId="1" numFmtId="173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20" fillId="0" fontId="1" numFmtId="173" xfId="0">
      <alignment horizontal="center" vertical="center"/>
    </xf>
    <xf applyAlignment="true" applyBorder="false" applyFill="true" applyFont="true" applyNumberFormat="false" applyProtection="false" borderId="22" fillId="10" fontId="3" numFmtId="0" xfId="0">
      <alignment horizontal="center" vertical="center"/>
    </xf>
    <xf applyAlignment="true" applyBorder="false" applyFill="true" applyFont="true" applyNumberFormat="false" applyProtection="false" borderId="20" fillId="10" fontId="3" numFmtId="0" xfId="0">
      <alignment horizontal="center" vertical="center"/>
    </xf>
    <xf applyAlignment="true" applyBorder="false" applyFill="true" applyFont="true" applyNumberFormat="true" applyProtection="false" borderId="20" fillId="10" fontId="3" numFmtId="172" xfId="0">
      <alignment horizontal="center" vertical="center"/>
    </xf>
    <xf applyAlignment="true" applyBorder="false" applyFill="true" applyFont="true" applyNumberFormat="true" applyProtection="false" borderId="20" fillId="10" fontId="3" numFmtId="173" xfId="0">
      <alignment horizontal="center" vertical="center"/>
    </xf>
    <xf applyAlignment="true" applyBorder="false" applyFill="true" applyFont="true" applyNumberFormat="false" applyProtection="false" borderId="23" fillId="11" fontId="1" numFmtId="0" xfId="0">
      <alignment horizontal="center" vertical="center"/>
    </xf>
    <xf applyAlignment="true" applyBorder="false" applyFill="true" applyFont="true" applyNumberFormat="true" applyProtection="false" borderId="23" fillId="11" fontId="1" numFmtId="174" xfId="0">
      <alignment horizontal="center" vertical="center"/>
    </xf>
    <xf applyAlignment="true" applyBorder="false" applyFill="true" applyFont="true" applyNumberFormat="true" applyProtection="false" borderId="23" fillId="11" fontId="1" numFmtId="175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true" applyFont="true" applyNumberFormat="false" applyProtection="false" borderId="25" fillId="12" fontId="1" numFmtId="0" xfId="0">
      <alignment horizontal="center" vertical="center"/>
    </xf>
    <xf applyAlignment="true" applyBorder="false" applyFill="false" applyFont="true" applyNumberFormat="true" applyProtection="false" borderId="26" fillId="0" fontId="1" numFmtId="175" xfId="0">
      <alignment horizontal="center" vertical="center"/>
    </xf>
    <xf applyAlignment="true" applyBorder="false" applyFill="false" applyFont="true" applyNumberFormat="true" applyProtection="false" borderId="25" fillId="0" fontId="1" numFmtId="175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true" applyFont="true" applyNumberFormat="false" applyProtection="false" borderId="27" fillId="13" fontId="3" numFmtId="0" xfId="0">
      <alignment horizontal="center" vertical="center"/>
    </xf>
    <xf applyAlignment="true" applyBorder="false" applyFill="true" applyFont="true" applyNumberFormat="false" applyProtection="false" borderId="28" fillId="13" fontId="3" numFmtId="0" xfId="0">
      <alignment horizontal="center" vertical="center"/>
    </xf>
    <xf applyAlignment="true" applyBorder="false" applyFill="true" applyFont="true" applyNumberFormat="false" applyProtection="false" borderId="27" fillId="13" fontId="3" numFmtId="0" xfId="0">
      <alignment horizontal="center" vertical="center"/>
    </xf>
    <xf applyAlignment="true" applyBorder="false" applyFill="true" applyFont="true" applyNumberFormat="true" applyProtection="false" borderId="27" fillId="13" fontId="3" numFmtId="175" xfId="0">
      <alignment horizontal="center" vertical="center"/>
    </xf>
    <xf applyAlignment="true" applyBorder="false" applyFill="false" applyFont="true" applyNumberFormat="false" applyProtection="false" borderId="26" fillId="0" fontId="7" numFmtId="0" xfId="0">
      <alignment horizontal="center" vertical="center"/>
    </xf>
    <xf applyAlignment="true" applyBorder="false" applyFill="false" applyFont="true" applyNumberFormat="true" applyProtection="false" borderId="27" fillId="0" fontId="1" numFmtId="176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 wrapText="true"/>
    </xf>
    <xf applyAlignment="true" applyBorder="false" applyFill="false" applyFont="true" applyNumberFormat="true" applyProtection="false" borderId="25" fillId="0" fontId="1" numFmtId="176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vertical="center"/>
    </xf>
    <xf applyAlignment="true" applyBorder="false" applyFill="false" applyFont="true" applyNumberFormat="false" applyProtection="false" borderId="26" fillId="0" fontId="6" numFmtId="0" xfId="0">
      <alignment horizontal="center" vertical="center"/>
    </xf>
    <xf applyAlignment="true" applyBorder="false" applyFill="false" applyFont="true" applyNumberFormat="true" applyProtection="false" borderId="31" fillId="0" fontId="1" numFmtId="175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false" applyFont="true" applyNumberFormat="false" applyProtection="false" borderId="33" fillId="0" fontId="7" numFmtId="0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/>
    </xf>
    <xf applyAlignment="true" applyBorder="false" applyFill="false" applyFont="true" applyNumberFormat="true" applyProtection="false" borderId="35" fillId="0" fontId="1" numFmtId="176" xfId="0">
      <alignment horizontal="center" vertical="center"/>
    </xf>
    <xf applyAlignment="true" applyBorder="false" applyFill="false" applyFont="true" applyNumberFormat="true" applyProtection="false" borderId="33" fillId="0" fontId="1" numFmtId="175" xfId="0">
      <alignment horizontal="center" vertical="center"/>
    </xf>
    <xf applyAlignment="true" applyBorder="false" applyFill="false" applyFont="true" applyNumberFormat="false" applyProtection="false" borderId="35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false" applyProtection="false" borderId="37" fillId="0" fontId="1" numFmtId="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35" fillId="0" fontId="1" numFmtId="0" xfId="0">
      <alignment horizontal="center" vertical="center" wrapText="true"/>
    </xf>
    <xf applyAlignment="true" applyBorder="false" applyFill="false" applyFont="true" applyNumberFormat="false" applyProtection="false" borderId="33" fillId="0" fontId="6" numFmtId="0" xfId="0">
      <alignment horizontal="center" vertical="center"/>
    </xf>
    <xf applyAlignment="true" applyBorder="false" applyFill="false" applyFont="true" applyNumberFormat="true" applyProtection="false" borderId="32" fillId="0" fontId="1" numFmtId="176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vertical="center"/>
    </xf>
    <xf applyAlignment="true" applyBorder="false" applyFill="true" applyFont="true" applyNumberFormat="false" applyProtection="false" borderId="35" fillId="13" fontId="3" numFmtId="0" xfId="0">
      <alignment horizontal="center" vertical="center"/>
    </xf>
    <xf applyAlignment="true" applyBorder="false" applyFill="true" applyFont="true" applyNumberFormat="false" applyProtection="false" borderId="38" fillId="13" fontId="3" numFmtId="0" xfId="0">
      <alignment horizontal="center" vertical="center"/>
    </xf>
    <xf applyAlignment="true" applyBorder="false" applyFill="true" applyFont="true" applyNumberFormat="true" applyProtection="false" borderId="35" fillId="13" fontId="3" numFmtId="175" xfId="0">
      <alignment horizontal="center" vertical="center"/>
    </xf>
    <xf applyAlignment="true" applyBorder="false" applyFill="false" applyFont="true" applyNumberFormat="false" applyProtection="false" borderId="39" fillId="0" fontId="1" numFmtId="0" xfId="0">
      <alignment horizontal="center" vertical="center"/>
    </xf>
    <xf applyAlignment="true" applyBorder="false" applyFill="false" applyFont="true" applyNumberFormat="true" applyProtection="false" borderId="35" fillId="0" fontId="1" numFmtId="176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false" applyFont="true" applyNumberFormat="false" applyProtection="false" borderId="40" fillId="0" fontId="7" numFmtId="0" xfId="0">
      <alignment horizontal="center" vertical="center"/>
    </xf>
    <xf applyAlignment="true" applyBorder="false" applyFill="false" applyFont="true" applyNumberFormat="true" applyProtection="false" borderId="40" fillId="0" fontId="1" numFmtId="175" xfId="0">
      <alignment horizontal="center" vertical="center"/>
    </xf>
    <xf applyAlignment="true" applyBorder="false" applyFill="false" applyFont="true" applyNumberFormat="true" applyProtection="false" borderId="41" fillId="0" fontId="1" numFmtId="175" xfId="0">
      <alignment horizontal="center" vertical="center"/>
    </xf>
    <xf applyAlignment="true" applyBorder="false" applyFill="false" applyFont="true" applyNumberFormat="false" applyProtection="false" borderId="40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7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25" fillId="13" fontId="3" numFmtId="0" xfId="0">
      <alignment horizontal="center" vertical="center"/>
    </xf>
    <xf applyAlignment="true" applyBorder="false" applyFill="true" applyFont="true" applyNumberFormat="false" applyProtection="false" borderId="25" fillId="13" fontId="3" numFmtId="0" xfId="0">
      <alignment horizontal="center" vertical="center"/>
    </xf>
    <xf applyAlignment="true" applyBorder="false" applyFill="true" applyFont="true" applyNumberFormat="true" applyProtection="false" borderId="25" fillId="13" fontId="3" numFmtId="175" xfId="0">
      <alignment horizontal="center" vertical="center"/>
    </xf>
    <xf applyAlignment="true" applyBorder="false" applyFill="false" applyFont="true" applyNumberFormat="false" applyProtection="false" borderId="25" fillId="0" fontId="6" numFmtId="0" xfId="0">
      <alignment horizontal="center" vertical="center"/>
    </xf>
    <xf applyAlignment="true" applyBorder="false" applyFill="true" applyFont="true" applyNumberFormat="false" applyProtection="false" borderId="0" fillId="14" fontId="8" numFmtId="0" xfId="0">
      <alignment vertical="center"/>
    </xf>
    <xf applyAlignment="true" applyBorder="false" applyFill="true" applyFont="true" applyNumberFormat="false" applyProtection="false" borderId="35" fillId="15" fontId="9" numFmtId="0" xfId="0">
      <alignment horizontal="center" vertical="center"/>
    </xf>
    <xf applyAlignment="true" applyBorder="false" applyFill="true" applyFont="true" applyNumberFormat="false" applyProtection="false" borderId="32" fillId="15" fontId="9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42" fillId="16" fontId="1" numFmtId="0" xfId="0">
      <alignment horizontal="center" vertical="center"/>
    </xf>
    <xf applyAlignment="true" applyBorder="false" applyFill="true" applyFont="true" applyNumberFormat="true" applyProtection="false" borderId="42" fillId="16" fontId="1" numFmtId="177" xfId="0">
      <alignment horizontal="center" vertical="center"/>
    </xf>
    <xf applyAlignment="true" applyBorder="false" applyFill="true" applyFont="true" applyNumberFormat="true" applyProtection="false" borderId="43" fillId="16" fontId="1" numFmtId="178" xfId="0">
      <alignment horizontal="center" vertical="center"/>
    </xf>
    <xf applyAlignment="true" applyBorder="false" applyFill="true" applyFont="true" applyNumberFormat="true" applyProtection="false" borderId="44" fillId="16" fontId="1" numFmtId="178" xfId="0">
      <alignment horizontal="center" vertical="center"/>
    </xf>
    <xf applyAlignment="true" applyBorder="false" applyFill="true" applyFont="true" applyNumberFormat="false" applyProtection="false" borderId="44" fillId="16" fontId="1" numFmtId="0" xfId="0">
      <alignment horizontal="center" vertical="center"/>
    </xf>
    <xf applyAlignment="true" applyBorder="false" applyFill="false" applyFont="true" applyNumberFormat="false" applyProtection="false" borderId="45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horizontal="center" vertical="center"/>
    </xf>
    <xf applyAlignment="true" applyBorder="false" applyFill="false" applyFont="true" applyNumberFormat="false" applyProtection="false" borderId="46" fillId="0" fontId="7" numFmtId="0" xfId="0">
      <alignment horizontal="center" vertical="center"/>
    </xf>
    <xf applyAlignment="true" applyBorder="false" applyFill="false" applyFont="true" applyNumberFormat="true" applyProtection="false" borderId="47" fillId="0" fontId="1" numFmtId="179" xfId="0">
      <alignment horizontal="center" vertical="center"/>
    </xf>
    <xf applyAlignment="true" applyBorder="false" applyFill="false" applyFont="true" applyNumberFormat="true" applyProtection="false" borderId="46" fillId="0" fontId="1" numFmtId="178" xfId="0">
      <alignment horizontal="center" vertical="center"/>
    </xf>
    <xf applyAlignment="true" applyBorder="false" applyFill="false" applyFont="true" applyNumberFormat="false" applyProtection="false" borderId="48" fillId="0" fontId="1" numFmtId="0" xfId="0">
      <alignment horizontal="center" vertical="center"/>
    </xf>
    <xf applyAlignment="true" applyBorder="false" applyFill="false" applyFont="true" applyNumberFormat="false" applyProtection="false" borderId="47" fillId="0" fontId="1" numFmtId="0" xfId="0">
      <alignment horizontal="center" vertical="center"/>
    </xf>
    <xf applyAlignment="true" applyBorder="false" applyFill="false" applyFont="true" applyNumberFormat="false" applyProtection="false" borderId="49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1" numFmtId="0" xfId="0">
      <alignment horizontal="center" vertical="center"/>
    </xf>
    <xf applyAlignment="true" applyBorder="false" applyFill="false" applyFont="true" applyNumberFormat="false" applyProtection="false" borderId="46" fillId="0" fontId="2" numFmtId="0" xfId="0">
      <alignment horizontal="center" vertical="center"/>
    </xf>
    <xf applyAlignment="true" applyBorder="false" applyFill="false" applyFont="true" applyNumberFormat="true" applyProtection="false" borderId="50" fillId="0" fontId="1" numFmtId="178" xfId="0">
      <alignment horizontal="center" vertical="center"/>
    </xf>
    <xf applyAlignment="true" applyBorder="false" applyFill="false" applyFont="true" applyNumberFormat="false" applyProtection="false" borderId="51" fillId="0" fontId="2" numFmtId="0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horizontal="center" vertical="center" wrapText="true"/>
    </xf>
    <xf applyAlignment="true" applyBorder="false" applyFill="false" applyFont="true" applyNumberFormat="false" applyProtection="false" borderId="51" fillId="0" fontId="7" numFmtId="0" xfId="0">
      <alignment horizontal="center" vertical="center"/>
    </xf>
    <xf applyAlignment="true" applyBorder="false" applyFill="false" applyFont="true" applyNumberFormat="true" applyProtection="false" borderId="51" fillId="0" fontId="1" numFmtId="178" xfId="0">
      <alignment horizontal="center" vertical="center"/>
    </xf>
    <xf applyAlignment="true" applyBorder="false" applyFill="false" applyFont="true" applyNumberFormat="true" applyProtection="false" borderId="52" fillId="0" fontId="1" numFmtId="178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horizontal="center" vertical="center"/>
    </xf>
    <xf applyAlignment="true" applyBorder="false" applyFill="false" applyFont="true" applyNumberFormat="false" applyProtection="false" borderId="46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horizontal="center" vertical="center"/>
    </xf>
    <xf applyAlignment="true" applyBorder="false" applyFill="false" applyFont="true" applyNumberFormat="true" applyProtection="false" borderId="44" fillId="0" fontId="1" numFmtId="178" xfId="0">
      <alignment horizontal="center" vertical="center"/>
    </xf>
    <xf applyAlignment="true" applyBorder="false" applyFill="false" applyFont="true" applyNumberFormat="false" applyProtection="false" borderId="53" fillId="0" fontId="2" numFmtId="0" xfId="0">
      <alignment vertical="center"/>
    </xf>
    <xf applyAlignment="true" applyBorder="false" applyFill="false" applyFont="true" applyNumberFormat="false" applyProtection="false" borderId="44" fillId="0" fontId="2" numFmtId="0" xfId="0">
      <alignment vertical="center"/>
    </xf>
    <xf applyAlignment="true" applyBorder="false" applyFill="true" applyFont="true" applyNumberFormat="false" applyProtection="false" borderId="53" fillId="17" fontId="3" numFmtId="0" xfId="0">
      <alignment horizontal="center" vertical="center"/>
    </xf>
    <xf applyAlignment="true" applyBorder="false" applyFill="true" applyFont="true" applyNumberFormat="false" applyProtection="false" borderId="53" fillId="17" fontId="3" numFmtId="0" xfId="0">
      <alignment horizontal="center" vertical="center"/>
    </xf>
    <xf applyAlignment="true" applyBorder="false" applyFill="true" applyFont="true" applyNumberFormat="false" applyProtection="false" borderId="44" fillId="17" fontId="3" numFmtId="0" xfId="0">
      <alignment horizontal="center" vertical="center"/>
    </xf>
    <xf applyAlignment="true" applyBorder="false" applyFill="true" applyFont="true" applyNumberFormat="true" applyProtection="false" borderId="44" fillId="17" fontId="3" numFmtId="178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54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horizontal="center" vertical="center" wrapText="true"/>
    </xf>
    <xf applyAlignment="true" applyBorder="false" applyFill="false" applyFont="true" applyNumberFormat="true" applyProtection="false" borderId="45" fillId="0" fontId="1" numFmtId="178" xfId="0">
      <alignment horizontal="center" vertical="center"/>
    </xf>
    <xf applyAlignment="true" applyBorder="false" applyFill="true" applyFont="true" applyNumberFormat="false" applyProtection="false" borderId="44" fillId="17" fontId="3" numFmtId="0" xfId="0">
      <alignment horizontal="center" vertical="center"/>
    </xf>
    <xf applyAlignment="true" applyBorder="false" applyFill="true" applyFont="true" applyNumberFormat="false" applyProtection="false" borderId="46" fillId="17" fontId="3" numFmtId="0" xfId="0">
      <alignment horizontal="center" vertical="center"/>
    </xf>
    <xf applyAlignment="true" applyBorder="false" applyFill="false" applyFont="true" applyNumberFormat="false" applyProtection="false" borderId="55" fillId="0" fontId="1" numFmtId="0" xfId="0">
      <alignment horizontal="center" vertical="center"/>
    </xf>
    <xf applyAlignment="true" applyBorder="false" applyFill="false" applyFont="true" applyNumberFormat="false" applyProtection="false" borderId="53" fillId="0" fontId="1" numFmtId="0" xfId="0">
      <alignment horizontal="center" vertical="center"/>
    </xf>
    <xf applyAlignment="true" applyBorder="false" applyFill="false" applyFont="true" applyNumberFormat="true" applyProtection="false" borderId="53" fillId="0" fontId="1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53" fillId="0" fontId="2" numFmtId="0" xfId="0">
      <alignment vertical="center"/>
    </xf>
    <xf applyAlignment="true" applyBorder="false" applyFill="false" applyFont="true" applyNumberFormat="false" applyProtection="false" borderId="53" fillId="0" fontId="1" numFmtId="0" xfId="0">
      <alignment horizontal="center" vertical="center"/>
    </xf>
    <xf applyAlignment="true" applyBorder="false" applyFill="true" applyFont="true" applyNumberFormat="false" applyProtection="false" borderId="44" fillId="18" fontId="1" numFmtId="0" xfId="0">
      <alignment horizontal="center" vertical="center"/>
    </xf>
    <xf applyAlignment="true" applyBorder="false" applyFill="true" applyFont="true" applyNumberFormat="false" applyProtection="false" borderId="47" fillId="17" fontId="3" numFmtId="0" xfId="0">
      <alignment horizontal="center" vertical="center"/>
    </xf>
    <xf applyAlignment="true" applyBorder="false" applyFill="true" applyFont="true" applyNumberFormat="false" applyProtection="false" borderId="48" fillId="17" fontId="3" numFmtId="0" xfId="0">
      <alignment horizontal="center" vertical="center"/>
    </xf>
    <xf applyAlignment="true" applyBorder="false" applyFill="true" applyFont="true" applyNumberFormat="false" applyProtection="false" borderId="47" fillId="17" fontId="3" numFmtId="0" xfId="0">
      <alignment horizontal="center" vertical="center"/>
    </xf>
    <xf applyAlignment="true" applyBorder="false" applyFill="true" applyFont="true" applyNumberFormat="true" applyProtection="false" borderId="47" fillId="17" fontId="3" numFmtId="178" xfId="0">
      <alignment horizontal="center" vertical="center"/>
    </xf>
    <xf applyAlignment="true" applyBorder="false" applyFill="false" applyFont="true" applyNumberFormat="true" applyProtection="false" borderId="56" fillId="0" fontId="1" numFmtId="17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53" fillId="0" fontId="2" numFmtId="0" xfId="0">
      <alignment horizontal="center" vertical="center"/>
    </xf>
    <xf applyAlignment="true" applyBorder="false" applyFill="true" applyFont="true" applyNumberFormat="false" applyProtection="false" borderId="48" fillId="17" fontId="3" numFmtId="0" xfId="0">
      <alignment horizontal="center" vertical="center"/>
    </xf>
    <xf applyAlignment="true" applyBorder="false" applyFill="false" applyFont="true" applyNumberFormat="true" applyProtection="false" borderId="44" fillId="0" fontId="1" numFmtId="179" xfId="0">
      <alignment horizontal="center" vertical="center"/>
    </xf>
    <xf applyAlignment="true" applyBorder="false" applyFill="false" applyFont="true" applyNumberFormat="true" applyProtection="false" borderId="44" fillId="0" fontId="1" numFmtId="179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horizontal="center" vertical="center"/>
    </xf>
    <xf applyAlignment="true" applyBorder="false" applyFill="false" applyFont="true" applyNumberFormat="false" applyProtection="false" borderId="44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19" fontId="2" numFmtId="0" xfId="0">
      <alignment horizontal="right" vertical="center"/>
    </xf>
    <xf applyAlignment="true" applyBorder="false" applyFill="false" applyFont="true" applyNumberFormat="true" applyProtection="false" borderId="0" fillId="0" fontId="2" numFmtId="177" xfId="0">
      <alignment vertical="center"/>
    </xf>
    <xf applyAlignment="true" applyBorder="false" applyFill="true" applyFont="true" applyNumberFormat="true" applyProtection="false" borderId="44" fillId="17" fontId="3" numFmtId="179" xfId="0">
      <alignment horizontal="center" vertical="center"/>
    </xf>
    <xf applyAlignment="true" applyBorder="false" applyFill="true" applyFont="true" applyNumberFormat="false" applyProtection="false" borderId="57" fillId="20" fontId="1" numFmtId="0" xfId="0">
      <alignment horizontal="center" vertical="center"/>
    </xf>
    <xf applyAlignment="true" applyBorder="false" applyFill="true" applyFont="true" applyNumberFormat="true" applyProtection="false" borderId="57" fillId="20" fontId="1" numFmtId="180" xfId="0">
      <alignment horizontal="center" vertical="center"/>
    </xf>
    <xf applyAlignment="true" applyBorder="false" applyFill="true" applyFont="true" applyNumberFormat="true" applyProtection="false" borderId="58" fillId="20" fontId="1" numFmtId="181" xfId="0">
      <alignment horizontal="center" vertical="center"/>
    </xf>
    <xf applyAlignment="true" applyBorder="false" applyFill="true" applyFont="true" applyNumberFormat="true" applyProtection="false" borderId="59" fillId="20" fontId="1" numFmtId="181" xfId="0">
      <alignment horizontal="center" vertical="center"/>
    </xf>
    <xf applyAlignment="true" applyBorder="false" applyFill="true" applyFont="true" applyNumberFormat="false" applyProtection="false" borderId="59" fillId="20" fontId="1" numFmtId="0" xfId="0">
      <alignment horizontal="center" vertical="center"/>
    </xf>
    <xf applyAlignment="true" applyBorder="false" applyFill="false" applyFont="true" applyNumberFormat="false" applyProtection="false" borderId="60" fillId="0" fontId="1" numFmtId="0" xfId="0">
      <alignment horizontal="center" vertical="center"/>
    </xf>
    <xf applyAlignment="true" applyBorder="false" applyFill="false" applyFont="true" applyNumberFormat="false" applyProtection="false" borderId="59" fillId="0" fontId="1" numFmtId="0" xfId="0">
      <alignment horizontal="center" vertical="center"/>
    </xf>
    <xf applyAlignment="true" applyBorder="false" applyFill="false" applyFont="true" applyNumberFormat="false" applyProtection="false" borderId="59" fillId="0" fontId="2" numFmtId="0" xfId="0">
      <alignment horizontal="center" vertical="center"/>
    </xf>
    <xf applyAlignment="true" applyBorder="false" applyFill="false" applyFont="true" applyNumberFormat="false" applyProtection="false" borderId="61" fillId="0" fontId="1" numFmtId="0" xfId="0">
      <alignment horizontal="center" vertical="center"/>
    </xf>
    <xf applyAlignment="true" applyBorder="false" applyFill="true" applyFont="true" applyNumberFormat="false" applyProtection="false" borderId="59" fillId="21" fontId="1" numFmtId="0" xfId="0">
      <alignment horizontal="center" vertical="center"/>
    </xf>
    <xf applyAlignment="true" applyBorder="false" applyFill="false" applyFont="true" applyNumberFormat="true" applyProtection="false" borderId="61" fillId="0" fontId="1" numFmtId="181" xfId="0">
      <alignment horizontal="center" vertical="center"/>
    </xf>
    <xf applyAlignment="true" applyBorder="false" applyFill="false" applyFont="true" applyNumberFormat="true" applyProtection="false" borderId="59" fillId="0" fontId="1" numFmtId="181" xfId="0">
      <alignment horizontal="center" vertical="center"/>
    </xf>
    <xf applyAlignment="true" applyBorder="false" applyFill="false" applyFont="true" applyNumberFormat="false" applyProtection="false" borderId="59" fillId="0" fontId="1" numFmtId="0" xfId="0">
      <alignment horizontal="center" vertical="center"/>
    </xf>
    <xf applyAlignment="true" applyBorder="false" applyFill="true" applyFont="true" applyNumberFormat="false" applyProtection="false" borderId="62" fillId="22" fontId="3" numFmtId="0" xfId="0">
      <alignment horizontal="center" vertical="center"/>
    </xf>
    <xf applyAlignment="true" applyBorder="false" applyFill="true" applyFont="true" applyNumberFormat="false" applyProtection="false" borderId="63" fillId="22" fontId="3" numFmtId="0" xfId="0">
      <alignment horizontal="center" vertical="center"/>
    </xf>
    <xf applyAlignment="true" applyBorder="false" applyFill="true" applyFont="true" applyNumberFormat="false" applyProtection="false" borderId="62" fillId="22" fontId="3" numFmtId="0" xfId="0">
      <alignment horizontal="center" vertical="center"/>
    </xf>
    <xf applyAlignment="true" applyBorder="false" applyFill="true" applyFont="true" applyNumberFormat="true" applyProtection="false" borderId="62" fillId="22" fontId="3" numFmtId="181" xfId="0">
      <alignment horizontal="center" vertical="center"/>
    </xf>
    <xf applyAlignment="true" applyBorder="false" applyFill="true" applyFont="true" applyNumberFormat="false" applyProtection="false" borderId="64" fillId="23" fontId="1" numFmtId="0" xfId="0">
      <alignment horizontal="center" vertical="center"/>
    </xf>
    <xf applyAlignment="true" applyBorder="false" applyFill="true" applyFont="true" applyNumberFormat="true" applyProtection="false" borderId="64" fillId="23" fontId="1" numFmtId="182" xfId="0">
      <alignment horizontal="center" vertical="center"/>
    </xf>
    <xf applyAlignment="true" applyBorder="false" applyFill="true" applyFont="true" applyNumberFormat="true" applyProtection="false" borderId="65" fillId="23" fontId="1" numFmtId="183" xfId="0">
      <alignment horizontal="center" vertical="center"/>
    </xf>
    <xf applyAlignment="true" applyBorder="false" applyFill="true" applyFont="true" applyNumberFormat="true" applyProtection="false" borderId="66" fillId="23" fontId="1" numFmtId="183" xfId="0">
      <alignment horizontal="center" vertical="center"/>
    </xf>
    <xf applyAlignment="true" applyBorder="false" applyFill="true" applyFont="true" applyNumberFormat="false" applyProtection="false" borderId="66" fillId="23" fontId="1" numFmtId="0" xfId="0">
      <alignment horizontal="center" vertical="center"/>
    </xf>
    <xf applyAlignment="true" applyBorder="false" applyFill="false" applyFont="true" applyNumberFormat="false" applyProtection="false" borderId="66" fillId="0" fontId="1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7" numFmtId="0" xfId="0">
      <alignment horizontal="center" vertical="center"/>
    </xf>
    <xf applyAlignment="true" applyBorder="false" applyFill="false" applyFont="true" applyNumberFormat="true" applyProtection="false" borderId="66" fillId="0" fontId="1" numFmtId="184" xfId="0">
      <alignment horizontal="center" vertical="center"/>
    </xf>
    <xf applyAlignment="true" applyBorder="false" applyFill="false" applyFont="true" applyNumberFormat="true" applyProtection="false" borderId="66" fillId="0" fontId="1" numFmtId="184" xfId="0">
      <alignment horizontal="center" vertical="center"/>
    </xf>
    <xf applyAlignment="true" applyBorder="false" applyFill="false" applyFont="true" applyNumberFormat="true" applyProtection="false" borderId="66" fillId="0" fontId="1" numFmtId="183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true" applyFont="true" applyNumberFormat="false" applyProtection="false" borderId="66" fillId="24" fontId="3" numFmtId="0" xfId="0">
      <alignment horizontal="center" vertical="center"/>
    </xf>
    <xf applyAlignment="true" applyBorder="false" applyFill="true" applyFont="true" applyNumberFormat="false" applyProtection="false" borderId="66" fillId="24" fontId="3" numFmtId="0" xfId="0">
      <alignment horizontal="center" vertical="center"/>
    </xf>
    <xf applyAlignment="true" applyBorder="false" applyFill="true" applyFont="true" applyNumberFormat="true" applyProtection="false" borderId="66" fillId="24" fontId="3" numFmtId="183" xfId="0">
      <alignment horizontal="center" vertical="center"/>
    </xf>
    <xf applyAlignment="true" applyBorder="false" applyFill="false" applyFont="true" applyNumberFormat="false" applyProtection="false" borderId="66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82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5" fontId="7" numFmtId="0" xfId="0">
      <alignment vertical="center"/>
    </xf>
    <xf applyAlignment="true" applyBorder="false" applyFill="true" applyFont="true" applyNumberFormat="true" applyProtection="false" borderId="0" fillId="25" fontId="7" numFmtId="182" xfId="0">
      <alignment vertical="center"/>
    </xf>
    <xf applyAlignment="true" applyBorder="false" applyFill="true" applyFont="true" applyNumberFormat="false" applyProtection="false" borderId="67" fillId="26" fontId="1" numFmtId="0" xfId="0">
      <alignment horizontal="center" vertical="center"/>
    </xf>
    <xf applyAlignment="true" applyBorder="false" applyFill="true" applyFont="true" applyNumberFormat="true" applyProtection="false" borderId="67" fillId="26" fontId="1" numFmtId="185" xfId="0">
      <alignment horizontal="center" vertical="center"/>
    </xf>
    <xf applyAlignment="true" applyBorder="false" applyFill="true" applyFont="true" applyNumberFormat="true" applyProtection="false" borderId="67" fillId="26" fontId="1" numFmtId="18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67" fillId="0" fontId="1" numFmtId="0" xfId="0">
      <alignment horizontal="center" vertical="center"/>
    </xf>
    <xf applyAlignment="true" applyBorder="false" applyFill="false" applyFont="true" applyNumberFormat="false" applyProtection="false" borderId="67" fillId="0" fontId="2" numFmtId="0" xfId="0">
      <alignment horizontal="center" vertical="center"/>
    </xf>
    <xf applyAlignment="true" applyBorder="false" applyFill="false" applyFont="true" applyNumberFormat="false" applyProtection="false" borderId="67" fillId="0" fontId="7" numFmtId="0" xfId="0">
      <alignment horizontal="center" vertical="center"/>
    </xf>
    <xf applyAlignment="true" applyBorder="false" applyFill="false" applyFont="true" applyNumberFormat="true" applyProtection="false" borderId="67" fillId="0" fontId="1" numFmtId="187" xfId="0">
      <alignment horizontal="center" vertical="center"/>
    </xf>
    <xf applyAlignment="true" applyBorder="false" applyFill="false" applyFont="true" applyNumberFormat="true" applyProtection="false" borderId="67" fillId="0" fontId="1" numFmtId="18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67" fillId="27" fontId="3" numFmtId="0" xfId="0">
      <alignment horizontal="center" vertical="center"/>
    </xf>
    <xf applyAlignment="true" applyBorder="false" applyFill="true" applyFont="true" applyNumberFormat="false" applyProtection="false" borderId="67" fillId="27" fontId="3" numFmtId="0" xfId="0">
      <alignment horizontal="center" vertical="center"/>
    </xf>
    <xf applyAlignment="true" applyBorder="false" applyFill="true" applyFont="true" applyNumberFormat="true" applyProtection="false" borderId="67" fillId="27" fontId="3" numFmtId="186" xfId="0">
      <alignment horizontal="center" vertical="center"/>
    </xf>
    <xf applyAlignment="true" applyBorder="false" applyFill="false" applyFont="true" applyNumberFormat="false" applyProtection="false" borderId="67" fillId="0" fontId="2" numFmtId="0" xfId="0">
      <alignment horizontal="center" vertical="center"/>
    </xf>
    <xf applyAlignment="true" applyBorder="false" applyFill="false" applyFont="true" applyNumberFormat="false" applyProtection="false" borderId="67" fillId="0" fontId="1" numFmtId="0" xfId="0">
      <alignment horizontal="center" vertical="center"/>
    </xf>
    <xf applyAlignment="true" applyBorder="false" applyFill="true" applyFont="true" applyNumberFormat="false" applyProtection="false" borderId="68" fillId="28" fontId="9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69" fillId="28" fontId="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Relationship Id="rId13" Target="worksheets/sheet6.xml" Type="http://schemas.openxmlformats.org/officeDocument/2006/relationships/worksheet"></Relationship><Relationship Id="rId14" Target="/xl/pivotCache/pivotCacheDefinition5.xml" Type="http://schemas.openxmlformats.org/officeDocument/2006/relationships/pivotCacheDefinition"></Relationship><Relationship Id="rId15" Target="/xl/pivotCache/pivotCacheDefinition6.xml" Type="http://schemas.openxmlformats.org/officeDocument/2006/relationships/pivotCacheDefinition"></Relationship><Relationship Id="rId16" Target="worksheets/sheet7.xml" Type="http://schemas.openxmlformats.org/officeDocument/2006/relationships/worksheet"></Relationship><Relationship Id="rId17" Target="/xl/pivotCache/pivotCacheDefinition7.xml" Type="http://schemas.openxmlformats.org/officeDocument/2006/relationships/pivotCacheDefinition"></Relationship><Relationship Id="rId18" Target="worksheets/sheet8.xml" Type="http://schemas.openxmlformats.org/officeDocument/2006/relationships/worksheet"></Relationship><Relationship Id="rId19" Target="/xl/pivotCache/pivotCacheDefinition8.xml" Type="http://schemas.openxmlformats.org/officeDocument/2006/relationships/pivotCacheDefinition"></Relationship><Relationship Id="rId20" Target="worksheets/sheet9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162" sheet="2026.6"/>
  </cacheSource>
  <cacheFields count="19">
    <cacheField name="日期" numFmtId="0">
      <sharedItems count="0"/>
    </cacheField>
    <cacheField name="主播" numFmtId="0">
      <sharedItems containsBlank="true" count="7">
        <s v="孙晓松"/>
        <s v="张凯悬"/>
        <s v="芦鑫鑫"/>
        <s v="韩萌萌"/>
        <m/>
        <s v="侯荞一"/>
        <s v="申奥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0.5" maxValue="20" count="13">
        <n v="0.5"/>
        <n v="2"/>
        <n v="4"/>
        <n v="2.5"/>
        <n v="13"/>
        <n v="16"/>
        <n v="3"/>
        <n v="5"/>
        <n v="20"/>
        <n v="6"/>
        <n v="3.5"/>
        <n v="19"/>
        <n v="18"/>
      </sharedItems>
    </cacheField>
    <cacheField name="订单数" numFmtId="0">
      <sharedItems containsSemiMixedTypes="false" containsString="false" containsNumber="true" containsInteger="true" minValue="2" maxValue="129" count="0"/>
    </cacheField>
    <cacheField name="保险支付数" numFmtId="0">
      <sharedItems containsSemiMixedTypes="false" containsString="false" containsNumber="true" containsInteger="true" minValue="0" maxValue="111" count="0"/>
    </cacheField>
    <cacheField name="保单数量" numFmtId="0">
      <sharedItems containsSemiMixedTypes="false" containsString="false" containsNumber="true" containsInteger="true" minValue="0" maxValue="111" count="0"/>
    </cacheField>
    <cacheField name="家庭单数量" numFmtId="0">
      <sharedItems containsSemiMixedTypes="false" containsString="false" containsNumber="true" containsInteger="true" minValue="0" maxValue="10" count="0"/>
    </cacheField>
    <cacheField name="年化保费" numFmtId="0">
      <sharedItems containsSemiMixedTypes="false" containsString="false" containsNumber="true" minValue="0" maxValue="49969.600000000006" count="156">
        <n v="0"/>
        <n v="6967.3"/>
        <n v="5732.499999999999"/>
        <n v="1436.4000000000015"/>
        <n v="10989.899999999998"/>
        <n v="25126.1"/>
        <n v="8907.7"/>
        <n v="10659.599999999999"/>
        <n v="8173.200000000001"/>
        <n v="5110.9"/>
        <n v="32851.4"/>
        <n v="6350.4"/>
        <n v="7748.5"/>
        <n v="7308.000000000002"/>
        <n v="8609"/>
        <n v="30015.9"/>
        <n v="4972.8"/>
        <n v="7627.2"/>
        <n v="4099.200000000001"/>
        <n v="5997.5999999999985"/>
        <n v="22696.8"/>
        <n v="6299"/>
        <n v="6757.299999999999"/>
        <n v="6253.3"/>
        <n v="6987.8"/>
        <n v="26297.399999999998"/>
        <n v="8324.4"/>
        <n v="5320.9"/>
        <n v="8076.100000000002"/>
        <n v="7669.199999999997"/>
        <n v="29390.6"/>
        <n v="6244.9"/>
        <n v="5395.5"/>
        <n v="6673.300000000001"/>
        <n v="9566.599999999999"/>
        <n v="27880.3"/>
        <n v="4191.6"/>
        <n v="4519.199999999999"/>
        <n v="7308"/>
        <n v="7152.100000000002"/>
        <n v="23170.9"/>
        <n v="7866.1"/>
        <n v="1797.6000000000004"/>
        <n v="10747.3"/>
        <n v="8864.7"/>
        <n v="29275.7"/>
        <n v="10890.1"/>
        <n v="4074"/>
        <n v="4153.300000000001"/>
        <n v="10124.699999999997"/>
        <n v="29242.1"/>
        <n v="7983.7"/>
        <n v="3116.4000000000005"/>
        <n v="7592.6"/>
        <n v="6081.5999999999985"/>
        <n v="24774.3"/>
        <n v="12961.2"/>
        <n v="5569.200000000001"/>
        <n v="1856.4"/>
        <n v="5833.3"/>
        <n v="32465"/>
        <n v="7541.2"/>
        <n v="4955.000000000001"/>
        <n v="4519.2"/>
        <n v="5774.5"/>
        <n v="1398.1"/>
        <n v="24188"/>
        <n v="2565.7"/>
        <n v="7231.4"/>
        <n v="5316.2"/>
        <n v="5354.5"/>
        <n v="8870.4"/>
        <n v="29338.199999999997"/>
        <n v="5216.4"/>
        <n v="7375.200000000001"/>
        <n v="8532.4"/>
        <n v="6816.1"/>
        <n v="11646.1"/>
        <n v="39586.2"/>
        <n v="15761.1"/>
        <n v="6913.2"/>
        <n v="2032.8"/>
        <n v="3976.9"/>
        <n v="7139"/>
        <n v="35823"/>
        <n v="7660.8"/>
        <n v="12188.4"/>
        <n v="4611.6"/>
        <n v="2184"/>
        <n v="28501.200000000004"/>
        <n v="7297.6"/>
        <n v="7714.9"/>
        <n v="4729.2"/>
        <n v="1797.6"/>
        <n v="23336.899999999998"/>
        <n v="9164.4"/>
        <n v="9420.1"/>
        <n v="9717.8"/>
        <n v="898.7999999999993"/>
        <n v="5955.5999999999985"/>
        <n v="35156.7"/>
        <n v="5712"/>
        <n v="12236.8"/>
        <n v="3620.4000000000015"/>
        <n v="14492.7"/>
        <n v="36061.9"/>
        <n v="12208.9"/>
        <n v="14081.1"/>
        <n v="8150.699999999997"/>
        <n v="5384.4000000000015"/>
        <n v="3175.2000000000044"/>
        <n v="43000.3"/>
        <n v="8751.8"/>
        <n v="9692.6"/>
        <n v="2335.2000000000007"/>
        <n v="9537.699999999997"/>
        <n v="34470.6"/>
        <n v="8529.7"/>
        <n v="6009.699999999999"/>
        <n v="4401.6"/>
        <n v="1226.4000000000015"/>
        <n v="10221.8"/>
        <n v="30389.2"/>
        <n v="4035.7"/>
        <n v="14336.8"/>
        <n v="6739.5"/>
        <n v="6660.200000000004"/>
        <n v="39441.4"/>
        <n v="12485.1"/>
        <n v="15299.1"/>
        <n v="4015.2000000000007"/>
        <n v="4972.799999999996"/>
        <n v="36772.2"/>
        <n v="5930.4"/>
        <n v="4573.300000000001"/>
        <n v="6946.799999999999"/>
        <n v="5950.9000000000015"/>
        <n v="11684.400000000001"/>
        <n v="35085.8"/>
        <n v="7728"/>
        <n v="9487.3"/>
        <n v="8588.5"/>
        <n v="7810"/>
        <n v="3922.8"/>
        <n v="37536.600000000006"/>
        <n v="7333.2"/>
        <n v="16484.5"/>
        <n v="8823.7"/>
        <n v="7559"/>
        <n v="9769.2"/>
        <n v="49969.600000000006"/>
        <n v="8626.8"/>
        <n v="9760.8"/>
        <n v="11507"/>
        <n v="11489.2"/>
        <n v="41383.8"/>
      </sharedItems>
    </cacheField>
    <cacheField name="投流消耗" numFmtId="0">
      <sharedItems containsSemiMixedTypes="false" containsString="false" containsNumber="true" minValue="741.24" maxValue="35227.34" count="161">
        <n v="741.24"/>
        <n v="2018.08"/>
        <n v="4864.599999999999"/>
        <n v="3449.15"/>
        <n v="6213.820000000001"/>
        <n v="17286.89"/>
        <n v="4566.84"/>
        <n v="4056.33"/>
        <n v="4109.53"/>
        <n v="4013.41"/>
        <n v="16746.11"/>
        <n v="3129.19"/>
        <n v="3916.0299999999997"/>
        <n v="4797.13"/>
        <n v="5220.429999999999"/>
        <n v="17062.78"/>
        <n v="3883.62"/>
        <n v="4795.139999999999"/>
        <n v="4254.82"/>
        <n v="4950.219999999999"/>
        <n v="17883.799999999996"/>
        <n v="3990.31"/>
        <n v="5128.96"/>
        <n v="4329.46"/>
        <n v="4308.67"/>
        <n v="17757.4"/>
        <n v="4455.18"/>
        <n v="4186.73"/>
        <n v="4053.6400000000003"/>
        <n v="4959.93"/>
        <n v="17655.48"/>
        <n v="3886.34"/>
        <n v="3794.25"/>
        <n v="4111.65"/>
        <n v="4857.18"/>
        <n v="16649.42"/>
        <n v="3235.35"/>
        <n v="3495.8999999999996"/>
        <n v="3846.67"/>
        <n v="3608.1899999999996"/>
        <n v="14186.11"/>
        <n v="3511.2"/>
        <n v="3156.23"/>
        <n v="6939.26"/>
        <n v="4580.43"/>
        <n v="18187.120000000003"/>
        <n v="4844.049999999999"/>
        <n v="4032.09"/>
        <n v="3974.8"/>
        <n v="11641.34"/>
        <n v="24492.28"/>
        <n v="3401.83"/>
        <n v="4633.22"/>
        <n v="3908.12"/>
        <n v="3325.79"/>
        <n v="15268.96"/>
        <n v="4829.11"/>
        <n v="4317.55"/>
        <n v="3145.6"/>
        <n v="3195.99"/>
        <n v="3666.82"/>
        <n v="19155.07"/>
        <n v="4858.700000000001"/>
        <n v="5262.3099999999995"/>
        <n v="4502.46"/>
        <n v="3691.88"/>
        <n v="2263.97"/>
        <n v="20579.320000000003"/>
        <n v="3223.6600000000003"/>
        <n v="3737.02"/>
        <n v="4096.12"/>
        <n v="4156.29"/>
        <n v="3910.61"/>
        <n v="19123.7"/>
        <n v="3596.1899999999996"/>
        <n v="4051.33"/>
        <n v="4143.1"/>
        <n v="5440.15"/>
        <n v="6232.07"/>
        <n v="23462.839999999997"/>
        <n v="6559.4"/>
        <n v="6265.3"/>
        <n v="2132.18"/>
        <n v="3517.68"/>
        <n v="7102.71"/>
        <n v="25577.27"/>
        <n v="4504.4400000000005"/>
        <n v="7553.08"/>
        <n v="1729.05"/>
        <n v="3707.9"/>
        <n v="3370.71"/>
        <n v="20865.18"/>
        <n v="4904.54"/>
        <n v="4608.32"/>
        <n v="3879.36"/>
        <n v="2556.88"/>
        <n v="6373.7"/>
        <n v="22322.800000000003"/>
        <n v="5162.97"/>
        <n v="6448.95"/>
        <n v="4326.33"/>
        <n v="1597.03"/>
        <n v="3541.73"/>
        <n v="21077.01"/>
        <n v="4288.79"/>
        <n v="5473.13"/>
        <n v="3944.6600000000003"/>
        <n v="8922.84"/>
        <n v="22629.42"/>
        <n v="5271.87"/>
        <n v="6881.83"/>
        <n v="4708.71"/>
        <n v="2419.52"/>
        <n v="5034.34"/>
        <n v="24316.27"/>
        <n v="5562.6"/>
        <n v="3649.8200000000006"/>
        <n v="5430.58"/>
        <n v="2108.7200000000003"/>
        <n v="6024"/>
        <n v="22775.72"/>
        <n v="3603.8900000000003"/>
        <n v="5444.049999999999"/>
        <n v="4290.17"/>
        <n v="2202.2"/>
        <n v="6233.23"/>
        <n v="21773.539999999997"/>
        <n v="4156.87"/>
        <n v="7114.87"/>
        <n v="4972.78"/>
        <n v="4727.4"/>
        <n v="5827.099999999999"/>
        <n v="26799.019999999997"/>
        <n v="8333.990000000002"/>
        <n v="10184.55"/>
        <n v="5460.4"/>
        <n v="4314.7"/>
        <n v="28293.640000000003"/>
        <n v="3873.41"/>
        <n v="4313.41"/>
        <n v="16291.07"/>
        <n v="4830.84"/>
        <n v="5918.61"/>
        <n v="35227.34"/>
        <n v="6060.99"/>
        <n v="6013.209999999999"/>
        <n v="5691.19"/>
        <n v="5112.96"/>
        <n v="4907.14"/>
        <n v="27785.489999999998"/>
        <n v="4816.42"/>
        <n v="6694.26"/>
        <n v="6171.28"/>
        <n v="5324.45"/>
        <n v="5953.62"/>
        <n v="28960.03"/>
        <n v="5218.75"/>
        <n v="6336.84"/>
        <n v="6198.57"/>
        <n v="6117.2"/>
        <n v="23871.36"/>
      </sharedItems>
    </cacheField>
    <cacheField name="ROI" numFmtId="0">
      <sharedItems containsSemiMixedTypes="false" containsString="false" containsNumber="true" minValue="0" maxValue="3.452439942916039" count="0"/>
    </cacheField>
    <cacheField name="单均" numFmtId="0">
      <sharedItems containsMixedTypes="true" containsNumber="true" minValue="406.56" maxValue="478.80000000000047" count="0"/>
    </cacheField>
    <cacheField name="保单成本" numFmtId="0">
      <sharedItems containsMixedTypes="true" containsNumber="true" minValue="134.53866666666667" maxValue="1593.42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2" maxValue="20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String="false" containsBlank="true" containsNumber="true" containsInteger="true" minValue="0" maxValue="0" count="0"/>
    </cacheField>
    <cacheField name="投手时长" numFmtId="0">
      <sharedItems containsString="false" containsBlank="true" containsNumber="true" containsInteger="true" minValue="0" maxValue="0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103" sheet="2026.5"/>
  </cacheSource>
  <cacheFields count="19">
    <cacheField name="日期" numFmtId="0">
      <sharedItems count="0"/>
    </cacheField>
    <cacheField name="主播" numFmtId="0">
      <sharedItems containsBlank="true" count="8">
        <s v="孙晓松"/>
        <s v="刘纯宇"/>
        <m/>
        <s v="牛书洁"/>
        <s v="张凯悬"/>
        <s v="侯荞一"/>
        <s v="芦鑫鑫"/>
        <s v="韩萌萌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16" count="13">
        <n v="5"/>
        <n v="3"/>
        <n v="8"/>
        <n v="4"/>
        <n v="2"/>
        <n v="12"/>
        <n v="13"/>
        <n v="16"/>
        <n v="2.5"/>
        <n v="15.5"/>
        <n v="1.5"/>
        <n v="3.5"/>
        <n v="4.5"/>
      </sharedItems>
    </cacheField>
    <cacheField name="订单数" numFmtId="0">
      <sharedItems containsSemiMixedTypes="false" containsString="false" containsNumber="true" containsInteger="true" minValue="5" maxValue="118" count="0"/>
    </cacheField>
    <cacheField name="保险支付数" numFmtId="0">
      <sharedItems containsSemiMixedTypes="false" containsString="false" containsNumber="true" containsInteger="true" minValue="3" maxValue="76" count="0"/>
    </cacheField>
    <cacheField name="保单数量" numFmtId="0">
      <sharedItems containsSemiMixedTypes="false" containsString="false" containsNumber="true" containsInteger="true" minValue="3" maxValue="76" count="0"/>
    </cacheField>
    <cacheField name="家庭单数量" numFmtId="0">
      <sharedItems containsSemiMixedTypes="false" containsString="false" containsNumber="true" containsInteger="true" minValue="0" maxValue="6" count="0"/>
    </cacheField>
    <cacheField name="年化保费" numFmtId="0">
      <sharedItems containsSemiMixedTypes="false" containsString="false" containsNumber="true" minValue="1318.8" maxValue="34141.3" count="99">
        <n v="5833.3"/>
        <n v="5820.2"/>
        <n v="11653.5"/>
        <n v="11464"/>
        <n v="9693.6"/>
        <n v="21157.6"/>
        <n v="8516.6"/>
        <n v="10612.9"/>
        <n v="19129.5"/>
        <n v="11174.7"/>
        <n v="14715.8"/>
        <n v="25890.5"/>
        <n v="4711.4"/>
        <n v="8935.6"/>
        <n v="7039.200000000001"/>
        <n v="20686.2"/>
        <n v="4632.1"/>
        <n v="4855.2"/>
        <n v="2238.1000000000004"/>
        <n v="11725.4"/>
        <n v="3943.3"/>
        <n v="5149.2"/>
        <n v="5712"/>
        <n v="14804.5"/>
        <n v="3595.2"/>
        <n v="2258.6000000000004"/>
        <n v="5190.2"/>
        <n v="11044"/>
        <n v="13169.2"/>
        <n v="2276.3999999999996"/>
        <n v="15445.6"/>
        <n v="6102.1"/>
        <n v="6048"/>
        <n v="4035.699999999999"/>
        <n v="16185.8"/>
        <n v="3234"/>
        <n v="1318.8"/>
        <n v="4119.7"/>
        <n v="8672.5"/>
        <n v="13676.9"/>
        <n v="6350.4"/>
        <n v="4480.9"/>
        <n v="24508.199999999997"/>
        <n v="13342.9"/>
        <n v="4729.200000000003"/>
        <n v="6181.399999999998"/>
        <n v="24253.5"/>
        <n v="9007.5"/>
        <n v="6475.4"/>
        <n v="10268.500000000002"/>
        <n v="25751.4"/>
        <n v="2696.4"/>
        <n v="2658.1"/>
        <n v="5354.5"/>
        <n v="4526.6"/>
        <n v="15235.6"/>
        <n v="11104.8"/>
        <n v="4442.6"/>
        <n v="2737.3999999999996"/>
        <n v="6698.5"/>
        <n v="24983.3"/>
        <n v="9213.8"/>
        <n v="3595.2000000000007"/>
        <n v="1876.8999999999996"/>
        <n v="6375.6"/>
        <n v="21061.5"/>
        <n v="4875.7"/>
        <n v="4519.2"/>
        <n v="4914"/>
        <n v="2335.199999999999"/>
        <n v="9996"/>
        <n v="26640.1"/>
        <n v="12801.6"/>
        <n v="6816.1"/>
        <n v="6946.799999999999"/>
        <n v="7576.800000000003"/>
        <n v="34141.3"/>
        <n v="8206.8"/>
        <n v="10104.2"/>
        <n v="4980.2"/>
        <n v="7769"/>
        <n v="31060.2"/>
        <n v="2158.8"/>
        <n v="5392.8"/>
        <n v="10344.1"/>
        <n v="11287.6"/>
        <n v="6542.6"/>
        <n v="10449.599999999999"/>
        <n v="28279.8"/>
        <n v="8916.1"/>
        <n v="11007.699999999999"/>
        <n v="2335.2000000000007"/>
        <n v="8710.8"/>
        <n v="30969.8"/>
        <n v="3654"/>
        <n v="5989.200000000001"/>
        <n v="5892.0999999999985"/>
        <n v="14047.5"/>
        <n v="29582.8"/>
      </sharedItems>
    </cacheField>
    <cacheField name="投流消耗" numFmtId="0">
      <sharedItems containsSemiMixedTypes="false" containsString="false" containsNumber="true" minValue="1506.75" maxValue="20020" count="99">
        <n v="5510.8"/>
        <n v="4229.28"/>
        <n v="9740.08"/>
        <n v="4728.95"/>
        <n v="6978.04"/>
        <n v="11706.99"/>
        <n v="4092.34"/>
        <n v="6767.5199999999995"/>
        <n v="10859.86"/>
        <n v="4961.91"/>
        <n v="7439.58"/>
        <n v="12401.49"/>
        <n v="2738.16"/>
        <n v="5506.49"/>
        <n v="4752.87"/>
        <n v="12997.52"/>
        <n v="2445.95"/>
        <n v="3474.56"/>
        <n v="3752.59"/>
        <n v="9673.1"/>
        <n v="2304.1499999999996"/>
        <n v="3759.46"/>
        <n v="3353.75"/>
        <n v="9417.36"/>
        <n v="2118.09"/>
        <n v="3180.0099999999998"/>
        <n v="4034.2599999999993"/>
        <n v="9332.36"/>
        <n v="6113.48"/>
        <n v="3904.29"/>
        <n v="10017.77"/>
        <n v="3059.76"/>
        <n v="2539.8599999999997"/>
        <n v="3832.52"/>
        <n v="9432.14"/>
        <n v="3159.81"/>
        <n v="1977.37"/>
        <n v="3951.79"/>
        <n v="9088.970000000001"/>
        <n v="6335.09"/>
        <n v="4142.64"/>
        <n v="4155.96"/>
        <n v="14633.689999999999"/>
        <n v="7258.35"/>
        <n v="3106.65"/>
        <n v="4857.76"/>
        <n v="15222.76"/>
        <n v="6591.82"/>
        <n v="3912.95"/>
        <n v="4673.87"/>
        <n v="15178.64"/>
        <n v="3466.35"/>
        <n v="2474.63"/>
        <n v="4274.31"/>
        <n v="3544.02"/>
        <n v="13759.310000000001"/>
        <n v="4920.929999999999"/>
        <n v="3740.95"/>
        <n v="2594.75"/>
        <n v="2391.56"/>
        <n v="13648.189999999999"/>
        <n v="4071.26"/>
        <n v="2813"/>
        <n v="1506.75"/>
        <n v="3285.79"/>
        <n v="11676.8"/>
        <n v="3995.52"/>
        <n v="3079.8900000000003"/>
        <n v="3200.02"/>
        <n v="1660"/>
        <n v="4940.68"/>
        <n v="16876.11"/>
        <n v="7557.34"/>
        <n v="4048.5600000000004"/>
        <n v="4784.48"/>
        <n v="3377.46"/>
        <n v="19767.84"/>
        <n v="5336.799999999999"/>
        <n v="5549.16"/>
        <n v="3042.72"/>
        <n v="4650.4"/>
        <n v="18579.079999999998"/>
        <n v="1897.24"/>
        <n v="3070.37"/>
        <n v="4173.26"/>
        <n v="7071.889999999999"/>
        <n v="4504.23"/>
        <n v="5118.320000000001"/>
        <n v="16694.44"/>
        <n v="5246.94"/>
        <n v="6493.1900000000005"/>
        <n v="2825.0699999999997"/>
        <n v="5454.8"/>
        <n v="20020"/>
        <n v="5232.459999999999"/>
        <n v="5813.699999999999"/>
        <n v="3521.3"/>
        <n v="5124.71"/>
        <n v="19692.17"/>
      </sharedItems>
    </cacheField>
    <cacheField name="ROI" numFmtId="0">
      <sharedItems containsSemiMixedTypes="false" containsString="false" containsNumber="true" minValue="0.5830509516454976" maxValue="2.800891468330295" count="0"/>
    </cacheField>
    <cacheField name="单均" numFmtId="0">
      <sharedItems containsSemiMixedTypes="false" containsString="false" containsNumber="true" minValue="336.5285714285714" maxValue="472.92000000000024" count="0"/>
    </cacheField>
    <cacheField name="保单成本" numFmtId="0">
      <sharedItems containsSemiMixedTypes="false" containsString="false" containsNumber="true" minValue="159.43733333333333" maxValue="780.858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6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String="false" containsBlank="true" containsNumber="true" containsInteger="true" minValue="0" maxValue="0" count="0"/>
    </cacheField>
    <cacheField name="投手时长" numFmtId="0">
      <sharedItems containsString="false" containsBlank="true" containsNumber="true" containsInteger="true" minValue="0" maxValue="0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4" sheet="2026.4"/>
  </cacheSource>
  <cacheFields count="19">
    <cacheField name="日期" numFmtId="0">
      <sharedItems count="0"/>
    </cacheField>
    <cacheField name="主播" numFmtId="0">
      <sharedItems containsBlank="true" count="3">
        <s v="孙晓松"/>
        <s v="刘纯宇"/>
        <m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.5" maxValue="6" count="3">
        <n v="3.5"/>
        <n v="2.5"/>
        <n v="6"/>
      </sharedItems>
    </cacheField>
    <cacheField name="订单数" numFmtId="0">
      <sharedItems containsSemiMixedTypes="false" containsString="false" containsNumber="true" containsInteger="true" minValue="13" maxValue="27" count="0"/>
    </cacheField>
    <cacheField name="保险支付数" numFmtId="0">
      <sharedItems containsSemiMixedTypes="false" containsString="false" containsNumber="true" containsInteger="true" minValue="8" maxValue="20" count="0"/>
    </cacheField>
    <cacheField name="保单数量" numFmtId="0">
      <sharedItems containsSemiMixedTypes="false" containsString="false" containsNumber="true" containsInteger="true" minValue="11" maxValue="23" count="0"/>
    </cacheField>
    <cacheField name="家庭单数量" numFmtId="0">
      <sharedItems containsSemiMixedTypes="false" containsString="false" containsNumber="true" containsInteger="true" minValue="0" maxValue="1" count="0"/>
    </cacheField>
    <cacheField name="年化保费" numFmtId="0">
      <sharedItems containsSemiMixedTypes="false" containsString="false" containsNumber="true" minValue="4980.200000000001" maxValue="10511.1" count="3">
        <n v="5530.9"/>
        <n v="4980.200000000001"/>
        <n v="10511.1"/>
      </sharedItems>
    </cacheField>
    <cacheField name="投流消耗" numFmtId="0">
      <sharedItems containsSemiMixedTypes="false" containsString="false" containsNumber="true" minValue="4613.37" maxValue="9456.279999999999" count="3">
        <n v="4613.37"/>
        <n v="4842.91"/>
        <n v="9456.279999999999"/>
      </sharedItems>
    </cacheField>
    <cacheField name="ROI" numFmtId="0">
      <sharedItems containsSemiMixedTypes="false" containsString="false" containsNumber="true" minValue="1.0283486581414896" maxValue="1.1988849799604193" count="0"/>
    </cacheField>
    <cacheField name="单均" numFmtId="0">
      <sharedItems containsSemiMixedTypes="false" containsString="false" containsNumber="true" minValue="452.7454545454546" maxValue="460.9083333333333" count="0"/>
    </cacheField>
    <cacheField name="保单成本" numFmtId="0">
      <sharedItems containsSemiMixedTypes="false" containsString="false" containsNumber="true" minValue="384.4475" maxValue="440.26454545454544" count="0"/>
    </cacheField>
    <cacheField name="助播1" numFmtId="0">
      <sharedItems containsBlank="true" count="0"/>
    </cacheField>
    <cacheField name="助播时长" numFmtId="0">
      <sharedItems containsSemiMixedTypes="false" containsString="false" containsNumber="true" minValue="2.5" maxValue="6.5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String="false" containsBlank="true" containsNumber="true" containsInteger="true" minValue="0" maxValue="0" count="0"/>
    </cacheField>
    <cacheField name="投手时长" numFmtId="0">
      <sharedItems containsString="false" containsBlank="true" containsNumber="true" containsInteger="true" minValue="0" maxValue="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58" sheet="2026.7"/>
  </cacheSource>
  <cacheFields count="19">
    <cacheField name="日期" numFmtId="0">
      <sharedItems containsBlank="true" count="0"/>
    </cacheField>
    <cacheField name="主播" numFmtId="0">
      <sharedItems containsBlank="true" count="9">
        <s v="孙晓松"/>
        <m/>
        <s v="芦鑫鑫"/>
        <s v="侯荞一"/>
        <s v="张凯悬"/>
        <s v="韩萌萌"/>
        <s v="谢子柔"/>
        <s v="赵子淳"/>
        <s v="任梦莹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2" maxValue="20" count="15">
        <n v="5"/>
        <n v="20"/>
        <n v="15"/>
        <n v="2"/>
        <n v="4.5"/>
        <n v="16.5"/>
        <n v="3"/>
        <n v="12.5"/>
        <n v="4"/>
        <n v="16"/>
        <n v="17"/>
        <n v="19"/>
        <n v="3.5"/>
        <n v="18"/>
        <m/>
      </sharedItems>
    </cacheField>
    <cacheField name="订单数" numFmtId="0">
      <sharedItems containsString="false" containsBlank="true" containsNumber="true" containsInteger="true" minValue="0" maxValue="160" count="0"/>
    </cacheField>
    <cacheField name="保险支付数" numFmtId="0">
      <sharedItems containsString="false" containsBlank="true" containsNumber="true" containsInteger="true" minValue="0" maxValue="99" count="0"/>
    </cacheField>
    <cacheField name="保单数量" numFmtId="0">
      <sharedItems containsString="false" containsBlank="true" containsNumber="true" containsInteger="true" minValue="0" maxValue="99" count="0"/>
    </cacheField>
    <cacheField name="家庭单数量" numFmtId="0">
      <sharedItems containsString="false" containsBlank="true" containsNumber="true" containsInteger="true" minValue="0" maxValue="5" count="0"/>
    </cacheField>
    <cacheField name="年化保费" numFmtId="0">
      <sharedItems containsString="false" containsBlank="true" containsNumber="true" minValue="0" maxValue="44147.4" count="54">
        <n v="14984.6"/>
        <n v="8634.2"/>
        <n v="5361.9"/>
        <n v="8218.9"/>
        <n v="8050.9000000000015"/>
        <n v="30265.9"/>
        <n v="8399"/>
        <n v="6258"/>
        <n v="6316.799999999999"/>
        <n v="8554.900000000001"/>
        <n v="29528.7"/>
        <n v="6106.8"/>
        <n v="7299.599999999999"/>
        <n v="8895.6"/>
        <n v="5871.5999999999985"/>
        <n v="28173.6"/>
        <n v="6736.8"/>
        <n v="5384.400000000001"/>
        <n v="9914.7"/>
        <n v="22035.9"/>
        <n v="0"/>
        <n v="2296.9"/>
        <n v="8650"/>
        <n v="7543.199999999999"/>
        <n v="18490.1"/>
        <n v="12669.9"/>
        <n v="5871.6"/>
        <n v="1377.5999999999985"/>
        <n v="19919.1"/>
        <n v="10436.5"/>
        <n v="6135.700000000001"/>
        <n v="1436.3999999999978"/>
        <n v="3351.600000000002"/>
        <n v="21360.2"/>
        <n v="12469.3"/>
        <n v="6874.9000000000015"/>
        <n v="5628"/>
        <n v="7988.4"/>
        <n v="2276.4"/>
        <n v="35237"/>
        <n v="15858.2"/>
        <n v="7827.799999999999"/>
        <n v="4074"/>
        <n v="3024"/>
        <n v="13363.400000000001"/>
        <n v="44147.4"/>
        <n v="14101.6"/>
        <n v="3771.6000000000004"/>
        <n v="2335.2000000000007"/>
        <n v="10424.399999999998"/>
        <n v="1436.4000000000015"/>
        <n v="6270.100000000002"/>
        <n v="38339.3"/>
        <m/>
      </sharedItems>
    </cacheField>
    <cacheField name="投流消耗" numFmtId="0">
      <sharedItems containsSemiMixedTypes="false" containsString="false" containsNumber="true" minValue="1783.43" maxValue="234655.96999999997" count="56">
        <n v="8071.11"/>
        <n v="6272.999999999999"/>
        <n v="6973.790000000001"/>
        <n v="6730.459999999999"/>
        <n v="7597.18"/>
        <n v="27574.43"/>
        <n v="6422.43"/>
        <n v="6217.69"/>
        <n v="5977.9800000000005"/>
        <n v="6999.6"/>
        <n v="25617.699999999997"/>
        <n v="7606.860000000001"/>
        <n v="6924.92"/>
        <n v="6399.08"/>
        <n v="6964.27"/>
        <n v="27895.13"/>
        <n v="5021.700000000001"/>
        <n v="5053.99"/>
        <n v="8055.759999999999"/>
        <n v="18131.45"/>
        <n v="2118.8199999999997"/>
        <n v="5934.44"/>
        <n v="6585.54"/>
        <n v="6498.72"/>
        <n v="21137.52"/>
        <n v="7374.550000000001"/>
        <n v="6416.53"/>
        <n v="2920.27"/>
        <n v="16711.350000000002"/>
        <n v="5740.24"/>
        <n v="4809.35"/>
        <n v="2009.25"/>
        <n v="3405.98"/>
        <n v="3224.46"/>
        <n v="19189.28"/>
        <n v="5771.08"/>
        <n v="5419.08"/>
        <n v="2664.3900000000003"/>
        <n v="4514.2"/>
        <n v="2985.75"/>
        <n v="21354.5"/>
        <n v="7662.459999999999"/>
        <n v="5290.870000000001"/>
        <n v="2710.34"/>
        <n v="4038.72"/>
        <n v="5808.849999999999"/>
        <n v="25511.239999999998"/>
        <n v="6978.3099999999995"/>
        <n v="2888.09"/>
        <n v="1783.43"/>
        <n v="5140.87"/>
        <n v="1944.03"/>
        <n v="4704.74"/>
        <n v="23439.47"/>
        <n v="234048.67"/>
        <n v="234655.96999999997"/>
      </sharedItems>
    </cacheField>
    <cacheField name="ROI" numFmtId="0">
      <sharedItems containsString="false" containsBlank="true" containsNumber="true" minValue="0" maxValue="2.300524200142886" count="0"/>
    </cacheField>
    <cacheField name="单均" numFmtId="0">
      <sharedItems containsBlank="true" containsMixedTypes="true" containsNumber="true" minValue="432" maxValue="478.80000000000047" count="0"/>
    </cacheField>
    <cacheField name="保单成本" numFmtId="0">
      <sharedItems containsBlank="true" containsMixedTypes="true" containsNumber="true" minValue="193.6283333333333" maxValue="1186.888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5" maxValue="20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ntainsNumber="true" containsInteger="true" minValue="0" maxValue="0" count="0"/>
    </cacheField>
    <cacheField name="投手" numFmtId="0">
      <sharedItems containsBlank="true" containsMixedTypes="true" containsNumber="true" containsInteger="true" minValue="0" maxValue="0" count="0"/>
    </cacheField>
    <cacheField name="投手时长" numFmtId="0">
      <sharedItems containsString="false" containsBlank="true" containsNumber="true" minValue="0" maxValue="20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D$143" sheet="2026.8"/>
  </cacheSource>
  <cacheFields count="4">
    <cacheField name="日期" numFmtId="0">
      <sharedItems count="0"/>
    </cacheField>
    <cacheField name="主播" numFmtId="0">
      <sharedItems containsBlank="true" count="7">
        <s v="韩萌萌"/>
        <s v="任梦莹"/>
        <s v="谢子柔"/>
        <s v="孙晓松"/>
        <s v="赵子淳"/>
        <s v="芦鑫鑫"/>
        <m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20" count="14">
        <n v="5"/>
        <n v="2"/>
        <n v="4"/>
        <n v="19"/>
        <n v="3"/>
        <n v="20"/>
        <n v="3.5"/>
        <n v="19.5"/>
        <n v="1.5"/>
        <n v="7.5"/>
        <n v="8"/>
        <n v="10"/>
        <n v="12"/>
        <n v="18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79" sheet="2026.8"/>
  </cacheSource>
  <cacheFields count="15">
    <cacheField name="日期" numFmtId="0">
      <sharedItems count="0"/>
    </cacheField>
    <cacheField name="主播" numFmtId="0">
      <sharedItems containsBlank="true" count="7">
        <s v="韩萌萌"/>
        <s v="任梦莹"/>
        <s v="谢子柔"/>
        <s v="孙晓松"/>
        <s v="赵子淳"/>
        <s v="芦鑫鑫"/>
        <m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20" count="17">
        <n v="5"/>
        <n v="2"/>
        <n v="4"/>
        <n v="19"/>
        <n v="3"/>
        <n v="20"/>
        <n v="3.5"/>
        <n v="19.5"/>
        <n v="1.5"/>
        <n v="7.5"/>
        <n v="8"/>
        <n v="10"/>
        <n v="12"/>
        <n v="18"/>
        <n v="17"/>
        <n v="2.5"/>
        <n v="11.5"/>
      </sharedItems>
    </cacheField>
    <cacheField name="订单数" numFmtId="0">
      <sharedItems containsSemiMixedTypes="false" containsString="false" containsNumber="true" containsInteger="true" minValue="1" maxValue="187" count="0"/>
    </cacheField>
    <cacheField name="保险支付数" numFmtId="0">
      <sharedItems containsSemiMixedTypes="false" containsString="false" containsNumber="true" containsInteger="true" minValue="1" maxValue="137" count="55">
        <n v="26"/>
        <n v="4"/>
        <n v="14"/>
        <n v="11"/>
        <n v="63"/>
        <n v="22"/>
        <n v="17"/>
        <n v="12"/>
        <n v="13"/>
        <n v="88"/>
        <n v="5"/>
        <n v="6"/>
        <n v="15"/>
        <n v="65"/>
        <n v="25"/>
        <n v="3"/>
        <n v="10"/>
        <n v="64"/>
        <n v="46"/>
        <n v="31"/>
        <n v="20"/>
        <n v="137"/>
        <n v="29"/>
        <n v="7"/>
        <n v="95"/>
        <n v="48"/>
        <n v="110"/>
        <n v="23"/>
        <n v="8"/>
        <n v="21"/>
        <n v="92"/>
        <n v="18"/>
        <n v="89"/>
        <n v="67"/>
        <n v="24"/>
        <n v="9"/>
        <n v="72"/>
        <n v="16"/>
        <n v="61"/>
        <n v="84"/>
        <n v="27"/>
        <n v="34"/>
        <n v="19"/>
        <n v="98"/>
        <n v="28"/>
        <n v="103"/>
        <n v="75"/>
        <n v="1"/>
        <n v="51"/>
        <n v="36"/>
        <n v="58"/>
        <n v="60"/>
        <n v="56"/>
        <n v="32"/>
        <n v="55"/>
      </sharedItems>
    </cacheField>
    <cacheField name="保单数量" numFmtId="0">
      <sharedItems containsSemiMixedTypes="false" containsString="false" containsNumber="true" containsInteger="true" minValue="1" maxValue="137" count="55">
        <n v="26"/>
        <n v="4"/>
        <n v="14"/>
        <n v="11"/>
        <n v="63"/>
        <n v="22"/>
        <n v="17"/>
        <n v="12"/>
        <n v="13"/>
        <n v="88"/>
        <n v="5"/>
        <n v="6"/>
        <n v="15"/>
        <n v="65"/>
        <n v="25"/>
        <n v="3"/>
        <n v="10"/>
        <n v="64"/>
        <n v="46"/>
        <n v="31"/>
        <n v="20"/>
        <n v="137"/>
        <n v="29"/>
        <n v="7"/>
        <n v="95"/>
        <n v="48"/>
        <n v="110"/>
        <n v="23"/>
        <n v="8"/>
        <n v="21"/>
        <n v="92"/>
        <n v="18"/>
        <n v="89"/>
        <n v="67"/>
        <n v="24"/>
        <n v="9"/>
        <n v="72"/>
        <n v="16"/>
        <n v="61"/>
        <n v="84"/>
        <n v="27"/>
        <n v="34"/>
        <n v="19"/>
        <n v="98"/>
        <n v="28"/>
        <n v="103"/>
        <n v="75"/>
        <n v="1"/>
        <n v="51"/>
        <n v="36"/>
        <n v="58"/>
        <n v="60"/>
        <n v="56"/>
        <n v="32"/>
        <n v="55"/>
      </sharedItems>
    </cacheField>
    <cacheField name="家庭单数量" numFmtId="0">
      <sharedItems containsSemiMixedTypes="false" containsString="false" containsNumber="true" containsInteger="true" minValue="0" maxValue="10" count="11">
        <n v="3"/>
        <n v="0"/>
        <n v="2"/>
        <n v="1"/>
        <n v="6"/>
        <n v="9"/>
        <n v="5"/>
        <n v="4"/>
        <n v="8"/>
        <n v="7"/>
        <n v="10"/>
      </sharedItems>
    </cacheField>
    <cacheField name="年化保费" numFmtId="0">
      <sharedItems containsSemiMixedTypes="false" containsString="false" containsNumber="true" minValue="478.8" maxValue="62052.5" count="172">
        <n v="11909.2"/>
        <n v="1797.5999999999985"/>
        <n v="1856.4000000000015"/>
        <n v="6468"/>
        <n v="1818.0999999999985"/>
        <n v="4914"/>
        <n v="28763.3"/>
        <n v="10188.2"/>
        <n v="4972.799999999999"/>
        <n v="7450.799999999999"/>
        <n v="5530.9000000000015"/>
        <n v="5871.600000000002"/>
        <n v="5989.199999999997"/>
        <n v="40003.5"/>
        <n v="5892.1"/>
        <n v="2394"/>
        <n v="5770.799999999999"/>
        <n v="5871.6"/>
        <n v="2637.5999999999985"/>
        <n v="6790.9000000000015"/>
        <n v="29357"/>
        <n v="6106.8"/>
        <n v="11264.400000000001"/>
        <n v="1318.7999999999993"/>
        <n v="4455.700000000001"/>
        <n v="6106.799999999999"/>
        <n v="29252.5"/>
        <n v="20591.1"/>
        <n v="14431.200000000004"/>
        <n v="6232.799999999996"/>
        <n v="8916.099999999999"/>
        <n v="11881.300000000003"/>
        <n v="62052.5"/>
        <n v="14078.4"/>
        <n v="13258.9"/>
        <n v="3195.7000000000007"/>
        <n v="6732.0999999999985"/>
        <n v="5930.4000000000015"/>
        <n v="43195.5"/>
        <n v="13356"/>
        <n v="21532.9"/>
        <n v="5833.299999999996"/>
        <n v="6337.300000000003"/>
        <n v="2678.5999999999985"/>
        <n v="49738.1"/>
        <n v="13225.3"/>
        <n v="10386.100000000002"/>
        <n v="3679.199999999997"/>
        <n v="9428.5"/>
        <n v="5208"/>
        <n v="41927.1"/>
        <n v="13401.7"/>
        <n v="9184.899999999998"/>
        <n v="4900.9000000000015"/>
        <n v="4821.5999999999985"/>
        <n v="8076.0999999999985"/>
        <n v="40385.2"/>
        <n v="13291.5"/>
        <n v="6186.0999999999985"/>
        <n v="3695"/>
        <n v="2696.4000000000015"/>
        <n v="30841.8"/>
        <n v="11238.2"/>
        <n v="6811.399999999998"/>
        <n v="4094.5"/>
        <n v="4998"/>
        <n v="5950.9000000000015"/>
        <n v="33093"/>
        <n v="4729.2"/>
        <n v="4993.3"/>
        <n v="1856.3999999999996"/>
        <n v="6068.500000000002"/>
        <n v="4573.299999999999"/>
        <n v="22220.7"/>
        <n v="4611.6"/>
        <n v="5034.299999999999"/>
        <n v="7369.500000000002"/>
        <n v="6547.299999999999"/>
        <n v="4480.899999999998"/>
        <n v="28043.6"/>
        <n v="10273.2"/>
        <n v="12019.399999999998"/>
        <n v="5418"/>
        <n v="6258"/>
        <n v="38063.1"/>
        <n v="12288.2"/>
        <n v="15593.099999999999"/>
        <n v="2242.7999999999993"/>
        <n v="6106.800000000003"/>
        <n v="8706.099999999999"/>
        <n v="44937"/>
        <n v="8907.7"/>
        <n v="12658.8"/>
        <n v="8508.2"/>
        <n v="8647.3"/>
        <n v="7773.699999999997"/>
        <n v="46495.7"/>
        <n v="9789.7"/>
        <n v="9828"/>
        <n v="4250.399999999998"/>
        <n v="5472.100000000002"/>
        <n v="4611.600000000002"/>
        <n v="33951.8"/>
        <n v="7231.4"/>
        <n v="478.8"/>
        <n v="4552.8"/>
        <n v="1797.5999999999995"/>
        <n v="1856.4000000000005"/>
        <n v="8685.6"/>
        <n v="3057.6000000000004"/>
        <n v="3175.2"/>
        <n v="7375.200000000001"/>
        <n v="22524.1"/>
        <n v="6375.6"/>
        <n v="3116.3999999999996"/>
        <n v="3444"/>
        <n v="3082.7999999999993"/>
        <n v="16018.8"/>
        <n v="11549"/>
        <n v="4535"/>
        <n v="9827"/>
        <n v="25911"/>
        <n v="1796.4"/>
        <n v="2395.2000000000003"/>
        <n v="3592.7999999999993"/>
        <n v="7784.4"/>
        <n v="8934.1"/>
        <n v="5844.299999999999"/>
        <n v="5940.1"/>
        <n v="8287.400000000001"/>
        <n v="6586.799999999996"/>
        <n v="35592.7"/>
        <n v="4790.4"/>
        <n v="9485"/>
        <n v="8886.199999999999"/>
        <n v="4143.700000000001"/>
        <n v="5940.100000000002"/>
        <n v="33245.4"/>
        <n v="6395.2"/>
        <n v="4191.599999999999"/>
        <n v="4790.4000000000015"/>
        <n v="598.7999999999993"/>
        <n v="5389.200000000001"/>
        <n v="21365.2"/>
        <n v="3544.9"/>
        <n v="1700.5999999999995"/>
        <n v="5389.2"/>
        <n v="4143.699999999999"/>
        <n v="17173.6"/>
        <n v="7089.800000000001"/>
        <n v="2994"/>
        <n v="2395.2000000000007"/>
        <n v="1748.5"/>
        <n v="19017.9"/>
        <n v="3275"/>
        <n v="2155.2"/>
        <n v="5148.000000000001"/>
        <n v="10256.5"/>
        <n v="6378.200000000001"/>
        <n v="27212.9"/>
        <n v="8619.6"/>
        <n v="5271.9"/>
        <n v="2991.9999999999995"/>
        <n v="7383.700000000001"/>
        <n v="6507.799999999999"/>
        <n v="30775"/>
        <n v="8485.5"/>
        <n v="6032.9"/>
        <n v="2992.800000000001"/>
        <n v="4270.899999999998"/>
        <n v="10740.400000000001"/>
        <n v="32522.5"/>
      </sharedItems>
    </cacheField>
    <cacheField name="投流消耗" numFmtId="0">
      <sharedItems containsSemiMixedTypes="false" containsString="false" containsNumber="true" minValue="1050.08" maxValue="41348.16" count="176">
        <n v="5725.43"/>
        <n v="2442.69"/>
        <n v="2115.3"/>
        <n v="4740.81"/>
        <n v="2279.55"/>
        <n v="5324.32"/>
        <n v="22628.100000000002"/>
        <n v="6318.67"/>
        <n v="3311.05"/>
        <n v="4740.48"/>
        <n v="5821.44"/>
        <n v="2531.06"/>
        <n v="4718.99"/>
        <n v="27441.690000000002"/>
        <n v="5305.360000000001"/>
        <n v="2626.51"/>
        <n v="2505.56"/>
        <n v="4376.58"/>
        <n v="1709.9499999999998"/>
        <n v="5716.58"/>
        <n v="22240.54"/>
        <n v="5002.45"/>
        <n v="5530.15"/>
        <n v="2558"/>
        <n v="3363.21"/>
        <n v="4246.93"/>
        <n v="20700.739999999998"/>
        <n v="19296.89"/>
        <n v="7582.540000000001"/>
        <n v="3022.1099999999997"/>
        <n v="5365.500000000001"/>
        <n v="6081.12"/>
        <n v="41348.16"/>
        <n v="7246.16"/>
        <n v="7973.73"/>
        <n v="3806.3199999999997"/>
        <n v="5361.04"/>
        <n v="3130.86"/>
        <n v="27518.11"/>
        <n v="5888.710000000001"/>
        <n v="8503.743333333334"/>
        <n v="3989.886666666667"/>
        <n v="5621.16"/>
        <n v="3216.09"/>
        <n v="27219.590000000004"/>
        <n v="6110.4400000000005"/>
        <n v="6239.26"/>
        <n v="2826.83"/>
        <n v="4963.469999999999"/>
        <n v="3958.4000000000005"/>
        <n v="24098.4"/>
        <n v="5143.16"/>
        <n v="6584.54"/>
        <n v="4693.01"/>
        <n v="4303.9"/>
        <n v="4802.35"/>
        <n v="25526.96"/>
        <n v="5131.29"/>
        <n v="5902.870000000001"/>
        <n v="4456.29"/>
        <n v="5768.549999999999"/>
        <n v="5453.3"/>
        <n v="26712.3"/>
        <n v="5919.49"/>
        <n v="5734.15"/>
        <n v="3458.7699999999995"/>
        <n v="5742.81"/>
        <n v="3078.2"/>
        <n v="23933.420000000002"/>
        <n v="6145.37"/>
        <n v="5832.32"/>
        <n v="2860.37"/>
        <n v="5928.94"/>
        <n v="3996.0200000000004"/>
        <n v="24763.019999999997"/>
        <n v="4730.49"/>
        <n v="5221.35"/>
        <n v="5120.46"/>
        <n v="5402.02"/>
        <n v="4947.23"/>
        <n v="25421.55"/>
        <n v="5496"/>
        <n v="6714.23"/>
        <n v="6355.54"/>
        <n v="5440.26"/>
        <n v="5545.04"/>
        <n v="29551.07"/>
        <n v="5846.7300000000005"/>
        <n v="8825.470000000001"/>
        <n v="4357.950000000001"/>
        <n v="4416.99"/>
        <n v="4718.41"/>
        <n v="28165.55"/>
        <n v="6554.860000000001"/>
        <n v="5994.57"/>
        <n v="4832.4"/>
        <n v="5426.22"/>
        <n v="5474.94"/>
        <n v="28282.99"/>
        <n v="6075.599999999999"/>
        <n v="6893.4"/>
        <n v="5231.96"/>
        <n v="4370.83"/>
        <n v="5464.42"/>
        <n v="28036.21"/>
        <n v="6698.08"/>
        <n v="1050.08"/>
        <n v="2538.46"/>
        <n v="1954.1"/>
        <n v="3429.96"/>
        <n v="8972.599999999999"/>
        <n v="2371.92"/>
        <n v="2622.59"/>
        <n v="12165.029999999999"/>
        <n v="2627.3"/>
        <n v="19786.84"/>
        <n v="3094.1000000000004"/>
        <n v="2533.73"/>
        <n v="2608.82"/>
        <n v="2226.31"/>
        <n v="10462.96"/>
        <n v="5710.74"/>
        <n v="3973.7400000000002"/>
        <n v="3415.2799999999997"/>
        <n v="13099.759999999998"/>
        <n v="3941.3200000000006"/>
        <n v="4687.87"/>
        <n v="4411.599999999999"/>
        <n v="13040.79"/>
        <n v="4054.58"/>
        <n v="4703.4"/>
        <n v="6122.85"/>
        <n v="4986.92"/>
        <n v="24238.58"/>
        <n v="4503.02"/>
        <n v="5065.860000000001"/>
        <n v="5318.429999999999"/>
        <n v="3612.33"/>
        <n v="3466.4"/>
        <n v="21966.04"/>
        <n v="4851.2"/>
        <n v="1992.13"/>
        <n v="3568.71"/>
        <n v="2446.58"/>
        <n v="4145.24"/>
        <n v="17003.86"/>
        <n v="4627.700000000001"/>
        <n v="4244.88"/>
        <n v="3199.2"/>
        <n v="3403.98"/>
        <n v="4151.19"/>
        <n v="19626.95"/>
        <n v="4377.7699999999995"/>
        <n v="6192.83"/>
        <n v="4223.62"/>
        <n v="6284.700000000001"/>
        <n v="3259.16"/>
        <n v="24338.079999999998"/>
        <n v="5716.07"/>
        <n v="2652.73"/>
        <n v="4351.93"/>
        <n v="4624.38"/>
        <n v="3830.4999999999995"/>
        <n v="21175.61"/>
        <n v="5993.6"/>
        <n v="5390.219999999999"/>
        <n v="3694.7700000000004"/>
        <n v="3789.2599999999998"/>
        <n v="5195.03"/>
        <n v="24062.879999999997"/>
        <n v="4973.68"/>
        <n v="5120.07"/>
        <n v="3430.87"/>
        <n v="3890.88"/>
        <n v="5829"/>
        <n v="23399.43"/>
      </sharedItems>
    </cacheField>
    <cacheField name="ROI" numFmtId="0">
      <sharedItems containsSemiMixedTypes="false" containsString="false" containsNumber="true" minValue="0.24474981402610962" maxValue="2.8773629102152682" count="0"/>
    </cacheField>
    <cacheField name="单均" numFmtId="0">
      <sharedItems containsSemiMixedTypes="false" containsString="false" containsNumber="true" minValue="430.5" maxValue="598.8000000000002" count="0"/>
    </cacheField>
    <cacheField name="保单成本" numFmtId="0">
      <sharedItems containsSemiMixedTypes="false" containsString="false" containsNumber="true" minValue="154.54705882352943" maxValue="2446.58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20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3" sheet="8月亚宠展手机"/>
  </cacheSource>
  <cacheFields count="15">
    <cacheField name="日期" numFmtId="0">
      <sharedItems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4" count="0"/>
    </cacheField>
    <cacheField name="订单数" numFmtId="0">
      <sharedItems containsSemiMixedTypes="false" containsString="false" containsNumber="true" containsInteger="true" minValue="9" maxValue="9" count="0"/>
    </cacheField>
    <cacheField name="保险支付数" numFmtId="0">
      <sharedItems containsSemiMixedTypes="false" containsString="false" containsNumber="true" containsInteger="true" minValue="1" maxValue="1" count="0"/>
    </cacheField>
    <cacheField name="保单数量" numFmtId="0">
      <sharedItems containsSemiMixedTypes="false" containsString="false" containsNumber="true" containsInteger="true" minValue="1" maxValue="1" count="0"/>
    </cacheField>
    <cacheField name="家庭单数量" numFmtId="0">
      <sharedItems containsSemiMixedTypes="false" containsString="false" containsNumber="true" containsInteger="true" minValue="0" maxValue="0" count="0"/>
    </cacheField>
    <cacheField name="年化保费" numFmtId="0">
      <sharedItems containsSemiMixedTypes="false" containsString="false" containsNumber="true" minValue="860.5" maxValue="860.5" count="0"/>
    </cacheField>
    <cacheField name="投流消耗" numFmtId="0">
      <sharedItems containsSemiMixedTypes="false" containsString="false" containsNumber="true" minValue="3993.6899999999996" maxValue="3993.6899999999996" count="0"/>
    </cacheField>
    <cacheField name="ROI" numFmtId="0">
      <sharedItems containsSemiMixedTypes="false" containsString="false" containsNumber="true" minValue="0.21546489587324005" maxValue="0.21546489587324005" count="0"/>
    </cacheField>
    <cacheField name="单均" numFmtId="0">
      <sharedItems containsSemiMixedTypes="false" containsString="false" containsNumber="true" minValue="860.5" maxValue="860.5" count="0"/>
    </cacheField>
    <cacheField name="保单成本" numFmtId="0">
      <sharedItems containsSemiMixedTypes="false" containsString="false" containsNumber="true" minValue="3993.6899999999996" maxValue="3993.6899999999996" count="0"/>
    </cacheField>
    <cacheField name="助播1" numFmtId="0">
      <sharedItems containsBlank="true" count="2">
        <s v="任子硕双"/>
        <m/>
      </sharedItems>
    </cacheField>
    <cacheField name="助播时长" numFmtId="0">
      <sharedItems containsSemiMixedTypes="false" containsString="false" containsNumber="true" containsInteger="true" minValue="4" maxValue="4" count="1">
        <n v="4"/>
      </sharedItems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26" sheet="2026.9"/>
  </cacheSource>
  <cacheFields count="15">
    <cacheField name="日期" numFmtId="0">
      <sharedItems count="0"/>
    </cacheField>
    <cacheField name="主播" numFmtId="0">
      <sharedItems containsBlank="true" count="8">
        <s v="孙晓松"/>
        <s v="韩萌萌"/>
        <s v="任梦莹"/>
        <s v="谢子柔"/>
        <s v="芦鑫鑫"/>
        <m/>
        <s v="张凯悬"/>
        <s v="赵佳敏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18" count="16">
        <n v="4"/>
        <n v="3"/>
        <n v="18"/>
        <n v="3.5"/>
        <n v="14.5"/>
        <n v="12"/>
        <n v="11"/>
        <n v="11.5"/>
        <n v="5"/>
        <n v="9"/>
        <n v="8"/>
        <n v="3.85"/>
        <n v="12.85"/>
        <n v="13"/>
        <n v="10.85"/>
        <n v="6.85"/>
      </sharedItems>
    </cacheField>
    <cacheField name="订单数" numFmtId="0">
      <sharedItems containsSemiMixedTypes="false" containsString="false" containsNumber="true" containsInteger="true" minValue="5" maxValue="101" count="0"/>
    </cacheField>
    <cacheField name="保险支付数" numFmtId="0">
      <sharedItems containsSemiMixedTypes="false" containsString="false" containsNumber="true" containsInteger="true" minValue="3" maxValue="66" count="0"/>
    </cacheField>
    <cacheField name="保单数量" numFmtId="0">
      <sharedItems containsSemiMixedTypes="false" containsString="false" containsNumber="true" containsInteger="true" minValue="3" maxValue="66" count="0"/>
    </cacheField>
    <cacheField name="家庭单数量" numFmtId="0">
      <sharedItems containsSemiMixedTypes="false" containsString="false" containsNumber="true" containsInteger="true" minValue="0" maxValue="7" count="0"/>
    </cacheField>
    <cacheField name="年化保费" numFmtId="0">
      <sharedItems containsSemiMixedTypes="false" containsString="false" containsNumber="true" minValue="1436.4" maxValue="31616.1" count="102">
        <n v="4980.1"/>
        <n v="6790"/>
        <n v="4309.199999999999"/>
        <n v="4463"/>
        <n v="8140.799999999999"/>
        <n v="28683.1"/>
        <n v="6464.4"/>
        <n v="7743.700000000001"/>
        <n v="1479.7999999999993"/>
        <n v="5745.6"/>
        <n v="7106.5999999999985"/>
        <n v="28540.1"/>
        <n v="4070"/>
        <n v="8341.7"/>
        <n v="2394"/>
        <n v="2872.7999999999993"/>
        <n v="3351.5999999999985"/>
        <n v="21030.1"/>
        <n v="6225.6"/>
        <n v="3591.6000000000004"/>
        <n v="1838.5999999999985"/>
        <n v="2155.2000000000007"/>
        <n v="13811"/>
        <n v="8380.8"/>
        <n v="2279.1000000000004"/>
        <n v="2872.800000000001"/>
        <n v="4909.200000000001"/>
        <n v="4309.199999999997"/>
        <n v="22751.1"/>
        <n v="7584.2"/>
        <n v="10261.599999999999"/>
        <n v="7105.4000000000015"/>
        <n v="3792.0999999999985"/>
        <n v="31616.1"/>
        <n v="3553.3"/>
        <n v="4711.400000000001"/>
        <n v="5266.799999999999"/>
        <n v="5789"/>
        <n v="5745.5999999999985"/>
        <n v="25066.1"/>
        <n v="5707.3"/>
        <n v="10016.5"/>
        <n v="1915.2000000000007"/>
        <n v="23384.6"/>
        <n v="4788"/>
        <n v="7660.799999999999"/>
        <n v="4309.200000000001"/>
        <n v="16758"/>
        <n v="3313.3"/>
        <n v="3753.8"/>
        <n v="6703.199999999999"/>
        <n v="13770.3"/>
        <n v="7182"/>
        <n v="3830.3999999999996"/>
        <n v="15800.4"/>
        <n v="5266.8"/>
        <n v="6147.8"/>
        <n v="5228.499999999998"/>
        <n v="16643.1"/>
        <n v="3792.1"/>
        <n v="2872.7999999999997"/>
        <n v="11452.9"/>
        <n v="7660.800000000001"/>
        <n v="4749.699999999999"/>
        <n v="18156.1"/>
        <n v="2834.5"/>
        <n v="14325.7"/>
        <n v="8465.2"/>
        <n v="5228.5"/>
        <n v="13693.7"/>
        <n v="7545.9"/>
        <n v="6147.800000000001"/>
        <n v="1436.4"/>
        <n v="8139.6"/>
        <n v="9576"/>
        <n v="11970"/>
        <n v="14842.8"/>
        <n v="12851"/>
        <n v="17160.2"/>
        <n v="30011.2"/>
        <n v="12410.5"/>
        <n v="15245"/>
        <n v="8580.1"/>
        <n v="6071.199999999999"/>
        <n v="14651.3"/>
        <n v="7143.700000000001"/>
        <n v="4309.2"/>
        <n v="4749.7"/>
        <n v="10495.3"/>
        <n v="19113.7"/>
        <n v="1915.2"/>
        <n v="8101.3"/>
        <n v="6186.1"/>
        <n v="16202.600000000002"/>
        <n v="7622.5"/>
        <n v="2872.8"/>
        <n v="15283.3"/>
        <n v="3351.6000000000004"/>
        <n v="10533.6"/>
        <n v="3830.4"/>
        <n v="4270.9"/>
        <n v="8101.299999999999"/>
      </sharedItems>
    </cacheField>
    <cacheField name="投流消耗" numFmtId="0">
      <sharedItems containsSemiMixedTypes="false" containsString="false" containsNumber="true" minValue="2684.9300000000003" maxValue="22231.420000000006" count="125">
        <n v="5032.2300000000005"/>
        <n v="5230.14"/>
        <n v="3206.63"/>
        <n v="3180.1"/>
        <n v="4751.21"/>
        <n v="21400.309999999998"/>
        <n v="4524.910000000001"/>
        <n v="4247.87"/>
        <n v="3311.96"/>
        <n v="3405.29"/>
        <n v="5514.82"/>
        <n v="21004.850000000002"/>
        <n v="4601.27"/>
        <n v="5083.88"/>
        <n v="3231.2400000000002"/>
        <n v="2902.21"/>
        <n v="4470.51"/>
        <n v="20289.11"/>
        <n v="4523.7300000000005"/>
        <n v="4850.95"/>
        <n v="3271.33"/>
        <n v="3655.3"/>
        <n v="16301.310000000001"/>
        <n v="4553.85"/>
        <n v="5540.040000000001"/>
        <n v="4108.9400000000005"/>
        <n v="4416.6900000000005"/>
        <n v="3611.8999999999996"/>
        <n v="22231.420000000006"/>
        <n v="6516.55"/>
        <n v="4804.710000000001"/>
        <n v="2851.04"/>
        <n v="4310.34"/>
        <n v="3523.5299999999997"/>
        <n v="22006.170000000002"/>
        <n v="4408.139999999999"/>
        <n v="4900.57"/>
        <n v="3785.57"/>
        <n v="3843.59"/>
        <n v="5041.71"/>
        <n v="21979.579999999998"/>
        <n v="3714.3599999999997"/>
        <n v="6011.17"/>
        <n v="3063.5299999999997"/>
        <n v="3837.46"/>
        <n v="3144.3"/>
        <n v="19770.819999999996"/>
        <n v="4056.45"/>
        <n v="4905.06"/>
        <n v="4792.83"/>
        <n v="13754.34"/>
        <n v="3713.19"/>
        <n v="4043.42"/>
        <n v="4542.48"/>
        <n v="12299.09"/>
        <n v="4527.139999999999"/>
        <n v="4912.26"/>
        <n v="5114.639999999999"/>
        <n v="14554.039999999999"/>
        <n v="3963.98"/>
        <n v="4535.360000000001"/>
        <n v="5477.299999999999"/>
        <n v="13976.64"/>
        <n v="4586.4400000000005"/>
        <n v="4419.28"/>
        <n v="4291.02"/>
        <n v="13296.740000000002"/>
        <n v="4010.49"/>
        <n v="4783.01"/>
        <n v="4795.18"/>
        <n v="13588.68"/>
        <n v="5329.8099999999995"/>
        <n v="5055.43"/>
        <n v="2684.9300000000003"/>
        <n v="13070.17"/>
        <n v="6128.98"/>
        <n v="4821.9"/>
        <n v="10950.88"/>
        <n v="5275.740000000001"/>
        <n v="6202.01"/>
        <n v="11477.75"/>
        <n v="4380.62"/>
        <n v="4018.68"/>
        <n v="8399.3"/>
        <n v="4633.66"/>
        <n v="4510.32"/>
        <n v="9143.98"/>
        <n v="5996.2"/>
        <n v="5125.710000000001"/>
        <n v="11121.91"/>
        <n v="5692.429999999999"/>
        <n v="3697.4500000000003"/>
        <n v="9389.88"/>
        <n v="5269.41"/>
        <n v="4604.37"/>
        <n v="9873.779999999999"/>
        <n v="4770.41"/>
        <n v="4323.39"/>
        <n v="9093.8"/>
        <n v="5723.82"/>
        <n v="4150.4"/>
        <n v="3976.1499999999996"/>
        <n v="13850.369999999999"/>
        <n v="3943.5299999999997"/>
        <n v="5247.52"/>
        <n v="3787.9599999999996"/>
        <n v="12979.009999999998"/>
        <n v="3943.38"/>
        <n v="3789.31"/>
        <n v="4455.18"/>
        <n v="12187.87"/>
        <n v="5395.32"/>
        <n v="4808.4"/>
        <n v="3437.63"/>
        <n v="13641.349999999999"/>
        <n v="6208.450000000001"/>
        <n v="4334.57"/>
        <n v="2800.18"/>
        <n v="13343.2"/>
        <n v="4094.54"/>
        <n v="3861.44"/>
        <n v="7955.98"/>
        <n v="5041.85"/>
        <n v="3126.13"/>
        <n v="8167.9800000000005"/>
      </sharedItems>
    </cacheField>
    <cacheField name="ROI" numFmtId="0">
      <sharedItems containsSemiMixedTypes="false" containsString="false" containsNumber="true" minValue="0.32789879058215504" maxValue="3.3478679051292404" count="0"/>
    </cacheField>
    <cacheField name="单均" numFmtId="0">
      <sharedItems containsSemiMixedTypes="false" containsString="false" containsNumber="true" minValue="455.82000000000005" maxValue="1906.6888888888889" count="0"/>
    </cacheField>
    <cacheField name="保单成本" numFmtId="0">
      <sharedItems containsSemiMixedTypes="false" containsString="false" containsNumber="true" minValue="179.25136363636364" maxValue="1460.206666666666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8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66:$F$173" firstHeaderRow="1" firstDataRow="1" firstDataCol="1"/>
  <pivotFields count="19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dataField="true" compact="false" outline="false" showAll="false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109:$G$117" firstHeaderRow="1" firstDataRow="1" firstDataCol="1"/>
  <pivotFields count="19">
    <pivotField compact="false" outline="false" showAll="false"/>
    <pivotField axis="axisRow" compact="false" outline="false" showAll="false">
      <items count="9">
        <item x="0"/>
        <item x="1"/>
        <item h="true" x="2"/>
        <item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dataField="true" compact="false" outline="false" showAll="false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E$14:$H$17" firstHeaderRow="1" firstDataRow="1" firstDataCol="1"/>
  <pivotFields count="19">
    <pivotField compact="false" outline="false" showAll="false"/>
    <pivotField axis="axisRow" compact="false" outline="false" showAll="false">
      <items count="4">
        <item x="0"/>
        <item x="1"/>
        <item h="true" x="2"/>
        <item t="default"/>
      </items>
    </pivotField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E$69:$H$78" firstHeaderRow="1" firstDataRow="1" firstDataCol="1"/>
  <pivotFields count="19">
    <pivotField compact="false" outline="false" showAll="false"/>
    <pivotField axis="axisRow" compact="false" outline="false" showAll="false">
      <items count="10">
        <item x="0"/>
        <item h="true"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true" compact="false" outline="false" showAll="false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B$222:$C$230" firstHeaderRow="1" firstDataRow="1" firstDataCol="1"/>
  <pivotFields count="4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A$184:$G$191" firstHeaderRow="1" firstDataRow="1" firstDataCol="1"/>
  <pivotFields count="15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h="true" x="6"/>
        <item t="default"/>
      </items>
    </pivotField>
    <pivotField compact="false" outline="false" showAll="false"/>
    <pivotField dataField="true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false" outline="false" showAll="false"/>
    <pivotField dataField="true" compact="false" outline="false" showAll="false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true" compact="false" outline="false" showAll="false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true" compact="false" outline="false" showAll="false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dataField="true" compact="false" outline="false" showAll="false">
      <items count="1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6">
    <dataField name="求和项:直播时长" fld="3" subtotal="sum"/>
    <dataField name="求和项:保单数量" fld="6" subtotal="sum"/>
    <dataField name="求和项:家庭单数量" fld="7" subtotal="sum"/>
    <dataField name="求和项:保险支付数" fld="5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D$13:$E$15" firstHeaderRow="1" firstDataRow="1" firstDataCol="1"/>
  <pivotFields count="15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3">
        <item x="0"/>
        <item h="true" x="1"/>
        <item t="default"/>
      </items>
    </pivotField>
    <pivotField dataField="true" compact="false" outline="false" showAll="false">
      <items count="2">
        <item x="0"/>
        <item t="default"/>
      </items>
    </pivotField>
  </pivotFields>
  <rowFields count="1">
    <field x="13"/>
  </rowFields>
  <dataFields count="1">
    <dataField name="求和项:助播时长" fld="1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D$130:$G$138" firstHeaderRow="1" firstDataRow="1" firstDataCol="1"/>
  <pivotFields count="15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dataField="true" compact="false" outline="false" showAll="false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3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Relationship Id="rId2" Target="../pivotTables/pivotTable6.xml" Type="http://schemas.openxmlformats.org/officeDocument/2006/relationships/pivotTable"></Relationship></Relationships>
</file>

<file path=xl/worksheets/_rels/sheet7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1" min="11" style="0" width="11.211267605633802"/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1" t="s">
        <v>15</v>
      </c>
      <c r="P1" s="1" t="s">
        <v>16</v>
      </c>
      <c r="Q1" s="1" t="s">
        <v>15</v>
      </c>
      <c r="R1" s="1" t="s">
        <v>17</v>
      </c>
      <c r="S1" s="1" t="s">
        <v>18</v>
      </c>
    </row>
    <row r="2">
      <c r="A2" s="4" t="s">
        <v>19</v>
      </c>
      <c r="B2" s="5" t="s">
        <v>20</v>
      </c>
      <c r="C2" s="6" t="s">
        <v>21</v>
      </c>
      <c r="D2" s="7">
        <v>0.5</v>
      </c>
      <c r="E2" s="4">
        <v>2</v>
      </c>
      <c r="F2" s="4">
        <v>0</v>
      </c>
      <c r="G2" s="4">
        <v>0</v>
      </c>
      <c r="H2" s="5">
        <v>0</v>
      </c>
      <c r="I2" s="8">
        <v>0</v>
      </c>
      <c r="J2" s="9">
        <v>741.24</v>
      </c>
      <c r="K2" s="10">
        <f t="shared" ref="K2:K162" si="0">I2/J2</f>
      </c>
      <c r="L2" s="11">
        <f t="shared" ref="L2:L162" si="2">I2/G2</f>
      </c>
      <c r="M2" s="11">
        <f t="shared" ref="M2:M162" si="1">J2/G2</f>
      </c>
      <c r="N2" s="4"/>
      <c r="O2" s="4"/>
      <c r="P2" s="12"/>
      <c r="Q2" s="12"/>
      <c r="R2" s="12"/>
      <c r="S2" s="12"/>
    </row>
    <row customHeight="true" ht="16.071428571428573" r="3">
      <c r="A3" s="4" t="s">
        <v>22</v>
      </c>
      <c r="B3" s="5" t="s">
        <v>20</v>
      </c>
      <c r="C3" s="6" t="s">
        <v>23</v>
      </c>
      <c r="D3" s="7">
        <v>2</v>
      </c>
      <c r="E3" s="4">
        <v>17</v>
      </c>
      <c r="F3" s="4">
        <v>15</v>
      </c>
      <c r="G3" s="4">
        <v>15</v>
      </c>
      <c r="H3" s="5">
        <v>1</v>
      </c>
      <c r="I3" s="8">
        <v>6967.3</v>
      </c>
      <c r="J3" s="9">
        <v>2018.08</v>
      </c>
      <c r="K3" s="10">
        <f t="shared" si="0"/>
      </c>
      <c r="L3" s="11">
        <f t="shared" si="2"/>
      </c>
      <c r="M3" s="11">
        <f t="shared" si="1"/>
      </c>
      <c r="N3" s="4"/>
      <c r="O3" s="4"/>
      <c r="P3" s="12"/>
      <c r="Q3" s="12"/>
      <c r="R3" s="12"/>
      <c r="S3" s="12"/>
    </row>
    <row r="4">
      <c r="A4" s="4" t="s">
        <v>22</v>
      </c>
      <c r="B4" s="4" t="s">
        <v>24</v>
      </c>
      <c r="C4" s="13" t="s">
        <v>25</v>
      </c>
      <c r="D4" s="7">
        <v>4</v>
      </c>
      <c r="E4" s="4">
        <v>18</v>
      </c>
      <c r="F4" s="4">
        <v>13</v>
      </c>
      <c r="G4" s="4">
        <v>13</v>
      </c>
      <c r="H4" s="5">
        <v>0</v>
      </c>
      <c r="I4" s="8">
        <v>5732.499999999999</v>
      </c>
      <c r="J4" s="14">
        <v>4864.599999999999</v>
      </c>
      <c r="K4" s="10">
        <f t="shared" si="0"/>
      </c>
      <c r="L4" s="11">
        <f t="shared" si="2"/>
      </c>
      <c r="M4" s="11">
        <f t="shared" si="1"/>
      </c>
      <c r="N4" s="4" t="s">
        <v>26</v>
      </c>
      <c r="O4" s="4">
        <v>6.5</v>
      </c>
      <c r="P4" s="12"/>
      <c r="Q4" s="12"/>
      <c r="R4" s="12"/>
      <c r="S4" s="12"/>
    </row>
    <row r="5">
      <c r="A5" s="5" t="s">
        <v>22</v>
      </c>
      <c r="B5" s="15" t="s">
        <v>27</v>
      </c>
      <c r="C5" s="16" t="s">
        <v>28</v>
      </c>
      <c r="D5" s="7">
        <v>2.5</v>
      </c>
      <c r="E5" s="4">
        <v>6</v>
      </c>
      <c r="F5" s="4">
        <v>3</v>
      </c>
      <c r="G5" s="4">
        <v>3</v>
      </c>
      <c r="H5" s="5">
        <v>0</v>
      </c>
      <c r="I5" s="8">
        <v>1436.4000000000015</v>
      </c>
      <c r="J5" s="14">
        <v>3449.15</v>
      </c>
      <c r="K5" s="10">
        <f t="shared" si="0"/>
      </c>
      <c r="L5" s="11">
        <f t="shared" si="2"/>
      </c>
      <c r="M5" s="11">
        <f t="shared" si="1"/>
      </c>
      <c r="N5" s="6" t="s">
        <v>29</v>
      </c>
      <c r="O5" s="4">
        <v>6.5</v>
      </c>
      <c r="P5" s="12"/>
      <c r="Q5" s="12"/>
      <c r="R5" s="12"/>
      <c r="S5" s="12"/>
    </row>
    <row r="6">
      <c r="A6" s="5" t="s">
        <v>22</v>
      </c>
      <c r="B6" s="4" t="s">
        <v>30</v>
      </c>
      <c r="C6" s="6" t="s">
        <v>31</v>
      </c>
      <c r="D6" s="7">
        <v>4</v>
      </c>
      <c r="E6" s="4">
        <v>30</v>
      </c>
      <c r="F6" s="4">
        <v>25</v>
      </c>
      <c r="G6" s="4">
        <v>25</v>
      </c>
      <c r="H6" s="5">
        <v>0</v>
      </c>
      <c r="I6" s="8">
        <v>10989.899999999998</v>
      </c>
      <c r="J6" s="8">
        <v>6213.820000000001</v>
      </c>
      <c r="K6" s="10">
        <f t="shared" si="0"/>
      </c>
      <c r="L6" s="11">
        <f t="shared" si="2"/>
      </c>
      <c r="M6" s="11">
        <f t="shared" si="1"/>
      </c>
      <c r="N6" s="6"/>
      <c r="O6" s="4"/>
      <c r="P6" s="12"/>
      <c r="Q6" s="12"/>
      <c r="R6" s="12"/>
      <c r="S6" s="12"/>
    </row>
    <row r="7">
      <c r="A7" s="17" t="s">
        <v>22</v>
      </c>
      <c r="B7" s="18"/>
      <c r="C7" s="18"/>
      <c r="D7" s="19">
        <f>SUM(D2:D6)</f>
      </c>
      <c r="E7" s="19">
        <f>SUM(E2:E6)</f>
      </c>
      <c r="F7" s="19">
        <f>SUM(F2:F6)</f>
      </c>
      <c r="G7" s="19">
        <f>SUM(G2:G6)</f>
      </c>
      <c r="H7" s="19">
        <f>SUM(H2:H6)</f>
      </c>
      <c r="I7" s="20">
        <f>SUM(I2:I6)</f>
      </c>
      <c r="J7" s="19">
        <f>SUM(J2:J6)</f>
      </c>
      <c r="K7" s="21">
        <f t="shared" si="0"/>
      </c>
      <c r="L7" s="21">
        <f t="shared" si="2"/>
      </c>
      <c r="M7" s="21">
        <f t="shared" si="1"/>
      </c>
      <c r="N7" s="19"/>
      <c r="O7" s="19">
        <f>SUM(O2:O6)</f>
      </c>
      <c r="P7" s="19"/>
      <c r="Q7" s="19">
        <f>SUM(Q2:Q6)</f>
      </c>
      <c r="R7" s="19">
        <f>SUM(R2:R6)</f>
      </c>
      <c r="S7" s="19">
        <f>SUM(S2:S6)</f>
      </c>
    </row>
    <row r="8">
      <c r="A8" s="4" t="s">
        <v>32</v>
      </c>
      <c r="B8" s="5" t="s">
        <v>27</v>
      </c>
      <c r="C8" s="6" t="s">
        <v>33</v>
      </c>
      <c r="D8" s="7">
        <v>4</v>
      </c>
      <c r="E8" s="4">
        <v>26</v>
      </c>
      <c r="F8" s="4">
        <v>20</v>
      </c>
      <c r="G8" s="4">
        <v>20</v>
      </c>
      <c r="H8" s="5">
        <v>2</v>
      </c>
      <c r="I8" s="22">
        <v>8907.7</v>
      </c>
      <c r="J8" s="23">
        <v>4566.84</v>
      </c>
      <c r="K8" s="10">
        <f t="shared" si="0"/>
      </c>
      <c r="L8" s="11">
        <f t="shared" si="2"/>
      </c>
      <c r="M8" s="11">
        <f t="shared" si="1"/>
      </c>
      <c r="N8" s="4"/>
      <c r="O8" s="4"/>
      <c r="P8" s="12"/>
      <c r="Q8" s="12"/>
      <c r="R8" s="12"/>
      <c r="S8" s="12"/>
    </row>
    <row r="9">
      <c r="A9" s="4" t="s">
        <v>32</v>
      </c>
      <c r="B9" s="4" t="s">
        <v>30</v>
      </c>
      <c r="C9" s="13" t="s">
        <v>25</v>
      </c>
      <c r="D9" s="7">
        <v>4</v>
      </c>
      <c r="E9" s="4">
        <v>30</v>
      </c>
      <c r="F9" s="4">
        <v>24</v>
      </c>
      <c r="G9" s="4">
        <v>24</v>
      </c>
      <c r="H9" s="5">
        <v>2</v>
      </c>
      <c r="I9" s="24">
        <v>10659.599999999999</v>
      </c>
      <c r="J9" s="14">
        <v>4056.33</v>
      </c>
      <c r="K9" s="10">
        <f t="shared" si="0"/>
      </c>
      <c r="L9" s="11">
        <f t="shared" si="2"/>
      </c>
      <c r="M9" s="11">
        <f t="shared" si="1"/>
      </c>
      <c r="N9" s="4" t="s">
        <v>34</v>
      </c>
      <c r="O9" s="4">
        <v>8</v>
      </c>
      <c r="P9" s="12"/>
      <c r="Q9" s="12"/>
      <c r="R9" s="12"/>
      <c r="S9" s="12"/>
    </row>
    <row r="10">
      <c r="A10" s="5" t="s">
        <v>32</v>
      </c>
      <c r="B10" s="15" t="s">
        <v>24</v>
      </c>
      <c r="C10" s="16" t="s">
        <v>35</v>
      </c>
      <c r="D10" s="7">
        <v>4</v>
      </c>
      <c r="E10" s="4">
        <v>18</v>
      </c>
      <c r="F10" s="4">
        <v>18</v>
      </c>
      <c r="G10" s="4">
        <v>18</v>
      </c>
      <c r="H10" s="5">
        <v>2</v>
      </c>
      <c r="I10" s="24">
        <v>8173.200000000001</v>
      </c>
      <c r="J10" s="14">
        <v>4109.53</v>
      </c>
      <c r="K10" s="10">
        <f t="shared" si="0"/>
      </c>
      <c r="L10" s="11">
        <f t="shared" si="2"/>
      </c>
      <c r="M10" s="11">
        <f t="shared" si="1"/>
      </c>
      <c r="N10" s="6" t="s">
        <v>29</v>
      </c>
      <c r="O10" s="4">
        <v>8</v>
      </c>
      <c r="P10" s="12"/>
      <c r="Q10" s="12"/>
      <c r="R10" s="12"/>
      <c r="S10" s="12"/>
    </row>
    <row r="11">
      <c r="A11" s="5" t="s">
        <v>32</v>
      </c>
      <c r="B11" s="4" t="s">
        <v>20</v>
      </c>
      <c r="C11" s="6" t="s">
        <v>31</v>
      </c>
      <c r="D11" s="7">
        <v>4</v>
      </c>
      <c r="E11" s="4">
        <v>14</v>
      </c>
      <c r="F11" s="4">
        <v>11</v>
      </c>
      <c r="G11" s="4">
        <v>11</v>
      </c>
      <c r="H11" s="5">
        <v>2</v>
      </c>
      <c r="I11" s="25">
        <v>5110.9</v>
      </c>
      <c r="J11" s="26">
        <v>4013.41</v>
      </c>
      <c r="K11" s="10">
        <f t="shared" si="0"/>
      </c>
      <c r="L11" s="11">
        <f t="shared" si="2"/>
      </c>
      <c r="M11" s="11">
        <f t="shared" si="1"/>
      </c>
      <c r="N11" s="6"/>
      <c r="O11" s="4"/>
      <c r="P11" s="12"/>
      <c r="Q11" s="12"/>
      <c r="R11" s="12"/>
      <c r="S11" s="12"/>
    </row>
    <row r="12">
      <c r="A12" s="17" t="s">
        <v>32</v>
      </c>
      <c r="B12" s="18"/>
      <c r="C12" s="18"/>
      <c r="D12" s="19">
        <f>SUM(D8:D11)</f>
      </c>
      <c r="E12" s="19">
        <f>SUM(E8:E11)</f>
      </c>
      <c r="F12" s="19">
        <f>SUM(F8:F11)</f>
      </c>
      <c r="G12" s="19">
        <f>SUM(G8:G11)</f>
      </c>
      <c r="H12" s="19">
        <f>SUM(H8:H11)</f>
      </c>
      <c r="I12" s="20">
        <f>SUM(I8:I11)</f>
      </c>
      <c r="J12" s="19">
        <f>SUM(J8:J11)</f>
      </c>
      <c r="K12" s="21">
        <f t="shared" si="0"/>
      </c>
      <c r="L12" s="21">
        <f t="shared" si="2"/>
      </c>
      <c r="M12" s="21">
        <f t="shared" si="1"/>
      </c>
      <c r="N12" s="19"/>
      <c r="O12" s="19">
        <f>SUM(O8:O11)</f>
      </c>
      <c r="P12" s="19"/>
      <c r="Q12" s="19">
        <f>SUM(Q8:Q11)</f>
      </c>
      <c r="R12" s="19">
        <f>SUM(R8:R11)</f>
      </c>
      <c r="S12" s="19">
        <f>SUM(S8:S11)</f>
      </c>
    </row>
    <row r="13">
      <c r="A13" s="4" t="s">
        <v>36</v>
      </c>
      <c r="B13" s="5" t="s">
        <v>27</v>
      </c>
      <c r="C13" s="6" t="s">
        <v>33</v>
      </c>
      <c r="D13" s="7">
        <v>4</v>
      </c>
      <c r="E13" s="4">
        <v>16</v>
      </c>
      <c r="F13" s="4">
        <v>14</v>
      </c>
      <c r="G13" s="4">
        <v>14</v>
      </c>
      <c r="H13" s="5">
        <v>1</v>
      </c>
      <c r="I13" s="22">
        <v>6350.4</v>
      </c>
      <c r="J13" s="23">
        <v>3129.19</v>
      </c>
      <c r="K13" s="10">
        <f t="shared" si="0"/>
      </c>
      <c r="L13" s="11">
        <f t="shared" si="2"/>
      </c>
      <c r="M13" s="11">
        <f t="shared" si="1"/>
      </c>
      <c r="N13" s="4"/>
      <c r="O13" s="4"/>
      <c r="P13" s="12"/>
      <c r="Q13" s="12"/>
      <c r="R13" s="12"/>
      <c r="S13" s="12"/>
    </row>
    <row r="14">
      <c r="A14" s="4" t="s">
        <v>36</v>
      </c>
      <c r="B14" s="4" t="s">
        <v>30</v>
      </c>
      <c r="C14" s="13" t="s">
        <v>25</v>
      </c>
      <c r="D14" s="7">
        <v>4</v>
      </c>
      <c r="E14" s="4">
        <v>24</v>
      </c>
      <c r="F14" s="4">
        <v>17</v>
      </c>
      <c r="G14" s="4">
        <v>17</v>
      </c>
      <c r="H14" s="5">
        <v>1</v>
      </c>
      <c r="I14" s="24">
        <v>7748.5</v>
      </c>
      <c r="J14" s="14">
        <v>3916.0299999999997</v>
      </c>
      <c r="K14" s="10">
        <f t="shared" si="0"/>
      </c>
      <c r="L14" s="11">
        <f t="shared" si="2"/>
      </c>
      <c r="M14" s="11">
        <f t="shared" si="1"/>
      </c>
      <c r="N14" s="4" t="s">
        <v>34</v>
      </c>
      <c r="O14" s="4">
        <v>8</v>
      </c>
      <c r="P14" s="12"/>
      <c r="Q14" s="12"/>
      <c r="R14" s="12"/>
      <c r="S14" s="12"/>
    </row>
    <row r="15">
      <c r="A15" s="5" t="s">
        <v>36</v>
      </c>
      <c r="B15" s="15" t="s">
        <v>24</v>
      </c>
      <c r="C15" s="16" t="s">
        <v>35</v>
      </c>
      <c r="D15" s="7">
        <v>4</v>
      </c>
      <c r="E15" s="4">
        <v>16</v>
      </c>
      <c r="F15" s="4">
        <v>16</v>
      </c>
      <c r="G15" s="4">
        <v>16</v>
      </c>
      <c r="H15" s="5">
        <v>1</v>
      </c>
      <c r="I15" s="24">
        <v>7308.000000000002</v>
      </c>
      <c r="J15" s="14">
        <v>4797.13</v>
      </c>
      <c r="K15" s="10">
        <f t="shared" si="0"/>
      </c>
      <c r="L15" s="11">
        <f t="shared" si="2"/>
      </c>
      <c r="M15" s="11">
        <f t="shared" si="1"/>
      </c>
      <c r="N15" s="6" t="s">
        <v>29</v>
      </c>
      <c r="O15" s="4">
        <v>8</v>
      </c>
      <c r="P15" s="12"/>
      <c r="Q15" s="12"/>
      <c r="R15" s="12"/>
      <c r="S15" s="12"/>
    </row>
    <row r="16">
      <c r="A16" s="5" t="s">
        <v>36</v>
      </c>
      <c r="B16" s="4" t="s">
        <v>20</v>
      </c>
      <c r="C16" s="6" t="s">
        <v>31</v>
      </c>
      <c r="D16" s="7">
        <v>4</v>
      </c>
      <c r="E16" s="4">
        <v>21</v>
      </c>
      <c r="F16" s="4">
        <v>19</v>
      </c>
      <c r="G16" s="4">
        <v>19</v>
      </c>
      <c r="H16" s="5">
        <v>0</v>
      </c>
      <c r="I16" s="25">
        <v>8609</v>
      </c>
      <c r="J16" s="27">
        <v>5220.429999999999</v>
      </c>
      <c r="K16" s="10">
        <f t="shared" si="0"/>
      </c>
      <c r="L16" s="11">
        <f t="shared" si="2"/>
      </c>
      <c r="M16" s="11">
        <f t="shared" si="1"/>
      </c>
      <c r="N16" s="6"/>
      <c r="O16" s="4"/>
      <c r="P16" s="12"/>
      <c r="Q16" s="12"/>
      <c r="R16" s="12"/>
      <c r="S16" s="12"/>
    </row>
    <row r="17">
      <c r="A17" s="17" t="s">
        <v>36</v>
      </c>
      <c r="B17" s="18"/>
      <c r="C17" s="18"/>
      <c r="D17" s="19">
        <f>SUM(D13:D16)</f>
      </c>
      <c r="E17" s="19">
        <f>SUM(E13:E16)</f>
      </c>
      <c r="F17" s="19">
        <f>SUM(F13:F16)</f>
      </c>
      <c r="G17" s="19">
        <f>SUM(G13:G16)</f>
      </c>
      <c r="H17" s="19">
        <f>SUM(H13:H16)</f>
      </c>
      <c r="I17" s="20">
        <f>SUM(I13:I16)</f>
      </c>
      <c r="J17" s="19">
        <f>SUM(J13:J16)</f>
      </c>
      <c r="K17" s="21">
        <f t="shared" si="0"/>
      </c>
      <c r="L17" s="21">
        <f t="shared" si="2"/>
      </c>
      <c r="M17" s="21">
        <f t="shared" si="1"/>
      </c>
      <c r="N17" s="19"/>
      <c r="O17" s="19">
        <f>SUM(O13:O16)</f>
      </c>
      <c r="P17" s="19"/>
      <c r="Q17" s="19">
        <f>SUM(Q13:Q16)</f>
      </c>
      <c r="R17" s="19">
        <f>SUM(R13:R16)</f>
      </c>
      <c r="S17" s="19">
        <f>SUM(S13:S16)</f>
      </c>
    </row>
    <row r="18">
      <c r="A18" s="4" t="s">
        <v>37</v>
      </c>
      <c r="B18" s="5" t="s">
        <v>30</v>
      </c>
      <c r="C18" s="6" t="s">
        <v>33</v>
      </c>
      <c r="D18" s="7">
        <v>4</v>
      </c>
      <c r="E18" s="4">
        <v>11</v>
      </c>
      <c r="F18" s="4">
        <v>11</v>
      </c>
      <c r="G18" s="4">
        <v>11</v>
      </c>
      <c r="H18" s="5">
        <v>1</v>
      </c>
      <c r="I18" s="12">
        <v>4972.8</v>
      </c>
      <c r="J18" s="23">
        <v>3883.62</v>
      </c>
      <c r="K18" s="10">
        <f t="shared" si="0"/>
      </c>
      <c r="L18" s="11">
        <f t="shared" si="2"/>
      </c>
      <c r="M18" s="11">
        <f t="shared" si="1"/>
      </c>
      <c r="N18" s="4"/>
      <c r="O18" s="4"/>
      <c r="P18" s="12"/>
      <c r="Q18" s="12"/>
      <c r="R18" s="12"/>
      <c r="S18" s="12"/>
    </row>
    <row r="19">
      <c r="A19" s="4" t="s">
        <v>37</v>
      </c>
      <c r="B19" s="4" t="s">
        <v>20</v>
      </c>
      <c r="C19" s="13" t="s">
        <v>25</v>
      </c>
      <c r="D19" s="7">
        <v>4</v>
      </c>
      <c r="E19" s="4">
        <v>23</v>
      </c>
      <c r="F19" s="4">
        <v>17</v>
      </c>
      <c r="G19" s="4">
        <v>17</v>
      </c>
      <c r="H19" s="5">
        <v>3</v>
      </c>
      <c r="I19" s="14">
        <v>7627.2</v>
      </c>
      <c r="J19" s="14">
        <v>4795.139999999999</v>
      </c>
      <c r="K19" s="10">
        <f t="shared" si="0"/>
      </c>
      <c r="L19" s="11">
        <f t="shared" si="2"/>
      </c>
      <c r="M19" s="11">
        <f t="shared" si="1"/>
      </c>
      <c r="N19" s="4" t="s">
        <v>34</v>
      </c>
      <c r="O19" s="4">
        <v>8</v>
      </c>
      <c r="P19" s="12"/>
      <c r="Q19" s="12"/>
      <c r="R19" s="12"/>
      <c r="S19" s="12"/>
    </row>
    <row r="20">
      <c r="A20" s="5" t="s">
        <v>37</v>
      </c>
      <c r="B20" s="15" t="s">
        <v>27</v>
      </c>
      <c r="C20" s="16" t="s">
        <v>35</v>
      </c>
      <c r="D20" s="7">
        <v>4</v>
      </c>
      <c r="E20" s="4">
        <v>12</v>
      </c>
      <c r="F20" s="4">
        <v>9</v>
      </c>
      <c r="G20" s="4">
        <v>9</v>
      </c>
      <c r="H20" s="5">
        <v>1</v>
      </c>
      <c r="I20" s="28">
        <v>4099.200000000001</v>
      </c>
      <c r="J20" s="14">
        <v>4254.82</v>
      </c>
      <c r="K20" s="10">
        <f t="shared" si="0"/>
      </c>
      <c r="L20" s="11">
        <f t="shared" si="2"/>
      </c>
      <c r="M20" s="11">
        <f t="shared" si="1"/>
      </c>
      <c r="N20" s="6" t="s">
        <v>29</v>
      </c>
      <c r="O20" s="4">
        <v>8</v>
      </c>
      <c r="P20" s="12"/>
      <c r="Q20" s="12"/>
      <c r="R20" s="12"/>
      <c r="S20" s="12"/>
    </row>
    <row r="21">
      <c r="A21" s="5" t="s">
        <v>37</v>
      </c>
      <c r="B21" s="4" t="s">
        <v>38</v>
      </c>
      <c r="C21" s="6" t="s">
        <v>31</v>
      </c>
      <c r="D21" s="7">
        <v>4</v>
      </c>
      <c r="E21" s="4">
        <v>18</v>
      </c>
      <c r="F21" s="4">
        <v>14</v>
      </c>
      <c r="G21" s="4">
        <v>14</v>
      </c>
      <c r="H21" s="5">
        <v>1</v>
      </c>
      <c r="I21" s="26">
        <v>5997.5999999999985</v>
      </c>
      <c r="J21" s="26">
        <v>4950.219999999999</v>
      </c>
      <c r="K21" s="10">
        <f t="shared" si="0"/>
      </c>
      <c r="L21" s="11">
        <f t="shared" si="2"/>
      </c>
      <c r="M21" s="11">
        <f t="shared" si="1"/>
      </c>
      <c r="N21" s="6"/>
      <c r="O21" s="4"/>
      <c r="P21" s="12"/>
      <c r="Q21" s="12"/>
      <c r="R21" s="12"/>
      <c r="S21" s="12"/>
    </row>
    <row r="22">
      <c r="A22" s="17" t="s">
        <v>37</v>
      </c>
      <c r="B22" s="18"/>
      <c r="C22" s="18"/>
      <c r="D22" s="19">
        <f>SUM(D18:D21)</f>
      </c>
      <c r="E22" s="19">
        <f>SUM(E18:E21)</f>
      </c>
      <c r="F22" s="19">
        <f>SUM(F18:F21)</f>
      </c>
      <c r="G22" s="19">
        <f>SUM(G18:G21)</f>
      </c>
      <c r="H22" s="19">
        <f>SUM(H18:H21)</f>
      </c>
      <c r="I22" s="19">
        <f>SUM(I18:I21)</f>
      </c>
      <c r="J22" s="19">
        <f>SUM(J18:J21)</f>
      </c>
      <c r="K22" s="21">
        <f t="shared" si="0"/>
      </c>
      <c r="L22" s="21">
        <f t="shared" si="2"/>
      </c>
      <c r="M22" s="21">
        <f t="shared" si="1"/>
      </c>
      <c r="N22" s="19"/>
      <c r="O22" s="19">
        <f>SUM(O18:O21)</f>
      </c>
      <c r="P22" s="19"/>
      <c r="Q22" s="19">
        <f>SUM(Q18:Q21)</f>
      </c>
      <c r="R22" s="19">
        <f>SUM(R18:R21)</f>
      </c>
      <c r="S22" s="19">
        <f>SUM(S18:S21)</f>
      </c>
    </row>
    <row r="23">
      <c r="A23" s="4" t="s">
        <v>39</v>
      </c>
      <c r="B23" s="5" t="s">
        <v>20</v>
      </c>
      <c r="C23" s="6" t="s">
        <v>33</v>
      </c>
      <c r="D23" s="7">
        <v>4</v>
      </c>
      <c r="E23" s="4">
        <v>15</v>
      </c>
      <c r="F23" s="4">
        <v>14</v>
      </c>
      <c r="G23" s="4">
        <v>14</v>
      </c>
      <c r="H23" s="5">
        <v>0</v>
      </c>
      <c r="I23" s="29">
        <v>6299</v>
      </c>
      <c r="J23" s="30">
        <v>3990.31</v>
      </c>
      <c r="K23" s="10">
        <f t="shared" si="0"/>
      </c>
      <c r="L23" s="11">
        <f t="shared" si="2"/>
      </c>
      <c r="M23" s="11">
        <f t="shared" si="1"/>
      </c>
      <c r="N23" s="4"/>
      <c r="O23" s="4"/>
      <c r="P23" s="12"/>
      <c r="Q23" s="12"/>
      <c r="R23" s="12"/>
      <c r="S23" s="12"/>
    </row>
    <row r="24">
      <c r="A24" s="4" t="s">
        <v>39</v>
      </c>
      <c r="B24" s="4" t="s">
        <v>30</v>
      </c>
      <c r="C24" s="13" t="s">
        <v>25</v>
      </c>
      <c r="D24" s="7">
        <v>4</v>
      </c>
      <c r="E24" s="4">
        <v>15</v>
      </c>
      <c r="F24" s="4">
        <v>15</v>
      </c>
      <c r="G24" s="4">
        <v>15</v>
      </c>
      <c r="H24" s="5">
        <v>1</v>
      </c>
      <c r="I24" s="23">
        <v>6757.299999999999</v>
      </c>
      <c r="J24" s="23">
        <v>5128.96</v>
      </c>
      <c r="K24" s="10">
        <f t="shared" si="0"/>
      </c>
      <c r="L24" s="11">
        <f t="shared" si="2"/>
      </c>
      <c r="M24" s="11">
        <f t="shared" si="1"/>
      </c>
      <c r="N24" s="4" t="s">
        <v>34</v>
      </c>
      <c r="O24" s="4">
        <v>10</v>
      </c>
      <c r="P24" s="12"/>
      <c r="Q24" s="12"/>
      <c r="R24" s="12"/>
      <c r="S24" s="12"/>
    </row>
    <row r="25">
      <c r="A25" s="5" t="s">
        <v>39</v>
      </c>
      <c r="B25" s="15" t="s">
        <v>27</v>
      </c>
      <c r="C25" s="16" t="s">
        <v>35</v>
      </c>
      <c r="D25" s="7">
        <v>4</v>
      </c>
      <c r="E25" s="4">
        <v>15</v>
      </c>
      <c r="F25" s="4">
        <v>14</v>
      </c>
      <c r="G25" s="4">
        <v>14</v>
      </c>
      <c r="H25" s="5">
        <v>2</v>
      </c>
      <c r="I25" s="31">
        <v>6253.3</v>
      </c>
      <c r="J25" s="32">
        <v>4329.46</v>
      </c>
      <c r="K25" s="10">
        <f t="shared" si="0"/>
      </c>
      <c r="L25" s="11">
        <f t="shared" si="2"/>
      </c>
      <c r="M25" s="11">
        <f t="shared" si="1"/>
      </c>
      <c r="N25" s="6" t="s">
        <v>40</v>
      </c>
      <c r="O25" s="4">
        <v>6</v>
      </c>
      <c r="P25" s="12"/>
      <c r="Q25" s="12"/>
      <c r="R25" s="12"/>
      <c r="S25" s="12"/>
    </row>
    <row r="26">
      <c r="A26" s="5" t="s">
        <v>39</v>
      </c>
      <c r="B26" s="4" t="s">
        <v>38</v>
      </c>
      <c r="C26" s="6" t="s">
        <v>31</v>
      </c>
      <c r="D26" s="7">
        <v>4</v>
      </c>
      <c r="E26" s="4">
        <v>20</v>
      </c>
      <c r="F26" s="4">
        <v>16</v>
      </c>
      <c r="G26" s="4">
        <v>16</v>
      </c>
      <c r="H26" s="5">
        <v>1</v>
      </c>
      <c r="I26" s="26">
        <v>6987.8</v>
      </c>
      <c r="J26" s="26">
        <v>4308.67</v>
      </c>
      <c r="K26" s="10">
        <f t="shared" si="0"/>
      </c>
      <c r="L26" s="11">
        <f t="shared" si="2"/>
      </c>
      <c r="M26" s="11">
        <f t="shared" si="1"/>
      </c>
      <c r="N26" s="6"/>
      <c r="O26" s="4"/>
      <c r="P26" s="12"/>
      <c r="Q26" s="12"/>
      <c r="R26" s="12"/>
      <c r="S26" s="12"/>
    </row>
    <row r="27">
      <c r="A27" s="17" t="s">
        <v>39</v>
      </c>
      <c r="B27" s="18"/>
      <c r="C27" s="18"/>
      <c r="D27" s="19">
        <f>SUM(D23:D26)</f>
      </c>
      <c r="E27" s="19">
        <f>SUM(E23:E26)</f>
      </c>
      <c r="F27" s="19">
        <f>SUM(F23:F26)</f>
      </c>
      <c r="G27" s="19">
        <f>SUM(G23:G26)</f>
      </c>
      <c r="H27" s="19">
        <f>SUM(H23:H26)</f>
      </c>
      <c r="I27" s="19">
        <f>SUM(I23:I26)</f>
      </c>
      <c r="J27" s="19">
        <f>SUM(J23:J26)</f>
      </c>
      <c r="K27" s="21">
        <f t="shared" si="0"/>
      </c>
      <c r="L27" s="21">
        <f t="shared" si="2"/>
      </c>
      <c r="M27" s="21">
        <f t="shared" si="1"/>
      </c>
      <c r="N27" s="19"/>
      <c r="O27" s="19">
        <f>SUM(O23:O26)</f>
      </c>
      <c r="P27" s="19"/>
      <c r="Q27" s="19">
        <f>SUM(Q23:Q26)</f>
      </c>
      <c r="R27" s="19">
        <f>SUM(R23:R26)</f>
      </c>
      <c r="S27" s="19">
        <f>SUM(S23:S26)</f>
      </c>
    </row>
    <row r="28">
      <c r="A28" s="4" t="s">
        <v>41</v>
      </c>
      <c r="B28" s="5" t="s">
        <v>20</v>
      </c>
      <c r="C28" s="6" t="s">
        <v>33</v>
      </c>
      <c r="D28" s="7">
        <v>4</v>
      </c>
      <c r="E28" s="4">
        <v>18</v>
      </c>
      <c r="F28" s="4">
        <v>18</v>
      </c>
      <c r="G28" s="4">
        <v>18</v>
      </c>
      <c r="H28" s="5">
        <v>1</v>
      </c>
      <c r="I28" s="12">
        <v>8324.4</v>
      </c>
      <c r="J28" s="23">
        <v>4455.18</v>
      </c>
      <c r="K28" s="10">
        <f t="shared" si="0"/>
      </c>
      <c r="L28" s="11">
        <f t="shared" si="2"/>
      </c>
      <c r="M28" s="11">
        <f t="shared" si="1"/>
      </c>
      <c r="N28" s="4"/>
      <c r="O28" s="4"/>
      <c r="P28" s="12"/>
      <c r="Q28" s="12"/>
      <c r="R28" s="12"/>
      <c r="S28" s="12"/>
    </row>
    <row r="29">
      <c r="A29" s="4" t="s">
        <v>41</v>
      </c>
      <c r="B29" s="4" t="s">
        <v>24</v>
      </c>
      <c r="C29" s="13" t="s">
        <v>25</v>
      </c>
      <c r="D29" s="7">
        <v>4</v>
      </c>
      <c r="E29" s="4">
        <v>12</v>
      </c>
      <c r="F29" s="4">
        <v>12</v>
      </c>
      <c r="G29" s="4">
        <v>12</v>
      </c>
      <c r="H29" s="5">
        <v>1</v>
      </c>
      <c r="I29" s="33">
        <v>5320.9</v>
      </c>
      <c r="J29" s="33">
        <v>4186.73</v>
      </c>
      <c r="K29" s="10">
        <f t="shared" si="0"/>
      </c>
      <c r="L29" s="11">
        <f t="shared" si="2"/>
      </c>
      <c r="M29" s="11">
        <f t="shared" si="1"/>
      </c>
      <c r="N29" s="4" t="s">
        <v>26</v>
      </c>
      <c r="O29" s="4">
        <v>8</v>
      </c>
      <c r="P29" s="12"/>
      <c r="Q29" s="12"/>
      <c r="R29" s="12"/>
      <c r="S29" s="12"/>
    </row>
    <row r="30">
      <c r="A30" s="5" t="s">
        <v>41</v>
      </c>
      <c r="B30" s="15" t="s">
        <v>38</v>
      </c>
      <c r="C30" s="16" t="s">
        <v>35</v>
      </c>
      <c r="D30" s="7">
        <v>4</v>
      </c>
      <c r="E30" s="4">
        <v>18</v>
      </c>
      <c r="F30" s="4">
        <v>18</v>
      </c>
      <c r="G30" s="4">
        <v>18</v>
      </c>
      <c r="H30" s="5">
        <v>0</v>
      </c>
      <c r="I30" s="31">
        <v>8076.100000000002</v>
      </c>
      <c r="J30" s="32">
        <v>4053.6400000000003</v>
      </c>
      <c r="K30" s="10">
        <f t="shared" si="0"/>
      </c>
      <c r="L30" s="11">
        <f t="shared" si="2"/>
      </c>
      <c r="M30" s="11">
        <f t="shared" si="1"/>
      </c>
      <c r="N30" s="6" t="s">
        <v>29</v>
      </c>
      <c r="O30" s="4">
        <v>8</v>
      </c>
      <c r="P30" s="12"/>
      <c r="Q30" s="12"/>
      <c r="R30" s="12"/>
      <c r="S30" s="12"/>
    </row>
    <row r="31">
      <c r="A31" s="5" t="s">
        <v>41</v>
      </c>
      <c r="B31" s="4" t="s">
        <v>27</v>
      </c>
      <c r="C31" s="6" t="s">
        <v>31</v>
      </c>
      <c r="D31" s="7">
        <v>4</v>
      </c>
      <c r="E31" s="4">
        <v>19</v>
      </c>
      <c r="F31" s="4">
        <v>17</v>
      </c>
      <c r="G31" s="4">
        <v>17</v>
      </c>
      <c r="H31" s="5">
        <v>0</v>
      </c>
      <c r="I31" s="26">
        <v>7669.199999999997</v>
      </c>
      <c r="J31" s="26">
        <v>4959.93</v>
      </c>
      <c r="K31" s="10">
        <f t="shared" si="0"/>
      </c>
      <c r="L31" s="11">
        <f t="shared" si="2"/>
      </c>
      <c r="M31" s="11">
        <f t="shared" si="1"/>
      </c>
      <c r="N31" s="6"/>
      <c r="O31" s="4"/>
      <c r="P31" s="12"/>
      <c r="Q31" s="12"/>
      <c r="R31" s="12"/>
      <c r="S31" s="12"/>
    </row>
    <row r="32">
      <c r="A32" s="17" t="s">
        <v>41</v>
      </c>
      <c r="B32" s="18"/>
      <c r="C32" s="18"/>
      <c r="D32" s="19">
        <f>SUM(D28:D31)</f>
      </c>
      <c r="E32" s="19">
        <f>SUM(E28:E31)</f>
      </c>
      <c r="F32" s="19">
        <f>SUM(F28:F31)</f>
      </c>
      <c r="G32" s="19">
        <f>SUM(G28:G31)</f>
      </c>
      <c r="H32" s="19">
        <f>SUM(H28:H31)</f>
      </c>
      <c r="I32" s="19">
        <f>SUM(I28:I31)</f>
      </c>
      <c r="J32" s="19">
        <f>SUM(J28:J31)</f>
      </c>
      <c r="K32" s="21">
        <f t="shared" si="0"/>
      </c>
      <c r="L32" s="21">
        <f t="shared" si="2"/>
      </c>
      <c r="M32" s="21">
        <f t="shared" si="1"/>
      </c>
      <c r="N32" s="19"/>
      <c r="O32" s="19">
        <f>SUM(O28:O31)</f>
      </c>
      <c r="P32" s="19"/>
      <c r="Q32" s="19">
        <f>SUM(Q28:Q31)</f>
      </c>
      <c r="R32" s="19">
        <f>SUM(R28:R31)</f>
      </c>
      <c r="S32" s="19">
        <f>SUM(S28:S31)</f>
      </c>
    </row>
    <row r="33">
      <c r="A33" s="4" t="s">
        <v>42</v>
      </c>
      <c r="B33" s="5" t="s">
        <v>20</v>
      </c>
      <c r="C33" s="6" t="s">
        <v>33</v>
      </c>
      <c r="D33" s="7">
        <v>4</v>
      </c>
      <c r="E33" s="4">
        <v>16</v>
      </c>
      <c r="F33" s="4">
        <v>14</v>
      </c>
      <c r="G33" s="4">
        <v>14</v>
      </c>
      <c r="H33" s="5">
        <v>2</v>
      </c>
      <c r="I33" s="12">
        <v>6244.9</v>
      </c>
      <c r="J33" s="23">
        <v>3886.34</v>
      </c>
      <c r="K33" s="10">
        <f t="shared" si="0"/>
      </c>
      <c r="L33" s="11">
        <f t="shared" si="2"/>
      </c>
      <c r="M33" s="11">
        <f t="shared" si="1"/>
      </c>
      <c r="N33" s="4"/>
      <c r="O33" s="4"/>
      <c r="P33" s="12"/>
      <c r="Q33" s="12"/>
      <c r="R33" s="12"/>
      <c r="S33" s="12"/>
    </row>
    <row r="34">
      <c r="A34" s="4" t="s">
        <v>42</v>
      </c>
      <c r="B34" s="4" t="s">
        <v>24</v>
      </c>
      <c r="C34" s="13" t="s">
        <v>25</v>
      </c>
      <c r="D34" s="7">
        <v>4</v>
      </c>
      <c r="E34" s="4">
        <v>14</v>
      </c>
      <c r="F34" s="4">
        <v>12</v>
      </c>
      <c r="G34" s="4">
        <v>12</v>
      </c>
      <c r="H34" s="5">
        <v>1</v>
      </c>
      <c r="I34" s="33">
        <v>5395.5</v>
      </c>
      <c r="J34" s="33">
        <v>3794.25</v>
      </c>
      <c r="K34" s="10">
        <f t="shared" si="0"/>
      </c>
      <c r="L34" s="11">
        <f t="shared" si="2"/>
      </c>
      <c r="M34" s="11">
        <f t="shared" si="1"/>
      </c>
      <c r="N34" s="4" t="s">
        <v>26</v>
      </c>
      <c r="O34" s="4">
        <v>8</v>
      </c>
      <c r="P34" s="12"/>
      <c r="Q34" s="12"/>
      <c r="R34" s="12"/>
      <c r="S34" s="12"/>
    </row>
    <row r="35">
      <c r="A35" s="5" t="s">
        <v>42</v>
      </c>
      <c r="B35" s="15" t="s">
        <v>27</v>
      </c>
      <c r="C35" s="16" t="s">
        <v>35</v>
      </c>
      <c r="D35" s="7">
        <v>4</v>
      </c>
      <c r="E35" s="4">
        <v>19</v>
      </c>
      <c r="F35" s="4">
        <v>15</v>
      </c>
      <c r="G35" s="4">
        <v>15</v>
      </c>
      <c r="H35" s="5">
        <v>1</v>
      </c>
      <c r="I35" s="31">
        <v>6673.300000000001</v>
      </c>
      <c r="J35" s="32">
        <v>4111.65</v>
      </c>
      <c r="K35" s="10">
        <f t="shared" si="0"/>
      </c>
      <c r="L35" s="11">
        <f t="shared" si="2"/>
      </c>
      <c r="M35" s="11">
        <f t="shared" si="1"/>
      </c>
      <c r="N35" s="6" t="s">
        <v>29</v>
      </c>
      <c r="O35" s="4">
        <v>8</v>
      </c>
      <c r="P35" s="12"/>
      <c r="Q35" s="12"/>
      <c r="R35" s="12"/>
      <c r="S35" s="12"/>
    </row>
    <row r="36">
      <c r="A36" s="5" t="s">
        <v>42</v>
      </c>
      <c r="B36" s="4" t="s">
        <v>30</v>
      </c>
      <c r="C36" s="6" t="s">
        <v>31</v>
      </c>
      <c r="D36" s="7">
        <v>4</v>
      </c>
      <c r="E36" s="4">
        <v>24</v>
      </c>
      <c r="F36" s="4">
        <v>21</v>
      </c>
      <c r="G36" s="4">
        <v>21</v>
      </c>
      <c r="H36" s="5">
        <v>0</v>
      </c>
      <c r="I36" s="26">
        <v>9566.599999999999</v>
      </c>
      <c r="J36" s="26">
        <v>4857.18</v>
      </c>
      <c r="K36" s="10">
        <f t="shared" si="0"/>
      </c>
      <c r="L36" s="11">
        <f t="shared" si="2"/>
      </c>
      <c r="M36" s="11">
        <f t="shared" si="1"/>
      </c>
      <c r="N36" s="6"/>
      <c r="O36" s="4"/>
      <c r="P36" s="12"/>
      <c r="Q36" s="12"/>
      <c r="R36" s="12"/>
      <c r="S36" s="12"/>
    </row>
    <row r="37">
      <c r="A37" s="17" t="s">
        <v>42</v>
      </c>
      <c r="B37" s="18"/>
      <c r="C37" s="18"/>
      <c r="D37" s="19">
        <f>SUM(D33:D36)</f>
      </c>
      <c r="E37" s="19">
        <f>SUM(E33:E36)</f>
      </c>
      <c r="F37" s="19">
        <f>SUM(F33:F36)</f>
      </c>
      <c r="G37" s="19">
        <f>SUM(G33:G36)</f>
      </c>
      <c r="H37" s="19">
        <f>SUM(H33:H36)</f>
      </c>
      <c r="I37" s="19">
        <f>SUM(I33:I36)</f>
      </c>
      <c r="J37" s="19">
        <f>SUM(J33:J36)</f>
      </c>
      <c r="K37" s="21">
        <f t="shared" si="0"/>
      </c>
      <c r="L37" s="21">
        <f t="shared" si="2"/>
      </c>
      <c r="M37" s="21">
        <f t="shared" si="1"/>
      </c>
      <c r="N37" s="19"/>
      <c r="O37" s="19">
        <f>SUM(O33:O36)</f>
      </c>
      <c r="P37" s="19"/>
      <c r="Q37" s="19">
        <f>SUM(Q33:Q36)</f>
      </c>
      <c r="R37" s="19">
        <f>SUM(R33:R36)</f>
      </c>
      <c r="S37" s="19">
        <f>SUM(S33:S36)</f>
      </c>
    </row>
    <row r="38">
      <c r="A38" s="4" t="s">
        <v>43</v>
      </c>
      <c r="B38" s="5" t="s">
        <v>20</v>
      </c>
      <c r="C38" s="6" t="s">
        <v>33</v>
      </c>
      <c r="D38" s="7">
        <v>4</v>
      </c>
      <c r="E38" s="4">
        <v>11</v>
      </c>
      <c r="F38" s="4">
        <v>9</v>
      </c>
      <c r="G38" s="4">
        <v>9</v>
      </c>
      <c r="H38" s="5">
        <v>2</v>
      </c>
      <c r="I38" s="8">
        <v>4191.6</v>
      </c>
      <c r="J38" s="9">
        <v>3235.35</v>
      </c>
      <c r="K38" s="10">
        <f t="shared" si="0"/>
      </c>
      <c r="L38" s="11">
        <f t="shared" si="2"/>
      </c>
      <c r="M38" s="11">
        <f t="shared" si="1"/>
      </c>
      <c r="N38" s="4"/>
      <c r="O38" s="4"/>
      <c r="P38" s="12"/>
      <c r="Q38" s="12"/>
      <c r="R38" s="12"/>
      <c r="S38" s="12"/>
    </row>
    <row r="39">
      <c r="A39" s="4" t="s">
        <v>43</v>
      </c>
      <c r="B39" s="4" t="s">
        <v>24</v>
      </c>
      <c r="C39" s="13" t="s">
        <v>25</v>
      </c>
      <c r="D39" s="7">
        <v>4</v>
      </c>
      <c r="E39" s="4">
        <v>12</v>
      </c>
      <c r="F39" s="4">
        <v>10</v>
      </c>
      <c r="G39" s="4">
        <v>10</v>
      </c>
      <c r="H39" s="5">
        <v>1</v>
      </c>
      <c r="I39" s="33">
        <v>4519.199999999999</v>
      </c>
      <c r="J39" s="33">
        <v>3495.8999999999996</v>
      </c>
      <c r="K39" s="10">
        <f t="shared" si="0"/>
      </c>
      <c r="L39" s="11">
        <f t="shared" si="2"/>
      </c>
      <c r="M39" s="11">
        <f t="shared" si="1"/>
      </c>
      <c r="N39" s="4" t="s">
        <v>34</v>
      </c>
      <c r="O39" s="4">
        <v>8</v>
      </c>
      <c r="P39" s="12"/>
      <c r="Q39" s="12"/>
      <c r="R39" s="12"/>
      <c r="S39" s="12"/>
    </row>
    <row r="40">
      <c r="A40" s="5" t="s">
        <v>43</v>
      </c>
      <c r="B40" s="15" t="s">
        <v>30</v>
      </c>
      <c r="C40" s="16" t="s">
        <v>35</v>
      </c>
      <c r="D40" s="7">
        <v>4</v>
      </c>
      <c r="E40" s="4">
        <v>17</v>
      </c>
      <c r="F40" s="4">
        <v>16</v>
      </c>
      <c r="G40" s="4">
        <v>16</v>
      </c>
      <c r="H40" s="5">
        <v>2</v>
      </c>
      <c r="I40" s="31">
        <v>7308</v>
      </c>
      <c r="J40" s="32">
        <v>3846.67</v>
      </c>
      <c r="K40" s="10">
        <f t="shared" si="0"/>
      </c>
      <c r="L40" s="11">
        <f t="shared" si="2"/>
      </c>
      <c r="M40" s="11">
        <f t="shared" si="1"/>
      </c>
      <c r="N40" s="6" t="s">
        <v>29</v>
      </c>
      <c r="O40" s="4">
        <v>8</v>
      </c>
      <c r="P40" s="12"/>
      <c r="Q40" s="12"/>
      <c r="R40" s="12"/>
      <c r="S40" s="12"/>
    </row>
    <row r="41">
      <c r="A41" s="5" t="s">
        <v>43</v>
      </c>
      <c r="B41" s="4" t="s">
        <v>38</v>
      </c>
      <c r="C41" s="6" t="s">
        <v>31</v>
      </c>
      <c r="D41" s="7">
        <v>4</v>
      </c>
      <c r="E41" s="4">
        <v>19</v>
      </c>
      <c r="F41" s="4">
        <v>16</v>
      </c>
      <c r="G41" s="4">
        <v>16</v>
      </c>
      <c r="H41" s="5">
        <v>1</v>
      </c>
      <c r="I41" s="26">
        <v>7152.100000000002</v>
      </c>
      <c r="J41" s="26">
        <v>3608.1899999999996</v>
      </c>
      <c r="K41" s="10">
        <f t="shared" si="0"/>
      </c>
      <c r="L41" s="11">
        <f t="shared" si="2"/>
      </c>
      <c r="M41" s="11">
        <f t="shared" si="1"/>
      </c>
      <c r="N41" s="6"/>
      <c r="O41" s="4"/>
      <c r="P41" s="12"/>
      <c r="Q41" s="12"/>
      <c r="R41" s="12"/>
      <c r="S41" s="12"/>
    </row>
    <row r="42">
      <c r="A42" s="17" t="s">
        <v>43</v>
      </c>
      <c r="B42" s="18"/>
      <c r="C42" s="18"/>
      <c r="D42" s="19">
        <f>SUM(D38:D41)</f>
      </c>
      <c r="E42" s="19">
        <f>SUM(E38:E41)</f>
      </c>
      <c r="F42" s="19">
        <f>SUM(F38:F41)</f>
      </c>
      <c r="G42" s="19">
        <f>SUM(G38:G41)</f>
      </c>
      <c r="H42" s="19">
        <f>SUM(H38:H41)</f>
      </c>
      <c r="I42" s="19">
        <f>SUM(I38:I41)</f>
      </c>
      <c r="J42" s="19">
        <f>SUM(J38:J41)</f>
      </c>
      <c r="K42" s="21">
        <f t="shared" si="0"/>
      </c>
      <c r="L42" s="21">
        <f t="shared" si="2"/>
      </c>
      <c r="M42" s="21">
        <f t="shared" si="1"/>
      </c>
      <c r="N42" s="19"/>
      <c r="O42" s="19">
        <f>SUM(O38:O41)</f>
      </c>
      <c r="P42" s="19"/>
      <c r="Q42" s="19">
        <f>SUM(Q38:Q41)</f>
      </c>
      <c r="R42" s="19">
        <f>SUM(R38:R41)</f>
      </c>
      <c r="S42" s="19">
        <f>SUM(S38:S41)</f>
      </c>
    </row>
    <row r="43">
      <c r="A43" s="4" t="s">
        <v>44</v>
      </c>
      <c r="B43" s="5" t="s">
        <v>30</v>
      </c>
      <c r="C43" s="6" t="s">
        <v>33</v>
      </c>
      <c r="D43" s="7">
        <v>4</v>
      </c>
      <c r="E43" s="4">
        <v>20</v>
      </c>
      <c r="F43" s="4">
        <v>17</v>
      </c>
      <c r="G43" s="4">
        <v>17</v>
      </c>
      <c r="H43" s="5">
        <v>2</v>
      </c>
      <c r="I43" s="8">
        <v>7866.1</v>
      </c>
      <c r="J43" s="9">
        <v>3511.2</v>
      </c>
      <c r="K43" s="10">
        <f t="shared" si="0"/>
      </c>
      <c r="L43" s="11">
        <f t="shared" si="2"/>
      </c>
      <c r="M43" s="11">
        <f t="shared" si="1"/>
      </c>
      <c r="N43" s="4"/>
      <c r="O43" s="4"/>
      <c r="P43" s="12"/>
      <c r="Q43" s="12"/>
      <c r="R43" s="12"/>
      <c r="S43" s="12"/>
    </row>
    <row r="44">
      <c r="A44" s="4" t="s">
        <v>44</v>
      </c>
      <c r="B44" s="4" t="s">
        <v>38</v>
      </c>
      <c r="C44" s="13" t="s">
        <v>45</v>
      </c>
      <c r="D44" s="7">
        <v>3</v>
      </c>
      <c r="E44" s="4">
        <v>5</v>
      </c>
      <c r="F44" s="4">
        <v>4</v>
      </c>
      <c r="G44" s="4">
        <v>4</v>
      </c>
      <c r="H44" s="5">
        <v>0</v>
      </c>
      <c r="I44" s="33">
        <v>1797.6000000000004</v>
      </c>
      <c r="J44" s="33">
        <v>3156.23</v>
      </c>
      <c r="K44" s="10">
        <f t="shared" si="0"/>
      </c>
      <c r="L44" s="11">
        <f t="shared" si="2"/>
      </c>
      <c r="M44" s="11">
        <f t="shared" si="1"/>
      </c>
      <c r="N44" s="4" t="s">
        <v>34</v>
      </c>
      <c r="O44" s="4">
        <v>8</v>
      </c>
      <c r="P44" s="12"/>
      <c r="Q44" s="12"/>
      <c r="R44" s="12"/>
      <c r="S44" s="12"/>
    </row>
    <row r="45">
      <c r="A45" s="5" t="s">
        <v>44</v>
      </c>
      <c r="B45" s="15" t="s">
        <v>27</v>
      </c>
      <c r="C45" s="16" t="s">
        <v>35</v>
      </c>
      <c r="D45" s="7">
        <v>5</v>
      </c>
      <c r="E45" s="4">
        <v>26</v>
      </c>
      <c r="F45" s="4">
        <v>24</v>
      </c>
      <c r="G45" s="4">
        <v>24</v>
      </c>
      <c r="H45" s="5">
        <v>1</v>
      </c>
      <c r="I45" s="31">
        <v>10747.3</v>
      </c>
      <c r="J45" s="32">
        <v>6939.26</v>
      </c>
      <c r="K45" s="10">
        <f t="shared" si="0"/>
      </c>
      <c r="L45" s="11">
        <f t="shared" si="2"/>
      </c>
      <c r="M45" s="11">
        <f t="shared" si="1"/>
      </c>
      <c r="N45" s="6" t="s">
        <v>29</v>
      </c>
      <c r="O45" s="4">
        <v>8</v>
      </c>
      <c r="P45" s="12"/>
      <c r="Q45" s="12"/>
      <c r="R45" s="12"/>
      <c r="S45" s="12"/>
    </row>
    <row r="46">
      <c r="A46" s="5" t="s">
        <v>44</v>
      </c>
      <c r="B46" s="4" t="s">
        <v>24</v>
      </c>
      <c r="C46" s="6" t="s">
        <v>31</v>
      </c>
      <c r="D46" s="7">
        <v>4</v>
      </c>
      <c r="E46" s="4">
        <v>22</v>
      </c>
      <c r="F46" s="4">
        <v>20</v>
      </c>
      <c r="G46" s="4">
        <v>20</v>
      </c>
      <c r="H46" s="5">
        <v>2</v>
      </c>
      <c r="I46" s="26">
        <v>8864.7</v>
      </c>
      <c r="J46" s="26">
        <v>4580.43</v>
      </c>
      <c r="K46" s="10">
        <f t="shared" si="0"/>
      </c>
      <c r="L46" s="11">
        <f t="shared" si="2"/>
      </c>
      <c r="M46" s="11">
        <f t="shared" si="1"/>
      </c>
      <c r="N46" s="6"/>
      <c r="O46" s="4"/>
      <c r="P46" s="12"/>
      <c r="Q46" s="12"/>
      <c r="R46" s="12"/>
      <c r="S46" s="12"/>
    </row>
    <row r="47">
      <c r="A47" s="17" t="s">
        <v>44</v>
      </c>
      <c r="B47" s="18"/>
      <c r="C47" s="18"/>
      <c r="D47" s="19">
        <f>SUM(D43:D46)</f>
      </c>
      <c r="E47" s="19">
        <f>SUM(E43:E46)</f>
      </c>
      <c r="F47" s="19">
        <f>SUM(F43:F46)</f>
      </c>
      <c r="G47" s="19">
        <f>SUM(G43:G46)</f>
      </c>
      <c r="H47" s="19">
        <f>SUM(H43:H46)</f>
      </c>
      <c r="I47" s="19">
        <f>SUM(I43:I46)</f>
      </c>
      <c r="J47" s="19">
        <f>SUM(J43:J46)</f>
      </c>
      <c r="K47" s="21">
        <f t="shared" si="0"/>
      </c>
      <c r="L47" s="21">
        <f t="shared" si="2"/>
      </c>
      <c r="M47" s="21">
        <f t="shared" si="1"/>
      </c>
      <c r="N47" s="19"/>
      <c r="O47" s="19">
        <f>SUM(O43:O46)</f>
      </c>
      <c r="P47" s="19"/>
      <c r="Q47" s="19">
        <f>SUM(Q43:Q46)</f>
      </c>
      <c r="R47" s="19">
        <f>SUM(R43:R46)</f>
      </c>
      <c r="S47" s="19">
        <f>SUM(S43:S46)</f>
      </c>
    </row>
    <row r="48">
      <c r="A48" s="4" t="s">
        <v>46</v>
      </c>
      <c r="B48" s="5" t="s">
        <v>30</v>
      </c>
      <c r="C48" s="6" t="s">
        <v>33</v>
      </c>
      <c r="D48" s="7">
        <v>4</v>
      </c>
      <c r="E48" s="4">
        <v>30</v>
      </c>
      <c r="F48" s="4">
        <v>24</v>
      </c>
      <c r="G48" s="4">
        <v>24</v>
      </c>
      <c r="H48" s="5">
        <v>0</v>
      </c>
      <c r="I48" s="8">
        <v>10890.1</v>
      </c>
      <c r="J48" s="9">
        <v>4844.049999999999</v>
      </c>
      <c r="K48" s="10">
        <f t="shared" si="0"/>
      </c>
      <c r="L48" s="11">
        <f t="shared" si="2"/>
      </c>
      <c r="M48" s="11">
        <f t="shared" si="1"/>
      </c>
      <c r="N48" s="4"/>
      <c r="O48" s="4"/>
      <c r="P48" s="12"/>
      <c r="Q48" s="12"/>
      <c r="R48" s="12"/>
      <c r="S48" s="12"/>
    </row>
    <row r="49">
      <c r="A49" s="4" t="s">
        <v>46</v>
      </c>
      <c r="B49" s="4" t="s">
        <v>38</v>
      </c>
      <c r="C49" s="13" t="s">
        <v>25</v>
      </c>
      <c r="D49" s="7">
        <v>4</v>
      </c>
      <c r="E49" s="4">
        <v>14</v>
      </c>
      <c r="F49" s="4">
        <v>9</v>
      </c>
      <c r="G49" s="4">
        <v>9</v>
      </c>
      <c r="H49" s="5">
        <v>1</v>
      </c>
      <c r="I49" s="33">
        <v>4074</v>
      </c>
      <c r="J49" s="33">
        <v>4032.09</v>
      </c>
      <c r="K49" s="10">
        <f t="shared" si="0"/>
      </c>
      <c r="L49" s="11">
        <f t="shared" si="2"/>
      </c>
      <c r="M49" s="11">
        <f t="shared" si="1"/>
      </c>
      <c r="N49" s="4" t="s">
        <v>34</v>
      </c>
      <c r="O49" s="4">
        <v>8</v>
      </c>
      <c r="P49" s="12"/>
      <c r="Q49" s="12"/>
      <c r="R49" s="12"/>
      <c r="S49" s="12"/>
    </row>
    <row r="50">
      <c r="A50" s="5" t="s">
        <v>46</v>
      </c>
      <c r="B50" s="15" t="s">
        <v>20</v>
      </c>
      <c r="C50" s="16" t="s">
        <v>35</v>
      </c>
      <c r="D50" s="7">
        <v>4</v>
      </c>
      <c r="E50" s="4">
        <v>11</v>
      </c>
      <c r="F50" s="4">
        <v>9</v>
      </c>
      <c r="G50" s="4">
        <v>9</v>
      </c>
      <c r="H50" s="5">
        <v>0</v>
      </c>
      <c r="I50" s="31">
        <v>4153.300000000001</v>
      </c>
      <c r="J50" s="32">
        <v>3974.8</v>
      </c>
      <c r="K50" s="10">
        <f t="shared" si="0"/>
      </c>
      <c r="L50" s="11">
        <f t="shared" si="2"/>
      </c>
      <c r="M50" s="11">
        <f t="shared" si="1"/>
      </c>
      <c r="N50" s="6" t="s">
        <v>29</v>
      </c>
      <c r="O50" s="4">
        <v>8</v>
      </c>
      <c r="P50" s="12"/>
      <c r="Q50" s="12"/>
      <c r="R50" s="12"/>
      <c r="S50" s="12"/>
    </row>
    <row r="51">
      <c r="A51" s="5" t="s">
        <v>46</v>
      </c>
      <c r="B51" s="4" t="s">
        <v>27</v>
      </c>
      <c r="C51" s="6" t="s">
        <v>31</v>
      </c>
      <c r="D51" s="7">
        <v>4</v>
      </c>
      <c r="E51" s="4">
        <v>26</v>
      </c>
      <c r="F51" s="4">
        <v>22</v>
      </c>
      <c r="G51" s="4">
        <v>22</v>
      </c>
      <c r="H51" s="5">
        <v>1</v>
      </c>
      <c r="I51" s="26">
        <v>10124.699999999997</v>
      </c>
      <c r="J51" s="26">
        <v>11641.34</v>
      </c>
      <c r="K51" s="10">
        <f t="shared" si="0"/>
      </c>
      <c r="L51" s="11">
        <f t="shared" si="2"/>
      </c>
      <c r="M51" s="11">
        <f t="shared" si="1"/>
      </c>
      <c r="N51" s="6"/>
      <c r="O51" s="4"/>
      <c r="P51" s="12"/>
      <c r="Q51" s="12"/>
      <c r="R51" s="12"/>
      <c r="S51" s="12"/>
    </row>
    <row r="52">
      <c r="A52" s="17" t="s">
        <v>46</v>
      </c>
      <c r="B52" s="18"/>
      <c r="C52" s="18"/>
      <c r="D52" s="19">
        <f>SUM(D48:D51)</f>
      </c>
      <c r="E52" s="19">
        <f>SUM(E48:E51)</f>
      </c>
      <c r="F52" s="19">
        <f>SUM(F48:F51)</f>
      </c>
      <c r="G52" s="19">
        <f>SUM(G48:G51)</f>
      </c>
      <c r="H52" s="19">
        <f>SUM(H48:H51)</f>
      </c>
      <c r="I52" s="19">
        <f>SUM(I48:I51)</f>
      </c>
      <c r="J52" s="19">
        <f>SUM(J48:J51)</f>
      </c>
      <c r="K52" s="21">
        <f t="shared" si="0"/>
      </c>
      <c r="L52" s="21">
        <f t="shared" si="2"/>
      </c>
      <c r="M52" s="21">
        <f t="shared" si="1"/>
      </c>
      <c r="N52" s="19"/>
      <c r="O52" s="19">
        <f>SUM(O48:O51)</f>
      </c>
      <c r="P52" s="19"/>
      <c r="Q52" s="19">
        <f>SUM(Q48:Q51)</f>
      </c>
      <c r="R52" s="19">
        <f>SUM(R48:R51)</f>
      </c>
      <c r="S52" s="19">
        <f>SUM(S48:S51)</f>
      </c>
    </row>
    <row r="53">
      <c r="A53" s="4" t="s">
        <v>47</v>
      </c>
      <c r="B53" s="5" t="s">
        <v>20</v>
      </c>
      <c r="C53" s="6" t="s">
        <v>33</v>
      </c>
      <c r="D53" s="7">
        <v>4</v>
      </c>
      <c r="E53" s="4">
        <v>28</v>
      </c>
      <c r="F53" s="4">
        <v>18</v>
      </c>
      <c r="G53" s="4">
        <v>18</v>
      </c>
      <c r="H53" s="5">
        <v>1</v>
      </c>
      <c r="I53" s="8">
        <v>7983.7</v>
      </c>
      <c r="J53" s="9">
        <v>3401.83</v>
      </c>
      <c r="K53" s="10">
        <f t="shared" si="0"/>
      </c>
      <c r="L53" s="11">
        <f t="shared" si="2"/>
      </c>
      <c r="M53" s="11">
        <f t="shared" si="1"/>
      </c>
      <c r="N53" s="4"/>
      <c r="O53" s="4"/>
      <c r="P53" s="12"/>
      <c r="Q53" s="12"/>
      <c r="R53" s="12"/>
      <c r="S53" s="12"/>
    </row>
    <row r="54">
      <c r="A54" s="4" t="s">
        <v>47</v>
      </c>
      <c r="B54" s="4" t="s">
        <v>24</v>
      </c>
      <c r="C54" s="13" t="s">
        <v>25</v>
      </c>
      <c r="D54" s="7">
        <v>4</v>
      </c>
      <c r="E54" s="4">
        <v>11</v>
      </c>
      <c r="F54" s="4">
        <v>7</v>
      </c>
      <c r="G54" s="4">
        <v>7</v>
      </c>
      <c r="H54" s="5">
        <v>1</v>
      </c>
      <c r="I54" s="33">
        <v>3116.4000000000005</v>
      </c>
      <c r="J54" s="33">
        <v>4633.22</v>
      </c>
      <c r="K54" s="10">
        <f t="shared" si="0"/>
      </c>
      <c r="L54" s="11">
        <f t="shared" si="2"/>
      </c>
      <c r="M54" s="11">
        <f t="shared" si="1"/>
      </c>
      <c r="N54" s="4" t="s">
        <v>34</v>
      </c>
      <c r="O54" s="4">
        <v>8</v>
      </c>
      <c r="P54" s="12"/>
      <c r="Q54" s="12"/>
      <c r="R54" s="12"/>
      <c r="S54" s="12"/>
    </row>
    <row r="55">
      <c r="A55" s="5" t="s">
        <v>47</v>
      </c>
      <c r="B55" s="15" t="s">
        <v>27</v>
      </c>
      <c r="C55" s="16" t="s">
        <v>35</v>
      </c>
      <c r="D55" s="7">
        <v>4</v>
      </c>
      <c r="E55" s="4">
        <v>19</v>
      </c>
      <c r="F55" s="4">
        <v>17</v>
      </c>
      <c r="G55" s="4">
        <v>17</v>
      </c>
      <c r="H55" s="5">
        <v>0</v>
      </c>
      <c r="I55" s="31">
        <v>7592.6</v>
      </c>
      <c r="J55" s="32">
        <v>3908.12</v>
      </c>
      <c r="K55" s="10">
        <f t="shared" si="0"/>
      </c>
      <c r="L55" s="11">
        <f t="shared" si="2"/>
      </c>
      <c r="M55" s="11">
        <f t="shared" si="1"/>
      </c>
      <c r="N55" s="6" t="s">
        <v>29</v>
      </c>
      <c r="O55" s="4">
        <v>8</v>
      </c>
      <c r="P55" s="12"/>
      <c r="Q55" s="12"/>
      <c r="R55" s="12"/>
      <c r="S55" s="12"/>
    </row>
    <row r="56">
      <c r="A56" s="5" t="s">
        <v>47</v>
      </c>
      <c r="B56" s="4" t="s">
        <v>38</v>
      </c>
      <c r="C56" s="6" t="s">
        <v>31</v>
      </c>
      <c r="D56" s="7">
        <v>4</v>
      </c>
      <c r="E56" s="4">
        <v>16</v>
      </c>
      <c r="F56" s="4">
        <v>14</v>
      </c>
      <c r="G56" s="4">
        <v>14</v>
      </c>
      <c r="H56" s="5">
        <v>0</v>
      </c>
      <c r="I56" s="26">
        <v>6081.5999999999985</v>
      </c>
      <c r="J56" s="26">
        <v>3325.79</v>
      </c>
      <c r="K56" s="10">
        <f t="shared" si="0"/>
      </c>
      <c r="L56" s="11">
        <f t="shared" si="2"/>
      </c>
      <c r="M56" s="11">
        <f t="shared" si="1"/>
      </c>
      <c r="N56" s="6"/>
      <c r="O56" s="4"/>
      <c r="P56" s="12"/>
      <c r="Q56" s="12"/>
      <c r="R56" s="12"/>
      <c r="S56" s="12"/>
    </row>
    <row r="57">
      <c r="A57" s="17" t="s">
        <v>47</v>
      </c>
      <c r="B57" s="18"/>
      <c r="C57" s="18"/>
      <c r="D57" s="19">
        <f>SUM(D53:D56)</f>
      </c>
      <c r="E57" s="19">
        <f>SUM(E53:E56)</f>
      </c>
      <c r="F57" s="19">
        <f>SUM(F53:F56)</f>
      </c>
      <c r="G57" s="19">
        <f>SUM(G53:G56)</f>
      </c>
      <c r="H57" s="19">
        <f>SUM(H53:H56)</f>
      </c>
      <c r="I57" s="19">
        <f>SUM(I53:I56)</f>
      </c>
      <c r="J57" s="19">
        <f>SUM(J53:J56)</f>
      </c>
      <c r="K57" s="21">
        <f t="shared" si="0"/>
      </c>
      <c r="L57" s="21">
        <f t="shared" si="2"/>
      </c>
      <c r="M57" s="21">
        <f t="shared" si="1"/>
      </c>
      <c r="N57" s="19"/>
      <c r="O57" s="19">
        <f>SUM(O53:O56)</f>
      </c>
      <c r="P57" s="19"/>
      <c r="Q57" s="19">
        <f>SUM(Q53:Q56)</f>
      </c>
      <c r="R57" s="19">
        <f>SUM(R53:R56)</f>
      </c>
      <c r="S57" s="19">
        <f>SUM(S53:S56)</f>
      </c>
    </row>
    <row r="58">
      <c r="A58" s="4" t="s">
        <v>48</v>
      </c>
      <c r="B58" s="5" t="s">
        <v>30</v>
      </c>
      <c r="C58" s="6" t="s">
        <v>49</v>
      </c>
      <c r="D58" s="7">
        <v>4</v>
      </c>
      <c r="E58" s="4">
        <v>32</v>
      </c>
      <c r="F58" s="4">
        <v>28</v>
      </c>
      <c r="G58" s="4">
        <v>28</v>
      </c>
      <c r="H58" s="5">
        <v>3</v>
      </c>
      <c r="I58" s="12">
        <v>12961.2</v>
      </c>
      <c r="J58" s="9">
        <v>4829.11</v>
      </c>
      <c r="K58" s="10">
        <f t="shared" si="0"/>
      </c>
      <c r="L58" s="11">
        <f t="shared" si="2"/>
      </c>
      <c r="M58" s="11">
        <f t="shared" si="1"/>
      </c>
      <c r="N58" s="4"/>
      <c r="O58" s="4"/>
      <c r="P58" s="12"/>
      <c r="Q58" s="12"/>
      <c r="R58" s="12"/>
      <c r="S58" s="12"/>
    </row>
    <row r="59">
      <c r="A59" s="4" t="s">
        <v>48</v>
      </c>
      <c r="B59" s="4" t="s">
        <v>20</v>
      </c>
      <c r="C59" s="13" t="s">
        <v>50</v>
      </c>
      <c r="D59" s="7">
        <v>4</v>
      </c>
      <c r="E59" s="4">
        <v>12</v>
      </c>
      <c r="F59" s="4">
        <v>12</v>
      </c>
      <c r="G59" s="4">
        <v>12</v>
      </c>
      <c r="H59" s="5">
        <v>0</v>
      </c>
      <c r="I59" s="9">
        <v>5569.200000000001</v>
      </c>
      <c r="J59" s="9">
        <v>4317.55</v>
      </c>
      <c r="K59" s="10">
        <f t="shared" si="0"/>
      </c>
      <c r="L59" s="11">
        <f t="shared" si="2"/>
      </c>
      <c r="M59" s="11">
        <f t="shared" si="1"/>
      </c>
      <c r="N59" s="4" t="s">
        <v>51</v>
      </c>
      <c r="O59" s="4">
        <v>10</v>
      </c>
      <c r="P59" s="12"/>
      <c r="Q59" s="12"/>
      <c r="R59" s="12"/>
      <c r="S59" s="12"/>
    </row>
    <row r="60">
      <c r="A60" s="5" t="s">
        <v>48</v>
      </c>
      <c r="B60" s="15" t="s">
        <v>27</v>
      </c>
      <c r="C60" s="16" t="s">
        <v>52</v>
      </c>
      <c r="D60" s="7">
        <v>4</v>
      </c>
      <c r="E60" s="4">
        <v>6</v>
      </c>
      <c r="F60" s="4">
        <v>4</v>
      </c>
      <c r="G60" s="4">
        <v>4</v>
      </c>
      <c r="H60" s="5">
        <v>0</v>
      </c>
      <c r="I60" s="31">
        <v>1856.4</v>
      </c>
      <c r="J60" s="32">
        <v>3145.6</v>
      </c>
      <c r="K60" s="10">
        <f t="shared" si="0"/>
      </c>
      <c r="L60" s="11">
        <f t="shared" si="2"/>
      </c>
      <c r="M60" s="11">
        <f t="shared" si="1"/>
      </c>
      <c r="N60" s="6" t="s">
        <v>29</v>
      </c>
      <c r="O60" s="4">
        <v>8</v>
      </c>
      <c r="P60" s="12"/>
      <c r="Q60" s="12"/>
      <c r="R60" s="12"/>
      <c r="S60" s="12"/>
    </row>
    <row r="61">
      <c r="A61" s="5" t="s">
        <v>48</v>
      </c>
      <c r="B61" s="4" t="s">
        <v>38</v>
      </c>
      <c r="C61" s="6" t="s">
        <v>53</v>
      </c>
      <c r="D61" s="7">
        <v>4</v>
      </c>
      <c r="E61" s="4">
        <v>14</v>
      </c>
      <c r="F61" s="4">
        <v>13</v>
      </c>
      <c r="G61" s="4">
        <v>13</v>
      </c>
      <c r="H61" s="5">
        <v>1</v>
      </c>
      <c r="I61" s="26">
        <v>5833.3</v>
      </c>
      <c r="J61" s="26">
        <v>3195.99</v>
      </c>
      <c r="K61" s="10">
        <f t="shared" si="0"/>
      </c>
      <c r="L61" s="11">
        <f t="shared" si="2"/>
      </c>
      <c r="M61" s="11">
        <f t="shared" si="1"/>
      </c>
      <c r="N61" s="6" t="s">
        <v>54</v>
      </c>
      <c r="O61" s="4">
        <v>2</v>
      </c>
      <c r="P61" s="12"/>
      <c r="Q61" s="12"/>
      <c r="R61" s="12"/>
      <c r="S61" s="12"/>
    </row>
    <row customHeight="true" ht="16.071428571428573" r="62">
      <c r="A62" s="5" t="s">
        <v>48</v>
      </c>
      <c r="B62" s="4" t="s">
        <v>24</v>
      </c>
      <c r="C62" s="6" t="s">
        <v>55</v>
      </c>
      <c r="D62" s="7">
        <v>4</v>
      </c>
      <c r="E62" s="4">
        <v>18</v>
      </c>
      <c r="F62" s="4">
        <v>14</v>
      </c>
      <c r="G62" s="4">
        <v>14</v>
      </c>
      <c r="H62" s="5">
        <v>1</v>
      </c>
      <c r="I62" s="26">
        <v>6244.9</v>
      </c>
      <c r="J62" s="26">
        <v>3666.82</v>
      </c>
      <c r="K62" s="10">
        <f t="shared" si="0"/>
      </c>
      <c r="L62" s="11">
        <f t="shared" si="2"/>
      </c>
      <c r="M62" s="11">
        <f t="shared" si="1"/>
      </c>
      <c r="N62" s="6"/>
      <c r="O62" s="4"/>
      <c r="P62" s="12"/>
      <c r="Q62" s="12"/>
      <c r="R62" s="12"/>
      <c r="S62" s="12"/>
    </row>
    <row r="63">
      <c r="A63" s="17" t="s">
        <v>48</v>
      </c>
      <c r="B63" s="18"/>
      <c r="C63" s="18"/>
      <c r="D63" s="19">
        <f>SUM(D58:D62)</f>
      </c>
      <c r="E63" s="19">
        <f>SUM(E58:E62)</f>
      </c>
      <c r="F63" s="19">
        <f>SUM(F58:F62)</f>
      </c>
      <c r="G63" s="19">
        <f>SUM(G58:G62)</f>
      </c>
      <c r="H63" s="19">
        <f>SUM(H58:H62)</f>
      </c>
      <c r="I63" s="19">
        <f>SUM(I58:I62)</f>
      </c>
      <c r="J63" s="19">
        <f>SUM(J58:J62)</f>
      </c>
      <c r="K63" s="21">
        <f t="shared" si="0"/>
      </c>
      <c r="L63" s="21">
        <f t="shared" si="2"/>
      </c>
      <c r="M63" s="21">
        <f t="shared" si="1"/>
      </c>
      <c r="N63" s="19"/>
      <c r="O63" s="19">
        <f>SUM(O58:O61)</f>
      </c>
      <c r="P63" s="19"/>
      <c r="Q63" s="19">
        <f>SUM(Q58:Q61)</f>
      </c>
      <c r="R63" s="19">
        <f>SUM(R58:R61)</f>
      </c>
      <c r="S63" s="19">
        <f>SUM(S58:S61)</f>
      </c>
    </row>
    <row r="64">
      <c r="A64" s="4" t="s">
        <v>56</v>
      </c>
      <c r="B64" s="5" t="s">
        <v>30</v>
      </c>
      <c r="C64" s="6" t="s">
        <v>49</v>
      </c>
      <c r="D64" s="7">
        <v>4</v>
      </c>
      <c r="E64" s="4">
        <v>20</v>
      </c>
      <c r="F64" s="4">
        <v>17</v>
      </c>
      <c r="G64" s="4">
        <v>17</v>
      </c>
      <c r="H64" s="5">
        <v>2</v>
      </c>
      <c r="I64" s="34">
        <v>7541.2</v>
      </c>
      <c r="J64" s="34">
        <v>4858.700000000001</v>
      </c>
      <c r="K64" s="10">
        <f t="shared" si="0"/>
      </c>
      <c r="L64" s="11">
        <f t="shared" si="2"/>
      </c>
      <c r="M64" s="11">
        <f t="shared" si="1"/>
      </c>
      <c r="N64" s="4"/>
      <c r="O64" s="4"/>
      <c r="P64" s="12"/>
      <c r="Q64" s="12"/>
      <c r="R64" s="12"/>
      <c r="S64" s="12"/>
    </row>
    <row r="65">
      <c r="A65" s="4" t="s">
        <v>56</v>
      </c>
      <c r="B65" s="4" t="s">
        <v>20</v>
      </c>
      <c r="C65" s="13" t="s">
        <v>50</v>
      </c>
      <c r="D65" s="7">
        <v>4</v>
      </c>
      <c r="E65" s="4">
        <v>16</v>
      </c>
      <c r="F65" s="4">
        <v>11</v>
      </c>
      <c r="G65" s="4">
        <v>11</v>
      </c>
      <c r="H65" s="5">
        <v>0</v>
      </c>
      <c r="I65" s="9">
        <v>4955.000000000001</v>
      </c>
      <c r="J65" s="9">
        <v>5262.3099999999995</v>
      </c>
      <c r="K65" s="10">
        <f t="shared" si="0"/>
      </c>
      <c r="L65" s="11">
        <f t="shared" si="2"/>
      </c>
      <c r="M65" s="11">
        <f t="shared" si="1"/>
      </c>
      <c r="N65" s="4" t="s">
        <v>51</v>
      </c>
      <c r="O65" s="4">
        <v>10</v>
      </c>
      <c r="P65" s="12"/>
      <c r="Q65" s="12"/>
      <c r="R65" s="12"/>
      <c r="S65" s="12"/>
    </row>
    <row r="66">
      <c r="A66" s="5" t="s">
        <v>56</v>
      </c>
      <c r="B66" s="15" t="s">
        <v>27</v>
      </c>
      <c r="C66" s="16" t="s">
        <v>52</v>
      </c>
      <c r="D66" s="7">
        <v>4</v>
      </c>
      <c r="E66" s="4">
        <v>11</v>
      </c>
      <c r="F66" s="4">
        <v>10</v>
      </c>
      <c r="G66" s="4">
        <v>10</v>
      </c>
      <c r="H66" s="5">
        <v>2</v>
      </c>
      <c r="I66" s="31">
        <v>4519.2</v>
      </c>
      <c r="J66" s="32">
        <v>4502.46</v>
      </c>
      <c r="K66" s="10">
        <f t="shared" si="0"/>
      </c>
      <c r="L66" s="11">
        <f t="shared" si="2"/>
      </c>
      <c r="M66" s="11">
        <f t="shared" si="1"/>
      </c>
      <c r="N66" s="6" t="s">
        <v>29</v>
      </c>
      <c r="O66" s="4">
        <v>8</v>
      </c>
      <c r="P66" s="12"/>
      <c r="Q66" s="12"/>
      <c r="R66" s="12"/>
      <c r="S66" s="12"/>
    </row>
    <row r="67">
      <c r="A67" s="5" t="s">
        <v>56</v>
      </c>
      <c r="B67" s="4" t="s">
        <v>38</v>
      </c>
      <c r="C67" s="6" t="s">
        <v>53</v>
      </c>
      <c r="D67" s="7">
        <v>4</v>
      </c>
      <c r="E67" s="4">
        <v>17</v>
      </c>
      <c r="F67" s="4">
        <v>13</v>
      </c>
      <c r="G67" s="4">
        <v>13</v>
      </c>
      <c r="H67" s="5">
        <v>1</v>
      </c>
      <c r="I67" s="26">
        <v>5774.5</v>
      </c>
      <c r="J67" s="26">
        <v>3691.88</v>
      </c>
      <c r="K67" s="10">
        <f t="shared" si="0"/>
      </c>
      <c r="L67" s="11">
        <f t="shared" si="2"/>
      </c>
      <c r="M67" s="11">
        <f t="shared" si="1"/>
      </c>
      <c r="N67" s="6" t="s">
        <v>54</v>
      </c>
      <c r="O67" s="4">
        <v>2</v>
      </c>
      <c r="P67" s="12"/>
      <c r="Q67" s="12"/>
      <c r="R67" s="12"/>
      <c r="S67" s="12"/>
    </row>
    <row r="68">
      <c r="A68" s="5" t="s">
        <v>56</v>
      </c>
      <c r="B68" s="4" t="s">
        <v>24</v>
      </c>
      <c r="C68" s="6" t="s">
        <v>55</v>
      </c>
      <c r="D68" s="7">
        <v>4</v>
      </c>
      <c r="E68" s="4">
        <v>6</v>
      </c>
      <c r="F68" s="4">
        <v>3</v>
      </c>
      <c r="G68" s="4">
        <v>3</v>
      </c>
      <c r="H68" s="5">
        <v>0</v>
      </c>
      <c r="I68" s="26">
        <v>1398.1</v>
      </c>
      <c r="J68" s="26">
        <v>2263.97</v>
      </c>
      <c r="K68" s="10">
        <f t="shared" si="0"/>
      </c>
      <c r="L68" s="11">
        <f t="shared" si="2"/>
      </c>
      <c r="M68" s="11">
        <f t="shared" si="1"/>
      </c>
      <c r="N68" s="6"/>
      <c r="O68" s="4"/>
      <c r="P68" s="12"/>
      <c r="Q68" s="12"/>
      <c r="R68" s="12"/>
      <c r="S68" s="12"/>
    </row>
    <row r="69">
      <c r="A69" s="17" t="s">
        <v>56</v>
      </c>
      <c r="B69" s="18"/>
      <c r="C69" s="18"/>
      <c r="D69" s="19">
        <f>SUM(D64:D68)</f>
      </c>
      <c r="E69" s="19">
        <f>SUM(E64:E68)</f>
      </c>
      <c r="F69" s="19">
        <f>SUM(F64:F68)</f>
      </c>
      <c r="G69" s="19">
        <f>SUM(G64:G68)</f>
      </c>
      <c r="H69" s="19">
        <f>SUM(H64:H68)</f>
      </c>
      <c r="I69" s="19">
        <f>SUM(I64:I68)</f>
      </c>
      <c r="J69" s="19">
        <f>SUM(J64:J68)</f>
      </c>
      <c r="K69" s="21">
        <f t="shared" si="0"/>
      </c>
      <c r="L69" s="21">
        <f t="shared" si="2"/>
      </c>
      <c r="M69" s="21">
        <f t="shared" si="1"/>
      </c>
      <c r="N69" s="19"/>
      <c r="O69" s="19">
        <f>SUM(O64:O67)</f>
      </c>
      <c r="P69" s="19"/>
      <c r="Q69" s="19">
        <f>SUM(Q64:Q67)</f>
      </c>
      <c r="R69" s="19">
        <f>SUM(R64:R67)</f>
      </c>
      <c r="S69" s="19">
        <f>SUM(S64:S67)</f>
      </c>
    </row>
    <row r="70">
      <c r="A70" s="4" t="s">
        <v>57</v>
      </c>
      <c r="B70" s="5" t="s">
        <v>27</v>
      </c>
      <c r="C70" s="6" t="s">
        <v>49</v>
      </c>
      <c r="D70" s="7">
        <v>4</v>
      </c>
      <c r="E70" s="4">
        <v>10</v>
      </c>
      <c r="F70" s="4">
        <v>6</v>
      </c>
      <c r="G70" s="4">
        <v>6</v>
      </c>
      <c r="H70" s="5">
        <v>1</v>
      </c>
      <c r="I70" s="9">
        <v>2565.7</v>
      </c>
      <c r="J70" s="9">
        <v>3223.6600000000003</v>
      </c>
      <c r="K70" s="10">
        <f t="shared" si="0"/>
      </c>
      <c r="L70" s="11">
        <f t="shared" si="2"/>
      </c>
      <c r="M70" s="11">
        <f t="shared" si="1"/>
      </c>
      <c r="N70" s="16" t="s">
        <v>51</v>
      </c>
      <c r="O70" s="16">
        <v>2</v>
      </c>
      <c r="P70" s="12"/>
      <c r="Q70" s="12"/>
      <c r="R70" s="12"/>
      <c r="S70" s="12"/>
    </row>
    <row r="71">
      <c r="A71" s="4" t="s">
        <v>57</v>
      </c>
      <c r="B71" s="4" t="s">
        <v>30</v>
      </c>
      <c r="C71" s="13" t="s">
        <v>50</v>
      </c>
      <c r="D71" s="7">
        <v>4</v>
      </c>
      <c r="E71" s="4">
        <v>19</v>
      </c>
      <c r="F71" s="4">
        <v>16</v>
      </c>
      <c r="G71" s="4">
        <v>16</v>
      </c>
      <c r="H71" s="5">
        <v>2</v>
      </c>
      <c r="I71" s="32">
        <v>7231.4</v>
      </c>
      <c r="J71" s="32">
        <v>3737.02</v>
      </c>
      <c r="K71" s="10">
        <f t="shared" si="0"/>
      </c>
      <c r="L71" s="11">
        <f t="shared" si="2"/>
      </c>
      <c r="M71" s="35">
        <f t="shared" si="1"/>
      </c>
      <c r="N71" s="36" t="s">
        <v>26</v>
      </c>
      <c r="O71" s="36">
        <v>8</v>
      </c>
      <c r="P71" s="37"/>
      <c r="Q71" s="12"/>
      <c r="R71" s="12"/>
      <c r="S71" s="12"/>
    </row>
    <row r="72">
      <c r="A72" s="5" t="s">
        <v>57</v>
      </c>
      <c r="B72" s="15" t="s">
        <v>24</v>
      </c>
      <c r="C72" s="16" t="s">
        <v>52</v>
      </c>
      <c r="D72" s="7">
        <v>4</v>
      </c>
      <c r="E72" s="4">
        <v>13</v>
      </c>
      <c r="F72" s="4">
        <v>12</v>
      </c>
      <c r="G72" s="4">
        <v>12</v>
      </c>
      <c r="H72" s="5">
        <v>1</v>
      </c>
      <c r="I72" s="31">
        <v>5316.2</v>
      </c>
      <c r="J72" s="32">
        <v>4096.12</v>
      </c>
      <c r="K72" s="10">
        <f t="shared" si="0"/>
      </c>
      <c r="L72" s="11">
        <f t="shared" si="2"/>
      </c>
      <c r="M72" s="35">
        <f t="shared" si="1"/>
      </c>
      <c r="N72" s="38"/>
      <c r="O72" s="38"/>
      <c r="P72" s="37"/>
      <c r="Q72" s="12"/>
      <c r="R72" s="12"/>
      <c r="S72" s="12"/>
    </row>
    <row r="73">
      <c r="A73" s="5" t="s">
        <v>57</v>
      </c>
      <c r="B73" s="4" t="s">
        <v>20</v>
      </c>
      <c r="C73" s="6" t="s">
        <v>53</v>
      </c>
      <c r="D73" s="7">
        <v>4</v>
      </c>
      <c r="E73" s="4">
        <v>14</v>
      </c>
      <c r="F73" s="4">
        <v>12</v>
      </c>
      <c r="G73" s="4">
        <v>12</v>
      </c>
      <c r="H73" s="5">
        <v>1</v>
      </c>
      <c r="I73" s="26">
        <v>5354.5</v>
      </c>
      <c r="J73" s="26">
        <v>4156.29</v>
      </c>
      <c r="K73" s="10">
        <f t="shared" si="0"/>
      </c>
      <c r="L73" s="11">
        <f t="shared" si="2"/>
      </c>
      <c r="M73" s="35">
        <f t="shared" si="1"/>
      </c>
      <c r="N73" s="6" t="s">
        <v>29</v>
      </c>
      <c r="O73" s="4">
        <v>8</v>
      </c>
      <c r="P73" s="37"/>
      <c r="Q73" s="12"/>
      <c r="R73" s="12"/>
      <c r="S73" s="12"/>
    </row>
    <row r="74">
      <c r="A74" s="5" t="s">
        <v>57</v>
      </c>
      <c r="B74" s="4" t="s">
        <v>38</v>
      </c>
      <c r="C74" s="6" t="s">
        <v>55</v>
      </c>
      <c r="D74" s="7">
        <v>4</v>
      </c>
      <c r="E74" s="4">
        <v>24</v>
      </c>
      <c r="F74" s="4">
        <v>20</v>
      </c>
      <c r="G74" s="4">
        <v>20</v>
      </c>
      <c r="H74" s="5">
        <v>2</v>
      </c>
      <c r="I74" s="26">
        <v>8870.4</v>
      </c>
      <c r="J74" s="26">
        <v>3910.61</v>
      </c>
      <c r="K74" s="10">
        <f t="shared" si="0"/>
      </c>
      <c r="L74" s="11">
        <f t="shared" si="2"/>
      </c>
      <c r="M74" s="35">
        <f t="shared" si="1"/>
      </c>
      <c r="N74" s="6" t="s">
        <v>54</v>
      </c>
      <c r="O74" s="4">
        <v>2</v>
      </c>
      <c r="P74" s="37"/>
      <c r="Q74" s="12"/>
      <c r="R74" s="12"/>
      <c r="S74" s="12"/>
    </row>
    <row r="75">
      <c r="A75" s="17" t="s">
        <v>57</v>
      </c>
      <c r="B75" s="18"/>
      <c r="C75" s="18"/>
      <c r="D75" s="19">
        <f>SUM(D70:D74)</f>
      </c>
      <c r="E75" s="19">
        <f>SUM(E70:E74)</f>
      </c>
      <c r="F75" s="19">
        <f>SUM(F70:F74)</f>
      </c>
      <c r="G75" s="19">
        <f>SUM(G70:G74)</f>
      </c>
      <c r="H75" s="19">
        <f>SUM(H70:H74)</f>
      </c>
      <c r="I75" s="19">
        <f>SUM(I70:I74)</f>
      </c>
      <c r="J75" s="19">
        <f>SUM(J70:J74)</f>
      </c>
      <c r="K75" s="21">
        <f t="shared" si="0"/>
      </c>
      <c r="L75" s="21">
        <f t="shared" si="2"/>
      </c>
      <c r="M75" s="21">
        <f t="shared" si="1"/>
      </c>
      <c r="N75" s="18"/>
      <c r="O75" s="18">
        <f>SUM(O70:O74)</f>
      </c>
      <c r="P75" s="19"/>
      <c r="Q75" s="19">
        <f>SUM(Q70:Q73)</f>
      </c>
      <c r="R75" s="19">
        <f>SUM(R70:R73)</f>
      </c>
      <c r="S75" s="19">
        <f>SUM(S70:S73)</f>
      </c>
    </row>
    <row r="76">
      <c r="A76" s="4" t="s">
        <v>58</v>
      </c>
      <c r="B76" s="5" t="s">
        <v>27</v>
      </c>
      <c r="C76" s="6" t="s">
        <v>49</v>
      </c>
      <c r="D76" s="7">
        <v>4</v>
      </c>
      <c r="E76" s="4">
        <v>15</v>
      </c>
      <c r="F76" s="4">
        <v>12</v>
      </c>
      <c r="G76" s="4">
        <v>12</v>
      </c>
      <c r="H76" s="5">
        <v>2</v>
      </c>
      <c r="I76" s="39">
        <v>5216.4</v>
      </c>
      <c r="J76" s="40">
        <v>3596.1899999999996</v>
      </c>
      <c r="K76" s="10">
        <f t="shared" si="0"/>
      </c>
      <c r="L76" s="11">
        <f t="shared" si="2"/>
      </c>
      <c r="M76" s="11">
        <f t="shared" si="1"/>
      </c>
      <c r="N76" s="16" t="s">
        <v>51</v>
      </c>
      <c r="O76" s="16">
        <v>2</v>
      </c>
      <c r="P76" s="12"/>
      <c r="Q76" s="12"/>
      <c r="R76" s="12"/>
      <c r="S76" s="12"/>
    </row>
    <row r="77">
      <c r="A77" s="4" t="s">
        <v>58</v>
      </c>
      <c r="B77" s="4" t="s">
        <v>30</v>
      </c>
      <c r="C77" s="13" t="s">
        <v>50</v>
      </c>
      <c r="D77" s="7">
        <v>4</v>
      </c>
      <c r="E77" s="4">
        <v>19</v>
      </c>
      <c r="F77" s="4">
        <v>17</v>
      </c>
      <c r="G77" s="4">
        <v>17</v>
      </c>
      <c r="H77" s="5">
        <v>3</v>
      </c>
      <c r="I77" s="41">
        <v>7375.200000000001</v>
      </c>
      <c r="J77" s="42">
        <v>4051.33</v>
      </c>
      <c r="K77" s="10">
        <f t="shared" si="0"/>
      </c>
      <c r="L77" s="11">
        <f t="shared" si="2"/>
      </c>
      <c r="M77" s="35">
        <f t="shared" si="1"/>
      </c>
      <c r="N77" s="36" t="s">
        <v>26</v>
      </c>
      <c r="O77" s="36">
        <v>8</v>
      </c>
      <c r="P77" s="37"/>
      <c r="Q77" s="12"/>
      <c r="R77" s="12"/>
      <c r="S77" s="12"/>
    </row>
    <row r="78">
      <c r="A78" s="5" t="s">
        <v>58</v>
      </c>
      <c r="B78" s="15" t="s">
        <v>24</v>
      </c>
      <c r="C78" s="16" t="s">
        <v>52</v>
      </c>
      <c r="D78" s="7">
        <v>4</v>
      </c>
      <c r="E78" s="4">
        <v>22</v>
      </c>
      <c r="F78" s="4">
        <v>19</v>
      </c>
      <c r="G78" s="4">
        <v>19</v>
      </c>
      <c r="H78" s="5">
        <v>1</v>
      </c>
      <c r="I78" s="31">
        <v>8532.4</v>
      </c>
      <c r="J78" s="32">
        <v>4143.1</v>
      </c>
      <c r="K78" s="10">
        <f t="shared" si="0"/>
      </c>
      <c r="L78" s="11">
        <f t="shared" si="2"/>
      </c>
      <c r="M78" s="35">
        <f t="shared" si="1"/>
      </c>
      <c r="N78" s="38"/>
      <c r="O78" s="38"/>
      <c r="P78" s="37"/>
      <c r="Q78" s="12"/>
      <c r="R78" s="12"/>
      <c r="S78" s="12"/>
    </row>
    <row r="79">
      <c r="A79" s="5" t="s">
        <v>58</v>
      </c>
      <c r="B79" s="4" t="s">
        <v>20</v>
      </c>
      <c r="C79" s="6" t="s">
        <v>53</v>
      </c>
      <c r="D79" s="7">
        <v>4</v>
      </c>
      <c r="E79" s="4">
        <v>18</v>
      </c>
      <c r="F79" s="4">
        <v>15</v>
      </c>
      <c r="G79" s="4">
        <v>15</v>
      </c>
      <c r="H79" s="5">
        <v>1</v>
      </c>
      <c r="I79" s="26">
        <v>6816.1</v>
      </c>
      <c r="J79" s="26">
        <v>5440.15</v>
      </c>
      <c r="K79" s="10">
        <f t="shared" si="0"/>
      </c>
      <c r="L79" s="11">
        <f t="shared" si="2"/>
      </c>
      <c r="M79" s="35">
        <f t="shared" si="1"/>
      </c>
      <c r="N79" s="6" t="s">
        <v>29</v>
      </c>
      <c r="O79" s="4">
        <v>8</v>
      </c>
      <c r="P79" s="37"/>
      <c r="Q79" s="12"/>
      <c r="R79" s="12"/>
      <c r="S79" s="12"/>
    </row>
    <row r="80">
      <c r="A80" s="5" t="s">
        <v>58</v>
      </c>
      <c r="B80" s="4" t="s">
        <v>38</v>
      </c>
      <c r="C80" s="6" t="s">
        <v>55</v>
      </c>
      <c r="D80" s="7">
        <v>4</v>
      </c>
      <c r="E80" s="4">
        <v>30</v>
      </c>
      <c r="F80" s="4">
        <v>26</v>
      </c>
      <c r="G80" s="4">
        <v>26</v>
      </c>
      <c r="H80" s="5">
        <v>3</v>
      </c>
      <c r="I80" s="26">
        <v>11646.1</v>
      </c>
      <c r="J80" s="26">
        <v>6232.07</v>
      </c>
      <c r="K80" s="10">
        <f t="shared" si="0"/>
      </c>
      <c r="L80" s="11">
        <f t="shared" si="2"/>
      </c>
      <c r="M80" s="35">
        <f t="shared" si="1"/>
      </c>
      <c r="N80" s="6" t="s">
        <v>54</v>
      </c>
      <c r="O80" s="4">
        <v>2</v>
      </c>
      <c r="P80" s="37"/>
      <c r="Q80" s="12"/>
      <c r="R80" s="12"/>
      <c r="S80" s="12"/>
    </row>
    <row r="81">
      <c r="A81" s="17" t="s">
        <v>58</v>
      </c>
      <c r="B81" s="18"/>
      <c r="C81" s="18"/>
      <c r="D81" s="19">
        <f>SUM(D76:D80)</f>
      </c>
      <c r="E81" s="19">
        <f>SUM(E76:E80)</f>
      </c>
      <c r="F81" s="19">
        <f>SUM(F76:F80)</f>
      </c>
      <c r="G81" s="19">
        <f>SUM(G76:G80)</f>
      </c>
      <c r="H81" s="19">
        <f>SUM(H76:H80)</f>
      </c>
      <c r="I81" s="19">
        <f>SUM(I76:I80)</f>
      </c>
      <c r="J81" s="19">
        <f>SUM(J76:J80)</f>
      </c>
      <c r="K81" s="21">
        <f t="shared" si="0"/>
      </c>
      <c r="L81" s="21">
        <f t="shared" si="2"/>
      </c>
      <c r="M81" s="21">
        <f t="shared" si="1"/>
      </c>
      <c r="N81" s="18"/>
      <c r="O81" s="18">
        <f>SUM(O76:O80)</f>
      </c>
      <c r="P81" s="19"/>
      <c r="Q81" s="19">
        <f>SUM(Q76:Q79)</f>
      </c>
      <c r="R81" s="19">
        <f>SUM(R76:R79)</f>
      </c>
      <c r="S81" s="19">
        <f>SUM(S76:S79)</f>
      </c>
    </row>
    <row r="82">
      <c r="A82" s="4" t="s">
        <v>59</v>
      </c>
      <c r="B82" s="5" t="s">
        <v>30</v>
      </c>
      <c r="C82" s="6" t="s">
        <v>49</v>
      </c>
      <c r="D82" s="7">
        <v>4</v>
      </c>
      <c r="E82" s="4">
        <v>41</v>
      </c>
      <c r="F82" s="4">
        <v>35</v>
      </c>
      <c r="G82" s="4">
        <v>35</v>
      </c>
      <c r="H82" s="5">
        <v>2</v>
      </c>
      <c r="I82" s="41">
        <v>15761.1</v>
      </c>
      <c r="J82" s="9">
        <v>6559.4</v>
      </c>
      <c r="K82" s="10">
        <f t="shared" si="0"/>
      </c>
      <c r="L82" s="11">
        <f t="shared" si="2"/>
      </c>
      <c r="M82" s="11">
        <f t="shared" si="1"/>
      </c>
      <c r="N82" s="16"/>
      <c r="O82" s="16"/>
      <c r="P82" s="12"/>
      <c r="Q82" s="12"/>
      <c r="R82" s="12"/>
      <c r="S82" s="12"/>
    </row>
    <row r="83">
      <c r="A83" s="4" t="s">
        <v>59</v>
      </c>
      <c r="B83" s="4" t="s">
        <v>20</v>
      </c>
      <c r="C83" s="13" t="s">
        <v>50</v>
      </c>
      <c r="D83" s="7">
        <v>4</v>
      </c>
      <c r="E83" s="4">
        <v>18</v>
      </c>
      <c r="F83" s="4">
        <v>15</v>
      </c>
      <c r="G83" s="4">
        <v>15</v>
      </c>
      <c r="H83" s="5">
        <v>1</v>
      </c>
      <c r="I83" s="43">
        <v>6913.2</v>
      </c>
      <c r="J83" s="43">
        <v>6265.3</v>
      </c>
      <c r="K83" s="10">
        <f t="shared" si="0"/>
      </c>
      <c r="L83" s="11">
        <f t="shared" si="2"/>
      </c>
      <c r="M83" s="35">
        <f t="shared" si="1"/>
      </c>
      <c r="N83" s="36" t="s">
        <v>51</v>
      </c>
      <c r="O83" s="36">
        <v>10</v>
      </c>
      <c r="P83" s="37"/>
      <c r="Q83" s="12"/>
      <c r="R83" s="12"/>
      <c r="S83" s="12"/>
    </row>
    <row r="84">
      <c r="A84" s="5" t="s">
        <v>59</v>
      </c>
      <c r="B84" s="15" t="s">
        <v>60</v>
      </c>
      <c r="C84" s="16" t="s">
        <v>52</v>
      </c>
      <c r="D84" s="7">
        <v>4</v>
      </c>
      <c r="E84" s="4">
        <v>6</v>
      </c>
      <c r="F84" s="4">
        <v>5</v>
      </c>
      <c r="G84" s="4">
        <v>5</v>
      </c>
      <c r="H84" s="5">
        <v>1</v>
      </c>
      <c r="I84" s="31">
        <v>2032.8</v>
      </c>
      <c r="J84" s="32">
        <v>2132.18</v>
      </c>
      <c r="K84" s="10">
        <f t="shared" si="0"/>
      </c>
      <c r="L84" s="11">
        <f t="shared" si="2"/>
      </c>
      <c r="M84" s="35">
        <f t="shared" si="1"/>
      </c>
      <c r="N84" s="38"/>
      <c r="O84" s="38"/>
      <c r="P84" s="37"/>
      <c r="Q84" s="12"/>
      <c r="R84" s="12"/>
      <c r="S84" s="12"/>
    </row>
    <row r="85">
      <c r="A85" s="5" t="s">
        <v>59</v>
      </c>
      <c r="B85" s="4" t="s">
        <v>38</v>
      </c>
      <c r="C85" s="6" t="s">
        <v>61</v>
      </c>
      <c r="D85" s="7">
        <v>3</v>
      </c>
      <c r="E85" s="4">
        <v>13</v>
      </c>
      <c r="F85" s="4">
        <v>9</v>
      </c>
      <c r="G85" s="4">
        <v>9</v>
      </c>
      <c r="H85" s="5">
        <v>1</v>
      </c>
      <c r="I85" s="26">
        <v>3976.9</v>
      </c>
      <c r="J85" s="26">
        <v>3517.68</v>
      </c>
      <c r="K85" s="10">
        <f t="shared" si="0"/>
      </c>
      <c r="L85" s="11">
        <f t="shared" si="2"/>
      </c>
      <c r="M85" s="35">
        <f t="shared" si="1"/>
      </c>
      <c r="N85" s="6" t="s">
        <v>29</v>
      </c>
      <c r="O85" s="4">
        <v>8</v>
      </c>
      <c r="P85" s="37"/>
      <c r="Q85" s="12"/>
      <c r="R85" s="12"/>
      <c r="S85" s="12"/>
    </row>
    <row r="86">
      <c r="A86" s="5" t="s">
        <v>59</v>
      </c>
      <c r="B86" s="4" t="s">
        <v>24</v>
      </c>
      <c r="C86" s="6" t="s">
        <v>62</v>
      </c>
      <c r="D86" s="7">
        <v>5</v>
      </c>
      <c r="E86" s="4">
        <v>19</v>
      </c>
      <c r="F86" s="4">
        <v>16</v>
      </c>
      <c r="G86" s="4">
        <v>16</v>
      </c>
      <c r="H86" s="5">
        <v>2</v>
      </c>
      <c r="I86" s="26">
        <v>7139</v>
      </c>
      <c r="J86" s="26">
        <v>7102.71</v>
      </c>
      <c r="K86" s="10">
        <f t="shared" si="0"/>
      </c>
      <c r="L86" s="11">
        <f t="shared" si="2"/>
      </c>
      <c r="M86" s="35">
        <f t="shared" si="1"/>
      </c>
      <c r="N86" s="6" t="s">
        <v>54</v>
      </c>
      <c r="O86" s="4">
        <v>2</v>
      </c>
      <c r="P86" s="37"/>
      <c r="Q86" s="12"/>
      <c r="R86" s="12"/>
      <c r="S86" s="12"/>
    </row>
    <row r="87">
      <c r="A87" s="17" t="s">
        <v>59</v>
      </c>
      <c r="B87" s="18"/>
      <c r="C87" s="18"/>
      <c r="D87" s="19">
        <f>SUM(D82:D86)</f>
      </c>
      <c r="E87" s="19">
        <f>SUM(E82:E86)</f>
      </c>
      <c r="F87" s="19">
        <f>SUM(F82:F86)</f>
      </c>
      <c r="G87" s="19">
        <f>SUM(G82:G86)</f>
      </c>
      <c r="H87" s="19">
        <f>SUM(H82:H86)</f>
      </c>
      <c r="I87" s="19">
        <f>SUM(I82:I86)</f>
      </c>
      <c r="J87" s="19">
        <f>SUM(J82:J86)</f>
      </c>
      <c r="K87" s="21">
        <f t="shared" si="0"/>
      </c>
      <c r="L87" s="21">
        <f t="shared" si="2"/>
      </c>
      <c r="M87" s="21">
        <f t="shared" si="1"/>
      </c>
      <c r="N87" s="18"/>
      <c r="O87" s="18">
        <f>SUM(O82:O86)</f>
      </c>
      <c r="P87" s="19"/>
      <c r="Q87" s="19">
        <f>SUM(Q82:Q85)</f>
      </c>
      <c r="R87" s="19">
        <f>SUM(R82:R85)</f>
      </c>
      <c r="S87" s="19">
        <f>SUM(S82:S85)</f>
      </c>
    </row>
    <row r="88">
      <c r="A88" s="4" t="s">
        <v>63</v>
      </c>
      <c r="B88" s="5" t="s">
        <v>27</v>
      </c>
      <c r="C88" s="6" t="s">
        <v>64</v>
      </c>
      <c r="D88" s="7">
        <v>5</v>
      </c>
      <c r="E88" s="4">
        <v>21</v>
      </c>
      <c r="F88" s="4">
        <v>17</v>
      </c>
      <c r="G88" s="4">
        <v>17</v>
      </c>
      <c r="H88" s="5">
        <v>2</v>
      </c>
      <c r="I88" s="44">
        <v>7660.8</v>
      </c>
      <c r="J88" s="9">
        <v>4504.4400000000005</v>
      </c>
      <c r="K88" s="10">
        <f t="shared" si="0"/>
      </c>
      <c r="L88" s="11">
        <f t="shared" si="2"/>
      </c>
      <c r="M88" s="11">
        <f t="shared" si="1"/>
      </c>
      <c r="N88" s="16"/>
      <c r="O88" s="16"/>
      <c r="P88" s="12"/>
      <c r="Q88" s="12"/>
      <c r="R88" s="12"/>
      <c r="S88" s="12"/>
    </row>
    <row r="89">
      <c r="A89" s="4" t="s">
        <v>63</v>
      </c>
      <c r="B89" s="4" t="s">
        <v>30</v>
      </c>
      <c r="C89" s="13" t="s">
        <v>65</v>
      </c>
      <c r="D89" s="7">
        <v>5</v>
      </c>
      <c r="E89" s="4">
        <v>32</v>
      </c>
      <c r="F89" s="4">
        <v>27</v>
      </c>
      <c r="G89" s="4">
        <v>27</v>
      </c>
      <c r="H89" s="5">
        <v>0</v>
      </c>
      <c r="I89" s="43">
        <v>12188.4</v>
      </c>
      <c r="J89" s="43">
        <v>7553.08</v>
      </c>
      <c r="K89" s="10">
        <f t="shared" si="0"/>
      </c>
      <c r="L89" s="11">
        <f t="shared" si="2"/>
      </c>
      <c r="M89" s="35">
        <f t="shared" si="1"/>
      </c>
      <c r="N89" s="36" t="s">
        <v>66</v>
      </c>
      <c r="O89" s="36">
        <v>8</v>
      </c>
      <c r="P89" s="37"/>
      <c r="Q89" s="12"/>
      <c r="R89" s="12"/>
      <c r="S89" s="12"/>
    </row>
    <row r="90">
      <c r="A90" s="4" t="s">
        <v>63</v>
      </c>
      <c r="B90" s="15" t="s">
        <v>60</v>
      </c>
      <c r="C90" s="16" t="s">
        <v>67</v>
      </c>
      <c r="D90" s="7">
        <v>2</v>
      </c>
      <c r="E90" s="4">
        <v>5</v>
      </c>
      <c r="F90" s="4">
        <v>4</v>
      </c>
      <c r="G90" s="4">
        <v>4</v>
      </c>
      <c r="H90" s="5">
        <v>0</v>
      </c>
      <c r="I90" s="31">
        <v>1856.4</v>
      </c>
      <c r="J90" s="32">
        <v>1729.05</v>
      </c>
      <c r="K90" s="10">
        <f t="shared" si="0"/>
      </c>
      <c r="L90" s="11">
        <f t="shared" si="2"/>
      </c>
      <c r="M90" s="35">
        <f t="shared" si="1"/>
      </c>
      <c r="N90" s="38"/>
      <c r="O90" s="38"/>
      <c r="P90" s="37"/>
      <c r="Q90" s="12"/>
      <c r="R90" s="12"/>
      <c r="S90" s="12"/>
    </row>
    <row r="91">
      <c r="A91" s="4" t="s">
        <v>63</v>
      </c>
      <c r="B91" s="4" t="s">
        <v>38</v>
      </c>
      <c r="C91" s="6" t="s">
        <v>53</v>
      </c>
      <c r="D91" s="7">
        <v>4</v>
      </c>
      <c r="E91" s="4">
        <v>11</v>
      </c>
      <c r="F91" s="4">
        <v>10</v>
      </c>
      <c r="G91" s="4">
        <v>10</v>
      </c>
      <c r="H91" s="5">
        <v>0</v>
      </c>
      <c r="I91" s="26">
        <v>4611.6</v>
      </c>
      <c r="J91" s="26">
        <v>3707.9</v>
      </c>
      <c r="K91" s="10">
        <f t="shared" si="0"/>
      </c>
      <c r="L91" s="11">
        <f t="shared" si="2"/>
      </c>
      <c r="M91" s="35">
        <f t="shared" si="1"/>
      </c>
      <c r="N91" s="6" t="s">
        <v>68</v>
      </c>
      <c r="O91" s="4">
        <v>12</v>
      </c>
      <c r="P91" s="37"/>
      <c r="Q91" s="12"/>
      <c r="R91" s="12"/>
      <c r="S91" s="12"/>
    </row>
    <row r="92">
      <c r="A92" s="4" t="s">
        <v>63</v>
      </c>
      <c r="B92" s="4" t="s">
        <v>24</v>
      </c>
      <c r="C92" s="6" t="s">
        <v>55</v>
      </c>
      <c r="D92" s="7">
        <v>4</v>
      </c>
      <c r="E92" s="4">
        <v>7</v>
      </c>
      <c r="F92" s="4">
        <v>5</v>
      </c>
      <c r="G92" s="4">
        <v>5</v>
      </c>
      <c r="H92" s="5">
        <v>0</v>
      </c>
      <c r="I92" s="26">
        <v>2184</v>
      </c>
      <c r="J92" s="26">
        <v>3370.71</v>
      </c>
      <c r="K92" s="10">
        <f t="shared" si="0"/>
      </c>
      <c r="L92" s="11">
        <f t="shared" si="2"/>
      </c>
      <c r="M92" s="35">
        <f t="shared" si="1"/>
      </c>
      <c r="N92" s="6"/>
      <c r="O92" s="4"/>
      <c r="P92" s="37"/>
      <c r="Q92" s="12"/>
      <c r="R92" s="12"/>
      <c r="S92" s="12"/>
    </row>
    <row r="93">
      <c r="A93" s="17" t="s">
        <v>63</v>
      </c>
      <c r="B93" s="18"/>
      <c r="C93" s="18"/>
      <c r="D93" s="19">
        <f>SUM(D88:D92)</f>
      </c>
      <c r="E93" s="19">
        <f>SUM(E88:E92)</f>
      </c>
      <c r="F93" s="19">
        <f>SUM(F88:F92)</f>
      </c>
      <c r="G93" s="19">
        <f>SUM(G88:G92)</f>
      </c>
      <c r="H93" s="19">
        <f>SUM(H88:H92)</f>
      </c>
      <c r="I93" s="19">
        <f>SUM(I88:I92)</f>
      </c>
      <c r="J93" s="19">
        <f>SUM(J88:J92)</f>
      </c>
      <c r="K93" s="21">
        <f t="shared" si="0"/>
      </c>
      <c r="L93" s="21">
        <f t="shared" si="2"/>
      </c>
      <c r="M93" s="21">
        <f t="shared" si="1"/>
      </c>
      <c r="N93" s="18"/>
      <c r="O93" s="18">
        <f>SUM(O88:O92)</f>
      </c>
      <c r="P93" s="19"/>
      <c r="Q93" s="19">
        <f>SUM(Q88:Q91)</f>
      </c>
      <c r="R93" s="19">
        <f>SUM(R88:R91)</f>
      </c>
      <c r="S93" s="19">
        <f>SUM(S88:S91)</f>
      </c>
    </row>
    <row r="94">
      <c r="A94" s="4" t="s">
        <v>69</v>
      </c>
      <c r="B94" s="5" t="s">
        <v>20</v>
      </c>
      <c r="C94" s="6" t="s">
        <v>64</v>
      </c>
      <c r="D94" s="7">
        <v>5</v>
      </c>
      <c r="E94" s="4">
        <v>18</v>
      </c>
      <c r="F94" s="4">
        <v>17</v>
      </c>
      <c r="G94" s="4">
        <v>17</v>
      </c>
      <c r="H94" s="5">
        <v>4</v>
      </c>
      <c r="I94" s="44">
        <v>7297.6</v>
      </c>
      <c r="J94" s="45">
        <v>4904.54</v>
      </c>
      <c r="K94" s="10">
        <f t="shared" si="0"/>
      </c>
      <c r="L94" s="11">
        <f t="shared" si="2"/>
      </c>
      <c r="M94" s="11">
        <f t="shared" si="1"/>
      </c>
      <c r="N94" s="16"/>
      <c r="O94" s="16"/>
      <c r="P94" s="12"/>
      <c r="Q94" s="12"/>
      <c r="R94" s="12"/>
      <c r="S94" s="12"/>
    </row>
    <row r="95">
      <c r="A95" s="4" t="s">
        <v>69</v>
      </c>
      <c r="B95" s="4" t="s">
        <v>27</v>
      </c>
      <c r="C95" s="13" t="s">
        <v>65</v>
      </c>
      <c r="D95" s="7">
        <v>5</v>
      </c>
      <c r="E95" s="4">
        <v>17</v>
      </c>
      <c r="F95" s="4">
        <v>17</v>
      </c>
      <c r="G95" s="4">
        <v>17</v>
      </c>
      <c r="H95" s="5">
        <v>0</v>
      </c>
      <c r="I95" s="43">
        <v>7714.9</v>
      </c>
      <c r="J95" s="43">
        <v>4608.32</v>
      </c>
      <c r="K95" s="10">
        <f t="shared" si="0"/>
      </c>
      <c r="L95" s="11">
        <f t="shared" si="2"/>
      </c>
      <c r="M95" s="35">
        <f t="shared" si="1"/>
      </c>
      <c r="N95" s="36" t="s">
        <v>70</v>
      </c>
      <c r="O95" s="36">
        <v>10</v>
      </c>
      <c r="P95" s="37"/>
      <c r="Q95" s="12"/>
      <c r="R95" s="12"/>
      <c r="S95" s="12"/>
    </row>
    <row r="96">
      <c r="A96" s="4" t="s">
        <v>69</v>
      </c>
      <c r="B96" s="15" t="s">
        <v>24</v>
      </c>
      <c r="C96" s="16" t="s">
        <v>35</v>
      </c>
      <c r="D96" s="7">
        <v>4</v>
      </c>
      <c r="E96" s="4">
        <v>13</v>
      </c>
      <c r="F96" s="4">
        <v>11</v>
      </c>
      <c r="G96" s="4">
        <v>11</v>
      </c>
      <c r="H96" s="5">
        <v>1</v>
      </c>
      <c r="I96" s="31">
        <v>4729.2</v>
      </c>
      <c r="J96" s="32">
        <v>3879.36</v>
      </c>
      <c r="K96" s="10">
        <f t="shared" si="0"/>
      </c>
      <c r="L96" s="11">
        <f t="shared" si="2"/>
      </c>
      <c r="M96" s="35">
        <f t="shared" si="1"/>
      </c>
      <c r="N96" s="38"/>
      <c r="O96" s="38"/>
      <c r="P96" s="37"/>
      <c r="Q96" s="12"/>
      <c r="R96" s="12"/>
      <c r="S96" s="12"/>
    </row>
    <row r="97">
      <c r="A97" s="4" t="s">
        <v>69</v>
      </c>
      <c r="B97" s="4" t="s">
        <v>60</v>
      </c>
      <c r="C97" s="6" t="s">
        <v>71</v>
      </c>
      <c r="D97" s="7">
        <v>2</v>
      </c>
      <c r="E97" s="4">
        <v>4</v>
      </c>
      <c r="F97" s="4">
        <v>4</v>
      </c>
      <c r="G97" s="4">
        <v>4</v>
      </c>
      <c r="H97" s="5">
        <v>0</v>
      </c>
      <c r="I97" s="26">
        <v>1797.6</v>
      </c>
      <c r="J97" s="26">
        <v>2556.88</v>
      </c>
      <c r="K97" s="10">
        <f t="shared" si="0"/>
      </c>
      <c r="L97" s="11">
        <f t="shared" si="2"/>
      </c>
      <c r="M97" s="35">
        <f t="shared" si="1"/>
      </c>
      <c r="N97" s="6" t="s">
        <v>68</v>
      </c>
      <c r="O97" s="4">
        <v>10</v>
      </c>
      <c r="P97" s="37"/>
      <c r="Q97" s="12"/>
      <c r="R97" s="12"/>
      <c r="S97" s="12"/>
    </row>
    <row r="98">
      <c r="A98" s="4" t="s">
        <v>69</v>
      </c>
      <c r="B98" s="4" t="s">
        <v>38</v>
      </c>
      <c r="C98" s="6" t="s">
        <v>55</v>
      </c>
      <c r="D98" s="7">
        <v>4</v>
      </c>
      <c r="E98" s="4">
        <v>4</v>
      </c>
      <c r="F98" s="4">
        <v>4</v>
      </c>
      <c r="G98" s="4">
        <v>4</v>
      </c>
      <c r="H98" s="5">
        <v>0</v>
      </c>
      <c r="I98" s="26">
        <v>1797.6</v>
      </c>
      <c r="J98" s="26">
        <v>6373.7</v>
      </c>
      <c r="K98" s="10">
        <f t="shared" si="0"/>
      </c>
      <c r="L98" s="11">
        <f t="shared" si="2"/>
      </c>
      <c r="M98" s="35">
        <f t="shared" si="1"/>
      </c>
      <c r="N98" s="6"/>
      <c r="O98" s="4"/>
      <c r="P98" s="37"/>
      <c r="Q98" s="12"/>
      <c r="R98" s="12"/>
      <c r="S98" s="12"/>
    </row>
    <row r="99">
      <c r="A99" s="17" t="s">
        <v>69</v>
      </c>
      <c r="B99" s="18"/>
      <c r="C99" s="18"/>
      <c r="D99" s="19">
        <f>SUM(D94:D98)</f>
      </c>
      <c r="E99" s="19">
        <f>SUM(E94:E98)</f>
      </c>
      <c r="F99" s="19">
        <f>SUM(F94:F98)</f>
      </c>
      <c r="G99" s="19">
        <f>SUM(G94:G98)</f>
      </c>
      <c r="H99" s="19">
        <f>SUM(H94:H98)</f>
      </c>
      <c r="I99" s="19">
        <f>SUM(I94:I98)</f>
      </c>
      <c r="J99" s="19">
        <f>SUM(J94:J98)</f>
      </c>
      <c r="K99" s="21">
        <f t="shared" si="0"/>
      </c>
      <c r="L99" s="21">
        <f t="shared" si="2"/>
      </c>
      <c r="M99" s="21">
        <f t="shared" si="1"/>
      </c>
      <c r="N99" s="18"/>
      <c r="O99" s="18">
        <f>SUM(O94:O98)</f>
      </c>
      <c r="P99" s="19"/>
      <c r="Q99" s="19">
        <f>SUM(Q94:Q97)</f>
      </c>
      <c r="R99" s="19">
        <f>SUM(R94:R97)</f>
      </c>
      <c r="S99" s="19">
        <f>SUM(S94:S97)</f>
      </c>
    </row>
    <row r="100">
      <c r="A100" s="4" t="s">
        <v>72</v>
      </c>
      <c r="B100" s="5" t="s">
        <v>20</v>
      </c>
      <c r="C100" s="6" t="s">
        <v>64</v>
      </c>
      <c r="D100" s="7">
        <v>5</v>
      </c>
      <c r="E100" s="4">
        <v>22</v>
      </c>
      <c r="F100" s="4">
        <v>21</v>
      </c>
      <c r="G100" s="4">
        <v>21</v>
      </c>
      <c r="H100" s="5">
        <v>2</v>
      </c>
      <c r="I100" s="46">
        <v>9164.4</v>
      </c>
      <c r="J100" s="47">
        <v>5162.97</v>
      </c>
      <c r="K100" s="10">
        <f t="shared" si="0"/>
      </c>
      <c r="L100" s="10">
        <f t="shared" si="2"/>
      </c>
      <c r="M100" s="10">
        <f t="shared" si="1"/>
      </c>
      <c r="N100" s="16"/>
      <c r="O100" s="16"/>
      <c r="P100" s="12"/>
      <c r="Q100" s="12"/>
      <c r="R100" s="12"/>
      <c r="S100" s="12"/>
    </row>
    <row r="101">
      <c r="A101" s="4" t="s">
        <v>72</v>
      </c>
      <c r="B101" s="4" t="s">
        <v>30</v>
      </c>
      <c r="C101" s="13" t="s">
        <v>65</v>
      </c>
      <c r="D101" s="7">
        <v>5</v>
      </c>
      <c r="E101" s="4">
        <v>25</v>
      </c>
      <c r="F101" s="4">
        <v>21</v>
      </c>
      <c r="G101" s="4">
        <v>21</v>
      </c>
      <c r="H101" s="5">
        <v>2</v>
      </c>
      <c r="I101" s="34">
        <v>9420.1</v>
      </c>
      <c r="J101" s="34">
        <v>6448.95</v>
      </c>
      <c r="K101" s="10">
        <f t="shared" si="0"/>
      </c>
      <c r="L101" s="10">
        <f t="shared" si="2"/>
      </c>
      <c r="M101" s="10">
        <f t="shared" si="1"/>
      </c>
      <c r="N101" s="36" t="s">
        <v>73</v>
      </c>
      <c r="O101" s="36">
        <v>10</v>
      </c>
      <c r="P101" s="37"/>
      <c r="Q101" s="12"/>
      <c r="R101" s="12"/>
      <c r="S101" s="12"/>
    </row>
    <row r="102">
      <c r="A102" s="4" t="s">
        <v>72</v>
      </c>
      <c r="B102" s="15" t="s">
        <v>27</v>
      </c>
      <c r="C102" s="16" t="s">
        <v>35</v>
      </c>
      <c r="D102" s="7">
        <v>4</v>
      </c>
      <c r="E102" s="4">
        <v>26</v>
      </c>
      <c r="F102" s="4">
        <v>22</v>
      </c>
      <c r="G102" s="4">
        <v>22</v>
      </c>
      <c r="H102" s="5">
        <v>4</v>
      </c>
      <c r="I102" s="34">
        <v>9717.8</v>
      </c>
      <c r="J102" s="34">
        <v>4326.33</v>
      </c>
      <c r="K102" s="10">
        <f t="shared" si="0"/>
      </c>
      <c r="L102" s="10">
        <f t="shared" si="2"/>
      </c>
      <c r="M102" s="10">
        <f t="shared" si="1"/>
      </c>
      <c r="N102" s="38"/>
      <c r="O102" s="38"/>
      <c r="P102" s="37"/>
      <c r="Q102" s="12"/>
      <c r="R102" s="12"/>
      <c r="S102" s="12"/>
    </row>
    <row r="103">
      <c r="A103" s="4" t="s">
        <v>72</v>
      </c>
      <c r="B103" s="4" t="s">
        <v>60</v>
      </c>
      <c r="C103" s="6" t="s">
        <v>71</v>
      </c>
      <c r="D103" s="7">
        <v>2</v>
      </c>
      <c r="E103" s="4">
        <v>2</v>
      </c>
      <c r="F103" s="4">
        <v>2</v>
      </c>
      <c r="G103" s="4">
        <v>2</v>
      </c>
      <c r="H103" s="5">
        <v>0</v>
      </c>
      <c r="I103" s="34">
        <v>898.7999999999993</v>
      </c>
      <c r="J103" s="34">
        <v>1597.03</v>
      </c>
      <c r="K103" s="10">
        <f t="shared" si="0"/>
      </c>
      <c r="L103" s="10">
        <f t="shared" si="2"/>
      </c>
      <c r="M103" s="10">
        <f t="shared" si="1"/>
      </c>
      <c r="N103" s="6" t="s">
        <v>74</v>
      </c>
      <c r="O103" s="4">
        <v>10</v>
      </c>
      <c r="P103" s="37"/>
      <c r="Q103" s="12"/>
      <c r="R103" s="12"/>
      <c r="S103" s="12"/>
    </row>
    <row r="104">
      <c r="A104" s="4" t="s">
        <v>72</v>
      </c>
      <c r="B104" s="4" t="s">
        <v>38</v>
      </c>
      <c r="C104" s="6" t="s">
        <v>55</v>
      </c>
      <c r="D104" s="7">
        <v>4</v>
      </c>
      <c r="E104" s="4">
        <v>15</v>
      </c>
      <c r="F104" s="4">
        <v>13</v>
      </c>
      <c r="G104" s="4">
        <v>13</v>
      </c>
      <c r="H104" s="5">
        <v>2</v>
      </c>
      <c r="I104" s="9">
        <v>5955.5999999999985</v>
      </c>
      <c r="J104" s="48">
        <v>3541.73</v>
      </c>
      <c r="K104" s="10">
        <f t="shared" si="0"/>
      </c>
      <c r="L104" s="10">
        <f t="shared" si="2"/>
      </c>
      <c r="M104" s="10">
        <f t="shared" si="1"/>
      </c>
      <c r="N104" s="6"/>
      <c r="O104" s="4"/>
      <c r="P104" s="37"/>
      <c r="Q104" s="12"/>
      <c r="R104" s="12"/>
      <c r="S104" s="12"/>
    </row>
    <row r="105">
      <c r="A105" s="17" t="s">
        <v>72</v>
      </c>
      <c r="B105" s="18"/>
      <c r="C105" s="18"/>
      <c r="D105" s="19">
        <f>SUM(D100:D104)</f>
      </c>
      <c r="E105" s="19">
        <f>SUM(E100:E104)</f>
      </c>
      <c r="F105" s="19">
        <f>SUM(F100:F104)</f>
      </c>
      <c r="G105" s="19">
        <f>SUM(G100:G104)</f>
      </c>
      <c r="H105" s="19">
        <f>SUM(H100:H104)</f>
      </c>
      <c r="I105" s="18">
        <f>SUM(I100:I104)</f>
      </c>
      <c r="J105" s="18">
        <f>SUM(J100:J104)</f>
      </c>
      <c r="K105" s="21">
        <f t="shared" si="0"/>
      </c>
      <c r="L105" s="21">
        <f t="shared" si="2"/>
      </c>
      <c r="M105" s="21">
        <f t="shared" si="1"/>
      </c>
      <c r="N105" s="18"/>
      <c r="O105" s="18">
        <f>SUM(O100:O104)</f>
      </c>
      <c r="P105" s="19"/>
      <c r="Q105" s="19">
        <f>SUM(Q100:Q103)</f>
      </c>
      <c r="R105" s="19">
        <f>SUM(R100:R103)</f>
      </c>
      <c r="S105" s="19">
        <f>SUM(S100:S103)</f>
      </c>
    </row>
    <row r="106">
      <c r="A106" s="4" t="s">
        <v>75</v>
      </c>
      <c r="B106" s="5" t="s">
        <v>20</v>
      </c>
      <c r="C106" s="6" t="s">
        <v>64</v>
      </c>
      <c r="D106" s="7">
        <v>5</v>
      </c>
      <c r="E106" s="4">
        <v>15</v>
      </c>
      <c r="F106" s="4">
        <v>13</v>
      </c>
      <c r="G106" s="4">
        <v>13</v>
      </c>
      <c r="H106" s="5">
        <v>1</v>
      </c>
      <c r="I106" s="44">
        <v>5712</v>
      </c>
      <c r="J106" s="45">
        <v>4288.79</v>
      </c>
      <c r="K106" s="10">
        <f t="shared" si="0"/>
      </c>
      <c r="L106" s="10">
        <f t="shared" si="2"/>
      </c>
      <c r="M106" s="10">
        <f t="shared" si="1"/>
      </c>
      <c r="N106" s="16"/>
      <c r="O106" s="16"/>
      <c r="P106" s="12"/>
      <c r="Q106" s="12"/>
      <c r="R106" s="12"/>
      <c r="S106" s="12"/>
    </row>
    <row r="107">
      <c r="A107" s="4" t="s">
        <v>75</v>
      </c>
      <c r="B107" s="4" t="s">
        <v>30</v>
      </c>
      <c r="C107" s="13" t="s">
        <v>65</v>
      </c>
      <c r="D107" s="7">
        <v>5</v>
      </c>
      <c r="E107" s="4">
        <v>35</v>
      </c>
      <c r="F107" s="4">
        <v>27</v>
      </c>
      <c r="G107" s="4">
        <v>27</v>
      </c>
      <c r="H107" s="5">
        <v>3</v>
      </c>
      <c r="I107" s="34">
        <v>12236.8</v>
      </c>
      <c r="J107" s="34">
        <v>5473.13</v>
      </c>
      <c r="K107" s="10">
        <f t="shared" si="0"/>
      </c>
      <c r="L107" s="10">
        <f t="shared" si="2"/>
      </c>
      <c r="M107" s="10">
        <f t="shared" si="1"/>
      </c>
      <c r="N107" s="36" t="s">
        <v>73</v>
      </c>
      <c r="O107" s="36">
        <v>10</v>
      </c>
      <c r="P107" s="37"/>
      <c r="Q107" s="12"/>
      <c r="R107" s="12"/>
      <c r="S107" s="12"/>
    </row>
    <row r="108">
      <c r="A108" s="4" t="s">
        <v>75</v>
      </c>
      <c r="B108" s="15" t="s">
        <v>24</v>
      </c>
      <c r="C108" s="16" t="s">
        <v>35</v>
      </c>
      <c r="D108" s="49">
        <v>4</v>
      </c>
      <c r="E108" s="4">
        <v>9</v>
      </c>
      <c r="F108" s="4">
        <v>8</v>
      </c>
      <c r="G108" s="4">
        <v>8</v>
      </c>
      <c r="H108" s="5">
        <v>0</v>
      </c>
      <c r="I108" s="50">
        <v>3620.4000000000015</v>
      </c>
      <c r="J108" s="34">
        <v>3944.6600000000003</v>
      </c>
      <c r="K108" s="10">
        <f t="shared" si="0"/>
      </c>
      <c r="L108" s="10">
        <f t="shared" si="2"/>
      </c>
      <c r="M108" s="10">
        <f t="shared" si="1"/>
      </c>
      <c r="N108" s="36" t="s">
        <v>74</v>
      </c>
      <c r="O108" s="16">
        <v>10</v>
      </c>
      <c r="P108" s="37"/>
      <c r="Q108" s="12"/>
      <c r="R108" s="12"/>
      <c r="S108" s="12"/>
    </row>
    <row r="109">
      <c r="A109" s="4" t="s">
        <v>75</v>
      </c>
      <c r="B109" s="4" t="s">
        <v>27</v>
      </c>
      <c r="C109" s="6" t="s">
        <v>76</v>
      </c>
      <c r="D109" s="7">
        <v>6</v>
      </c>
      <c r="E109" s="4">
        <v>36</v>
      </c>
      <c r="F109" s="4">
        <v>32</v>
      </c>
      <c r="G109" s="4">
        <v>32</v>
      </c>
      <c r="H109" s="5">
        <v>5</v>
      </c>
      <c r="I109" s="51">
        <v>14492.7</v>
      </c>
      <c r="J109" s="9">
        <v>8922.84</v>
      </c>
      <c r="K109" s="10">
        <f t="shared" si="0"/>
      </c>
      <c r="L109" s="10">
        <f t="shared" si="2"/>
      </c>
      <c r="M109" s="52">
        <f t="shared" si="1"/>
      </c>
      <c r="N109" s="38"/>
      <c r="O109" s="38"/>
      <c r="P109" s="37"/>
      <c r="Q109" s="12"/>
      <c r="R109" s="12"/>
      <c r="S109" s="12"/>
    </row>
    <row r="110">
      <c r="A110" s="17" t="s">
        <v>75</v>
      </c>
      <c r="B110" s="18"/>
      <c r="C110" s="18"/>
      <c r="D110" s="19">
        <f>SUM(D106:D109)</f>
      </c>
      <c r="E110" s="19">
        <f>SUM(E106:E109)</f>
      </c>
      <c r="F110" s="19">
        <f>SUM(F106:F109)</f>
      </c>
      <c r="G110" s="19">
        <f>SUM(G106:G109)</f>
      </c>
      <c r="H110" s="19">
        <f>SUM(H106:H109)</f>
      </c>
      <c r="I110" s="18">
        <f>SUM(I106:I109)</f>
      </c>
      <c r="J110" s="18">
        <f>SUM(J106:J109)</f>
      </c>
      <c r="K110" s="21">
        <f t="shared" si="0"/>
      </c>
      <c r="L110" s="21">
        <f t="shared" si="2"/>
      </c>
      <c r="M110" s="21">
        <f t="shared" si="1"/>
      </c>
      <c r="N110" s="18"/>
      <c r="O110" s="18">
        <f>SUM(O106:O108)</f>
      </c>
      <c r="P110" s="19"/>
      <c r="Q110" s="19">
        <f>SUM(Q106:Q108)</f>
      </c>
      <c r="R110" s="19">
        <f>SUM(R106:R108)</f>
      </c>
      <c r="S110" s="19">
        <f>SUM(S106:S108)</f>
      </c>
    </row>
    <row r="111">
      <c r="A111" s="4" t="s">
        <v>77</v>
      </c>
      <c r="B111" s="5" t="s">
        <v>20</v>
      </c>
      <c r="C111" s="6" t="s">
        <v>64</v>
      </c>
      <c r="D111" s="7">
        <v>5</v>
      </c>
      <c r="E111" s="4">
        <v>29</v>
      </c>
      <c r="F111" s="4">
        <v>27</v>
      </c>
      <c r="G111" s="4">
        <v>27</v>
      </c>
      <c r="H111" s="5">
        <v>1</v>
      </c>
      <c r="I111" s="46">
        <v>12208.9</v>
      </c>
      <c r="J111" s="47">
        <v>5271.87</v>
      </c>
      <c r="K111" s="10">
        <f t="shared" si="0"/>
      </c>
      <c r="L111" s="10">
        <f t="shared" si="2"/>
      </c>
      <c r="M111" s="10">
        <f t="shared" si="1"/>
      </c>
      <c r="N111" s="16"/>
      <c r="O111" s="16"/>
      <c r="P111" s="12"/>
      <c r="Q111" s="12"/>
      <c r="R111" s="12"/>
      <c r="S111" s="12"/>
    </row>
    <row r="112">
      <c r="A112" s="4" t="s">
        <v>77</v>
      </c>
      <c r="B112" s="4" t="s">
        <v>27</v>
      </c>
      <c r="C112" s="13" t="s">
        <v>65</v>
      </c>
      <c r="D112" s="7">
        <v>5</v>
      </c>
      <c r="E112" s="4">
        <v>40</v>
      </c>
      <c r="F112" s="4">
        <v>32</v>
      </c>
      <c r="G112" s="4">
        <v>32</v>
      </c>
      <c r="H112" s="5">
        <v>2</v>
      </c>
      <c r="I112" s="34">
        <v>14081.1</v>
      </c>
      <c r="J112" s="34">
        <v>6881.83</v>
      </c>
      <c r="K112" s="10">
        <f t="shared" si="0"/>
      </c>
      <c r="L112" s="10">
        <f t="shared" si="2"/>
      </c>
      <c r="M112" s="10">
        <f t="shared" si="1"/>
      </c>
      <c r="N112" s="36" t="s">
        <v>73</v>
      </c>
      <c r="O112" s="36">
        <v>10</v>
      </c>
      <c r="P112" s="37"/>
      <c r="Q112" s="12"/>
      <c r="R112" s="12"/>
      <c r="S112" s="12"/>
    </row>
    <row r="113">
      <c r="A113" s="4" t="s">
        <v>77</v>
      </c>
      <c r="B113" s="15" t="s">
        <v>24</v>
      </c>
      <c r="C113" s="16" t="s">
        <v>35</v>
      </c>
      <c r="D113" s="49">
        <v>4</v>
      </c>
      <c r="E113" s="4">
        <v>22</v>
      </c>
      <c r="F113" s="4">
        <v>18</v>
      </c>
      <c r="G113" s="4">
        <v>18</v>
      </c>
      <c r="H113" s="5">
        <v>2</v>
      </c>
      <c r="I113" s="9">
        <v>8150.699999999997</v>
      </c>
      <c r="J113" s="9">
        <v>4708.71</v>
      </c>
      <c r="K113" s="10">
        <f t="shared" si="0"/>
      </c>
      <c r="L113" s="10">
        <f t="shared" si="2"/>
      </c>
      <c r="M113" s="10">
        <f t="shared" si="1"/>
      </c>
      <c r="N113" s="36" t="s">
        <v>74</v>
      </c>
      <c r="O113" s="16">
        <v>10</v>
      </c>
      <c r="P113" s="37"/>
      <c r="Q113" s="12"/>
      <c r="R113" s="12"/>
      <c r="S113" s="12"/>
    </row>
    <row customHeight="true" ht="16.071428571428573" r="114">
      <c r="A114" s="4" t="s">
        <v>77</v>
      </c>
      <c r="B114" s="4" t="s">
        <v>60</v>
      </c>
      <c r="C114" s="16" t="s">
        <v>71</v>
      </c>
      <c r="D114" s="7">
        <v>2</v>
      </c>
      <c r="E114" s="4">
        <v>17</v>
      </c>
      <c r="F114" s="4">
        <v>12</v>
      </c>
      <c r="G114" s="4">
        <v>12</v>
      </c>
      <c r="H114" s="5">
        <v>1</v>
      </c>
      <c r="I114" s="30">
        <v>5384.4000000000015</v>
      </c>
      <c r="J114" s="34">
        <v>2419.52</v>
      </c>
      <c r="K114" s="10">
        <f t="shared" si="0"/>
      </c>
      <c r="L114" s="10">
        <f t="shared" si="2"/>
      </c>
      <c r="M114" s="10">
        <f t="shared" si="1"/>
      </c>
      <c r="N114" s="38"/>
      <c r="O114" s="38"/>
      <c r="P114" s="37"/>
      <c r="Q114" s="12"/>
      <c r="R114" s="12"/>
      <c r="S114" s="12"/>
    </row>
    <row r="115">
      <c r="A115" s="4" t="s">
        <v>77</v>
      </c>
      <c r="B115" s="4" t="s">
        <v>38</v>
      </c>
      <c r="C115" s="6" t="s">
        <v>55</v>
      </c>
      <c r="D115" s="7">
        <v>4</v>
      </c>
      <c r="E115" s="4">
        <v>11</v>
      </c>
      <c r="F115" s="4">
        <v>7</v>
      </c>
      <c r="G115" s="4">
        <v>7</v>
      </c>
      <c r="H115" s="5">
        <v>0</v>
      </c>
      <c r="I115" s="23">
        <v>3175.2000000000044</v>
      </c>
      <c r="J115" s="53">
        <v>5034.34</v>
      </c>
      <c r="K115" s="10">
        <f t="shared" si="0"/>
      </c>
      <c r="L115" s="10">
        <f t="shared" si="2"/>
      </c>
      <c r="M115" s="52">
        <f t="shared" si="1"/>
      </c>
      <c r="N115" s="38"/>
      <c r="O115" s="38"/>
      <c r="P115" s="37"/>
      <c r="Q115" s="12"/>
      <c r="R115" s="12"/>
      <c r="S115" s="12"/>
    </row>
    <row r="116">
      <c r="A116" s="17" t="s">
        <v>77</v>
      </c>
      <c r="B116" s="18"/>
      <c r="C116" s="18"/>
      <c r="D116" s="19">
        <f>SUM(D111:D115)</f>
      </c>
      <c r="E116" s="19">
        <f>SUM(E111:E115)</f>
      </c>
      <c r="F116" s="19">
        <f>SUM(F111:F115)</f>
      </c>
      <c r="G116" s="19">
        <f>SUM(G111:G115)</f>
      </c>
      <c r="H116" s="19">
        <f>SUM(H111:H115)</f>
      </c>
      <c r="I116" s="18">
        <f>SUM(I111:I115)</f>
      </c>
      <c r="J116" s="18">
        <f>SUM(J111:J115)</f>
      </c>
      <c r="K116" s="21">
        <f t="shared" si="0"/>
      </c>
      <c r="L116" s="21">
        <f t="shared" si="2"/>
      </c>
      <c r="M116" s="21">
        <f t="shared" si="1"/>
      </c>
      <c r="N116" s="18"/>
      <c r="O116" s="18">
        <f>SUM(O111:O113)</f>
      </c>
      <c r="P116" s="19"/>
      <c r="Q116" s="19">
        <f>SUM(Q111:Q113)</f>
      </c>
      <c r="R116" s="19">
        <f>SUM(R111:R113)</f>
      </c>
      <c r="S116" s="19">
        <f>SUM(S111:S113)</f>
      </c>
    </row>
    <row r="117">
      <c r="A117" s="4" t="s">
        <v>78</v>
      </c>
      <c r="B117" s="4" t="s">
        <v>27</v>
      </c>
      <c r="C117" s="6" t="s">
        <v>64</v>
      </c>
      <c r="D117" s="7">
        <v>5</v>
      </c>
      <c r="E117" s="4">
        <v>24</v>
      </c>
      <c r="F117" s="4">
        <v>20</v>
      </c>
      <c r="G117" s="4">
        <v>20</v>
      </c>
      <c r="H117" s="5">
        <v>1</v>
      </c>
      <c r="I117" s="9">
        <v>8751.8</v>
      </c>
      <c r="J117" s="9">
        <v>5562.6</v>
      </c>
      <c r="K117" s="10">
        <f t="shared" si="0"/>
      </c>
      <c r="L117" s="10">
        <f t="shared" si="2"/>
      </c>
      <c r="M117" s="10">
        <f t="shared" si="1"/>
      </c>
      <c r="N117" s="16"/>
      <c r="O117" s="16"/>
      <c r="P117" s="12"/>
      <c r="Q117" s="12"/>
      <c r="R117" s="12"/>
      <c r="S117" s="12"/>
    </row>
    <row r="118">
      <c r="A118" s="4" t="s">
        <v>78</v>
      </c>
      <c r="B118" s="15" t="s">
        <v>24</v>
      </c>
      <c r="C118" s="13" t="s">
        <v>79</v>
      </c>
      <c r="D118" s="7">
        <v>4</v>
      </c>
      <c r="E118" s="4">
        <v>12</v>
      </c>
      <c r="F118" s="4">
        <v>9</v>
      </c>
      <c r="G118" s="4">
        <v>9</v>
      </c>
      <c r="H118" s="5">
        <v>0</v>
      </c>
      <c r="I118" s="9">
        <v>4153.300000000001</v>
      </c>
      <c r="J118" s="9">
        <v>3649.8200000000006</v>
      </c>
      <c r="K118" s="10">
        <f t="shared" si="0"/>
      </c>
      <c r="L118" s="10">
        <f t="shared" si="2"/>
      </c>
      <c r="M118" s="10">
        <f t="shared" si="1"/>
      </c>
      <c r="N118" s="36" t="s">
        <v>73</v>
      </c>
      <c r="O118" s="36">
        <v>10</v>
      </c>
      <c r="P118" s="37"/>
      <c r="Q118" s="12"/>
      <c r="R118" s="12"/>
      <c r="S118" s="12"/>
    </row>
    <row r="119">
      <c r="A119" s="4" t="s">
        <v>78</v>
      </c>
      <c r="B119" s="4" t="s">
        <v>38</v>
      </c>
      <c r="C119" s="16" t="s">
        <v>80</v>
      </c>
      <c r="D119" s="49">
        <v>5</v>
      </c>
      <c r="E119" s="4">
        <v>25</v>
      </c>
      <c r="F119" s="4">
        <v>22</v>
      </c>
      <c r="G119" s="4">
        <v>22</v>
      </c>
      <c r="H119" s="5">
        <v>5</v>
      </c>
      <c r="I119" s="9">
        <v>9692.6</v>
      </c>
      <c r="J119" s="9">
        <v>5430.58</v>
      </c>
      <c r="K119" s="10">
        <f t="shared" si="0"/>
      </c>
      <c r="L119" s="10">
        <f t="shared" si="2"/>
      </c>
      <c r="M119" s="10">
        <f t="shared" si="1"/>
      </c>
      <c r="N119" s="36" t="s">
        <v>74</v>
      </c>
      <c r="O119" s="16">
        <v>10</v>
      </c>
      <c r="P119" s="37"/>
      <c r="Q119" s="12"/>
      <c r="R119" s="12"/>
      <c r="S119" s="12"/>
    </row>
    <row r="120">
      <c r="A120" s="4" t="s">
        <v>78</v>
      </c>
      <c r="B120" s="4" t="s">
        <v>60</v>
      </c>
      <c r="C120" s="16" t="s">
        <v>71</v>
      </c>
      <c r="D120" s="7">
        <v>2</v>
      </c>
      <c r="E120" s="4">
        <v>8</v>
      </c>
      <c r="F120" s="4">
        <v>5</v>
      </c>
      <c r="G120" s="4">
        <v>5</v>
      </c>
      <c r="H120" s="5">
        <v>0</v>
      </c>
      <c r="I120" s="30">
        <v>2335.2000000000007</v>
      </c>
      <c r="J120" s="34">
        <v>2108.7200000000003</v>
      </c>
      <c r="K120" s="10">
        <f t="shared" si="0"/>
      </c>
      <c r="L120" s="10">
        <f t="shared" si="2"/>
      </c>
      <c r="M120" s="10">
        <f t="shared" si="1"/>
      </c>
      <c r="N120" s="38"/>
      <c r="O120" s="38"/>
      <c r="P120" s="37"/>
      <c r="Q120" s="12"/>
      <c r="R120" s="12"/>
      <c r="S120" s="12"/>
    </row>
    <row r="121">
      <c r="A121" s="4" t="s">
        <v>78</v>
      </c>
      <c r="B121" s="4" t="s">
        <v>30</v>
      </c>
      <c r="C121" s="6" t="s">
        <v>55</v>
      </c>
      <c r="D121" s="7">
        <v>4</v>
      </c>
      <c r="E121" s="4">
        <v>27</v>
      </c>
      <c r="F121" s="4">
        <v>21</v>
      </c>
      <c r="G121" s="4">
        <v>21</v>
      </c>
      <c r="H121" s="5">
        <v>3</v>
      </c>
      <c r="I121" s="23">
        <v>9537.699999999997</v>
      </c>
      <c r="J121" s="53">
        <v>6024</v>
      </c>
      <c r="K121" s="10">
        <f t="shared" si="0"/>
      </c>
      <c r="L121" s="10">
        <f t="shared" si="2"/>
      </c>
      <c r="M121" s="52">
        <f t="shared" si="1"/>
      </c>
      <c r="N121" s="38"/>
      <c r="O121" s="38"/>
      <c r="P121" s="37"/>
      <c r="Q121" s="12"/>
      <c r="R121" s="12"/>
      <c r="S121" s="12"/>
    </row>
    <row r="122">
      <c r="A122" s="17" t="s">
        <v>78</v>
      </c>
      <c r="B122" s="18"/>
      <c r="C122" s="18"/>
      <c r="D122" s="19">
        <f>SUM(D117:D121)</f>
      </c>
      <c r="E122" s="19">
        <f>SUM(E117:E121)</f>
      </c>
      <c r="F122" s="19">
        <f>SUM(F117:F121)</f>
      </c>
      <c r="G122" s="19">
        <f>SUM(G117:G121)</f>
      </c>
      <c r="H122" s="19">
        <f>SUM(H117:H121)</f>
      </c>
      <c r="I122" s="18">
        <f>SUM(I117:I121)</f>
      </c>
      <c r="J122" s="18">
        <f>SUM(J117:J121)</f>
      </c>
      <c r="K122" s="21">
        <f t="shared" si="0"/>
      </c>
      <c r="L122" s="21">
        <f t="shared" si="2"/>
      </c>
      <c r="M122" s="21">
        <f t="shared" si="1"/>
      </c>
      <c r="N122" s="18"/>
      <c r="O122" s="18">
        <f>SUM(O117:O119)</f>
      </c>
      <c r="P122" s="19"/>
      <c r="Q122" s="19">
        <f>SUM(Q117:Q119)</f>
      </c>
      <c r="R122" s="19">
        <f>SUM(R117:R119)</f>
      </c>
      <c r="S122" s="19">
        <f>SUM(S117:S119)</f>
      </c>
    </row>
    <row r="123">
      <c r="A123" s="4" t="s">
        <v>81</v>
      </c>
      <c r="B123" s="4" t="s">
        <v>27</v>
      </c>
      <c r="C123" s="6" t="s">
        <v>49</v>
      </c>
      <c r="D123" s="7">
        <v>4</v>
      </c>
      <c r="E123" s="4">
        <v>25</v>
      </c>
      <c r="F123" s="4">
        <v>19</v>
      </c>
      <c r="G123" s="4">
        <v>19</v>
      </c>
      <c r="H123" s="5">
        <v>1</v>
      </c>
      <c r="I123" s="9">
        <v>8529.7</v>
      </c>
      <c r="J123" s="23">
        <v>3603.8900000000003</v>
      </c>
      <c r="K123" s="10">
        <f t="shared" si="0"/>
      </c>
      <c r="L123" s="10">
        <f t="shared" si="2"/>
      </c>
      <c r="M123" s="10">
        <f t="shared" si="1"/>
      </c>
      <c r="N123" s="16"/>
      <c r="O123" s="16"/>
      <c r="P123" s="12"/>
      <c r="Q123" s="12"/>
      <c r="R123" s="12"/>
      <c r="S123" s="12"/>
    </row>
    <row r="124">
      <c r="A124" s="4" t="s">
        <v>81</v>
      </c>
      <c r="B124" s="15" t="s">
        <v>20</v>
      </c>
      <c r="C124" s="13" t="s">
        <v>82</v>
      </c>
      <c r="D124" s="7">
        <v>6</v>
      </c>
      <c r="E124" s="4">
        <v>18</v>
      </c>
      <c r="F124" s="4">
        <v>13</v>
      </c>
      <c r="G124" s="4">
        <v>13</v>
      </c>
      <c r="H124" s="5">
        <v>0</v>
      </c>
      <c r="I124" s="34">
        <v>6009.699999999999</v>
      </c>
      <c r="J124" s="30">
        <v>5444.049999999999</v>
      </c>
      <c r="K124" s="10">
        <f t="shared" si="0"/>
      </c>
      <c r="L124" s="10">
        <f t="shared" si="2"/>
      </c>
      <c r="M124" s="10">
        <f t="shared" si="1"/>
      </c>
      <c r="N124" s="36" t="s">
        <v>73</v>
      </c>
      <c r="O124" s="36">
        <v>10</v>
      </c>
      <c r="P124" s="37"/>
      <c r="Q124" s="12"/>
      <c r="R124" s="12"/>
      <c r="S124" s="12"/>
    </row>
    <row r="125">
      <c r="A125" s="4" t="s">
        <v>81</v>
      </c>
      <c r="B125" s="4" t="s">
        <v>38</v>
      </c>
      <c r="C125" s="16" t="s">
        <v>35</v>
      </c>
      <c r="D125" s="49">
        <v>4</v>
      </c>
      <c r="E125" s="4">
        <v>14</v>
      </c>
      <c r="F125" s="4">
        <v>10</v>
      </c>
      <c r="G125" s="4">
        <v>10</v>
      </c>
      <c r="H125" s="5">
        <v>2</v>
      </c>
      <c r="I125" s="9">
        <v>4401.6</v>
      </c>
      <c r="J125" s="9">
        <v>4290.17</v>
      </c>
      <c r="K125" s="10">
        <f t="shared" si="0"/>
      </c>
      <c r="L125" s="10">
        <f t="shared" si="2"/>
      </c>
      <c r="M125" s="10">
        <f t="shared" si="1"/>
      </c>
      <c r="N125" s="36" t="s">
        <v>74</v>
      </c>
      <c r="O125" s="16">
        <v>10</v>
      </c>
      <c r="P125" s="37"/>
      <c r="Q125" s="12"/>
      <c r="R125" s="12"/>
      <c r="S125" s="12"/>
    </row>
    <row r="126">
      <c r="A126" s="4" t="s">
        <v>81</v>
      </c>
      <c r="B126" s="4" t="s">
        <v>60</v>
      </c>
      <c r="C126" s="16" t="s">
        <v>71</v>
      </c>
      <c r="D126" s="7">
        <v>2</v>
      </c>
      <c r="E126" s="4">
        <v>6</v>
      </c>
      <c r="F126" s="4">
        <v>3</v>
      </c>
      <c r="G126" s="4">
        <v>3</v>
      </c>
      <c r="H126" s="5">
        <v>0</v>
      </c>
      <c r="I126" s="30">
        <v>1226.4000000000015</v>
      </c>
      <c r="J126" s="30">
        <v>2202.2</v>
      </c>
      <c r="K126" s="10">
        <f t="shared" si="0"/>
      </c>
      <c r="L126" s="10">
        <f t="shared" si="2"/>
      </c>
      <c r="M126" s="10">
        <f t="shared" si="1"/>
      </c>
      <c r="N126" s="38"/>
      <c r="O126" s="38"/>
      <c r="P126" s="37"/>
      <c r="Q126" s="12"/>
      <c r="R126" s="12"/>
      <c r="S126" s="12"/>
    </row>
    <row r="127">
      <c r="A127" s="4" t="s">
        <v>81</v>
      </c>
      <c r="B127" s="4" t="s">
        <v>30</v>
      </c>
      <c r="C127" s="6" t="s">
        <v>55</v>
      </c>
      <c r="D127" s="7">
        <v>4</v>
      </c>
      <c r="E127" s="4">
        <v>27</v>
      </c>
      <c r="F127" s="4">
        <v>22</v>
      </c>
      <c r="G127" s="4">
        <v>22</v>
      </c>
      <c r="H127" s="5">
        <v>2</v>
      </c>
      <c r="I127" s="23">
        <v>10221.8</v>
      </c>
      <c r="J127" s="53">
        <v>6233.23</v>
      </c>
      <c r="K127" s="10">
        <f t="shared" si="0"/>
      </c>
      <c r="L127" s="10">
        <f t="shared" si="2"/>
      </c>
      <c r="M127" s="52">
        <f t="shared" si="1"/>
      </c>
      <c r="N127" s="38"/>
      <c r="O127" s="38"/>
      <c r="P127" s="37"/>
      <c r="Q127" s="12"/>
      <c r="R127" s="12"/>
      <c r="S127" s="12"/>
    </row>
    <row r="128">
      <c r="A128" s="17" t="s">
        <v>81</v>
      </c>
      <c r="B128" s="18"/>
      <c r="C128" s="18"/>
      <c r="D128" s="19">
        <f>SUM(D123:D127)</f>
      </c>
      <c r="E128" s="19">
        <f>SUM(E123:E127)</f>
      </c>
      <c r="F128" s="19">
        <f>SUM(F123:F127)</f>
      </c>
      <c r="G128" s="19">
        <f>SUM(G123:G127)</f>
      </c>
      <c r="H128" s="19">
        <f>SUM(H123:H127)</f>
      </c>
      <c r="I128" s="18">
        <f>SUM(I123:I127)</f>
      </c>
      <c r="J128" s="18">
        <f>SUM(J123:J127)</f>
      </c>
      <c r="K128" s="21">
        <f t="shared" si="0"/>
      </c>
      <c r="L128" s="21">
        <f t="shared" si="2"/>
      </c>
      <c r="M128" s="21">
        <f t="shared" si="1"/>
      </c>
      <c r="N128" s="18"/>
      <c r="O128" s="18">
        <f>SUM(O123:O125)</f>
      </c>
      <c r="P128" s="19"/>
      <c r="Q128" s="19">
        <f>SUM(Q123:Q125)</f>
      </c>
      <c r="R128" s="19">
        <f>SUM(R123:R125)</f>
      </c>
      <c r="S128" s="19">
        <f>SUM(S123:S125)</f>
      </c>
    </row>
    <row r="129">
      <c r="A129" s="4" t="s">
        <v>83</v>
      </c>
      <c r="B129" s="4" t="s">
        <v>27</v>
      </c>
      <c r="C129" s="6" t="s">
        <v>49</v>
      </c>
      <c r="D129" s="7">
        <v>4</v>
      </c>
      <c r="E129" s="4">
        <v>9</v>
      </c>
      <c r="F129" s="4">
        <v>9</v>
      </c>
      <c r="G129" s="4">
        <v>9</v>
      </c>
      <c r="H129" s="5">
        <v>0</v>
      </c>
      <c r="I129" s="45">
        <v>4035.7</v>
      </c>
      <c r="J129" s="53">
        <v>4156.87</v>
      </c>
      <c r="K129" s="10">
        <f t="shared" si="0"/>
      </c>
      <c r="L129" s="10">
        <f t="shared" si="2"/>
      </c>
      <c r="M129" s="10">
        <f t="shared" si="1"/>
      </c>
      <c r="N129" s="16"/>
      <c r="O129" s="16"/>
      <c r="P129" s="12"/>
      <c r="Q129" s="12"/>
      <c r="R129" s="12"/>
      <c r="S129" s="12"/>
    </row>
    <row r="130">
      <c r="A130" s="4" t="s">
        <v>83</v>
      </c>
      <c r="B130" s="4" t="s">
        <v>30</v>
      </c>
      <c r="C130" s="13" t="s">
        <v>84</v>
      </c>
      <c r="D130" s="7">
        <v>5</v>
      </c>
      <c r="E130" s="4">
        <v>35</v>
      </c>
      <c r="F130" s="4">
        <v>31</v>
      </c>
      <c r="G130" s="4">
        <v>31</v>
      </c>
      <c r="H130" s="5">
        <v>2</v>
      </c>
      <c r="I130" s="47">
        <v>14336.8</v>
      </c>
      <c r="J130" s="54">
        <v>7114.87</v>
      </c>
      <c r="K130" s="10">
        <f t="shared" si="0"/>
      </c>
      <c r="L130" s="10">
        <f t="shared" si="2"/>
      </c>
      <c r="M130" s="10">
        <f t="shared" si="1"/>
      </c>
      <c r="N130" s="36" t="s">
        <v>73</v>
      </c>
      <c r="O130" s="36">
        <v>10</v>
      </c>
      <c r="P130" s="37"/>
      <c r="Q130" s="12"/>
      <c r="R130" s="12"/>
      <c r="S130" s="12"/>
    </row>
    <row r="131">
      <c r="A131" s="4" t="s">
        <v>83</v>
      </c>
      <c r="B131" s="4" t="s">
        <v>24</v>
      </c>
      <c r="C131" s="16" t="s">
        <v>85</v>
      </c>
      <c r="D131" s="49">
        <v>3.5</v>
      </c>
      <c r="E131" s="4">
        <v>17</v>
      </c>
      <c r="F131" s="4">
        <v>15</v>
      </c>
      <c r="G131" s="4">
        <v>15</v>
      </c>
      <c r="H131" s="5">
        <v>1</v>
      </c>
      <c r="I131" s="23">
        <v>6739.5</v>
      </c>
      <c r="J131" s="23">
        <v>4972.78</v>
      </c>
      <c r="K131" s="10">
        <f t="shared" si="0"/>
      </c>
      <c r="L131" s="10">
        <f t="shared" si="2"/>
      </c>
      <c r="M131" s="10">
        <f t="shared" si="1"/>
      </c>
      <c r="N131" s="36" t="s">
        <v>74</v>
      </c>
      <c r="O131" s="16">
        <v>10</v>
      </c>
      <c r="P131" s="37"/>
      <c r="Q131" s="12"/>
      <c r="R131" s="12"/>
      <c r="S131" s="12"/>
    </row>
    <row r="132">
      <c r="A132" s="4" t="s">
        <v>83</v>
      </c>
      <c r="B132" s="27" t="s">
        <v>38</v>
      </c>
      <c r="C132" s="16" t="s">
        <v>86</v>
      </c>
      <c r="D132" s="7">
        <v>3.5</v>
      </c>
      <c r="E132" s="4">
        <v>20</v>
      </c>
      <c r="F132" s="4">
        <v>17</v>
      </c>
      <c r="G132" s="4">
        <v>17</v>
      </c>
      <c r="H132" s="5">
        <v>3</v>
      </c>
      <c r="I132" s="30">
        <v>7669.199999999997</v>
      </c>
      <c r="J132" s="30">
        <v>4727.4</v>
      </c>
      <c r="K132" s="10">
        <f t="shared" si="0"/>
      </c>
      <c r="L132" s="10">
        <f t="shared" si="2"/>
      </c>
      <c r="M132" s="10">
        <f t="shared" si="1"/>
      </c>
      <c r="N132" s="38"/>
      <c r="O132" s="38"/>
      <c r="P132" s="37"/>
      <c r="Q132" s="12"/>
      <c r="R132" s="12"/>
      <c r="S132" s="12"/>
    </row>
    <row r="133">
      <c r="A133" s="4" t="s">
        <v>83</v>
      </c>
      <c r="B133" s="4" t="s">
        <v>20</v>
      </c>
      <c r="C133" s="6" t="s">
        <v>55</v>
      </c>
      <c r="D133" s="7">
        <v>4</v>
      </c>
      <c r="E133" s="4">
        <v>16</v>
      </c>
      <c r="F133" s="4">
        <v>15</v>
      </c>
      <c r="G133" s="4">
        <v>15</v>
      </c>
      <c r="H133" s="5">
        <v>1</v>
      </c>
      <c r="I133" s="23">
        <v>6660.200000000004</v>
      </c>
      <c r="J133" s="23">
        <f>5826.12+0.98</f>
      </c>
      <c r="K133" s="10">
        <f t="shared" si="0"/>
      </c>
      <c r="L133" s="10">
        <f t="shared" si="2"/>
      </c>
      <c r="M133" s="52">
        <f t="shared" si="1"/>
      </c>
      <c r="N133" s="38"/>
      <c r="O133" s="38"/>
      <c r="P133" s="37"/>
      <c r="Q133" s="12"/>
      <c r="R133" s="12"/>
      <c r="S133" s="12"/>
    </row>
    <row r="134">
      <c r="A134" s="18" t="s">
        <v>83</v>
      </c>
      <c r="B134" s="18"/>
      <c r="C134" s="18"/>
      <c r="D134" s="19">
        <f>SUM(D129:D133)</f>
      </c>
      <c r="E134" s="19">
        <f>SUM(E129:E133)</f>
      </c>
      <c r="F134" s="19">
        <f>SUM(F129:F133)</f>
      </c>
      <c r="G134" s="19">
        <f>SUM(G129:G133)</f>
      </c>
      <c r="H134" s="19">
        <f>SUM(H129:H133)</f>
      </c>
      <c r="I134" s="18">
        <f>SUM(I129:I133)</f>
      </c>
      <c r="J134" s="18">
        <f>SUM(J129:J133)</f>
      </c>
      <c r="K134" s="21">
        <f t="shared" si="0"/>
      </c>
      <c r="L134" s="21">
        <f t="shared" si="2"/>
      </c>
      <c r="M134" s="21">
        <f t="shared" si="1"/>
      </c>
      <c r="N134" s="18"/>
      <c r="O134" s="18">
        <f>SUM(O129:O131)</f>
      </c>
      <c r="P134" s="19"/>
      <c r="Q134" s="19">
        <f>SUM(Q129:Q131)</f>
      </c>
      <c r="R134" s="19">
        <f>SUM(R129:R131)</f>
      </c>
      <c r="S134" s="19">
        <f>SUM(S129:S131)</f>
      </c>
    </row>
    <row r="135">
      <c r="A135" s="4" t="s">
        <v>87</v>
      </c>
      <c r="B135" s="4" t="s">
        <v>30</v>
      </c>
      <c r="C135" s="55" t="s">
        <v>88</v>
      </c>
      <c r="D135" s="7">
        <v>6</v>
      </c>
      <c r="E135" s="4">
        <v>45</v>
      </c>
      <c r="F135" s="4">
        <v>28</v>
      </c>
      <c r="G135" s="4">
        <v>28</v>
      </c>
      <c r="H135" s="5">
        <v>1</v>
      </c>
      <c r="I135" s="30">
        <v>12485.1</v>
      </c>
      <c r="J135" s="30">
        <v>8333.990000000002</v>
      </c>
      <c r="K135" s="10">
        <f t="shared" si="0"/>
      </c>
      <c r="L135" s="10">
        <f t="shared" si="2"/>
      </c>
      <c r="M135" s="10">
        <f t="shared" si="1"/>
      </c>
      <c r="N135" s="16"/>
      <c r="O135" s="16"/>
      <c r="P135" s="12"/>
      <c r="Q135" s="12"/>
      <c r="R135" s="12"/>
      <c r="S135" s="12"/>
    </row>
    <row r="136">
      <c r="A136" s="4" t="s">
        <v>87</v>
      </c>
      <c r="B136" s="4" t="s">
        <v>20</v>
      </c>
      <c r="C136" s="56" t="s">
        <v>89</v>
      </c>
      <c r="D136" s="7">
        <v>6</v>
      </c>
      <c r="E136" s="4">
        <v>41</v>
      </c>
      <c r="F136" s="4">
        <v>34</v>
      </c>
      <c r="G136" s="4">
        <v>34</v>
      </c>
      <c r="H136" s="5">
        <v>2</v>
      </c>
      <c r="I136" s="30">
        <v>15299.1</v>
      </c>
      <c r="J136" s="30">
        <v>10184.55</v>
      </c>
      <c r="K136" s="10">
        <f t="shared" si="0"/>
      </c>
      <c r="L136" s="10">
        <f t="shared" si="2"/>
      </c>
      <c r="M136" s="10">
        <f t="shared" si="1"/>
      </c>
      <c r="N136" s="36" t="s">
        <v>73</v>
      </c>
      <c r="O136" s="36">
        <v>10</v>
      </c>
      <c r="P136" s="37"/>
      <c r="Q136" s="12"/>
      <c r="R136" s="12"/>
      <c r="S136" s="12"/>
    </row>
    <row r="137">
      <c r="A137" s="4" t="s">
        <v>87</v>
      </c>
      <c r="B137" s="57" t="s">
        <v>24</v>
      </c>
      <c r="C137" s="16" t="s">
        <v>53</v>
      </c>
      <c r="D137" s="7">
        <v>4</v>
      </c>
      <c r="E137" s="4">
        <v>18</v>
      </c>
      <c r="F137" s="4">
        <v>9</v>
      </c>
      <c r="G137" s="4">
        <v>9</v>
      </c>
      <c r="H137" s="5">
        <v>0</v>
      </c>
      <c r="I137" s="30">
        <v>4015.2000000000007</v>
      </c>
      <c r="J137" s="30">
        <v>5460.4</v>
      </c>
      <c r="K137" s="10">
        <f t="shared" si="0"/>
      </c>
      <c r="L137" s="10">
        <f t="shared" si="2"/>
      </c>
      <c r="M137" s="10">
        <f t="shared" si="1"/>
      </c>
      <c r="N137" s="36" t="s">
        <v>74</v>
      </c>
      <c r="O137" s="16">
        <v>10</v>
      </c>
      <c r="P137" s="37"/>
      <c r="Q137" s="12"/>
      <c r="R137" s="12"/>
      <c r="S137" s="12"/>
    </row>
    <row r="138">
      <c r="A138" s="4" t="s">
        <v>87</v>
      </c>
      <c r="B138" s="4" t="s">
        <v>38</v>
      </c>
      <c r="C138" s="6" t="s">
        <v>55</v>
      </c>
      <c r="D138" s="7">
        <v>4</v>
      </c>
      <c r="E138" s="4">
        <v>12</v>
      </c>
      <c r="F138" s="4">
        <v>11</v>
      </c>
      <c r="G138" s="4">
        <v>11</v>
      </c>
      <c r="H138" s="5">
        <v>3</v>
      </c>
      <c r="I138" s="9">
        <v>4972.799999999996</v>
      </c>
      <c r="J138" s="9">
        <f>4314.63+0.07</f>
      </c>
      <c r="K138" s="10">
        <f t="shared" si="0"/>
      </c>
      <c r="L138" s="10">
        <f t="shared" si="2"/>
      </c>
      <c r="M138" s="52">
        <f t="shared" si="1"/>
      </c>
      <c r="N138" s="38"/>
      <c r="O138" s="38"/>
      <c r="P138" s="37"/>
      <c r="Q138" s="12"/>
      <c r="R138" s="12"/>
      <c r="S138" s="12"/>
    </row>
    <row r="139">
      <c r="A139" s="58" t="s">
        <v>87</v>
      </c>
      <c r="B139" s="18"/>
      <c r="C139" s="18"/>
      <c r="D139" s="19">
        <f>SUM(D135:D138)</f>
      </c>
      <c r="E139" s="19">
        <f>SUM(E135:E138)</f>
      </c>
      <c r="F139" s="19">
        <f>SUM(F135:F138)</f>
      </c>
      <c r="G139" s="19">
        <f>SUM(G135:G138)</f>
      </c>
      <c r="H139" s="19">
        <f>SUM(H135:H138)</f>
      </c>
      <c r="I139" s="18">
        <f>SUM(I135:I138)</f>
      </c>
      <c r="J139" s="18">
        <f>SUM(J135:J138)</f>
      </c>
      <c r="K139" s="21">
        <f t="shared" si="0"/>
      </c>
      <c r="L139" s="21">
        <f t="shared" si="2"/>
      </c>
      <c r="M139" s="21">
        <f t="shared" si="1"/>
      </c>
      <c r="N139" s="18"/>
      <c r="O139" s="18">
        <f>SUM(O135:O137)</f>
      </c>
      <c r="P139" s="19"/>
      <c r="Q139" s="19">
        <f>SUM(Q135:Q136)</f>
      </c>
      <c r="R139" s="19">
        <f>SUM(R135:R136)</f>
      </c>
      <c r="S139" s="19">
        <f>SUM(S135:S136)</f>
      </c>
    </row>
    <row r="140">
      <c r="A140" s="4" t="s">
        <v>90</v>
      </c>
      <c r="B140" s="15" t="s">
        <v>20</v>
      </c>
      <c r="C140" s="6" t="s">
        <v>49</v>
      </c>
      <c r="D140" s="7">
        <v>4</v>
      </c>
      <c r="E140" s="4">
        <v>16</v>
      </c>
      <c r="F140" s="4">
        <v>13</v>
      </c>
      <c r="G140" s="4">
        <v>13</v>
      </c>
      <c r="H140" s="5">
        <v>1</v>
      </c>
      <c r="I140" s="23">
        <v>5930.4</v>
      </c>
      <c r="J140" s="23">
        <v>3873.41</v>
      </c>
      <c r="K140" s="10">
        <f t="shared" si="0"/>
      </c>
      <c r="L140" s="10">
        <f t="shared" si="2"/>
      </c>
      <c r="M140" s="10">
        <f t="shared" si="1"/>
      </c>
      <c r="N140" s="16"/>
      <c r="O140" s="16"/>
      <c r="P140" s="12"/>
      <c r="Q140" s="12"/>
      <c r="R140" s="12"/>
      <c r="S140" s="12"/>
    </row>
    <row r="141">
      <c r="A141" s="4" t="s">
        <v>90</v>
      </c>
      <c r="B141" s="15" t="s">
        <v>30</v>
      </c>
      <c r="C141" s="13" t="s">
        <v>50</v>
      </c>
      <c r="D141" s="7">
        <v>4</v>
      </c>
      <c r="E141" s="4">
        <v>14</v>
      </c>
      <c r="F141" s="4">
        <v>10</v>
      </c>
      <c r="G141" s="4">
        <v>10</v>
      </c>
      <c r="H141" s="5">
        <v>0</v>
      </c>
      <c r="I141" s="23">
        <v>4573.300000000001</v>
      </c>
      <c r="J141" s="23">
        <v>4313.41</v>
      </c>
      <c r="K141" s="10">
        <f t="shared" si="0"/>
      </c>
      <c r="L141" s="10">
        <f t="shared" si="2"/>
      </c>
      <c r="M141" s="10">
        <f t="shared" si="1"/>
      </c>
      <c r="N141" s="36" t="s">
        <v>73</v>
      </c>
      <c r="O141" s="36">
        <v>9</v>
      </c>
      <c r="P141" s="37"/>
      <c r="Q141" s="12"/>
      <c r="R141" s="12"/>
      <c r="S141" s="12"/>
    </row>
    <row customHeight="true" ht="16.666666666666668" r="142">
      <c r="A142" s="4" t="s">
        <v>90</v>
      </c>
      <c r="B142" s="4" t="s">
        <v>38</v>
      </c>
      <c r="C142" s="59" t="s">
        <v>91</v>
      </c>
      <c r="D142" s="49">
        <v>2</v>
      </c>
      <c r="E142" s="4">
        <v>21</v>
      </c>
      <c r="F142" s="4">
        <v>15</v>
      </c>
      <c r="G142" s="4">
        <v>15</v>
      </c>
      <c r="H142" s="5">
        <v>0</v>
      </c>
      <c r="I142" s="23">
        <v>6946.799999999999</v>
      </c>
      <c r="J142" s="23">
        <v>16291.07</v>
      </c>
      <c r="K142" s="10">
        <f t="shared" si="0"/>
      </c>
      <c r="L142" s="10">
        <f t="shared" si="2"/>
      </c>
      <c r="M142" s="10">
        <f t="shared" si="1"/>
      </c>
      <c r="N142" s="36" t="s">
        <v>74</v>
      </c>
      <c r="O142" s="16">
        <v>10</v>
      </c>
      <c r="P142" s="37"/>
      <c r="Q142" s="12"/>
      <c r="R142" s="12"/>
      <c r="S142" s="12"/>
    </row>
    <row r="143">
      <c r="A143" s="4" t="s">
        <v>90</v>
      </c>
      <c r="B143" s="4" t="s">
        <v>24</v>
      </c>
      <c r="C143" s="16" t="s">
        <v>92</v>
      </c>
      <c r="D143" s="7">
        <v>4</v>
      </c>
      <c r="E143" s="4">
        <v>17</v>
      </c>
      <c r="F143" s="4">
        <v>13</v>
      </c>
      <c r="G143" s="4">
        <v>13</v>
      </c>
      <c r="H143" s="5">
        <v>0</v>
      </c>
      <c r="I143" s="30">
        <v>5950.9000000000015</v>
      </c>
      <c r="J143" s="30">
        <v>4830.84</v>
      </c>
      <c r="K143" s="10">
        <f t="shared" si="0"/>
      </c>
      <c r="L143" s="10">
        <f t="shared" si="2"/>
      </c>
      <c r="M143" s="10">
        <f t="shared" si="1"/>
      </c>
      <c r="N143" s="38"/>
      <c r="O143" s="38"/>
      <c r="P143" s="37"/>
      <c r="Q143" s="12"/>
      <c r="R143" s="12"/>
      <c r="S143" s="12"/>
    </row>
    <row r="144">
      <c r="A144" s="4" t="s">
        <v>90</v>
      </c>
      <c r="B144" s="4" t="s">
        <v>27</v>
      </c>
      <c r="C144" s="6" t="s">
        <v>62</v>
      </c>
      <c r="D144" s="7">
        <v>5</v>
      </c>
      <c r="E144" s="4">
        <v>37</v>
      </c>
      <c r="F144" s="4">
        <v>26</v>
      </c>
      <c r="G144" s="4">
        <v>26</v>
      </c>
      <c r="H144" s="5">
        <v>4</v>
      </c>
      <c r="I144" s="23">
        <v>11684.400000000001</v>
      </c>
      <c r="J144" s="53">
        <v>5918.61</v>
      </c>
      <c r="K144" s="10">
        <f t="shared" si="0"/>
      </c>
      <c r="L144" s="10">
        <f t="shared" si="2"/>
      </c>
      <c r="M144" s="52">
        <f t="shared" si="1"/>
      </c>
      <c r="N144" s="38"/>
      <c r="O144" s="38"/>
      <c r="P144" s="37"/>
      <c r="Q144" s="12"/>
      <c r="R144" s="12"/>
      <c r="S144" s="12"/>
    </row>
    <row r="145">
      <c r="A145" s="17" t="s">
        <v>90</v>
      </c>
      <c r="B145" s="18"/>
      <c r="C145" s="18"/>
      <c r="D145" s="19">
        <f>SUM(D140:D144)</f>
      </c>
      <c r="E145" s="19">
        <f>SUM(E140:E144)</f>
      </c>
      <c r="F145" s="19">
        <f>SUM(F140:F144)</f>
      </c>
      <c r="G145" s="19">
        <f>SUM(G140:G144)</f>
      </c>
      <c r="H145" s="19">
        <f>SUM(H140:H144)</f>
      </c>
      <c r="I145" s="18">
        <f>SUM(I140:I144)</f>
      </c>
      <c r="J145" s="18">
        <f>SUM(J140:J144)</f>
      </c>
      <c r="K145" s="21">
        <f t="shared" si="0"/>
      </c>
      <c r="L145" s="21">
        <f t="shared" si="2"/>
      </c>
      <c r="M145" s="21">
        <f t="shared" si="1"/>
      </c>
      <c r="N145" s="18"/>
      <c r="O145" s="18">
        <f>SUM(O140:O142)</f>
      </c>
      <c r="P145" s="19"/>
      <c r="Q145" s="19">
        <f>SUM(Q140:Q142)</f>
      </c>
      <c r="R145" s="19">
        <f>SUM(R140:R142)</f>
      </c>
      <c r="S145" s="19">
        <f>SUM(S140:S142)</f>
      </c>
    </row>
    <row r="146">
      <c r="A146" s="4" t="s">
        <v>93</v>
      </c>
      <c r="B146" s="15" t="s">
        <v>20</v>
      </c>
      <c r="C146" s="6" t="s">
        <v>49</v>
      </c>
      <c r="D146" s="7">
        <v>4</v>
      </c>
      <c r="E146" s="4">
        <v>17</v>
      </c>
      <c r="F146" s="4">
        <v>17</v>
      </c>
      <c r="G146" s="4">
        <v>17</v>
      </c>
      <c r="H146" s="5">
        <v>0</v>
      </c>
      <c r="I146" s="23">
        <v>7728</v>
      </c>
      <c r="J146" s="23">
        <v>6060.99</v>
      </c>
      <c r="K146" s="10">
        <f t="shared" si="0"/>
      </c>
      <c r="L146" s="10">
        <f t="shared" si="2"/>
      </c>
      <c r="M146" s="10">
        <f t="shared" si="1"/>
      </c>
      <c r="N146" s="16"/>
      <c r="O146" s="16"/>
      <c r="P146" s="12"/>
      <c r="Q146" s="12"/>
      <c r="R146" s="12"/>
      <c r="S146" s="12"/>
    </row>
    <row r="147">
      <c r="A147" s="4" t="s">
        <v>93</v>
      </c>
      <c r="B147" s="15" t="s">
        <v>30</v>
      </c>
      <c r="C147" s="13" t="s">
        <v>50</v>
      </c>
      <c r="D147" s="7">
        <v>4</v>
      </c>
      <c r="E147" s="4">
        <v>26</v>
      </c>
      <c r="F147" s="4">
        <v>21</v>
      </c>
      <c r="G147" s="4">
        <v>21</v>
      </c>
      <c r="H147" s="5">
        <v>0</v>
      </c>
      <c r="I147" s="23">
        <v>9487.3</v>
      </c>
      <c r="J147" s="23">
        <v>6013.209999999999</v>
      </c>
      <c r="K147" s="10">
        <f t="shared" si="0"/>
      </c>
      <c r="L147" s="10">
        <f t="shared" si="2"/>
      </c>
      <c r="M147" s="10">
        <f t="shared" si="1"/>
      </c>
      <c r="N147" s="36" t="s">
        <v>70</v>
      </c>
      <c r="O147" s="36">
        <v>10</v>
      </c>
      <c r="P147" s="37"/>
      <c r="Q147" s="12"/>
      <c r="R147" s="12"/>
      <c r="S147" s="12"/>
    </row>
    <row customHeight="true" ht="16.071428571428573" r="148">
      <c r="A148" s="4" t="s">
        <v>93</v>
      </c>
      <c r="B148" s="4" t="s">
        <v>38</v>
      </c>
      <c r="C148" s="59" t="s">
        <v>52</v>
      </c>
      <c r="D148" s="49">
        <v>4</v>
      </c>
      <c r="E148" s="4">
        <v>21</v>
      </c>
      <c r="F148" s="4">
        <v>19</v>
      </c>
      <c r="G148" s="4">
        <v>19</v>
      </c>
      <c r="H148" s="5">
        <v>1</v>
      </c>
      <c r="I148" s="53">
        <v>8588.5</v>
      </c>
      <c r="J148" s="53">
        <v>5691.19</v>
      </c>
      <c r="K148" s="10">
        <f t="shared" si="0"/>
      </c>
      <c r="L148" s="10">
        <f t="shared" si="2"/>
      </c>
      <c r="M148" s="10">
        <f t="shared" si="1"/>
      </c>
      <c r="N148" s="36" t="s">
        <v>94</v>
      </c>
      <c r="O148" s="16">
        <v>10</v>
      </c>
      <c r="P148" s="37"/>
      <c r="Q148" s="12"/>
      <c r="R148" s="12"/>
      <c r="S148" s="12"/>
    </row>
    <row r="149">
      <c r="A149" s="4" t="s">
        <v>93</v>
      </c>
      <c r="B149" s="4" t="s">
        <v>24</v>
      </c>
      <c r="C149" s="16" t="s">
        <v>53</v>
      </c>
      <c r="D149" s="7">
        <v>4</v>
      </c>
      <c r="E149" s="4">
        <v>17</v>
      </c>
      <c r="F149" s="4">
        <v>17</v>
      </c>
      <c r="G149" s="4">
        <v>17</v>
      </c>
      <c r="H149" s="5">
        <v>3</v>
      </c>
      <c r="I149" s="54">
        <v>7810</v>
      </c>
      <c r="J149" s="54">
        <v>5112.96</v>
      </c>
      <c r="K149" s="10">
        <f t="shared" si="0"/>
      </c>
      <c r="L149" s="10">
        <f t="shared" si="2"/>
      </c>
      <c r="M149" s="10">
        <f t="shared" si="1"/>
      </c>
      <c r="N149" s="38"/>
      <c r="O149" s="38"/>
      <c r="P149" s="37"/>
      <c r="Q149" s="12"/>
      <c r="R149" s="12"/>
      <c r="S149" s="12"/>
    </row>
    <row r="150">
      <c r="A150" s="4" t="s">
        <v>93</v>
      </c>
      <c r="B150" s="4" t="s">
        <v>27</v>
      </c>
      <c r="C150" s="6" t="s">
        <v>55</v>
      </c>
      <c r="D150" s="7">
        <v>4</v>
      </c>
      <c r="E150" s="4">
        <v>9</v>
      </c>
      <c r="F150" s="4">
        <v>9</v>
      </c>
      <c r="G150" s="4">
        <v>9</v>
      </c>
      <c r="H150" s="5">
        <v>0</v>
      </c>
      <c r="I150" s="53">
        <v>3922.8</v>
      </c>
      <c r="J150" s="54">
        <v>4907.14</v>
      </c>
      <c r="K150" s="10">
        <f t="shared" si="0"/>
      </c>
      <c r="L150" s="10">
        <f t="shared" si="2"/>
      </c>
      <c r="M150" s="52">
        <f t="shared" si="1"/>
      </c>
      <c r="N150" s="38"/>
      <c r="O150" s="38"/>
      <c r="P150" s="37"/>
      <c r="Q150" s="12"/>
      <c r="R150" s="12"/>
      <c r="S150" s="12"/>
    </row>
    <row r="151">
      <c r="A151" s="17" t="s">
        <v>93</v>
      </c>
      <c r="B151" s="18"/>
      <c r="C151" s="18"/>
      <c r="D151" s="19">
        <f>SUM(D146:D150)</f>
      </c>
      <c r="E151" s="19">
        <f>SUM(E146:E150)</f>
      </c>
      <c r="F151" s="19">
        <f>SUM(F146:F150)</f>
      </c>
      <c r="G151" s="19">
        <f>SUM(G146:G150)</f>
      </c>
      <c r="H151" s="19">
        <f>SUM(H146:H150)</f>
      </c>
      <c r="I151" s="18">
        <f>SUM(I146:I150)</f>
      </c>
      <c r="J151" s="18">
        <f>SUM(J146:J150)</f>
      </c>
      <c r="K151" s="21">
        <f t="shared" si="0"/>
      </c>
      <c r="L151" s="21">
        <f t="shared" si="2"/>
      </c>
      <c r="M151" s="21">
        <f t="shared" si="1"/>
      </c>
      <c r="N151" s="18"/>
      <c r="O151" s="18">
        <f>SUM(O146:O148)</f>
      </c>
      <c r="P151" s="19"/>
      <c r="Q151" s="19">
        <f>SUM(Q146:Q148)</f>
      </c>
      <c r="R151" s="19">
        <f>SUM(R146:R148)</f>
      </c>
      <c r="S151" s="19">
        <f>SUM(S146:S148)</f>
      </c>
    </row>
    <row r="152">
      <c r="A152" s="4" t="s">
        <v>95</v>
      </c>
      <c r="B152" s="15" t="s">
        <v>20</v>
      </c>
      <c r="C152" s="6" t="s">
        <v>49</v>
      </c>
      <c r="D152" s="7">
        <v>4</v>
      </c>
      <c r="E152" s="4">
        <v>21</v>
      </c>
      <c r="F152" s="4">
        <v>16</v>
      </c>
      <c r="G152" s="4">
        <v>16</v>
      </c>
      <c r="H152" s="5">
        <v>1</v>
      </c>
      <c r="I152" s="33">
        <v>7333.2</v>
      </c>
      <c r="J152" s="33">
        <v>4816.42</v>
      </c>
      <c r="K152" s="10">
        <f t="shared" si="0"/>
      </c>
      <c r="L152" s="10">
        <f t="shared" si="2"/>
      </c>
      <c r="M152" s="10">
        <f t="shared" si="1"/>
      </c>
      <c r="N152" s="16"/>
      <c r="O152" s="16"/>
      <c r="P152" s="12"/>
      <c r="Q152" s="12"/>
      <c r="R152" s="12"/>
      <c r="S152" s="12"/>
    </row>
    <row r="153">
      <c r="A153" s="4" t="s">
        <v>95</v>
      </c>
      <c r="B153" s="15" t="s">
        <v>30</v>
      </c>
      <c r="C153" s="13" t="s">
        <v>50</v>
      </c>
      <c r="D153" s="7">
        <v>4</v>
      </c>
      <c r="E153" s="4">
        <v>49</v>
      </c>
      <c r="F153" s="4">
        <v>37</v>
      </c>
      <c r="G153" s="4">
        <v>37</v>
      </c>
      <c r="H153" s="5">
        <v>3</v>
      </c>
      <c r="I153" s="33">
        <v>16484.5</v>
      </c>
      <c r="J153" s="33">
        <v>6694.26</v>
      </c>
      <c r="K153" s="10">
        <f t="shared" si="0"/>
      </c>
      <c r="L153" s="10">
        <f t="shared" si="2"/>
      </c>
      <c r="M153" s="10">
        <f t="shared" si="1"/>
      </c>
      <c r="N153" s="36" t="s">
        <v>51</v>
      </c>
      <c r="O153" s="36">
        <v>10</v>
      </c>
      <c r="P153" s="37"/>
      <c r="Q153" s="12"/>
      <c r="R153" s="12"/>
      <c r="S153" s="12"/>
    </row>
    <row r="154">
      <c r="A154" s="4" t="s">
        <v>95</v>
      </c>
      <c r="B154" s="4" t="s">
        <v>27</v>
      </c>
      <c r="C154" s="59" t="s">
        <v>52</v>
      </c>
      <c r="D154" s="49">
        <v>4</v>
      </c>
      <c r="E154" s="4">
        <v>20</v>
      </c>
      <c r="F154" s="4">
        <v>19</v>
      </c>
      <c r="G154" s="4">
        <v>19</v>
      </c>
      <c r="H154" s="5">
        <v>2</v>
      </c>
      <c r="I154" s="53">
        <v>8823.7</v>
      </c>
      <c r="J154" s="53">
        <v>6171.28</v>
      </c>
      <c r="K154" s="10">
        <f t="shared" si="0"/>
      </c>
      <c r="L154" s="10">
        <f t="shared" si="2"/>
      </c>
      <c r="M154" s="10">
        <f t="shared" si="1"/>
      </c>
      <c r="N154" s="36" t="s">
        <v>94</v>
      </c>
      <c r="O154" s="16">
        <v>10</v>
      </c>
      <c r="P154" s="37"/>
      <c r="Q154" s="12"/>
      <c r="R154" s="12"/>
      <c r="S154" s="12"/>
    </row>
    <row r="155">
      <c r="A155" s="4" t="s">
        <v>95</v>
      </c>
      <c r="B155" s="4" t="s">
        <v>24</v>
      </c>
      <c r="C155" s="16" t="s">
        <v>53</v>
      </c>
      <c r="D155" s="60">
        <v>3</v>
      </c>
      <c r="E155" s="4">
        <v>17</v>
      </c>
      <c r="F155" s="4">
        <v>17</v>
      </c>
      <c r="G155" s="4">
        <v>17</v>
      </c>
      <c r="H155" s="5">
        <v>2</v>
      </c>
      <c r="I155" s="54">
        <v>7559</v>
      </c>
      <c r="J155" s="54">
        <v>5324.45</v>
      </c>
      <c r="K155" s="10">
        <f t="shared" si="0"/>
      </c>
      <c r="L155" s="10">
        <f t="shared" si="2"/>
      </c>
      <c r="M155" s="10">
        <f t="shared" si="1"/>
      </c>
      <c r="N155" s="38"/>
      <c r="O155" s="38"/>
      <c r="P155" s="37"/>
      <c r="Q155" s="12"/>
      <c r="R155" s="12"/>
      <c r="S155" s="12"/>
    </row>
    <row r="156">
      <c r="A156" s="4" t="s">
        <v>95</v>
      </c>
      <c r="B156" s="4" t="s">
        <v>38</v>
      </c>
      <c r="C156" s="6" t="s">
        <v>55</v>
      </c>
      <c r="D156" s="60">
        <v>3</v>
      </c>
      <c r="E156" s="4">
        <v>22</v>
      </c>
      <c r="F156" s="4">
        <v>22</v>
      </c>
      <c r="G156" s="4">
        <v>22</v>
      </c>
      <c r="H156" s="5">
        <v>1</v>
      </c>
      <c r="I156" s="61">
        <v>9769.2</v>
      </c>
      <c r="J156" s="53">
        <v>5953.62</v>
      </c>
      <c r="K156" s="10">
        <f t="shared" si="0"/>
      </c>
      <c r="L156" s="10">
        <f t="shared" si="2"/>
      </c>
      <c r="M156" s="52">
        <f t="shared" si="1"/>
      </c>
      <c r="N156" s="38"/>
      <c r="O156" s="38"/>
      <c r="P156" s="37"/>
      <c r="Q156" s="12"/>
      <c r="R156" s="12"/>
      <c r="S156" s="12"/>
    </row>
    <row r="157">
      <c r="A157" s="17" t="s">
        <v>95</v>
      </c>
      <c r="B157" s="18"/>
      <c r="C157" s="18"/>
      <c r="D157" s="19">
        <f>SUM(D152:D156)</f>
      </c>
      <c r="E157" s="19">
        <f>SUM(E152:E156)</f>
      </c>
      <c r="F157" s="19">
        <f>SUM(F152:F156)</f>
      </c>
      <c r="G157" s="19">
        <f>SUM(G152:G156)</f>
      </c>
      <c r="H157" s="19">
        <f>SUM(H152:H156)</f>
      </c>
      <c r="I157" s="18">
        <f>SUM(I152:I156)</f>
      </c>
      <c r="J157" s="18">
        <f>SUM(J152:J156)</f>
      </c>
      <c r="K157" s="21">
        <f t="shared" si="0"/>
      </c>
      <c r="L157" s="21">
        <f t="shared" si="2"/>
      </c>
      <c r="M157" s="21">
        <f t="shared" si="1"/>
      </c>
      <c r="N157" s="18"/>
      <c r="O157" s="18">
        <f>SUM(O152:O154)</f>
      </c>
      <c r="P157" s="19"/>
      <c r="Q157" s="19">
        <f>SUM(Q152:Q154)</f>
      </c>
      <c r="R157" s="19">
        <f>SUM(R152:R154)</f>
      </c>
      <c r="S157" s="19">
        <f>SUM(S152:S154)</f>
      </c>
    </row>
    <row r="158">
      <c r="A158" s="4" t="s">
        <v>96</v>
      </c>
      <c r="B158" s="15" t="s">
        <v>20</v>
      </c>
      <c r="C158" s="6" t="s">
        <v>49</v>
      </c>
      <c r="D158" s="60">
        <v>3.5</v>
      </c>
      <c r="E158" s="4">
        <v>16</v>
      </c>
      <c r="F158" s="4">
        <v>19</v>
      </c>
      <c r="G158" s="4">
        <v>19</v>
      </c>
      <c r="H158" s="5">
        <v>2</v>
      </c>
      <c r="I158" s="54">
        <v>8626.8</v>
      </c>
      <c r="J158" s="54">
        <v>5218.75</v>
      </c>
      <c r="K158" s="10">
        <f t="shared" si="0"/>
      </c>
      <c r="L158" s="10">
        <f t="shared" si="2"/>
      </c>
      <c r="M158" s="10">
        <f t="shared" si="1"/>
      </c>
      <c r="N158" s="16"/>
      <c r="O158" s="16"/>
      <c r="P158" s="12"/>
      <c r="Q158" s="12"/>
      <c r="R158" s="12"/>
      <c r="S158" s="12"/>
    </row>
    <row r="159">
      <c r="A159" s="4" t="s">
        <v>96</v>
      </c>
      <c r="B159" s="15" t="s">
        <v>30</v>
      </c>
      <c r="C159" s="13" t="s">
        <v>50</v>
      </c>
      <c r="D159" s="60">
        <v>3.5</v>
      </c>
      <c r="E159" s="4">
        <v>27</v>
      </c>
      <c r="F159" s="4">
        <v>21</v>
      </c>
      <c r="G159" s="4">
        <v>21</v>
      </c>
      <c r="H159" s="5">
        <v>1</v>
      </c>
      <c r="I159" s="54">
        <v>9760.8</v>
      </c>
      <c r="J159" s="54">
        <v>6336.84</v>
      </c>
      <c r="K159" s="10">
        <f t="shared" si="0"/>
      </c>
      <c r="L159" s="10">
        <f t="shared" si="2"/>
      </c>
      <c r="M159" s="10">
        <f t="shared" si="1"/>
      </c>
      <c r="N159" s="36" t="s">
        <v>51</v>
      </c>
      <c r="O159" s="36">
        <v>10</v>
      </c>
      <c r="P159" s="37"/>
      <c r="Q159" s="12"/>
      <c r="R159" s="12"/>
      <c r="S159" s="12"/>
    </row>
    <row r="160">
      <c r="A160" s="4" t="s">
        <v>96</v>
      </c>
      <c r="B160" s="4" t="s">
        <v>27</v>
      </c>
      <c r="C160" s="59" t="s">
        <v>97</v>
      </c>
      <c r="D160" s="60">
        <v>4</v>
      </c>
      <c r="E160" s="4">
        <v>31</v>
      </c>
      <c r="F160" s="4">
        <v>25</v>
      </c>
      <c r="G160" s="4">
        <v>25</v>
      </c>
      <c r="H160" s="5">
        <v>0</v>
      </c>
      <c r="I160" s="53">
        <v>11507</v>
      </c>
      <c r="J160" s="53">
        <v>6198.57</v>
      </c>
      <c r="K160" s="10">
        <f t="shared" si="0"/>
      </c>
      <c r="L160" s="10">
        <f t="shared" si="2"/>
      </c>
      <c r="M160" s="10">
        <f t="shared" si="1"/>
      </c>
      <c r="N160" s="36" t="s">
        <v>94</v>
      </c>
      <c r="O160" s="16">
        <v>8</v>
      </c>
      <c r="P160" s="37"/>
      <c r="Q160" s="12"/>
      <c r="R160" s="12"/>
      <c r="S160" s="12"/>
    </row>
    <row r="161">
      <c r="A161" s="4" t="s">
        <v>96</v>
      </c>
      <c r="B161" s="4" t="s">
        <v>24</v>
      </c>
      <c r="C161" s="16" t="s">
        <v>98</v>
      </c>
      <c r="D161" s="7">
        <v>5</v>
      </c>
      <c r="E161" s="4">
        <v>26</v>
      </c>
      <c r="F161" s="4">
        <v>26</v>
      </c>
      <c r="G161" s="4">
        <v>26</v>
      </c>
      <c r="H161" s="5">
        <v>2</v>
      </c>
      <c r="I161" s="54">
        <v>11489.2</v>
      </c>
      <c r="J161" s="54">
        <f>6116.69+0.51</f>
      </c>
      <c r="K161" s="10">
        <f t="shared" si="0"/>
      </c>
      <c r="L161" s="10">
        <f t="shared" si="2"/>
      </c>
      <c r="M161" s="10">
        <f t="shared" si="1"/>
      </c>
      <c r="N161" s="38"/>
      <c r="O161" s="38"/>
      <c r="P161" s="37"/>
      <c r="Q161" s="12"/>
      <c r="R161" s="12"/>
      <c r="S161" s="12"/>
    </row>
    <row r="162">
      <c r="A162" s="17" t="s">
        <v>96</v>
      </c>
      <c r="B162" s="18"/>
      <c r="C162" s="18"/>
      <c r="D162" s="19">
        <f>SUM(D158:D161)</f>
      </c>
      <c r="E162" s="19">
        <f>SUM(E158:E161)</f>
      </c>
      <c r="F162" s="19">
        <f>SUM(F158:F161)</f>
      </c>
      <c r="G162" s="19">
        <f>SUM(G158:G161)</f>
      </c>
      <c r="H162" s="19">
        <f>SUM(H158:H161)</f>
      </c>
      <c r="I162" s="18">
        <f>SUM(I158:I161)</f>
      </c>
      <c r="J162" s="18">
        <f>SUM(J158:J161)</f>
      </c>
      <c r="K162" s="21">
        <f t="shared" si="0"/>
      </c>
      <c r="L162" s="21">
        <f t="shared" si="2"/>
      </c>
      <c r="M162" s="21">
        <f t="shared" si="1"/>
      </c>
      <c r="N162" s="18"/>
      <c r="O162" s="18">
        <f>SUM(O158:O160)</f>
      </c>
      <c r="P162" s="19"/>
      <c r="Q162" s="19">
        <f>SUM(Q158:Q160)</f>
      </c>
      <c r="R162" s="19">
        <f>SUM(R158:R160)</f>
      </c>
      <c r="S162" s="19">
        <f>SUM(S158:S160)</f>
      </c>
    </row>
    <row r="163"/>
    <row r="164"/>
    <row r="165"/>
    <row r="166">
      <c r="E166" s="62"/>
    </row>
  </sheetData>
  <autoFilter ref="A1:S16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</cols>
  <sheetData>
    <row r="1">
      <c r="A1" s="63" t="s">
        <v>99</v>
      </c>
      <c r="B1" s="63" t="s">
        <v>100</v>
      </c>
      <c r="C1" s="63" t="s">
        <v>101</v>
      </c>
      <c r="D1" s="63" t="s">
        <v>102</v>
      </c>
      <c r="E1" s="63" t="s">
        <v>103</v>
      </c>
      <c r="F1" s="63" t="s">
        <v>104</v>
      </c>
      <c r="G1" s="63" t="s">
        <v>105</v>
      </c>
      <c r="H1" s="63" t="s">
        <v>106</v>
      </c>
      <c r="I1" s="63" t="s">
        <v>107</v>
      </c>
      <c r="J1" s="64" t="s">
        <v>108</v>
      </c>
      <c r="K1" s="65" t="s">
        <v>109</v>
      </c>
      <c r="L1" s="65" t="s">
        <v>110</v>
      </c>
      <c r="M1" s="65" t="s">
        <v>111</v>
      </c>
      <c r="N1" s="65" t="s">
        <v>112</v>
      </c>
      <c r="O1" s="63" t="s">
        <v>113</v>
      </c>
      <c r="P1" s="63" t="s">
        <v>114</v>
      </c>
      <c r="Q1" s="63" t="s">
        <v>113</v>
      </c>
      <c r="R1" s="63" t="s">
        <v>115</v>
      </c>
      <c r="S1" s="63" t="s">
        <v>116</v>
      </c>
    </row>
    <row hidden="true" r="2">
      <c r="A2" s="66" t="s">
        <v>117</v>
      </c>
      <c r="B2" s="66" t="s">
        <v>118</v>
      </c>
      <c r="C2" s="66" t="s">
        <v>119</v>
      </c>
      <c r="D2" s="66">
        <v>5</v>
      </c>
      <c r="E2" s="66">
        <v>14</v>
      </c>
      <c r="F2" s="66">
        <v>13</v>
      </c>
      <c r="G2" s="66">
        <v>13</v>
      </c>
      <c r="H2" s="66">
        <v>1</v>
      </c>
      <c r="I2" s="66">
        <v>5833.3</v>
      </c>
      <c r="J2" s="67">
        <v>5510.8</v>
      </c>
      <c r="K2" s="68">
        <f t="shared" ref="K2:K103" si="1">I2/J2</f>
      </c>
      <c r="L2" s="68">
        <f t="shared" ref="L2:L103" si="0">I2/G2</f>
      </c>
      <c r="M2" s="68">
        <f t="shared" ref="M2:M103" si="2">J2/G2</f>
      </c>
      <c r="N2" s="66"/>
      <c r="O2" s="66"/>
      <c r="P2" s="69"/>
      <c r="Q2" s="69"/>
      <c r="R2" s="69"/>
      <c r="S2" s="69"/>
    </row>
    <row hidden="true" r="3">
      <c r="A3" s="66" t="s">
        <v>117</v>
      </c>
      <c r="B3" s="66" t="s">
        <v>120</v>
      </c>
      <c r="C3" s="70" t="s">
        <v>121</v>
      </c>
      <c r="D3" s="70">
        <v>3</v>
      </c>
      <c r="E3" s="70">
        <v>13</v>
      </c>
      <c r="F3" s="70">
        <v>13</v>
      </c>
      <c r="G3" s="70">
        <v>13</v>
      </c>
      <c r="H3" s="70">
        <v>0</v>
      </c>
      <c r="I3" s="70">
        <v>5820.2</v>
      </c>
      <c r="J3" s="70">
        <v>4229.28</v>
      </c>
      <c r="K3" s="71">
        <f t="shared" si="1"/>
      </c>
      <c r="L3" s="71">
        <f t="shared" si="0"/>
      </c>
      <c r="M3" s="71">
        <f t="shared" si="2"/>
      </c>
      <c r="N3" s="70" t="s">
        <v>122</v>
      </c>
      <c r="O3" s="70">
        <v>8</v>
      </c>
      <c r="P3" s="72"/>
      <c r="Q3" s="72"/>
      <c r="R3" s="72"/>
      <c r="S3" s="72"/>
    </row>
    <row hidden="true" r="4">
      <c r="A4" s="73" t="s">
        <v>117</v>
      </c>
      <c r="B4" s="74"/>
      <c r="C4" s="74"/>
      <c r="D4" s="74">
        <f>SUM(D2:D3)</f>
      </c>
      <c r="E4" s="74">
        <f>SUM(E2:E3)</f>
      </c>
      <c r="F4" s="74">
        <f>SUM(F2:F3)</f>
      </c>
      <c r="G4" s="74">
        <f>SUM(G2:G3)</f>
      </c>
      <c r="H4" s="74">
        <f>SUM(H2:H3)</f>
      </c>
      <c r="I4" s="74">
        <f>SUM(I2:I3)</f>
      </c>
      <c r="J4" s="75">
        <f>SUM(J2:J3)</f>
      </c>
      <c r="K4" s="76">
        <f t="shared" si="1"/>
      </c>
      <c r="L4" s="76">
        <f t="shared" si="0"/>
      </c>
      <c r="M4" s="76">
        <f t="shared" si="2"/>
      </c>
      <c r="N4" s="74"/>
      <c r="O4" s="74">
        <f>SUM(O2:O3)</f>
      </c>
      <c r="P4" s="74"/>
      <c r="Q4" s="74">
        <f>SUM(Q2:Q3)</f>
      </c>
      <c r="R4" s="74">
        <f>SUM(R2:R3)</f>
      </c>
      <c r="S4" s="74">
        <f>SUM(S2:S3)</f>
      </c>
    </row>
    <row hidden="true" r="5">
      <c r="A5" s="66" t="s">
        <v>123</v>
      </c>
      <c r="B5" s="66" t="s">
        <v>118</v>
      </c>
      <c r="C5" s="66" t="s">
        <v>124</v>
      </c>
      <c r="D5" s="66">
        <v>4</v>
      </c>
      <c r="E5" s="66">
        <v>27</v>
      </c>
      <c r="F5" s="66">
        <v>25</v>
      </c>
      <c r="G5" s="66">
        <v>25</v>
      </c>
      <c r="H5" s="66">
        <v>2</v>
      </c>
      <c r="I5" s="66">
        <v>11464</v>
      </c>
      <c r="J5" s="67">
        <v>4728.95</v>
      </c>
      <c r="K5" s="68">
        <f t="shared" si="1"/>
      </c>
      <c r="L5" s="68">
        <f t="shared" si="0"/>
      </c>
      <c r="M5" s="68">
        <f t="shared" si="2"/>
      </c>
      <c r="N5" s="70" t="s">
        <v>122</v>
      </c>
      <c r="O5" s="66">
        <v>6</v>
      </c>
      <c r="P5" s="69"/>
      <c r="Q5" s="69"/>
      <c r="R5" s="69"/>
      <c r="S5" s="69"/>
    </row>
    <row hidden="true" r="6">
      <c r="A6" s="66" t="s">
        <v>123</v>
      </c>
      <c r="B6" s="66" t="s">
        <v>120</v>
      </c>
      <c r="C6" s="70" t="s">
        <v>125</v>
      </c>
      <c r="D6" s="70">
        <v>4</v>
      </c>
      <c r="E6" s="70">
        <v>23</v>
      </c>
      <c r="F6" s="70">
        <v>22</v>
      </c>
      <c r="G6" s="70">
        <v>22</v>
      </c>
      <c r="H6" s="70">
        <v>1</v>
      </c>
      <c r="I6" s="70">
        <v>9693.6</v>
      </c>
      <c r="J6" s="70">
        <v>6978.04</v>
      </c>
      <c r="K6" s="71">
        <f t="shared" si="1"/>
      </c>
      <c r="L6" s="71">
        <f t="shared" si="0"/>
      </c>
      <c r="M6" s="71">
        <f t="shared" si="2"/>
      </c>
      <c r="N6" s="77" t="s">
        <v>126</v>
      </c>
      <c r="O6" s="70">
        <v>2</v>
      </c>
      <c r="P6" s="72"/>
      <c r="Q6" s="72"/>
      <c r="R6" s="72"/>
      <c r="S6" s="72"/>
    </row>
    <row hidden="true" r="7">
      <c r="A7" s="73" t="s">
        <v>123</v>
      </c>
      <c r="B7" s="74"/>
      <c r="C7" s="74"/>
      <c r="D7" s="74">
        <f>SUM(D5:D6)</f>
      </c>
      <c r="E7" s="74">
        <f>SUM(E5:E6)</f>
      </c>
      <c r="F7" s="74">
        <f>SUM(F5:F6)</f>
      </c>
      <c r="G7" s="74">
        <f>SUM(G5:G6)</f>
      </c>
      <c r="H7" s="74">
        <f>SUM(H5:H6)</f>
      </c>
      <c r="I7" s="74">
        <f>SUM(I5:I6)</f>
      </c>
      <c r="J7" s="75">
        <f>SUM(J5:J6)</f>
      </c>
      <c r="K7" s="76">
        <f t="shared" si="1"/>
      </c>
      <c r="L7" s="76">
        <f t="shared" si="0"/>
      </c>
      <c r="M7" s="76">
        <f t="shared" si="2"/>
      </c>
      <c r="N7" s="74"/>
      <c r="O7" s="74">
        <f>SUM(O5:O6)</f>
      </c>
      <c r="P7" s="74"/>
      <c r="Q7" s="74">
        <f>SUM(Q5:Q6)</f>
      </c>
      <c r="R7" s="74">
        <f>SUM(R5:R6)</f>
      </c>
      <c r="S7" s="74">
        <f>SUM(S5:S6)</f>
      </c>
    </row>
    <row hidden="true" r="8">
      <c r="A8" s="78" t="s">
        <v>127</v>
      </c>
      <c r="B8" s="78" t="s">
        <v>118</v>
      </c>
      <c r="C8" s="78" t="s">
        <v>124</v>
      </c>
      <c r="D8" s="78">
        <v>4</v>
      </c>
      <c r="E8" s="78">
        <v>19</v>
      </c>
      <c r="F8" s="78">
        <v>19</v>
      </c>
      <c r="G8" s="78">
        <v>19</v>
      </c>
      <c r="H8" s="78">
        <v>1</v>
      </c>
      <c r="I8" s="78">
        <v>8516.6</v>
      </c>
      <c r="J8" s="79">
        <v>4092.34</v>
      </c>
      <c r="K8" s="80">
        <f t="shared" si="1"/>
      </c>
      <c r="L8" s="80">
        <f t="shared" si="0"/>
      </c>
      <c r="M8" s="80">
        <f t="shared" si="2"/>
      </c>
      <c r="N8" s="78" t="s">
        <v>122</v>
      </c>
      <c r="O8" s="78">
        <v>8</v>
      </c>
      <c r="P8" s="81"/>
      <c r="Q8" s="81"/>
      <c r="R8" s="81"/>
      <c r="S8" s="81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hidden="true" r="9">
      <c r="A9" s="78" t="s">
        <v>127</v>
      </c>
      <c r="B9" s="78" t="s">
        <v>120</v>
      </c>
      <c r="C9" s="78" t="s">
        <v>125</v>
      </c>
      <c r="D9" s="78">
        <v>4</v>
      </c>
      <c r="E9" s="78">
        <v>25</v>
      </c>
      <c r="F9" s="78">
        <v>24</v>
      </c>
      <c r="G9" s="78">
        <v>24</v>
      </c>
      <c r="H9" s="78">
        <v>1</v>
      </c>
      <c r="I9" s="78">
        <v>10612.9</v>
      </c>
      <c r="J9" s="78">
        <v>6767.5199999999995</v>
      </c>
      <c r="K9" s="80">
        <f t="shared" si="1"/>
      </c>
      <c r="L9" s="80">
        <f t="shared" si="0"/>
      </c>
      <c r="M9" s="80">
        <f t="shared" si="2"/>
      </c>
      <c r="N9" s="83"/>
      <c r="O9" s="78"/>
      <c r="P9" s="81"/>
      <c r="Q9" s="81"/>
      <c r="R9" s="81"/>
      <c r="S9" s="81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hidden="true" r="10">
      <c r="A10" s="84" t="s">
        <v>127</v>
      </c>
      <c r="B10" s="85"/>
      <c r="C10" s="85"/>
      <c r="D10" s="85">
        <f>SUM(D8:D9)</f>
      </c>
      <c r="E10" s="85">
        <f>SUM(E8:E9)</f>
      </c>
      <c r="F10" s="85">
        <f>SUM(F8:F9)</f>
      </c>
      <c r="G10" s="85">
        <f>SUM(G8:G9)</f>
      </c>
      <c r="H10" s="85">
        <f>SUM(H8:H9)</f>
      </c>
      <c r="I10" s="85">
        <f>SUM(I8:I9)</f>
      </c>
      <c r="J10" s="86">
        <f>SUM(J8:J9)</f>
      </c>
      <c r="K10" s="87">
        <f t="shared" si="1"/>
      </c>
      <c r="L10" s="87">
        <f t="shared" si="0"/>
      </c>
      <c r="M10" s="87">
        <f t="shared" si="2"/>
      </c>
      <c r="N10" s="85"/>
      <c r="O10" s="85">
        <f>SUM(O8:O9)</f>
      </c>
      <c r="P10" s="85"/>
      <c r="Q10" s="85">
        <f>SUM(Q8:Q9)</f>
      </c>
      <c r="R10" s="85">
        <f>SUM(R8:R9)</f>
      </c>
      <c r="S10" s="85">
        <f>SUM(S8:S9)</f>
      </c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</row>
    <row hidden="true" r="11">
      <c r="A11" s="78" t="s">
        <v>128</v>
      </c>
      <c r="B11" s="78" t="s">
        <v>118</v>
      </c>
      <c r="C11" s="78" t="s">
        <v>124</v>
      </c>
      <c r="D11" s="78">
        <v>4</v>
      </c>
      <c r="E11" s="78">
        <v>26</v>
      </c>
      <c r="F11" s="78">
        <v>25</v>
      </c>
      <c r="G11" s="78">
        <v>25</v>
      </c>
      <c r="H11" s="78">
        <v>2</v>
      </c>
      <c r="I11" s="78">
        <v>11174.7</v>
      </c>
      <c r="J11" s="79">
        <v>4961.91</v>
      </c>
      <c r="K11" s="80">
        <f t="shared" si="1"/>
      </c>
      <c r="L11" s="80">
        <f t="shared" si="0"/>
      </c>
      <c r="M11" s="80">
        <f t="shared" si="2"/>
      </c>
      <c r="N11" s="78" t="s">
        <v>122</v>
      </c>
      <c r="O11" s="78">
        <v>8</v>
      </c>
      <c r="P11" s="81"/>
      <c r="Q11" s="81"/>
      <c r="R11" s="81"/>
      <c r="S11" s="81"/>
    </row>
    <row hidden="true" r="12">
      <c r="A12" s="78" t="s">
        <v>128</v>
      </c>
      <c r="B12" s="78" t="s">
        <v>120</v>
      </c>
      <c r="C12" s="78" t="s">
        <v>125</v>
      </c>
      <c r="D12" s="78">
        <v>4</v>
      </c>
      <c r="E12" s="78">
        <v>35</v>
      </c>
      <c r="F12" s="78">
        <v>32</v>
      </c>
      <c r="G12" s="78">
        <v>32</v>
      </c>
      <c r="H12" s="78">
        <v>2</v>
      </c>
      <c r="I12" s="78">
        <v>14715.8</v>
      </c>
      <c r="J12" s="78">
        <v>7439.58</v>
      </c>
      <c r="K12" s="80">
        <f t="shared" si="1"/>
      </c>
      <c r="L12" s="80">
        <f t="shared" si="0"/>
      </c>
      <c r="M12" s="80">
        <f t="shared" si="2"/>
      </c>
      <c r="N12" s="83"/>
      <c r="O12" s="78"/>
      <c r="P12" s="81"/>
      <c r="Q12" s="81"/>
      <c r="R12" s="81"/>
      <c r="S12" s="81"/>
    </row>
    <row hidden="true" r="13">
      <c r="A13" s="84" t="s">
        <v>128</v>
      </c>
      <c r="B13" s="85"/>
      <c r="C13" s="85"/>
      <c r="D13" s="85">
        <f>SUM(D11:D12)</f>
      </c>
      <c r="E13" s="85">
        <f>SUM(E11:E12)</f>
      </c>
      <c r="F13" s="85">
        <f>SUM(F11:F12)</f>
      </c>
      <c r="G13" s="85">
        <f>SUM(G11:G12)</f>
      </c>
      <c r="H13" s="85">
        <f>SUM(H11:H12)</f>
      </c>
      <c r="I13" s="85">
        <f>SUM(I11:I12)</f>
      </c>
      <c r="J13" s="86">
        <f>SUM(J11:J12)</f>
      </c>
      <c r="K13" s="87">
        <f t="shared" si="1"/>
      </c>
      <c r="L13" s="87">
        <f t="shared" si="0"/>
      </c>
      <c r="M13" s="87">
        <f t="shared" si="2"/>
      </c>
      <c r="N13" s="85"/>
      <c r="O13" s="85">
        <f>SUM(O11:O12)</f>
      </c>
      <c r="P13" s="85"/>
      <c r="Q13" s="85">
        <f>SUM(Q11:Q12)</f>
      </c>
      <c r="R13" s="85">
        <f>SUM(R11:R12)</f>
      </c>
      <c r="S13" s="85">
        <f>SUM(S11:S12)</f>
      </c>
    </row>
    <row hidden="true" r="14">
      <c r="A14" s="78" t="s">
        <v>129</v>
      </c>
      <c r="B14" s="78" t="s">
        <v>118</v>
      </c>
      <c r="C14" s="78" t="s">
        <v>130</v>
      </c>
      <c r="D14" s="78">
        <v>2</v>
      </c>
      <c r="E14" s="78">
        <v>14</v>
      </c>
      <c r="F14" s="78">
        <v>14</v>
      </c>
      <c r="G14" s="78">
        <v>14</v>
      </c>
      <c r="H14" s="78">
        <v>1</v>
      </c>
      <c r="I14" s="78">
        <v>4711.4</v>
      </c>
      <c r="J14" s="79">
        <v>2738.16</v>
      </c>
      <c r="K14" s="80">
        <f t="shared" si="1"/>
      </c>
      <c r="L14" s="80">
        <f t="shared" si="0"/>
      </c>
      <c r="M14" s="80">
        <f t="shared" si="2"/>
      </c>
      <c r="N14" s="78" t="s">
        <v>131</v>
      </c>
      <c r="O14" s="78">
        <v>8</v>
      </c>
      <c r="P14" s="81"/>
      <c r="Q14" s="81"/>
      <c r="R14" s="81"/>
      <c r="S14" s="81"/>
    </row>
    <row customHeight="true" hidden="true" ht="16.071428571428573" r="15">
      <c r="A15" s="78" t="s">
        <v>129</v>
      </c>
      <c r="B15" s="78" t="s">
        <v>132</v>
      </c>
      <c r="C15" s="78" t="s">
        <v>133</v>
      </c>
      <c r="D15" s="78">
        <v>3</v>
      </c>
      <c r="E15" s="78">
        <v>33</v>
      </c>
      <c r="F15" s="78">
        <v>20</v>
      </c>
      <c r="G15" s="78">
        <v>20</v>
      </c>
      <c r="H15" s="78">
        <v>3</v>
      </c>
      <c r="I15" s="78">
        <v>8935.6</v>
      </c>
      <c r="J15" s="79">
        <v>5506.49</v>
      </c>
      <c r="K15" s="80">
        <f t="shared" si="1"/>
      </c>
      <c r="L15" s="80">
        <f t="shared" si="0"/>
      </c>
      <c r="M15" s="80">
        <f t="shared" si="2"/>
      </c>
      <c r="N15" s="78"/>
      <c r="O15" s="78"/>
      <c r="P15" s="81"/>
      <c r="Q15" s="81"/>
      <c r="R15" s="81"/>
      <c r="S15" s="81"/>
    </row>
    <row hidden="true" r="16">
      <c r="A16" s="78" t="s">
        <v>129</v>
      </c>
      <c r="B16" s="78" t="s">
        <v>118</v>
      </c>
      <c r="C16" s="78" t="s">
        <v>121</v>
      </c>
      <c r="D16" s="78">
        <v>3</v>
      </c>
      <c r="E16" s="78">
        <v>26</v>
      </c>
      <c r="F16" s="78">
        <v>15</v>
      </c>
      <c r="G16" s="78">
        <v>15</v>
      </c>
      <c r="H16" s="78">
        <v>1</v>
      </c>
      <c r="I16" s="78">
        <v>7039.200000000001</v>
      </c>
      <c r="J16" s="78">
        <v>4752.87</v>
      </c>
      <c r="K16" s="80">
        <f t="shared" si="1"/>
      </c>
      <c r="L16" s="80">
        <f t="shared" si="0"/>
      </c>
      <c r="M16" s="80">
        <f t="shared" si="2"/>
      </c>
      <c r="N16" s="83"/>
      <c r="O16" s="78"/>
      <c r="P16" s="81"/>
      <c r="Q16" s="81"/>
      <c r="R16" s="81"/>
      <c r="S16" s="81"/>
    </row>
    <row hidden="true" r="17">
      <c r="A17" s="84" t="s">
        <v>129</v>
      </c>
      <c r="B17" s="85"/>
      <c r="C17" s="85"/>
      <c r="D17" s="85">
        <f>SUM(D14:D16)</f>
      </c>
      <c r="E17" s="85">
        <f>SUM(E14:E16)</f>
      </c>
      <c r="F17" s="85">
        <f>SUM(F14:F16)</f>
      </c>
      <c r="G17" s="84">
        <v>49</v>
      </c>
      <c r="H17" s="85">
        <f>SUM(H14:H16)</f>
      </c>
      <c r="I17" s="85">
        <f>SUM(I14:I16)</f>
      </c>
      <c r="J17" s="86">
        <f>SUM(J14:J16)</f>
      </c>
      <c r="K17" s="87">
        <f t="shared" si="1"/>
      </c>
      <c r="L17" s="87">
        <f t="shared" si="0"/>
      </c>
      <c r="M17" s="87">
        <f t="shared" si="2"/>
      </c>
      <c r="N17" s="85"/>
      <c r="O17" s="85">
        <f>SUM(O14:O16)</f>
      </c>
      <c r="P17" s="85"/>
      <c r="Q17" s="85">
        <f>SUM(Q14:Q16)</f>
      </c>
      <c r="R17" s="85">
        <f>SUM(R14:R16)</f>
      </c>
      <c r="S17" s="85">
        <f>SUM(S14:S16)</f>
      </c>
    </row>
    <row hidden="true" r="18">
      <c r="A18" s="78" t="s">
        <v>134</v>
      </c>
      <c r="B18" s="78" t="s">
        <v>118</v>
      </c>
      <c r="C18" s="78" t="s">
        <v>130</v>
      </c>
      <c r="D18" s="78">
        <v>2</v>
      </c>
      <c r="E18" s="78">
        <v>12</v>
      </c>
      <c r="F18" s="78">
        <v>10</v>
      </c>
      <c r="G18" s="78">
        <v>10</v>
      </c>
      <c r="H18" s="78">
        <v>2</v>
      </c>
      <c r="I18" s="78">
        <v>4632.1</v>
      </c>
      <c r="J18" s="79">
        <v>2445.95</v>
      </c>
      <c r="K18" s="80">
        <f t="shared" si="1"/>
      </c>
      <c r="L18" s="80">
        <f t="shared" si="0"/>
      </c>
      <c r="M18" s="80">
        <f t="shared" si="2"/>
      </c>
      <c r="N18" s="78" t="s">
        <v>131</v>
      </c>
      <c r="O18" s="78">
        <v>8</v>
      </c>
      <c r="P18" s="81"/>
      <c r="Q18" s="81"/>
      <c r="R18" s="81"/>
      <c r="S18" s="81"/>
    </row>
    <row hidden="true" r="19">
      <c r="A19" s="78" t="s">
        <v>134</v>
      </c>
      <c r="B19" s="78" t="s">
        <v>132</v>
      </c>
      <c r="C19" s="78" t="s">
        <v>133</v>
      </c>
      <c r="D19" s="78">
        <v>3</v>
      </c>
      <c r="E19" s="78">
        <v>13</v>
      </c>
      <c r="F19" s="78">
        <v>11</v>
      </c>
      <c r="G19" s="78">
        <v>11</v>
      </c>
      <c r="H19" s="78">
        <v>0</v>
      </c>
      <c r="I19" s="78">
        <v>4855.2</v>
      </c>
      <c r="J19" s="79">
        <v>3474.56</v>
      </c>
      <c r="K19" s="80">
        <f t="shared" si="1"/>
      </c>
      <c r="L19" s="80">
        <f t="shared" si="0"/>
      </c>
      <c r="M19" s="80">
        <f t="shared" si="2"/>
      </c>
      <c r="N19" s="78"/>
      <c r="O19" s="78"/>
      <c r="P19" s="81"/>
      <c r="Q19" s="81"/>
      <c r="R19" s="81"/>
      <c r="S19" s="81"/>
    </row>
    <row hidden="true" r="20">
      <c r="A20" s="78" t="s">
        <v>134</v>
      </c>
      <c r="B20" s="78" t="s">
        <v>118</v>
      </c>
      <c r="C20" s="78" t="s">
        <v>121</v>
      </c>
      <c r="D20" s="78">
        <v>3</v>
      </c>
      <c r="E20" s="78">
        <v>8</v>
      </c>
      <c r="F20" s="78">
        <v>5</v>
      </c>
      <c r="G20" s="78">
        <v>5</v>
      </c>
      <c r="H20" s="78">
        <v>1</v>
      </c>
      <c r="I20" s="78">
        <v>2238.1000000000004</v>
      </c>
      <c r="J20" s="78">
        <v>3752.59</v>
      </c>
      <c r="K20" s="80">
        <f t="shared" si="1"/>
      </c>
      <c r="L20" s="80">
        <f t="shared" si="0"/>
      </c>
      <c r="M20" s="80">
        <f t="shared" si="2"/>
      </c>
      <c r="N20" s="83"/>
      <c r="O20" s="78"/>
      <c r="P20" s="81"/>
      <c r="Q20" s="81"/>
      <c r="R20" s="81"/>
      <c r="S20" s="81"/>
    </row>
    <row hidden="true" r="21">
      <c r="A21" s="84" t="s">
        <v>134</v>
      </c>
      <c r="B21" s="85"/>
      <c r="C21" s="85"/>
      <c r="D21" s="85">
        <f>SUM(D18:D20)</f>
      </c>
      <c r="E21" s="85">
        <f>SUM(E18:E20)</f>
      </c>
      <c r="F21" s="85">
        <f>SUM(F18:F20)</f>
      </c>
      <c r="G21" s="85">
        <f>SUM(G18:G20)</f>
      </c>
      <c r="H21" s="85">
        <f>SUM(H18:H20)</f>
      </c>
      <c r="I21" s="85">
        <f>SUM(I18:I20)</f>
      </c>
      <c r="J21" s="86">
        <f>SUM(J18:J20)</f>
      </c>
      <c r="K21" s="87">
        <f t="shared" si="1"/>
      </c>
      <c r="L21" s="87">
        <f t="shared" si="0"/>
      </c>
      <c r="M21" s="87">
        <f t="shared" si="2"/>
      </c>
      <c r="N21" s="85"/>
      <c r="O21" s="85">
        <f>SUM(O18:O20)</f>
      </c>
      <c r="P21" s="85"/>
      <c r="Q21" s="85">
        <f>SUM(Q18:Q20)</f>
      </c>
      <c r="R21" s="85">
        <f>SUM(R18:R20)</f>
      </c>
      <c r="S21" s="85">
        <f>SUM(S18:S20)</f>
      </c>
    </row>
    <row hidden="true" r="22">
      <c r="A22" s="78" t="s">
        <v>135</v>
      </c>
      <c r="B22" s="78" t="s">
        <v>118</v>
      </c>
      <c r="C22" s="78" t="s">
        <v>130</v>
      </c>
      <c r="D22" s="78">
        <v>2</v>
      </c>
      <c r="E22" s="78">
        <v>12</v>
      </c>
      <c r="F22" s="78">
        <v>9</v>
      </c>
      <c r="G22" s="78">
        <v>9</v>
      </c>
      <c r="H22" s="78">
        <v>1</v>
      </c>
      <c r="I22" s="78">
        <v>3943.3</v>
      </c>
      <c r="J22" s="79">
        <v>2304.1499999999996</v>
      </c>
      <c r="K22" s="80">
        <f t="shared" si="1"/>
      </c>
      <c r="L22" s="80">
        <f t="shared" si="0"/>
      </c>
      <c r="M22" s="80">
        <f t="shared" si="2"/>
      </c>
      <c r="N22" s="78" t="s">
        <v>136</v>
      </c>
      <c r="O22" s="78">
        <v>3</v>
      </c>
      <c r="P22" s="81"/>
      <c r="Q22" s="81"/>
      <c r="R22" s="81"/>
      <c r="S22" s="81"/>
    </row>
    <row hidden="true" r="23">
      <c r="A23" s="78" t="s">
        <v>135</v>
      </c>
      <c r="B23" s="78" t="s">
        <v>132</v>
      </c>
      <c r="C23" s="78" t="s">
        <v>133</v>
      </c>
      <c r="D23" s="78">
        <v>3</v>
      </c>
      <c r="E23" s="78">
        <v>15</v>
      </c>
      <c r="F23" s="78">
        <v>11</v>
      </c>
      <c r="G23" s="78">
        <v>11</v>
      </c>
      <c r="H23" s="78">
        <v>2</v>
      </c>
      <c r="I23" s="78">
        <v>5149.2</v>
      </c>
      <c r="J23" s="79">
        <v>3759.46</v>
      </c>
      <c r="K23" s="80">
        <f t="shared" si="1"/>
      </c>
      <c r="L23" s="80">
        <f t="shared" si="0"/>
      </c>
      <c r="M23" s="80">
        <f t="shared" si="2"/>
      </c>
      <c r="N23" s="78" t="s">
        <v>131</v>
      </c>
      <c r="O23" s="78">
        <v>5</v>
      </c>
      <c r="P23" s="81"/>
      <c r="Q23" s="81"/>
      <c r="R23" s="81"/>
      <c r="S23" s="81"/>
    </row>
    <row hidden="true" r="24">
      <c r="A24" s="78" t="s">
        <v>135</v>
      </c>
      <c r="B24" s="78" t="s">
        <v>118</v>
      </c>
      <c r="C24" s="78" t="s">
        <v>121</v>
      </c>
      <c r="D24" s="78">
        <v>3</v>
      </c>
      <c r="E24" s="78">
        <v>16</v>
      </c>
      <c r="F24" s="78">
        <v>13</v>
      </c>
      <c r="G24" s="78">
        <v>13</v>
      </c>
      <c r="H24" s="78">
        <v>3</v>
      </c>
      <c r="I24" s="78">
        <v>5712</v>
      </c>
      <c r="J24" s="78">
        <v>3353.75</v>
      </c>
      <c r="K24" s="80">
        <f t="shared" si="1"/>
      </c>
      <c r="L24" s="80">
        <f t="shared" si="0"/>
      </c>
      <c r="M24" s="80">
        <f t="shared" si="2"/>
      </c>
      <c r="N24" s="83"/>
      <c r="O24" s="78"/>
      <c r="P24" s="81"/>
      <c r="Q24" s="81"/>
      <c r="R24" s="81"/>
      <c r="S24" s="81"/>
    </row>
    <row hidden="true" r="25">
      <c r="A25" s="84" t="s">
        <v>135</v>
      </c>
      <c r="B25" s="85"/>
      <c r="C25" s="85"/>
      <c r="D25" s="85">
        <f>SUM(D22:D24)</f>
      </c>
      <c r="E25" s="85">
        <f>SUM(E22:E24)</f>
      </c>
      <c r="F25" s="85">
        <f>SUM(F22:F24)</f>
      </c>
      <c r="G25" s="85">
        <f>SUM(G22:G24)</f>
      </c>
      <c r="H25" s="85">
        <f>SUM(H22:H24)</f>
      </c>
      <c r="I25" s="85">
        <f>SUM(I22:I24)</f>
      </c>
      <c r="J25" s="86">
        <f>SUM(J22:J24)</f>
      </c>
      <c r="K25" s="87">
        <f t="shared" si="1"/>
      </c>
      <c r="L25" s="87">
        <f t="shared" si="0"/>
      </c>
      <c r="M25" s="87">
        <f t="shared" si="2"/>
      </c>
      <c r="N25" s="85"/>
      <c r="O25" s="85">
        <f>SUM(O22:O24)</f>
      </c>
      <c r="P25" s="85"/>
      <c r="Q25" s="85">
        <f>SUM(Q22:Q24)</f>
      </c>
      <c r="R25" s="85">
        <f>SUM(R22:R24)</f>
      </c>
      <c r="S25" s="85">
        <f>SUM(S22:S24)</f>
      </c>
    </row>
    <row hidden="true" r="26">
      <c r="A26" s="78" t="s">
        <v>137</v>
      </c>
      <c r="B26" s="78" t="s">
        <v>118</v>
      </c>
      <c r="C26" s="78" t="s">
        <v>130</v>
      </c>
      <c r="D26" s="78">
        <v>2</v>
      </c>
      <c r="E26" s="78">
        <v>9</v>
      </c>
      <c r="F26" s="78">
        <v>8</v>
      </c>
      <c r="G26" s="78">
        <v>8</v>
      </c>
      <c r="H26" s="78">
        <v>1</v>
      </c>
      <c r="I26" s="78">
        <v>3595.2</v>
      </c>
      <c r="J26" s="79">
        <v>2118.09</v>
      </c>
      <c r="K26" s="80">
        <f t="shared" si="1"/>
      </c>
      <c r="L26" s="80">
        <f t="shared" si="0"/>
      </c>
      <c r="M26" s="80">
        <f t="shared" si="2"/>
      </c>
      <c r="N26" s="78" t="s">
        <v>136</v>
      </c>
      <c r="O26" s="78">
        <v>4</v>
      </c>
      <c r="P26" s="81"/>
      <c r="Q26" s="81"/>
      <c r="R26" s="81"/>
      <c r="S26" s="81"/>
    </row>
    <row hidden="true" r="27">
      <c r="A27" s="78" t="s">
        <v>137</v>
      </c>
      <c r="B27" s="78" t="s">
        <v>132</v>
      </c>
      <c r="C27" s="78" t="s">
        <v>133</v>
      </c>
      <c r="D27" s="78">
        <v>3</v>
      </c>
      <c r="E27" s="78">
        <v>10</v>
      </c>
      <c r="F27" s="78">
        <v>5</v>
      </c>
      <c r="G27" s="78">
        <v>5</v>
      </c>
      <c r="H27" s="78">
        <v>1</v>
      </c>
      <c r="I27" s="78">
        <v>2258.6000000000004</v>
      </c>
      <c r="J27" s="79">
        <v>3180.0099999999998</v>
      </c>
      <c r="K27" s="80">
        <f t="shared" si="1"/>
      </c>
      <c r="L27" s="80">
        <f t="shared" si="0"/>
      </c>
      <c r="M27" s="80">
        <f t="shared" si="2"/>
      </c>
      <c r="N27" s="78" t="s">
        <v>131</v>
      </c>
      <c r="O27" s="78">
        <v>4</v>
      </c>
      <c r="P27" s="81"/>
      <c r="Q27" s="81"/>
      <c r="R27" s="81"/>
      <c r="S27" s="81"/>
    </row>
    <row hidden="true" r="28">
      <c r="A28" s="78" t="s">
        <v>137</v>
      </c>
      <c r="B28" s="78" t="s">
        <v>118</v>
      </c>
      <c r="C28" s="78" t="s">
        <v>121</v>
      </c>
      <c r="D28" s="78">
        <v>3</v>
      </c>
      <c r="E28" s="78">
        <v>14</v>
      </c>
      <c r="F28" s="78">
        <v>12</v>
      </c>
      <c r="G28" s="78">
        <v>12</v>
      </c>
      <c r="H28" s="78">
        <v>1</v>
      </c>
      <c r="I28" s="78">
        <v>5190.2</v>
      </c>
      <c r="J28" s="78">
        <v>4034.2599999999993</v>
      </c>
      <c r="K28" s="80">
        <f t="shared" si="1"/>
      </c>
      <c r="L28" s="80">
        <f t="shared" si="0"/>
      </c>
      <c r="M28" s="80">
        <f t="shared" si="2"/>
      </c>
      <c r="N28" s="83"/>
      <c r="O28" s="78"/>
      <c r="P28" s="81"/>
      <c r="Q28" s="81"/>
      <c r="R28" s="81"/>
      <c r="S28" s="81"/>
    </row>
    <row hidden="true" r="29">
      <c r="A29" s="84" t="s">
        <v>137</v>
      </c>
      <c r="B29" s="85"/>
      <c r="C29" s="85"/>
      <c r="D29" s="85">
        <f>SUM(D26:D28)</f>
      </c>
      <c r="E29" s="85">
        <f>SUM(E26:E28)</f>
      </c>
      <c r="F29" s="85">
        <f>SUM(F26:F28)</f>
      </c>
      <c r="G29" s="85">
        <f>SUM(G26:G28)</f>
      </c>
      <c r="H29" s="85">
        <f>SUM(H26:H28)</f>
      </c>
      <c r="I29" s="85">
        <f>SUM(I26:I28)</f>
      </c>
      <c r="J29" s="86">
        <f>SUM(J26:J28)</f>
      </c>
      <c r="K29" s="87">
        <f t="shared" si="1"/>
      </c>
      <c r="L29" s="87">
        <f t="shared" si="0"/>
      </c>
      <c r="M29" s="87">
        <f t="shared" si="2"/>
      </c>
      <c r="N29" s="85"/>
      <c r="O29" s="85">
        <f>SUM(O26:O28)</f>
      </c>
      <c r="P29" s="85"/>
      <c r="Q29" s="85">
        <f>SUM(Q26:Q28)</f>
      </c>
      <c r="R29" s="85">
        <f>SUM(R26:R28)</f>
      </c>
      <c r="S29" s="85">
        <f>SUM(S26:S28)</f>
      </c>
    </row>
    <row hidden="true" r="30">
      <c r="A30" s="78" t="s">
        <v>138</v>
      </c>
      <c r="B30" s="78" t="s">
        <v>118</v>
      </c>
      <c r="C30" s="78" t="s">
        <v>124</v>
      </c>
      <c r="D30" s="78">
        <v>4</v>
      </c>
      <c r="E30" s="78">
        <v>31</v>
      </c>
      <c r="F30" s="78">
        <v>29</v>
      </c>
      <c r="G30" s="78">
        <v>29</v>
      </c>
      <c r="H30" s="78">
        <v>5</v>
      </c>
      <c r="I30" s="78">
        <v>13169.2</v>
      </c>
      <c r="J30" s="79">
        <v>6113.48</v>
      </c>
      <c r="K30" s="80">
        <f t="shared" si="1"/>
      </c>
      <c r="L30" s="80">
        <f t="shared" si="0"/>
      </c>
      <c r="M30" s="80">
        <f t="shared" si="2"/>
      </c>
      <c r="N30" s="78" t="s">
        <v>136</v>
      </c>
      <c r="O30" s="78">
        <v>1</v>
      </c>
      <c r="P30" s="81"/>
      <c r="Q30" s="81"/>
      <c r="R30" s="81"/>
      <c r="S30" s="81"/>
    </row>
    <row hidden="true" r="31">
      <c r="A31" s="78" t="s">
        <v>138</v>
      </c>
      <c r="B31" s="78" t="s">
        <v>132</v>
      </c>
      <c r="C31" s="78" t="s">
        <v>125</v>
      </c>
      <c r="D31" s="78">
        <v>4</v>
      </c>
      <c r="E31" s="78">
        <v>9</v>
      </c>
      <c r="F31" s="78">
        <v>5</v>
      </c>
      <c r="G31" s="78">
        <v>5</v>
      </c>
      <c r="H31" s="78">
        <v>0</v>
      </c>
      <c r="I31" s="78">
        <v>2276.3999999999996</v>
      </c>
      <c r="J31" s="78">
        <v>3904.29</v>
      </c>
      <c r="K31" s="80">
        <f t="shared" si="1"/>
      </c>
      <c r="L31" s="80">
        <f t="shared" si="0"/>
      </c>
      <c r="M31" s="80">
        <f t="shared" si="2"/>
      </c>
      <c r="N31" s="78" t="s">
        <v>131</v>
      </c>
      <c r="O31" s="78">
        <v>7</v>
      </c>
      <c r="P31" s="81"/>
      <c r="Q31" s="81"/>
      <c r="R31" s="81"/>
      <c r="S31" s="81"/>
    </row>
    <row hidden="true" r="32">
      <c r="A32" s="84" t="s">
        <v>138</v>
      </c>
      <c r="B32" s="85"/>
      <c r="C32" s="85"/>
      <c r="D32" s="85">
        <f>SUM(D30:D31)</f>
      </c>
      <c r="E32" s="85">
        <f>SUM(E30:E31)</f>
      </c>
      <c r="F32" s="85">
        <f>SUM(F30:F31)</f>
      </c>
      <c r="G32" s="85">
        <f>SUM(G30:G31)</f>
      </c>
      <c r="H32" s="85">
        <f>SUM(H30:H31)</f>
      </c>
      <c r="I32" s="85">
        <f>SUM(I30:I31)</f>
      </c>
      <c r="J32" s="86">
        <f>SUM(J30:J31)</f>
      </c>
      <c r="K32" s="87">
        <f t="shared" si="1"/>
      </c>
      <c r="L32" s="87">
        <f t="shared" si="0"/>
      </c>
      <c r="M32" s="87">
        <f t="shared" si="2"/>
      </c>
      <c r="N32" s="85"/>
      <c r="O32" s="85">
        <f>SUM(O30:O31)</f>
      </c>
      <c r="P32" s="85"/>
      <c r="Q32" s="85">
        <f>SUM(Q30:Q31)</f>
      </c>
      <c r="R32" s="85">
        <f>SUM(R30:R31)</f>
      </c>
      <c r="S32" s="85">
        <f>SUM(S30:S31)</f>
      </c>
    </row>
    <row hidden="true" r="33">
      <c r="A33" s="78" t="s">
        <v>139</v>
      </c>
      <c r="B33" s="78" t="s">
        <v>118</v>
      </c>
      <c r="C33" s="78" t="s">
        <v>140</v>
      </c>
      <c r="D33" s="78">
        <v>3</v>
      </c>
      <c r="E33" s="78">
        <v>15</v>
      </c>
      <c r="F33" s="78">
        <v>14</v>
      </c>
      <c r="G33" s="78">
        <v>14</v>
      </c>
      <c r="H33" s="78">
        <v>1</v>
      </c>
      <c r="I33" s="78">
        <v>6102.1</v>
      </c>
      <c r="J33" s="79">
        <v>3059.76</v>
      </c>
      <c r="K33" s="80">
        <f t="shared" si="1"/>
      </c>
      <c r="L33" s="80">
        <f t="shared" si="0"/>
      </c>
      <c r="M33" s="80">
        <f t="shared" si="2"/>
      </c>
      <c r="N33" s="78"/>
      <c r="O33" s="78"/>
      <c r="P33" s="81"/>
      <c r="Q33" s="81"/>
      <c r="R33" s="81"/>
      <c r="S33" s="81"/>
    </row>
    <row hidden="true" r="34">
      <c r="A34" s="78" t="s">
        <v>139</v>
      </c>
      <c r="B34" s="78" t="s">
        <v>141</v>
      </c>
      <c r="C34" s="78" t="s">
        <v>142</v>
      </c>
      <c r="D34" s="78">
        <v>2</v>
      </c>
      <c r="E34" s="78">
        <v>20</v>
      </c>
      <c r="F34" s="78">
        <v>13</v>
      </c>
      <c r="G34" s="78">
        <v>13</v>
      </c>
      <c r="H34" s="78">
        <v>1</v>
      </c>
      <c r="I34" s="78">
        <v>6048</v>
      </c>
      <c r="J34" s="79">
        <v>2539.8599999999997</v>
      </c>
      <c r="K34" s="80">
        <f t="shared" si="1"/>
      </c>
      <c r="L34" s="80">
        <f t="shared" si="0"/>
      </c>
      <c r="M34" s="80">
        <f t="shared" si="2"/>
      </c>
      <c r="N34" s="78"/>
      <c r="O34" s="78"/>
      <c r="P34" s="81"/>
      <c r="Q34" s="81"/>
      <c r="R34" s="81"/>
      <c r="S34" s="81"/>
    </row>
    <row hidden="true" r="35">
      <c r="A35" s="78" t="s">
        <v>139</v>
      </c>
      <c r="B35" s="78" t="s">
        <v>118</v>
      </c>
      <c r="C35" s="78" t="s">
        <v>121</v>
      </c>
      <c r="D35" s="78">
        <v>3</v>
      </c>
      <c r="E35" s="78">
        <v>11</v>
      </c>
      <c r="F35" s="78">
        <v>9</v>
      </c>
      <c r="G35" s="78">
        <v>9</v>
      </c>
      <c r="H35" s="78">
        <v>0</v>
      </c>
      <c r="I35" s="78">
        <v>4035.699999999999</v>
      </c>
      <c r="J35" s="78">
        <v>3832.52</v>
      </c>
      <c r="K35" s="80">
        <f t="shared" si="1"/>
      </c>
      <c r="L35" s="80">
        <f t="shared" si="0"/>
      </c>
      <c r="M35" s="80">
        <f t="shared" si="2"/>
      </c>
      <c r="N35" s="83" t="s">
        <v>122</v>
      </c>
      <c r="O35" s="78">
        <v>8</v>
      </c>
      <c r="P35" s="81"/>
      <c r="Q35" s="81"/>
      <c r="R35" s="81"/>
      <c r="S35" s="81"/>
    </row>
    <row hidden="true" r="36">
      <c r="A36" s="84" t="s">
        <v>139</v>
      </c>
      <c r="B36" s="85"/>
      <c r="C36" s="85"/>
      <c r="D36" s="85">
        <f>SUM(D33:D35)</f>
      </c>
      <c r="E36" s="85">
        <f>SUM(E33:E35)</f>
      </c>
      <c r="F36" s="85">
        <f>SUM(F33:F35)</f>
      </c>
      <c r="G36" s="85">
        <f>SUM(G33:G35)</f>
      </c>
      <c r="H36" s="85">
        <f>SUM(H33:H35)</f>
      </c>
      <c r="I36" s="85">
        <f>SUM(I33:I35)</f>
      </c>
      <c r="J36" s="86">
        <f>SUM(J33:J35)</f>
      </c>
      <c r="K36" s="87">
        <f t="shared" si="1"/>
      </c>
      <c r="L36" s="87">
        <f t="shared" si="0"/>
      </c>
      <c r="M36" s="87">
        <f t="shared" si="2"/>
      </c>
      <c r="N36" s="85"/>
      <c r="O36" s="85">
        <f>SUM(O33:O35)</f>
      </c>
      <c r="P36" s="85"/>
      <c r="Q36" s="85">
        <f>SUM(Q33:Q35)</f>
      </c>
      <c r="R36" s="85">
        <f>SUM(R33:R35)</f>
      </c>
      <c r="S36" s="85">
        <f>SUM(S33:S35)</f>
      </c>
    </row>
    <row hidden="true" r="37">
      <c r="A37" s="78" t="s">
        <v>143</v>
      </c>
      <c r="B37" s="78" t="s">
        <v>118</v>
      </c>
      <c r="C37" s="78" t="s">
        <v>140</v>
      </c>
      <c r="D37" s="78">
        <v>3</v>
      </c>
      <c r="E37" s="78">
        <v>10</v>
      </c>
      <c r="F37" s="78">
        <v>7</v>
      </c>
      <c r="G37" s="78">
        <v>7</v>
      </c>
      <c r="H37" s="78">
        <v>0</v>
      </c>
      <c r="I37" s="78">
        <v>3234</v>
      </c>
      <c r="J37" s="79">
        <v>3159.81</v>
      </c>
      <c r="K37" s="80">
        <f t="shared" si="1"/>
      </c>
      <c r="L37" s="80">
        <f t="shared" si="0"/>
      </c>
      <c r="M37" s="80">
        <f t="shared" si="2"/>
      </c>
      <c r="N37" s="78"/>
      <c r="O37" s="78"/>
      <c r="P37" s="81"/>
      <c r="Q37" s="81"/>
      <c r="R37" s="81"/>
      <c r="S37" s="81"/>
    </row>
    <row hidden="true" r="38">
      <c r="A38" s="78" t="s">
        <v>143</v>
      </c>
      <c r="B38" s="78" t="s">
        <v>141</v>
      </c>
      <c r="C38" s="78" t="s">
        <v>142</v>
      </c>
      <c r="D38" s="78">
        <v>2</v>
      </c>
      <c r="E38" s="78">
        <v>5</v>
      </c>
      <c r="F38" s="78">
        <v>3</v>
      </c>
      <c r="G38" s="78">
        <v>3</v>
      </c>
      <c r="H38" s="78">
        <v>0</v>
      </c>
      <c r="I38" s="78">
        <v>1318.8</v>
      </c>
      <c r="J38" s="79">
        <v>1977.37</v>
      </c>
      <c r="K38" s="80">
        <f t="shared" si="1"/>
      </c>
      <c r="L38" s="80">
        <f t="shared" si="0"/>
      </c>
      <c r="M38" s="80">
        <f t="shared" si="2"/>
      </c>
      <c r="N38" s="78"/>
      <c r="O38" s="78"/>
      <c r="P38" s="81"/>
      <c r="Q38" s="81"/>
      <c r="R38" s="81"/>
      <c r="S38" s="81"/>
    </row>
    <row hidden="true" r="39">
      <c r="A39" s="78" t="s">
        <v>143</v>
      </c>
      <c r="B39" s="78" t="s">
        <v>118</v>
      </c>
      <c r="C39" s="78" t="s">
        <v>121</v>
      </c>
      <c r="D39" s="78">
        <v>3</v>
      </c>
      <c r="E39" s="78">
        <v>9</v>
      </c>
      <c r="F39" s="78">
        <v>9</v>
      </c>
      <c r="G39" s="78">
        <v>9</v>
      </c>
      <c r="H39" s="78">
        <v>1</v>
      </c>
      <c r="I39" s="78">
        <v>4119.7</v>
      </c>
      <c r="J39" s="78">
        <v>3951.79</v>
      </c>
      <c r="K39" s="80">
        <f t="shared" si="1"/>
      </c>
      <c r="L39" s="80">
        <f t="shared" si="0"/>
      </c>
      <c r="M39" s="80">
        <f t="shared" si="2"/>
      </c>
      <c r="N39" s="83" t="s">
        <v>126</v>
      </c>
      <c r="O39" s="78">
        <v>8</v>
      </c>
      <c r="P39" s="81"/>
      <c r="Q39" s="81"/>
      <c r="R39" s="81"/>
      <c r="S39" s="81"/>
    </row>
    <row hidden="true" r="40">
      <c r="A40" s="84" t="s">
        <v>143</v>
      </c>
      <c r="B40" s="85"/>
      <c r="C40" s="85"/>
      <c r="D40" s="85">
        <f>SUM(D37:D39)</f>
      </c>
      <c r="E40" s="85">
        <f>SUM(E37:E39)</f>
      </c>
      <c r="F40" s="85">
        <f>SUM(F37:F39)</f>
      </c>
      <c r="G40" s="85">
        <f>SUM(G37:G39)</f>
      </c>
      <c r="H40" s="85">
        <f>SUM(H37:H39)</f>
      </c>
      <c r="I40" s="85">
        <f>SUM(I37:I39)</f>
      </c>
      <c r="J40" s="86">
        <f>SUM(J37:J39)</f>
      </c>
      <c r="K40" s="87">
        <f t="shared" si="1"/>
      </c>
      <c r="L40" s="87">
        <f t="shared" si="0"/>
      </c>
      <c r="M40" s="87">
        <f t="shared" si="2"/>
      </c>
      <c r="N40" s="85"/>
      <c r="O40" s="85">
        <f>SUM(O37:O39)</f>
      </c>
      <c r="P40" s="85"/>
      <c r="Q40" s="85">
        <f>SUM(Q37:Q39)</f>
      </c>
      <c r="R40" s="85">
        <f>SUM(R37:R39)</f>
      </c>
      <c r="S40" s="85">
        <f>SUM(S37:S39)</f>
      </c>
    </row>
    <row hidden="true" r="41">
      <c r="A41" s="78" t="s">
        <v>144</v>
      </c>
      <c r="B41" s="78" t="s">
        <v>118</v>
      </c>
      <c r="C41" s="78" t="s">
        <v>145</v>
      </c>
      <c r="D41" s="78">
        <v>5</v>
      </c>
      <c r="E41" s="78">
        <v>34</v>
      </c>
      <c r="F41" s="78">
        <v>31</v>
      </c>
      <c r="G41" s="78">
        <v>31</v>
      </c>
      <c r="H41" s="78">
        <v>3</v>
      </c>
      <c r="I41" s="78">
        <v>13676.9</v>
      </c>
      <c r="J41" s="79">
        <v>6335.09</v>
      </c>
      <c r="K41" s="80">
        <f t="shared" si="1"/>
      </c>
      <c r="L41" s="80">
        <f t="shared" si="0"/>
      </c>
      <c r="M41" s="80">
        <f t="shared" si="2"/>
      </c>
      <c r="N41" s="78" t="s">
        <v>146</v>
      </c>
      <c r="O41" s="78">
        <v>8</v>
      </c>
      <c r="P41" s="81"/>
      <c r="Q41" s="81"/>
      <c r="R41" s="81"/>
      <c r="S41" s="81"/>
    </row>
    <row hidden="true" r="42">
      <c r="A42" s="78" t="s">
        <v>144</v>
      </c>
      <c r="B42" s="78" t="s">
        <v>141</v>
      </c>
      <c r="C42" s="78" t="s">
        <v>147</v>
      </c>
      <c r="D42" s="78">
        <v>3</v>
      </c>
      <c r="E42" s="78">
        <v>14</v>
      </c>
      <c r="F42" s="78">
        <v>14</v>
      </c>
      <c r="G42" s="78">
        <v>14</v>
      </c>
      <c r="H42" s="78">
        <v>1</v>
      </c>
      <c r="I42" s="78">
        <v>6350.4</v>
      </c>
      <c r="J42" s="79">
        <v>4142.64</v>
      </c>
      <c r="K42" s="80">
        <f t="shared" si="1"/>
      </c>
      <c r="L42" s="80">
        <f t="shared" si="0"/>
      </c>
      <c r="M42" s="80">
        <f t="shared" si="2"/>
      </c>
      <c r="N42" s="78"/>
      <c r="O42" s="78"/>
      <c r="P42" s="81"/>
      <c r="Q42" s="81"/>
      <c r="R42" s="81"/>
      <c r="S42" s="81"/>
    </row>
    <row hidden="true" r="43">
      <c r="A43" s="78" t="s">
        <v>144</v>
      </c>
      <c r="B43" s="78" t="s">
        <v>148</v>
      </c>
      <c r="C43" s="78" t="s">
        <v>124</v>
      </c>
      <c r="D43" s="78">
        <v>4</v>
      </c>
      <c r="E43" s="78">
        <v>11</v>
      </c>
      <c r="F43" s="78">
        <v>10</v>
      </c>
      <c r="G43" s="78">
        <v>10</v>
      </c>
      <c r="H43" s="78">
        <v>0</v>
      </c>
      <c r="I43" s="78">
        <v>4480.9</v>
      </c>
      <c r="J43" s="78">
        <v>4155.96</v>
      </c>
      <c r="K43" s="80">
        <f t="shared" si="1"/>
      </c>
      <c r="L43" s="80">
        <f t="shared" si="0"/>
      </c>
      <c r="M43" s="80">
        <f t="shared" si="2"/>
      </c>
      <c r="N43" s="83" t="s">
        <v>122</v>
      </c>
      <c r="O43" s="78">
        <v>4</v>
      </c>
      <c r="P43" s="81"/>
      <c r="Q43" s="81"/>
      <c r="R43" s="81"/>
      <c r="S43" s="81"/>
    </row>
    <row hidden="true" r="44">
      <c r="A44" s="84" t="s">
        <v>144</v>
      </c>
      <c r="B44" s="85"/>
      <c r="C44" s="85"/>
      <c r="D44" s="85">
        <f>SUM(D41:D43)</f>
      </c>
      <c r="E44" s="85">
        <f>SUM(E41:E43)</f>
      </c>
      <c r="F44" s="85">
        <f>SUM(F41:F43)</f>
      </c>
      <c r="G44" s="85">
        <f>SUM(G41:G43)</f>
      </c>
      <c r="H44" s="85">
        <f>SUM(H41:H43)</f>
      </c>
      <c r="I44" s="88">
        <f>SUM(I41:I43)</f>
      </c>
      <c r="J44" s="89">
        <f>SUM(J41:J43)</f>
      </c>
      <c r="K44" s="87">
        <f t="shared" si="1"/>
      </c>
      <c r="L44" s="87">
        <f t="shared" si="0"/>
      </c>
      <c r="M44" s="87">
        <f t="shared" si="2"/>
      </c>
      <c r="N44" s="85"/>
      <c r="O44" s="85">
        <f>SUM(O41:O43)</f>
      </c>
      <c r="P44" s="85"/>
      <c r="Q44" s="85">
        <f>SUM(Q41:Q43)</f>
      </c>
      <c r="R44" s="85">
        <f>SUM(R41:R43)</f>
      </c>
      <c r="S44" s="85">
        <f>SUM(S41:S43)</f>
      </c>
    </row>
    <row hidden="true" r="45">
      <c r="A45" s="78" t="s">
        <v>149</v>
      </c>
      <c r="B45" s="78" t="s">
        <v>118</v>
      </c>
      <c r="C45" s="78" t="s">
        <v>145</v>
      </c>
      <c r="D45" s="78">
        <v>5</v>
      </c>
      <c r="E45" s="78">
        <v>36</v>
      </c>
      <c r="F45" s="78">
        <v>30</v>
      </c>
      <c r="G45" s="78">
        <v>30</v>
      </c>
      <c r="H45" s="90">
        <v>3</v>
      </c>
      <c r="I45" s="81">
        <v>13342.9</v>
      </c>
      <c r="J45" s="91">
        <v>7258.35</v>
      </c>
      <c r="K45" s="92">
        <f t="shared" si="1"/>
      </c>
      <c r="L45" s="80">
        <f t="shared" si="0"/>
      </c>
      <c r="M45" s="80">
        <f t="shared" si="2"/>
      </c>
      <c r="N45" s="78" t="s">
        <v>150</v>
      </c>
      <c r="O45" s="78">
        <v>8</v>
      </c>
      <c r="P45" s="81"/>
      <c r="Q45" s="81"/>
      <c r="R45" s="81"/>
      <c r="S45" s="81"/>
    </row>
    <row hidden="true" r="46">
      <c r="A46" s="78" t="s">
        <v>149</v>
      </c>
      <c r="B46" s="78" t="s">
        <v>141</v>
      </c>
      <c r="C46" s="78" t="s">
        <v>147</v>
      </c>
      <c r="D46" s="78">
        <v>3</v>
      </c>
      <c r="E46" s="78">
        <v>14</v>
      </c>
      <c r="F46" s="78">
        <v>10</v>
      </c>
      <c r="G46" s="78">
        <v>10</v>
      </c>
      <c r="H46" s="78">
        <v>0</v>
      </c>
      <c r="I46" s="93">
        <v>4729.200000000003</v>
      </c>
      <c r="J46" s="94">
        <v>3106.65</v>
      </c>
      <c r="K46" s="80">
        <f t="shared" si="1"/>
      </c>
      <c r="L46" s="80">
        <f t="shared" si="0"/>
      </c>
      <c r="M46" s="80">
        <f t="shared" si="2"/>
      </c>
      <c r="N46" s="78"/>
      <c r="O46" s="78"/>
      <c r="P46" s="81"/>
      <c r="Q46" s="81"/>
      <c r="R46" s="81"/>
      <c r="S46" s="81"/>
    </row>
    <row hidden="true" r="47">
      <c r="A47" s="78" t="s">
        <v>149</v>
      </c>
      <c r="B47" s="78" t="s">
        <v>148</v>
      </c>
      <c r="C47" s="78" t="s">
        <v>124</v>
      </c>
      <c r="D47" s="78">
        <v>4</v>
      </c>
      <c r="E47" s="78">
        <v>16</v>
      </c>
      <c r="F47" s="78">
        <v>14</v>
      </c>
      <c r="G47" s="78">
        <v>14</v>
      </c>
      <c r="H47" s="78">
        <v>0</v>
      </c>
      <c r="I47" s="78">
        <v>6181.399999999998</v>
      </c>
      <c r="J47" s="78">
        <v>4857.76</v>
      </c>
      <c r="K47" s="80">
        <f t="shared" si="1"/>
      </c>
      <c r="L47" s="80">
        <f t="shared" si="0"/>
      </c>
      <c r="M47" s="80">
        <f t="shared" si="2"/>
      </c>
      <c r="N47" s="83" t="s">
        <v>131</v>
      </c>
      <c r="O47" s="78">
        <v>4</v>
      </c>
      <c r="P47" s="81"/>
      <c r="Q47" s="81"/>
      <c r="R47" s="81"/>
      <c r="S47" s="81"/>
    </row>
    <row hidden="true" r="48">
      <c r="A48" s="84" t="s">
        <v>149</v>
      </c>
      <c r="B48" s="85"/>
      <c r="C48" s="85"/>
      <c r="D48" s="85">
        <f>SUM(D45:D47)</f>
      </c>
      <c r="E48" s="85">
        <f>SUM(E45:E47)</f>
      </c>
      <c r="F48" s="85">
        <f>SUM(F45:F47)</f>
      </c>
      <c r="G48" s="85">
        <f>SUM(G45:G47)</f>
      </c>
      <c r="H48" s="85">
        <f>SUM(H45:H47)</f>
      </c>
      <c r="I48" s="85">
        <f>SUM(I45:I47)</f>
      </c>
      <c r="J48" s="86">
        <f>SUM(J45:J47)</f>
      </c>
      <c r="K48" s="87">
        <f t="shared" si="1"/>
      </c>
      <c r="L48" s="87">
        <f t="shared" si="0"/>
      </c>
      <c r="M48" s="87">
        <f t="shared" si="2"/>
      </c>
      <c r="N48" s="85"/>
      <c r="O48" s="85">
        <f>SUM(O45:O47)</f>
      </c>
      <c r="P48" s="85"/>
      <c r="Q48" s="85">
        <f>SUM(Q45:Q47)</f>
      </c>
      <c r="R48" s="85">
        <f>SUM(R45:R47)</f>
      </c>
      <c r="S48" s="85">
        <f>SUM(S45:S47)</f>
      </c>
    </row>
    <row hidden="true" r="49">
      <c r="A49" s="78" t="s">
        <v>151</v>
      </c>
      <c r="B49" s="78" t="s">
        <v>118</v>
      </c>
      <c r="C49" s="78" t="s">
        <v>145</v>
      </c>
      <c r="D49" s="78">
        <v>5</v>
      </c>
      <c r="E49" s="78">
        <v>50</v>
      </c>
      <c r="F49" s="78">
        <v>20</v>
      </c>
      <c r="G49" s="78">
        <v>20</v>
      </c>
      <c r="H49" s="90">
        <v>0</v>
      </c>
      <c r="I49" s="81">
        <v>9007.5</v>
      </c>
      <c r="J49" s="91">
        <v>6591.82</v>
      </c>
      <c r="K49" s="92">
        <f t="shared" si="1"/>
      </c>
      <c r="L49" s="80">
        <f t="shared" si="0"/>
      </c>
      <c r="M49" s="80">
        <f t="shared" si="2"/>
      </c>
      <c r="N49" s="78" t="s">
        <v>150</v>
      </c>
      <c r="O49" s="78">
        <v>8</v>
      </c>
      <c r="P49" s="81"/>
      <c r="Q49" s="81"/>
      <c r="R49" s="81"/>
      <c r="S49" s="81"/>
    </row>
    <row hidden="true" r="50">
      <c r="A50" s="78" t="s">
        <v>151</v>
      </c>
      <c r="B50" s="78" t="s">
        <v>141</v>
      </c>
      <c r="C50" s="78" t="s">
        <v>147</v>
      </c>
      <c r="D50" s="78">
        <v>3</v>
      </c>
      <c r="E50" s="78">
        <v>44</v>
      </c>
      <c r="F50" s="78">
        <v>14</v>
      </c>
      <c r="G50" s="78">
        <v>14</v>
      </c>
      <c r="H50" s="78">
        <v>0</v>
      </c>
      <c r="I50" s="93">
        <v>6475.4</v>
      </c>
      <c r="J50" s="94">
        <v>3912.95</v>
      </c>
      <c r="K50" s="80">
        <f t="shared" si="1"/>
      </c>
      <c r="L50" s="80">
        <f t="shared" si="0"/>
      </c>
      <c r="M50" s="80">
        <f t="shared" si="2"/>
      </c>
      <c r="N50" s="78"/>
      <c r="O50" s="78"/>
      <c r="P50" s="81"/>
      <c r="Q50" s="81"/>
      <c r="R50" s="81"/>
      <c r="S50" s="81"/>
    </row>
    <row hidden="true" r="51">
      <c r="A51" s="78" t="s">
        <v>151</v>
      </c>
      <c r="B51" s="78" t="s">
        <v>148</v>
      </c>
      <c r="C51" s="78" t="s">
        <v>124</v>
      </c>
      <c r="D51" s="78">
        <v>4</v>
      </c>
      <c r="E51" s="78">
        <v>24</v>
      </c>
      <c r="F51" s="78">
        <v>22</v>
      </c>
      <c r="G51" s="78">
        <v>23</v>
      </c>
      <c r="H51" s="78">
        <v>4</v>
      </c>
      <c r="I51" s="78">
        <v>10268.500000000002</v>
      </c>
      <c r="J51" s="78">
        <v>4673.87</v>
      </c>
      <c r="K51" s="80">
        <f t="shared" si="1"/>
      </c>
      <c r="L51" s="80">
        <f t="shared" si="0"/>
      </c>
      <c r="M51" s="80">
        <f t="shared" si="2"/>
      </c>
      <c r="N51" s="83" t="s">
        <v>131</v>
      </c>
      <c r="O51" s="78">
        <v>4</v>
      </c>
      <c r="P51" s="81"/>
      <c r="Q51" s="81"/>
      <c r="R51" s="81"/>
      <c r="S51" s="81"/>
    </row>
    <row hidden="true" r="52">
      <c r="A52" s="84" t="s">
        <v>151</v>
      </c>
      <c r="B52" s="85"/>
      <c r="C52" s="85"/>
      <c r="D52" s="85">
        <f>SUM(D49:D51)</f>
      </c>
      <c r="E52" s="85">
        <f>SUM(E49:E51)</f>
      </c>
      <c r="F52" s="85">
        <f>SUM(F49:F51)</f>
      </c>
      <c r="G52" s="85">
        <f>SUM(G49:G51)</f>
      </c>
      <c r="H52" s="85">
        <f>SUM(H49:H51)</f>
      </c>
      <c r="I52" s="85">
        <f>SUM(I49:I51)</f>
      </c>
      <c r="J52" s="86">
        <f>SUM(J49:J51)</f>
      </c>
      <c r="K52" s="87">
        <f t="shared" si="1"/>
      </c>
      <c r="L52" s="87">
        <f t="shared" si="0"/>
      </c>
      <c r="M52" s="87">
        <f t="shared" si="2"/>
      </c>
      <c r="N52" s="85"/>
      <c r="O52" s="85">
        <f>SUM(O49:O51)</f>
      </c>
      <c r="P52" s="85"/>
      <c r="Q52" s="85">
        <f>SUM(Q49:Q51)</f>
      </c>
      <c r="R52" s="85">
        <f>SUM(R49:R51)</f>
      </c>
      <c r="S52" s="85">
        <f>SUM(S49:S51)</f>
      </c>
    </row>
    <row hidden="true" r="53">
      <c r="A53" s="78" t="s">
        <v>152</v>
      </c>
      <c r="B53" s="78" t="s">
        <v>118</v>
      </c>
      <c r="C53" s="78" t="s">
        <v>153</v>
      </c>
      <c r="D53" s="78">
        <v>3</v>
      </c>
      <c r="E53" s="78">
        <v>10</v>
      </c>
      <c r="F53" s="78">
        <v>6</v>
      </c>
      <c r="G53" s="78">
        <v>6</v>
      </c>
      <c r="H53" s="90">
        <v>0</v>
      </c>
      <c r="I53" s="95">
        <v>2696.4</v>
      </c>
      <c r="J53" s="94">
        <v>3466.35</v>
      </c>
      <c r="K53" s="92">
        <f t="shared" si="1"/>
      </c>
      <c r="L53" s="80">
        <f t="shared" si="0"/>
      </c>
      <c r="M53" s="80">
        <f t="shared" si="2"/>
      </c>
      <c r="N53" s="78" t="s">
        <v>150</v>
      </c>
      <c r="O53" s="78">
        <v>8</v>
      </c>
      <c r="P53" s="81"/>
      <c r="Q53" s="81"/>
      <c r="R53" s="81"/>
      <c r="S53" s="81"/>
    </row>
    <row r="54">
      <c r="A54" s="78" t="s">
        <v>152</v>
      </c>
      <c r="B54" s="78" t="s">
        <v>154</v>
      </c>
      <c r="C54" s="77" t="s">
        <v>155</v>
      </c>
      <c r="D54" s="78">
        <v>2</v>
      </c>
      <c r="E54" s="78">
        <v>6</v>
      </c>
      <c r="F54" s="78">
        <v>6</v>
      </c>
      <c r="G54" s="78">
        <v>6</v>
      </c>
      <c r="H54" s="78">
        <v>0</v>
      </c>
      <c r="I54" s="93">
        <v>2658.1</v>
      </c>
      <c r="J54" s="94">
        <v>2474.63</v>
      </c>
      <c r="K54" s="80">
        <f t="shared" si="1"/>
      </c>
      <c r="L54" s="80">
        <f t="shared" si="0"/>
      </c>
      <c r="M54" s="80">
        <f t="shared" si="2"/>
      </c>
      <c r="N54" s="78"/>
      <c r="O54" s="78"/>
      <c r="P54" s="81"/>
      <c r="Q54" s="81"/>
      <c r="R54" s="81"/>
      <c r="S54" s="81"/>
    </row>
    <row hidden="true" r="55">
      <c r="A55" s="78" t="s">
        <v>152</v>
      </c>
      <c r="B55" s="78" t="s">
        <v>148</v>
      </c>
      <c r="C55" s="78" t="s">
        <v>156</v>
      </c>
      <c r="D55" s="78">
        <v>4</v>
      </c>
      <c r="E55" s="78">
        <v>18</v>
      </c>
      <c r="F55" s="78">
        <v>12</v>
      </c>
      <c r="G55" s="78">
        <v>12</v>
      </c>
      <c r="H55" s="78">
        <v>0</v>
      </c>
      <c r="I55" s="78">
        <v>5354.5</v>
      </c>
      <c r="J55" s="78">
        <v>4274.31</v>
      </c>
      <c r="K55" s="80">
        <f t="shared" si="1"/>
      </c>
      <c r="L55" s="80">
        <f t="shared" si="0"/>
      </c>
      <c r="M55" s="80">
        <f t="shared" si="2"/>
      </c>
      <c r="N55" s="83" t="s">
        <v>131</v>
      </c>
      <c r="O55" s="78">
        <v>4</v>
      </c>
      <c r="P55" s="81"/>
      <c r="Q55" s="81"/>
      <c r="R55" s="81"/>
      <c r="S55" s="81"/>
    </row>
    <row customHeight="true" hidden="true" ht="16.071428571428573" r="56">
      <c r="A56" s="78" t="s">
        <v>152</v>
      </c>
      <c r="B56" s="78" t="s">
        <v>118</v>
      </c>
      <c r="C56" s="78" t="s">
        <v>157</v>
      </c>
      <c r="D56" s="78">
        <v>3</v>
      </c>
      <c r="E56" s="78">
        <v>13</v>
      </c>
      <c r="F56" s="78">
        <v>10</v>
      </c>
      <c r="G56" s="78">
        <v>10</v>
      </c>
      <c r="H56" s="78">
        <v>0</v>
      </c>
      <c r="I56" s="78">
        <v>4526.6</v>
      </c>
      <c r="J56" s="78">
        <v>3544.02</v>
      </c>
      <c r="K56" s="80">
        <f t="shared" si="1"/>
      </c>
      <c r="L56" s="80">
        <f t="shared" si="0"/>
      </c>
      <c r="M56" s="80">
        <f t="shared" si="2"/>
      </c>
      <c r="N56" s="83"/>
      <c r="O56" s="78"/>
      <c r="P56" s="81"/>
      <c r="Q56" s="81"/>
      <c r="R56" s="81"/>
      <c r="S56" s="81"/>
    </row>
    <row hidden="true" r="57">
      <c r="A57" s="84" t="s">
        <v>152</v>
      </c>
      <c r="B57" s="85"/>
      <c r="C57" s="85"/>
      <c r="D57" s="85">
        <f>SUM(D53:D56)</f>
      </c>
      <c r="E57" s="85">
        <f>SUM(E53:E56)</f>
      </c>
      <c r="F57" s="85">
        <f>SUM(F53:F56)</f>
      </c>
      <c r="G57" s="85">
        <f>SUM(G53:G56)</f>
      </c>
      <c r="H57" s="85">
        <f>SUM(H53:H56)</f>
      </c>
      <c r="I57" s="85">
        <f>SUM(I53:I56)</f>
      </c>
      <c r="J57" s="85">
        <f>SUM(J53:J56)</f>
      </c>
      <c r="K57" s="87">
        <f t="shared" si="1"/>
      </c>
      <c r="L57" s="87">
        <f t="shared" si="0"/>
      </c>
      <c r="M57" s="87">
        <f t="shared" si="2"/>
      </c>
      <c r="N57" s="85"/>
      <c r="O57" s="85">
        <f>SUM(O53:O56)</f>
      </c>
      <c r="P57" s="85"/>
      <c r="Q57" s="85">
        <f>SUM(Q53:Q55)</f>
      </c>
      <c r="R57" s="85">
        <f>SUM(R53:R55)</f>
      </c>
      <c r="S57" s="85">
        <f>SUM(S53:S55)</f>
      </c>
    </row>
    <row hidden="true" r="58">
      <c r="A58" s="78" t="s">
        <v>158</v>
      </c>
      <c r="B58" s="78" t="s">
        <v>118</v>
      </c>
      <c r="C58" s="78" t="s">
        <v>159</v>
      </c>
      <c r="D58" s="78">
        <v>4</v>
      </c>
      <c r="E58" s="78">
        <v>25</v>
      </c>
      <c r="F58" s="78">
        <v>24</v>
      </c>
      <c r="G58" s="78">
        <v>24</v>
      </c>
      <c r="H58" s="90">
        <v>3</v>
      </c>
      <c r="I58" s="78">
        <v>11104.8</v>
      </c>
      <c r="J58" s="78">
        <v>4920.929999999999</v>
      </c>
      <c r="K58" s="92">
        <f t="shared" si="1"/>
      </c>
      <c r="L58" s="80">
        <f t="shared" si="0"/>
      </c>
      <c r="M58" s="80">
        <f t="shared" si="2"/>
      </c>
      <c r="N58" s="78" t="s">
        <v>150</v>
      </c>
      <c r="O58" s="78">
        <v>8</v>
      </c>
      <c r="P58" s="81"/>
      <c r="Q58" s="81"/>
      <c r="R58" s="81"/>
      <c r="S58" s="81"/>
    </row>
    <row hidden="true" r="59">
      <c r="A59" s="78" t="s">
        <v>158</v>
      </c>
      <c r="B59" s="78" t="s">
        <v>141</v>
      </c>
      <c r="C59" s="77" t="s">
        <v>160</v>
      </c>
      <c r="D59" s="78">
        <v>3</v>
      </c>
      <c r="E59" s="78">
        <v>12</v>
      </c>
      <c r="F59" s="78">
        <v>10</v>
      </c>
      <c r="G59" s="78">
        <v>10</v>
      </c>
      <c r="H59" s="78">
        <v>0</v>
      </c>
      <c r="I59" s="78">
        <v>4442.6</v>
      </c>
      <c r="J59" s="78">
        <v>3740.95</v>
      </c>
      <c r="K59" s="80">
        <f t="shared" si="1"/>
      </c>
      <c r="L59" s="80">
        <f t="shared" si="0"/>
      </c>
      <c r="M59" s="80">
        <f t="shared" si="2"/>
      </c>
      <c r="N59" s="78"/>
      <c r="O59" s="78"/>
      <c r="P59" s="81"/>
      <c r="Q59" s="81"/>
      <c r="R59" s="81"/>
      <c r="S59" s="81"/>
    </row>
    <row hidden="true" r="60">
      <c r="A60" s="78" t="s">
        <v>158</v>
      </c>
      <c r="B60" s="78" t="s">
        <v>148</v>
      </c>
      <c r="C60" s="78" t="s">
        <v>161</v>
      </c>
      <c r="D60" s="78">
        <v>3</v>
      </c>
      <c r="E60" s="78">
        <v>10</v>
      </c>
      <c r="F60" s="78">
        <v>6</v>
      </c>
      <c r="G60" s="78">
        <v>6</v>
      </c>
      <c r="H60" s="78">
        <v>0</v>
      </c>
      <c r="I60" s="78">
        <v>2737.3999999999996</v>
      </c>
      <c r="J60" s="78">
        <v>2594.75</v>
      </c>
      <c r="K60" s="80">
        <f t="shared" si="1"/>
      </c>
      <c r="L60" s="80">
        <f t="shared" si="0"/>
      </c>
      <c r="M60" s="80">
        <f t="shared" si="2"/>
      </c>
      <c r="N60" s="83" t="s">
        <v>162</v>
      </c>
      <c r="O60" s="78">
        <v>5</v>
      </c>
      <c r="P60" s="81"/>
      <c r="Q60" s="81"/>
      <c r="R60" s="81"/>
      <c r="S60" s="81"/>
    </row>
    <row r="61">
      <c r="A61" s="78" t="s">
        <v>158</v>
      </c>
      <c r="B61" s="78" t="s">
        <v>154</v>
      </c>
      <c r="C61" s="78" t="s">
        <v>133</v>
      </c>
      <c r="D61" s="78">
        <v>3</v>
      </c>
      <c r="E61" s="78">
        <v>18</v>
      </c>
      <c r="F61" s="78">
        <v>15</v>
      </c>
      <c r="G61" s="78">
        <v>15</v>
      </c>
      <c r="H61" s="78">
        <v>1</v>
      </c>
      <c r="I61" s="78">
        <v>6698.5</v>
      </c>
      <c r="J61" s="78">
        <v>2391.56</v>
      </c>
      <c r="K61" s="80">
        <f t="shared" si="1"/>
      </c>
      <c r="L61" s="80">
        <f t="shared" si="0"/>
      </c>
      <c r="M61" s="80">
        <f t="shared" si="2"/>
      </c>
      <c r="N61" s="83"/>
      <c r="O61" s="78"/>
      <c r="P61" s="81"/>
      <c r="Q61" s="81"/>
      <c r="R61" s="81"/>
      <c r="S61" s="81"/>
    </row>
    <row hidden="true" r="62">
      <c r="A62" s="84" t="s">
        <v>158</v>
      </c>
      <c r="B62" s="85"/>
      <c r="C62" s="85"/>
      <c r="D62" s="85">
        <f>SUM(D58:D61)</f>
      </c>
      <c r="E62" s="85">
        <f>SUM(E58:E61)</f>
      </c>
      <c r="F62" s="85">
        <f>SUM(F58:F61)</f>
      </c>
      <c r="G62" s="85">
        <f>SUM(G58:G61)</f>
      </c>
      <c r="H62" s="85">
        <f>SUM(H58:H61)</f>
      </c>
      <c r="I62" s="85">
        <f>SUM(I58:I61)</f>
      </c>
      <c r="J62" s="85">
        <f>SUM(J58:J61)</f>
      </c>
      <c r="K62" s="87">
        <f t="shared" si="1"/>
      </c>
      <c r="L62" s="87">
        <f t="shared" si="0"/>
      </c>
      <c r="M62" s="87">
        <f t="shared" si="2"/>
      </c>
      <c r="N62" s="85"/>
      <c r="O62" s="85">
        <f>SUM(O58:O61)</f>
      </c>
      <c r="P62" s="85"/>
      <c r="Q62" s="85">
        <f>SUM(Q58:Q60)</f>
      </c>
      <c r="R62" s="85">
        <f>SUM(R58:R60)</f>
      </c>
      <c r="S62" s="85">
        <f>SUM(S58:S60)</f>
      </c>
    </row>
    <row hidden="true" r="63">
      <c r="A63" s="78" t="s">
        <v>163</v>
      </c>
      <c r="B63" s="78" t="s">
        <v>118</v>
      </c>
      <c r="C63" s="78" t="s">
        <v>159</v>
      </c>
      <c r="D63" s="78">
        <v>4</v>
      </c>
      <c r="E63" s="78">
        <v>28</v>
      </c>
      <c r="F63" s="78">
        <v>21</v>
      </c>
      <c r="G63" s="78">
        <v>21</v>
      </c>
      <c r="H63" s="90">
        <v>2</v>
      </c>
      <c r="I63" s="78">
        <v>9213.8</v>
      </c>
      <c r="J63" s="78">
        <v>4071.26</v>
      </c>
      <c r="K63" s="92">
        <f t="shared" si="1"/>
      </c>
      <c r="L63" s="80">
        <f t="shared" si="0"/>
      </c>
      <c r="M63" s="80">
        <f t="shared" si="2"/>
      </c>
      <c r="N63" s="78" t="s">
        <v>150</v>
      </c>
      <c r="O63" s="78">
        <v>8</v>
      </c>
      <c r="P63" s="81"/>
      <c r="Q63" s="81"/>
      <c r="R63" s="81"/>
      <c r="S63" s="81"/>
    </row>
    <row hidden="true" r="64">
      <c r="A64" s="78" t="s">
        <v>163</v>
      </c>
      <c r="B64" s="78" t="s">
        <v>141</v>
      </c>
      <c r="C64" s="77" t="s">
        <v>160</v>
      </c>
      <c r="D64" s="78">
        <v>3</v>
      </c>
      <c r="E64" s="78">
        <v>9</v>
      </c>
      <c r="F64" s="78">
        <v>8</v>
      </c>
      <c r="G64" s="78">
        <v>8</v>
      </c>
      <c r="H64" s="78">
        <v>0</v>
      </c>
      <c r="I64" s="78">
        <v>3595.2000000000007</v>
      </c>
      <c r="J64" s="78">
        <v>2813</v>
      </c>
      <c r="K64" s="80">
        <f t="shared" si="1"/>
      </c>
      <c r="L64" s="80">
        <f t="shared" si="0"/>
      </c>
      <c r="M64" s="80">
        <f t="shared" si="2"/>
      </c>
      <c r="N64" s="78"/>
      <c r="O64" s="78"/>
      <c r="P64" s="81"/>
      <c r="Q64" s="81"/>
      <c r="R64" s="81"/>
      <c r="S64" s="81"/>
    </row>
    <row hidden="true" r="65">
      <c r="A65" s="78" t="s">
        <v>163</v>
      </c>
      <c r="B65" s="78" t="s">
        <v>148</v>
      </c>
      <c r="C65" s="78" t="s">
        <v>164</v>
      </c>
      <c r="D65" s="78">
        <v>2</v>
      </c>
      <c r="E65" s="78">
        <v>7</v>
      </c>
      <c r="F65" s="78">
        <v>4</v>
      </c>
      <c r="G65" s="78">
        <v>4</v>
      </c>
      <c r="H65" s="78">
        <v>0</v>
      </c>
      <c r="I65" s="78">
        <v>1876.8999999999996</v>
      </c>
      <c r="J65" s="78">
        <v>1506.75</v>
      </c>
      <c r="K65" s="80">
        <f t="shared" si="1"/>
      </c>
      <c r="L65" s="80">
        <f t="shared" si="0"/>
      </c>
      <c r="M65" s="80">
        <f t="shared" si="2"/>
      </c>
      <c r="N65" s="83" t="s">
        <v>162</v>
      </c>
      <c r="O65" s="78">
        <v>4</v>
      </c>
      <c r="P65" s="81"/>
      <c r="Q65" s="81"/>
      <c r="R65" s="81"/>
      <c r="S65" s="81"/>
    </row>
    <row r="66">
      <c r="A66" s="78" t="s">
        <v>163</v>
      </c>
      <c r="B66" s="78" t="s">
        <v>154</v>
      </c>
      <c r="C66" s="78" t="s">
        <v>157</v>
      </c>
      <c r="D66" s="78">
        <v>3</v>
      </c>
      <c r="E66" s="78">
        <v>16</v>
      </c>
      <c r="F66" s="78">
        <v>14</v>
      </c>
      <c r="G66" s="78">
        <v>14</v>
      </c>
      <c r="H66" s="78">
        <v>0</v>
      </c>
      <c r="I66" s="78">
        <v>6375.6</v>
      </c>
      <c r="J66" s="78">
        <v>3285.79</v>
      </c>
      <c r="K66" s="80">
        <f t="shared" si="1"/>
      </c>
      <c r="L66" s="80">
        <f t="shared" si="0"/>
      </c>
      <c r="M66" s="80">
        <f t="shared" si="2"/>
      </c>
      <c r="N66" s="83"/>
      <c r="O66" s="78"/>
      <c r="P66" s="81"/>
      <c r="Q66" s="81"/>
      <c r="R66" s="81"/>
      <c r="S66" s="81"/>
    </row>
    <row hidden="true" r="67">
      <c r="A67" s="84" t="s">
        <v>163</v>
      </c>
      <c r="B67" s="85"/>
      <c r="C67" s="85"/>
      <c r="D67" s="85">
        <f>SUM(D63:D66)</f>
      </c>
      <c r="E67" s="85">
        <f>SUM(E63:E66)</f>
      </c>
      <c r="F67" s="85">
        <f>SUM(F63:F66)</f>
      </c>
      <c r="G67" s="85">
        <f>SUM(G63:G66)</f>
      </c>
      <c r="H67" s="85">
        <f>SUM(H63:H66)</f>
      </c>
      <c r="I67" s="85">
        <f>SUM(I63:I66)</f>
      </c>
      <c r="J67" s="85">
        <f>SUM(J63:J66)</f>
      </c>
      <c r="K67" s="87">
        <f t="shared" si="1"/>
      </c>
      <c r="L67" s="87">
        <f t="shared" si="0"/>
      </c>
      <c r="M67" s="87">
        <f t="shared" si="2"/>
      </c>
      <c r="N67" s="85"/>
      <c r="O67" s="85">
        <f>SUM(O63:O66)</f>
      </c>
      <c r="P67" s="85"/>
      <c r="Q67" s="85">
        <f>SUM(Q63:Q65)</f>
      </c>
      <c r="R67" s="85">
        <f>SUM(R63:R65)</f>
      </c>
      <c r="S67" s="85">
        <f>SUM(S63:S65)</f>
      </c>
    </row>
    <row hidden="true" r="68">
      <c r="A68" s="78" t="s">
        <v>165</v>
      </c>
      <c r="B68" s="78" t="s">
        <v>118</v>
      </c>
      <c r="C68" s="78" t="s">
        <v>159</v>
      </c>
      <c r="D68" s="78">
        <v>4</v>
      </c>
      <c r="E68" s="78">
        <v>14</v>
      </c>
      <c r="F68" s="78">
        <v>11</v>
      </c>
      <c r="G68" s="78">
        <v>11</v>
      </c>
      <c r="H68" s="90">
        <v>0</v>
      </c>
      <c r="I68" s="78">
        <v>4875.7</v>
      </c>
      <c r="J68" s="78">
        <v>3995.52</v>
      </c>
      <c r="K68" s="92">
        <f t="shared" si="1"/>
      </c>
      <c r="L68" s="80">
        <f t="shared" si="0"/>
      </c>
      <c r="M68" s="80">
        <f t="shared" si="2"/>
      </c>
      <c r="N68" s="78" t="s">
        <v>166</v>
      </c>
      <c r="O68" s="78">
        <v>8</v>
      </c>
      <c r="P68" s="81"/>
      <c r="Q68" s="81"/>
      <c r="R68" s="81"/>
      <c r="S68" s="81"/>
    </row>
    <row hidden="true" r="69">
      <c r="A69" s="78" t="s">
        <v>165</v>
      </c>
      <c r="B69" s="78" t="s">
        <v>141</v>
      </c>
      <c r="C69" s="77" t="s">
        <v>160</v>
      </c>
      <c r="D69" s="78">
        <v>3</v>
      </c>
      <c r="E69" s="78">
        <v>10</v>
      </c>
      <c r="F69" s="78">
        <v>10</v>
      </c>
      <c r="G69" s="78">
        <v>10</v>
      </c>
      <c r="H69" s="78">
        <v>0</v>
      </c>
      <c r="I69" s="78">
        <v>4519.2</v>
      </c>
      <c r="J69" s="78">
        <v>3079.8900000000003</v>
      </c>
      <c r="K69" s="80">
        <f t="shared" si="1"/>
      </c>
      <c r="L69" s="80">
        <f t="shared" si="0"/>
      </c>
      <c r="M69" s="80">
        <f t="shared" si="2"/>
      </c>
      <c r="N69" s="78"/>
      <c r="O69" s="78"/>
      <c r="P69" s="81"/>
      <c r="Q69" s="81"/>
      <c r="R69" s="81"/>
      <c r="S69" s="81"/>
    </row>
    <row hidden="true" r="70">
      <c r="A70" s="78" t="s">
        <v>165</v>
      </c>
      <c r="B70" s="78" t="s">
        <v>148</v>
      </c>
      <c r="C70" s="78" t="s">
        <v>161</v>
      </c>
      <c r="D70" s="78">
        <v>3</v>
      </c>
      <c r="E70" s="78">
        <v>15</v>
      </c>
      <c r="F70" s="78">
        <v>11</v>
      </c>
      <c r="G70" s="78">
        <v>11</v>
      </c>
      <c r="H70" s="78">
        <v>0</v>
      </c>
      <c r="I70" s="78">
        <v>4914</v>
      </c>
      <c r="J70" s="78">
        <v>3200.02</v>
      </c>
      <c r="K70" s="80">
        <f t="shared" si="1"/>
      </c>
      <c r="L70" s="80">
        <f t="shared" si="0"/>
      </c>
      <c r="M70" s="80">
        <f t="shared" si="2"/>
      </c>
      <c r="N70" s="83" t="s">
        <v>162</v>
      </c>
      <c r="O70" s="78">
        <v>8</v>
      </c>
      <c r="P70" s="81"/>
      <c r="Q70" s="81"/>
      <c r="R70" s="81"/>
      <c r="S70" s="81"/>
    </row>
    <row customHeight="true" ht="16.071428571428573" r="71">
      <c r="A71" s="78" t="s">
        <v>165</v>
      </c>
      <c r="B71" s="78" t="s">
        <v>154</v>
      </c>
      <c r="C71" s="96" t="s">
        <v>167</v>
      </c>
      <c r="D71" s="78">
        <v>2</v>
      </c>
      <c r="E71" s="78">
        <v>6</v>
      </c>
      <c r="F71" s="78">
        <v>5</v>
      </c>
      <c r="G71" s="78">
        <v>5</v>
      </c>
      <c r="H71" s="78">
        <v>1</v>
      </c>
      <c r="I71" s="78">
        <v>2335.199999999999</v>
      </c>
      <c r="J71" s="78">
        <v>1660</v>
      </c>
      <c r="K71" s="80">
        <f t="shared" si="1"/>
      </c>
      <c r="L71" s="80">
        <f t="shared" si="0"/>
      </c>
      <c r="M71" s="80">
        <f t="shared" si="2"/>
      </c>
      <c r="N71" s="83"/>
      <c r="O71" s="78"/>
      <c r="P71" s="81"/>
      <c r="Q71" s="81"/>
      <c r="R71" s="81"/>
      <c r="S71" s="81"/>
    </row>
    <row hidden="true" r="72">
      <c r="A72" s="78" t="s">
        <v>165</v>
      </c>
      <c r="B72" s="78" t="s">
        <v>168</v>
      </c>
      <c r="C72" s="97" t="s">
        <v>125</v>
      </c>
      <c r="D72" s="78">
        <v>4</v>
      </c>
      <c r="E72" s="78">
        <v>24</v>
      </c>
      <c r="F72" s="78">
        <v>22</v>
      </c>
      <c r="G72" s="78">
        <v>22</v>
      </c>
      <c r="H72" s="78">
        <v>1</v>
      </c>
      <c r="I72" s="78">
        <v>9996</v>
      </c>
      <c r="J72" s="78">
        <v>4940.68</v>
      </c>
      <c r="K72" s="80">
        <f t="shared" si="1"/>
      </c>
      <c r="L72" s="80">
        <f t="shared" si="0"/>
      </c>
      <c r="M72" s="80">
        <f t="shared" si="2"/>
      </c>
      <c r="N72" s="83"/>
      <c r="O72" s="78"/>
      <c r="P72" s="81"/>
      <c r="Q72" s="81"/>
      <c r="R72" s="81"/>
      <c r="S72" s="81"/>
    </row>
    <row hidden="true" r="73">
      <c r="A73" s="84" t="s">
        <v>165</v>
      </c>
      <c r="B73" s="85"/>
      <c r="C73" s="85"/>
      <c r="D73" s="85">
        <f>SUM(D68:D72)</f>
      </c>
      <c r="E73" s="85">
        <f>SUM(E68:E72)</f>
      </c>
      <c r="F73" s="85">
        <f>SUM(F68:F72)</f>
      </c>
      <c r="G73" s="85">
        <f>SUM(G68:G72)</f>
      </c>
      <c r="H73" s="85">
        <f>SUM(H68:H72)</f>
      </c>
      <c r="I73" s="88">
        <f>SUM(I68:I72)</f>
      </c>
      <c r="J73" s="85">
        <f>SUM(J68:J72)</f>
      </c>
      <c r="K73" s="87">
        <f t="shared" si="1"/>
      </c>
      <c r="L73" s="87">
        <f t="shared" si="0"/>
      </c>
      <c r="M73" s="87">
        <f t="shared" si="2"/>
      </c>
      <c r="N73" s="85"/>
      <c r="O73" s="85">
        <f>SUM(O68:O72)</f>
      </c>
      <c r="P73" s="85"/>
      <c r="Q73" s="85">
        <f>SUM(Q68:Q70)</f>
      </c>
      <c r="R73" s="85">
        <f>SUM(R68:R70)</f>
      </c>
      <c r="S73" s="85">
        <f>SUM(S68:S70)</f>
      </c>
    </row>
    <row hidden="true" r="74">
      <c r="A74" s="78" t="s">
        <v>169</v>
      </c>
      <c r="B74" s="78" t="s">
        <v>118</v>
      </c>
      <c r="C74" s="98" t="s">
        <v>145</v>
      </c>
      <c r="D74" s="78">
        <v>5</v>
      </c>
      <c r="E74" s="78">
        <v>38</v>
      </c>
      <c r="F74" s="78">
        <v>29</v>
      </c>
      <c r="G74" s="78">
        <v>29</v>
      </c>
      <c r="H74" s="90">
        <v>2</v>
      </c>
      <c r="I74" s="78">
        <v>12801.6</v>
      </c>
      <c r="J74" s="78">
        <v>7557.34</v>
      </c>
      <c r="K74" s="92">
        <f t="shared" si="1"/>
      </c>
      <c r="L74" s="80">
        <f t="shared" si="0"/>
      </c>
      <c r="M74" s="80">
        <f t="shared" si="2"/>
      </c>
      <c r="N74" s="78" t="s">
        <v>166</v>
      </c>
      <c r="O74" s="78">
        <v>8</v>
      </c>
      <c r="P74" s="81"/>
      <c r="Q74" s="81"/>
      <c r="R74" s="81"/>
      <c r="S74" s="81"/>
    </row>
    <row hidden="true" r="75">
      <c r="A75" s="78" t="s">
        <v>169</v>
      </c>
      <c r="B75" s="90" t="s">
        <v>141</v>
      </c>
      <c r="C75" s="83" t="s">
        <v>147</v>
      </c>
      <c r="D75" s="99">
        <v>3</v>
      </c>
      <c r="E75" s="78">
        <v>22</v>
      </c>
      <c r="F75" s="78">
        <v>15</v>
      </c>
      <c r="G75" s="78">
        <v>15</v>
      </c>
      <c r="H75" s="78">
        <v>0</v>
      </c>
      <c r="I75" s="93">
        <v>6816.1</v>
      </c>
      <c r="J75" s="78">
        <v>4048.5600000000004</v>
      </c>
      <c r="K75" s="80">
        <f t="shared" si="1"/>
      </c>
      <c r="L75" s="80">
        <f t="shared" si="0"/>
      </c>
      <c r="M75" s="80">
        <f t="shared" si="2"/>
      </c>
      <c r="N75" s="78"/>
      <c r="O75" s="78"/>
      <c r="P75" s="81"/>
      <c r="Q75" s="81"/>
      <c r="R75" s="81"/>
      <c r="S75" s="81"/>
    </row>
    <row r="76">
      <c r="A76" s="78" t="s">
        <v>169</v>
      </c>
      <c r="B76" s="90" t="s">
        <v>154</v>
      </c>
      <c r="C76" s="78" t="s">
        <v>124</v>
      </c>
      <c r="D76" s="99">
        <v>4</v>
      </c>
      <c r="E76" s="78">
        <v>24</v>
      </c>
      <c r="F76" s="78">
        <v>15</v>
      </c>
      <c r="G76" s="78">
        <v>15</v>
      </c>
      <c r="H76" s="78">
        <v>2</v>
      </c>
      <c r="I76" s="78">
        <v>6946.799999999999</v>
      </c>
      <c r="J76" s="78">
        <v>4784.48</v>
      </c>
      <c r="K76" s="80">
        <f t="shared" si="1"/>
      </c>
      <c r="L76" s="80">
        <f t="shared" si="0"/>
      </c>
      <c r="M76" s="80">
        <f t="shared" si="2"/>
      </c>
      <c r="N76" s="83" t="s">
        <v>162</v>
      </c>
      <c r="O76" s="78">
        <v>8</v>
      </c>
      <c r="P76" s="81"/>
      <c r="Q76" s="81"/>
      <c r="R76" s="81"/>
      <c r="S76" s="81"/>
    </row>
    <row hidden="true" r="77">
      <c r="A77" s="78" t="s">
        <v>169</v>
      </c>
      <c r="B77" s="78" t="s">
        <v>168</v>
      </c>
      <c r="C77" s="97" t="s">
        <v>125</v>
      </c>
      <c r="D77" s="78">
        <v>4</v>
      </c>
      <c r="E77" s="78">
        <v>21</v>
      </c>
      <c r="F77" s="78">
        <v>17</v>
      </c>
      <c r="G77" s="78">
        <v>17</v>
      </c>
      <c r="H77" s="78">
        <v>0</v>
      </c>
      <c r="I77" s="78">
        <v>7576.800000000003</v>
      </c>
      <c r="J77" s="78">
        <v>3377.46</v>
      </c>
      <c r="K77" s="80">
        <f t="shared" si="1"/>
      </c>
      <c r="L77" s="80">
        <f t="shared" si="0"/>
      </c>
      <c r="M77" s="80">
        <f t="shared" si="2"/>
      </c>
      <c r="N77" s="83"/>
      <c r="O77" s="78"/>
      <c r="P77" s="81"/>
      <c r="Q77" s="81"/>
      <c r="R77" s="81"/>
      <c r="S77" s="81"/>
    </row>
    <row hidden="true" r="78">
      <c r="A78" s="84" t="s">
        <v>169</v>
      </c>
      <c r="B78" s="85"/>
      <c r="C78" s="85"/>
      <c r="D78" s="85">
        <f>SUM(D74:D77)</f>
      </c>
      <c r="E78" s="85">
        <f>SUM(E74:E77)</f>
      </c>
      <c r="F78" s="85">
        <f>SUM(F74:F77)</f>
      </c>
      <c r="G78" s="85">
        <f>SUM(G74:G77)</f>
      </c>
      <c r="H78" s="85">
        <f>SUM(H74:H77)</f>
      </c>
      <c r="I78" s="85">
        <f>SUM(I74:I77)</f>
      </c>
      <c r="J78" s="85">
        <f>SUM(J74:J77)</f>
      </c>
      <c r="K78" s="87">
        <f t="shared" si="1"/>
      </c>
      <c r="L78" s="87">
        <f t="shared" si="0"/>
      </c>
      <c r="M78" s="87">
        <f t="shared" si="2"/>
      </c>
      <c r="N78" s="85"/>
      <c r="O78" s="85">
        <f>SUM(O74:O77)</f>
      </c>
      <c r="P78" s="85"/>
      <c r="Q78" s="85">
        <f>SUM(Q74:Q75)</f>
      </c>
      <c r="R78" s="85">
        <f>SUM(R74:R75)</f>
      </c>
      <c r="S78" s="85">
        <f>SUM(S74:S75)</f>
      </c>
    </row>
    <row hidden="true" r="79">
      <c r="A79" s="78" t="s">
        <v>170</v>
      </c>
      <c r="B79" s="78" t="s">
        <v>168</v>
      </c>
      <c r="C79" s="98" t="s">
        <v>159</v>
      </c>
      <c r="D79" s="78">
        <v>4</v>
      </c>
      <c r="E79" s="78">
        <v>25</v>
      </c>
      <c r="F79" s="78">
        <v>18</v>
      </c>
      <c r="G79" s="78">
        <v>18</v>
      </c>
      <c r="H79" s="90">
        <v>1</v>
      </c>
      <c r="I79" s="78">
        <v>8206.8</v>
      </c>
      <c r="J79" s="78">
        <v>5336.799999999999</v>
      </c>
      <c r="K79" s="92">
        <f t="shared" si="1"/>
      </c>
      <c r="L79" s="80">
        <f t="shared" si="0"/>
      </c>
      <c r="M79" s="80">
        <f t="shared" si="2"/>
      </c>
      <c r="N79" s="78" t="s">
        <v>131</v>
      </c>
      <c r="O79" s="78">
        <v>8</v>
      </c>
      <c r="P79" s="81"/>
      <c r="Q79" s="81"/>
      <c r="R79" s="81"/>
      <c r="S79" s="81"/>
    </row>
    <row r="80">
      <c r="A80" s="78" t="s">
        <v>170</v>
      </c>
      <c r="B80" s="90" t="s">
        <v>154</v>
      </c>
      <c r="C80" s="83" t="s">
        <v>171</v>
      </c>
      <c r="D80" s="99">
        <v>4</v>
      </c>
      <c r="E80" s="78">
        <v>25</v>
      </c>
      <c r="F80" s="78">
        <v>22</v>
      </c>
      <c r="G80" s="78">
        <v>22</v>
      </c>
      <c r="H80" s="78">
        <v>2</v>
      </c>
      <c r="I80" s="93">
        <v>10104.2</v>
      </c>
      <c r="J80" s="78">
        <v>5549.16</v>
      </c>
      <c r="K80" s="80">
        <f t="shared" si="1"/>
      </c>
      <c r="L80" s="80">
        <f t="shared" si="0"/>
      </c>
      <c r="M80" s="80">
        <f t="shared" si="2"/>
      </c>
      <c r="N80" s="78"/>
      <c r="O80" s="78"/>
      <c r="P80" s="81"/>
      <c r="Q80" s="81"/>
      <c r="R80" s="81"/>
      <c r="S80" s="81"/>
    </row>
    <row hidden="true" r="81">
      <c r="A81" s="78" t="s">
        <v>170</v>
      </c>
      <c r="B81" s="90" t="s">
        <v>141</v>
      </c>
      <c r="C81" s="78" t="s">
        <v>140</v>
      </c>
      <c r="D81" s="100">
        <v>2.5</v>
      </c>
      <c r="E81" s="78">
        <v>16</v>
      </c>
      <c r="F81" s="78">
        <v>11</v>
      </c>
      <c r="G81" s="78">
        <v>11</v>
      </c>
      <c r="H81" s="78">
        <v>0</v>
      </c>
      <c r="I81" s="78">
        <v>4980.2</v>
      </c>
      <c r="J81" s="78">
        <v>3042.72</v>
      </c>
      <c r="K81" s="80">
        <f t="shared" si="1"/>
      </c>
      <c r="L81" s="80">
        <f t="shared" si="0"/>
      </c>
      <c r="M81" s="80">
        <f t="shared" si="2"/>
      </c>
      <c r="N81" s="83" t="s">
        <v>172</v>
      </c>
      <c r="O81" s="78">
        <v>8</v>
      </c>
      <c r="P81" s="81"/>
      <c r="Q81" s="81"/>
      <c r="R81" s="81"/>
      <c r="S81" s="81"/>
    </row>
    <row hidden="true" r="82">
      <c r="A82" s="78" t="s">
        <v>170</v>
      </c>
      <c r="B82" s="78" t="s">
        <v>118</v>
      </c>
      <c r="C82" s="97" t="s">
        <v>173</v>
      </c>
      <c r="D82" s="78">
        <v>5</v>
      </c>
      <c r="E82" s="78">
        <v>20</v>
      </c>
      <c r="F82" s="78">
        <v>17</v>
      </c>
      <c r="G82" s="78">
        <v>17</v>
      </c>
      <c r="H82" s="78">
        <v>2</v>
      </c>
      <c r="I82" s="78">
        <v>7769</v>
      </c>
      <c r="J82" s="78">
        <v>4650.4</v>
      </c>
      <c r="K82" s="80">
        <f t="shared" si="1"/>
      </c>
      <c r="L82" s="80">
        <f t="shared" si="0"/>
      </c>
      <c r="M82" s="80">
        <f t="shared" si="2"/>
      </c>
      <c r="N82" s="83"/>
      <c r="O82" s="78"/>
      <c r="P82" s="81"/>
      <c r="Q82" s="81"/>
      <c r="R82" s="81"/>
      <c r="S82" s="81"/>
    </row>
    <row hidden="true" r="83">
      <c r="A83" s="84" t="s">
        <v>170</v>
      </c>
      <c r="B83" s="85"/>
      <c r="C83" s="85"/>
      <c r="D83" s="85">
        <f>SUM(D79:D82)</f>
      </c>
      <c r="E83" s="85">
        <f>SUM(E79:E82)</f>
      </c>
      <c r="F83" s="85">
        <f>SUM(F79:F82)</f>
      </c>
      <c r="G83" s="85">
        <f>SUM(G79:G82)</f>
      </c>
      <c r="H83" s="85">
        <f>SUM(H79:H82)</f>
      </c>
      <c r="I83" s="85">
        <f>SUM(I79:I82)</f>
      </c>
      <c r="J83" s="85">
        <f>SUM(J79:J82)</f>
      </c>
      <c r="K83" s="87">
        <f t="shared" si="1"/>
      </c>
      <c r="L83" s="87">
        <f t="shared" si="0"/>
      </c>
      <c r="M83" s="87">
        <f t="shared" si="2"/>
      </c>
      <c r="N83" s="85"/>
      <c r="O83" s="85">
        <f>SUM(O79:O82)</f>
      </c>
      <c r="P83" s="85"/>
      <c r="Q83" s="85">
        <f>SUM(Q79:Q80)</f>
      </c>
      <c r="R83" s="85">
        <f>SUM(R79:R80)</f>
      </c>
      <c r="S83" s="85">
        <f>SUM(S79:S80)</f>
      </c>
    </row>
    <row hidden="true" r="84">
      <c r="A84" s="78" t="s">
        <v>174</v>
      </c>
      <c r="B84" s="78" t="s">
        <v>168</v>
      </c>
      <c r="C84" s="98" t="s">
        <v>175</v>
      </c>
      <c r="D84" s="78">
        <v>1.5</v>
      </c>
      <c r="E84" s="78">
        <v>6</v>
      </c>
      <c r="F84" s="78">
        <v>5</v>
      </c>
      <c r="G84" s="78">
        <v>5</v>
      </c>
      <c r="H84" s="90">
        <v>0</v>
      </c>
      <c r="I84" s="78">
        <v>2158.8</v>
      </c>
      <c r="J84" s="78">
        <v>1897.24</v>
      </c>
      <c r="K84" s="92">
        <f t="shared" si="1"/>
      </c>
      <c r="L84" s="80">
        <f t="shared" si="0"/>
      </c>
      <c r="M84" s="80">
        <f t="shared" si="2"/>
      </c>
      <c r="N84" s="78" t="s">
        <v>131</v>
      </c>
      <c r="O84" s="78">
        <v>1.5</v>
      </c>
      <c r="P84" s="81"/>
      <c r="Q84" s="81"/>
      <c r="R84" s="81"/>
      <c r="S84" s="81"/>
    </row>
    <row hidden="true" r="85">
      <c r="A85" s="84" t="s">
        <v>174</v>
      </c>
      <c r="B85" s="85"/>
      <c r="C85" s="85"/>
      <c r="D85" s="85">
        <f>SUM(D84)</f>
      </c>
      <c r="E85" s="85">
        <f>SUM(E84)</f>
      </c>
      <c r="F85" s="85">
        <f>SUM(F84)</f>
      </c>
      <c r="G85" s="85">
        <f>SUM(G84)</f>
      </c>
      <c r="H85" s="85">
        <f>SUM(H84)</f>
      </c>
      <c r="I85" s="85">
        <f>SUM(I84)</f>
      </c>
      <c r="J85" s="85">
        <f>SUM(J84)</f>
      </c>
      <c r="K85" s="87">
        <f t="shared" si="1"/>
      </c>
      <c r="L85" s="87">
        <f t="shared" si="0"/>
      </c>
      <c r="M85" s="87">
        <f t="shared" si="2"/>
      </c>
      <c r="N85" s="85"/>
      <c r="O85" s="85">
        <f>SUM(O84)</f>
      </c>
      <c r="P85" s="85"/>
      <c r="Q85" s="85">
        <f>SUM(Q84)</f>
      </c>
      <c r="R85" s="85">
        <f>SUM(R84)</f>
      </c>
      <c r="S85" s="85">
        <f>SUM(S84)</f>
      </c>
    </row>
    <row hidden="true" r="86">
      <c r="A86" s="78" t="s">
        <v>176</v>
      </c>
      <c r="B86" s="78" t="s">
        <v>168</v>
      </c>
      <c r="C86" s="98" t="s">
        <v>153</v>
      </c>
      <c r="D86" s="78">
        <v>3</v>
      </c>
      <c r="E86" s="78">
        <v>14</v>
      </c>
      <c r="F86" s="78">
        <v>12</v>
      </c>
      <c r="G86" s="78">
        <v>12</v>
      </c>
      <c r="H86" s="90">
        <v>1</v>
      </c>
      <c r="I86" s="78">
        <v>5392.8</v>
      </c>
      <c r="J86" s="78">
        <v>3070.37</v>
      </c>
      <c r="K86" s="92">
        <f t="shared" si="1"/>
      </c>
      <c r="L86" s="80">
        <f t="shared" si="0"/>
      </c>
      <c r="M86" s="80">
        <f t="shared" si="2"/>
      </c>
      <c r="N86" s="78" t="s">
        <v>150</v>
      </c>
      <c r="O86" s="78">
        <v>3</v>
      </c>
      <c r="P86" s="81"/>
      <c r="Q86" s="81"/>
      <c r="R86" s="81"/>
      <c r="S86" s="81"/>
    </row>
    <row hidden="true" r="87">
      <c r="A87" s="84" t="s">
        <v>176</v>
      </c>
      <c r="B87" s="85"/>
      <c r="C87" s="85"/>
      <c r="D87" s="85">
        <f>SUM(D86)</f>
      </c>
      <c r="E87" s="85">
        <f>SUM(E86)</f>
      </c>
      <c r="F87" s="85">
        <f>SUM(F86)</f>
      </c>
      <c r="G87" s="85">
        <f>SUM(G86)</f>
      </c>
      <c r="H87" s="85">
        <f>SUM(H86)</f>
      </c>
      <c r="I87" s="85">
        <f>SUM(I86)</f>
      </c>
      <c r="J87" s="85">
        <f>SUM(J86)</f>
      </c>
      <c r="K87" s="87">
        <f t="shared" si="1"/>
      </c>
      <c r="L87" s="87">
        <f t="shared" si="0"/>
      </c>
      <c r="M87" s="87">
        <f t="shared" si="2"/>
      </c>
      <c r="N87" s="85"/>
      <c r="O87" s="85">
        <f>SUM(O86)</f>
      </c>
      <c r="P87" s="85"/>
      <c r="Q87" s="85">
        <f>SUM(Q86)</f>
      </c>
      <c r="R87" s="85">
        <f>SUM(R86)</f>
      </c>
      <c r="S87" s="85">
        <f>SUM(S86)</f>
      </c>
    </row>
    <row hidden="true" r="88">
      <c r="A88" s="78" t="s">
        <v>177</v>
      </c>
      <c r="B88" s="78" t="s">
        <v>118</v>
      </c>
      <c r="C88" s="98" t="s">
        <v>178</v>
      </c>
      <c r="D88" s="78">
        <v>4</v>
      </c>
      <c r="E88" s="78">
        <v>23</v>
      </c>
      <c r="F88" s="78">
        <v>23</v>
      </c>
      <c r="G88" s="78">
        <v>23</v>
      </c>
      <c r="H88" s="90">
        <v>4</v>
      </c>
      <c r="I88" s="78">
        <v>10344.1</v>
      </c>
      <c r="J88" s="101">
        <v>4173.26</v>
      </c>
      <c r="K88" s="92">
        <f t="shared" si="1"/>
      </c>
      <c r="L88" s="80">
        <f t="shared" si="0"/>
      </c>
      <c r="M88" s="80">
        <f t="shared" si="2"/>
      </c>
      <c r="N88" s="78" t="s">
        <v>179</v>
      </c>
      <c r="O88" s="78">
        <v>4</v>
      </c>
      <c r="P88" s="81"/>
      <c r="Q88" s="81"/>
      <c r="R88" s="81"/>
      <c r="S88" s="81"/>
    </row>
    <row hidden="true" r="89">
      <c r="A89" s="84" t="s">
        <v>177</v>
      </c>
      <c r="B89" s="85"/>
      <c r="C89" s="85"/>
      <c r="D89" s="85">
        <f>SUM(D88)</f>
      </c>
      <c r="E89" s="85">
        <f>SUM(E88)</f>
      </c>
      <c r="F89" s="85">
        <f>SUM(F88)</f>
      </c>
      <c r="G89" s="85">
        <f>SUM(G88)</f>
      </c>
      <c r="H89" s="85">
        <f>SUM(H88)</f>
      </c>
      <c r="I89" s="88">
        <f>SUM(I88)</f>
      </c>
      <c r="J89" s="88">
        <f>SUM(J88)</f>
      </c>
      <c r="K89" s="87">
        <f t="shared" si="1"/>
      </c>
      <c r="L89" s="87">
        <f t="shared" si="0"/>
      </c>
      <c r="M89" s="87">
        <f t="shared" si="2"/>
      </c>
      <c r="N89" s="85"/>
      <c r="O89" s="85">
        <f>SUM(O88)</f>
      </c>
      <c r="P89" s="85"/>
      <c r="Q89" s="85">
        <f>SUM(Q88)</f>
      </c>
      <c r="R89" s="85">
        <f>SUM(R88)</f>
      </c>
      <c r="S89" s="85">
        <f>SUM(S88)</f>
      </c>
    </row>
    <row hidden="true" r="90">
      <c r="A90" s="78" t="s">
        <v>180</v>
      </c>
      <c r="B90" s="78" t="s">
        <v>168</v>
      </c>
      <c r="C90" s="83" t="s">
        <v>171</v>
      </c>
      <c r="D90" s="78">
        <v>4</v>
      </c>
      <c r="E90" s="78">
        <v>32</v>
      </c>
      <c r="F90" s="78">
        <v>25</v>
      </c>
      <c r="G90" s="78">
        <v>25</v>
      </c>
      <c r="H90" s="90">
        <v>1</v>
      </c>
      <c r="I90" s="102">
        <v>11287.6</v>
      </c>
      <c r="J90" s="103">
        <v>7071.889999999999</v>
      </c>
      <c r="K90" s="92">
        <f t="shared" si="1"/>
      </c>
      <c r="L90" s="80">
        <f t="shared" si="0"/>
      </c>
      <c r="M90" s="80">
        <f t="shared" si="2"/>
      </c>
      <c r="N90" s="78"/>
      <c r="O90" s="78"/>
      <c r="P90" s="81"/>
      <c r="Q90" s="81"/>
      <c r="R90" s="81"/>
      <c r="S90" s="81"/>
    </row>
    <row r="91">
      <c r="A91" s="78" t="s">
        <v>180</v>
      </c>
      <c r="B91" s="104" t="s">
        <v>154</v>
      </c>
      <c r="C91" s="98" t="s">
        <v>124</v>
      </c>
      <c r="D91" s="99">
        <v>4</v>
      </c>
      <c r="E91" s="78">
        <v>19</v>
      </c>
      <c r="F91" s="78">
        <v>15</v>
      </c>
      <c r="G91" s="78">
        <v>15</v>
      </c>
      <c r="H91" s="90">
        <v>1</v>
      </c>
      <c r="I91" s="105">
        <v>6542.6</v>
      </c>
      <c r="J91" s="105">
        <v>4504.23</v>
      </c>
      <c r="K91" s="92">
        <f t="shared" si="1"/>
      </c>
      <c r="L91" s="80">
        <f t="shared" si="0"/>
      </c>
      <c r="M91" s="80">
        <f t="shared" si="2"/>
      </c>
      <c r="N91" s="78" t="s">
        <v>150</v>
      </c>
      <c r="O91" s="78">
        <v>12</v>
      </c>
      <c r="P91" s="81"/>
      <c r="Q91" s="81"/>
      <c r="R91" s="81"/>
      <c r="S91" s="81"/>
    </row>
    <row hidden="true" r="92">
      <c r="A92" s="90" t="s">
        <v>180</v>
      </c>
      <c r="B92" s="78" t="s">
        <v>148</v>
      </c>
      <c r="C92" s="83" t="s">
        <v>125</v>
      </c>
      <c r="D92" s="99">
        <v>4</v>
      </c>
      <c r="E92" s="78">
        <v>27</v>
      </c>
      <c r="F92" s="78">
        <v>23</v>
      </c>
      <c r="G92" s="78">
        <v>23</v>
      </c>
      <c r="H92" s="90">
        <v>3</v>
      </c>
      <c r="I92" s="105">
        <v>10449.599999999999</v>
      </c>
      <c r="J92" s="106">
        <f>5117.6+0.72</f>
      </c>
      <c r="K92" s="92">
        <f t="shared" si="1"/>
      </c>
      <c r="L92" s="80">
        <f t="shared" si="0"/>
      </c>
      <c r="M92" s="80">
        <f t="shared" si="2"/>
      </c>
      <c r="N92" s="83"/>
      <c r="O92" s="78"/>
      <c r="P92" s="81"/>
      <c r="Q92" s="81"/>
      <c r="R92" s="81"/>
      <c r="S92" s="81"/>
    </row>
    <row hidden="true" r="93">
      <c r="A93" s="107" t="s">
        <v>180</v>
      </c>
      <c r="B93" s="108"/>
      <c r="C93" s="108"/>
      <c r="D93" s="88">
        <f>SUM(D90:D92)</f>
      </c>
      <c r="E93" s="88">
        <f>SUM(E90:E92)</f>
      </c>
      <c r="F93" s="88">
        <f>SUM(F90:F92)</f>
      </c>
      <c r="G93" s="88">
        <f>SUM(G90:G92)</f>
      </c>
      <c r="H93" s="88">
        <f>SUM(H90:H92)</f>
      </c>
      <c r="I93" s="108">
        <f>SUM(I90:I92)</f>
      </c>
      <c r="J93" s="108">
        <f>SUM(J90:J92)</f>
      </c>
      <c r="K93" s="109">
        <f t="shared" si="1"/>
      </c>
      <c r="L93" s="109">
        <f t="shared" si="0"/>
      </c>
      <c r="M93" s="109">
        <f t="shared" si="2"/>
      </c>
      <c r="N93" s="88"/>
      <c r="O93" s="88">
        <f>SUM(O90:O92)</f>
      </c>
      <c r="P93" s="88"/>
      <c r="Q93" s="88">
        <f>SUM(Q90:Q91)</f>
      </c>
      <c r="R93" s="88">
        <f>SUM(R90:R91)</f>
      </c>
      <c r="S93" s="88">
        <f>SUM(S90:S91)</f>
      </c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</row>
    <row customHeight="true" hidden="true" ht="16.071428571428573" r="94">
      <c r="A94" s="78" t="s">
        <v>181</v>
      </c>
      <c r="B94" s="90" t="s">
        <v>118</v>
      </c>
      <c r="C94" s="83" t="s">
        <v>182</v>
      </c>
      <c r="D94" s="99">
        <v>4</v>
      </c>
      <c r="E94" s="78">
        <v>31</v>
      </c>
      <c r="F94" s="78">
        <v>20</v>
      </c>
      <c r="G94" s="78">
        <v>20</v>
      </c>
      <c r="H94" s="90">
        <v>1</v>
      </c>
      <c r="I94" s="102">
        <v>8916.1</v>
      </c>
      <c r="J94" s="103">
        <v>5246.94</v>
      </c>
      <c r="K94" s="92">
        <f t="shared" si="1"/>
      </c>
      <c r="L94" s="80">
        <f t="shared" si="0"/>
      </c>
      <c r="M94" s="80">
        <f t="shared" si="2"/>
      </c>
      <c r="N94" s="78"/>
      <c r="O94" s="78"/>
      <c r="P94" s="81"/>
      <c r="Q94" s="81"/>
      <c r="R94" s="81"/>
      <c r="S94" s="81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</row>
    <row customHeight="true" ht="16.071428571428573" r="95">
      <c r="A95" s="78" t="s">
        <v>181</v>
      </c>
      <c r="B95" s="104" t="s">
        <v>154</v>
      </c>
      <c r="C95" s="111" t="s">
        <v>171</v>
      </c>
      <c r="D95" s="99">
        <v>4</v>
      </c>
      <c r="E95" s="78">
        <v>33</v>
      </c>
      <c r="F95" s="78">
        <v>24</v>
      </c>
      <c r="G95" s="78">
        <v>24</v>
      </c>
      <c r="H95" s="90">
        <v>1</v>
      </c>
      <c r="I95" s="106">
        <v>11007.699999999999</v>
      </c>
      <c r="J95" s="106">
        <v>6493.1900000000005</v>
      </c>
      <c r="K95" s="92">
        <f t="shared" si="1"/>
      </c>
      <c r="L95" s="80">
        <f t="shared" si="0"/>
      </c>
      <c r="M95" s="80">
        <f t="shared" si="2"/>
      </c>
      <c r="N95" s="78" t="s">
        <v>150</v>
      </c>
      <c r="O95" s="78">
        <v>8</v>
      </c>
      <c r="P95" s="81"/>
      <c r="Q95" s="81"/>
      <c r="R95" s="81"/>
      <c r="S95" s="81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</row>
    <row customHeight="true" hidden="true" ht="16.071428571428573" r="96">
      <c r="A96" s="90" t="s">
        <v>181</v>
      </c>
      <c r="B96" s="78" t="s">
        <v>148</v>
      </c>
      <c r="C96" s="98" t="s">
        <v>183</v>
      </c>
      <c r="D96" s="99">
        <v>3.5</v>
      </c>
      <c r="E96" s="78">
        <v>10</v>
      </c>
      <c r="F96" s="78">
        <v>5</v>
      </c>
      <c r="G96" s="78">
        <v>5</v>
      </c>
      <c r="H96" s="90">
        <v>0</v>
      </c>
      <c r="I96" s="112">
        <v>2335.2000000000007</v>
      </c>
      <c r="J96" s="113">
        <v>2825.0699999999997</v>
      </c>
      <c r="K96" s="92">
        <f t="shared" si="1"/>
      </c>
      <c r="L96" s="80">
        <f t="shared" si="0"/>
      </c>
      <c r="M96" s="80">
        <f t="shared" si="2"/>
      </c>
      <c r="N96" s="83" t="s">
        <v>162</v>
      </c>
      <c r="O96" s="78">
        <v>8</v>
      </c>
      <c r="P96" s="81"/>
      <c r="Q96" s="81"/>
      <c r="R96" s="81"/>
      <c r="S96" s="81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</row>
    <row customHeight="true" hidden="true" ht="16.071428571428573" r="97">
      <c r="A97" s="90" t="s">
        <v>181</v>
      </c>
      <c r="B97" s="78" t="s">
        <v>168</v>
      </c>
      <c r="C97" s="83" t="s">
        <v>184</v>
      </c>
      <c r="D97" s="99">
        <v>4.5</v>
      </c>
      <c r="E97" s="78">
        <v>25</v>
      </c>
      <c r="F97" s="78">
        <v>19</v>
      </c>
      <c r="G97" s="78">
        <v>19</v>
      </c>
      <c r="H97" s="90">
        <v>0</v>
      </c>
      <c r="I97" s="105">
        <v>8710.8</v>
      </c>
      <c r="J97" s="105">
        <v>5454.8</v>
      </c>
      <c r="K97" s="92">
        <f t="shared" si="1"/>
      </c>
      <c r="L97" s="80">
        <f t="shared" si="0"/>
      </c>
      <c r="M97" s="80">
        <f t="shared" si="2"/>
      </c>
      <c r="N97" s="83"/>
      <c r="O97" s="78"/>
      <c r="P97" s="81"/>
      <c r="Q97" s="81"/>
      <c r="R97" s="81"/>
      <c r="S97" s="81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</row>
    <row customHeight="true" hidden="true" ht="16.071428571428573" r="98">
      <c r="A98" s="107" t="s">
        <v>181</v>
      </c>
      <c r="B98" s="108"/>
      <c r="C98" s="108"/>
      <c r="D98" s="88">
        <f>SUM(D94:D97)</f>
      </c>
      <c r="E98" s="88">
        <f>SUM(E94:E97)</f>
      </c>
      <c r="F98" s="88">
        <f>SUM(F94:F97)</f>
      </c>
      <c r="G98" s="88">
        <f>SUM(G94:G97)</f>
      </c>
      <c r="H98" s="88">
        <f>SUM(H94:H97)</f>
      </c>
      <c r="I98" s="88">
        <f>SUM(I94:I97)</f>
      </c>
      <c r="J98" s="88">
        <f>SUM(J94:J97)</f>
      </c>
      <c r="K98" s="109">
        <f t="shared" si="1"/>
      </c>
      <c r="L98" s="109">
        <f t="shared" si="0"/>
      </c>
      <c r="M98" s="109">
        <f t="shared" si="2"/>
      </c>
      <c r="N98" s="88"/>
      <c r="O98" s="88">
        <f>SUM(O94:O97)</f>
      </c>
      <c r="P98" s="88"/>
      <c r="Q98" s="88">
        <f>SUM(Q94:Q97)</f>
      </c>
      <c r="R98" s="88">
        <f>SUM(R94:R97)</f>
      </c>
      <c r="S98" s="88">
        <f>SUM(S94:S97)</f>
      </c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</row>
    <row customHeight="true" hidden="true" ht="16.071428571428573" r="99">
      <c r="A99" s="78" t="s">
        <v>185</v>
      </c>
      <c r="B99" s="90" t="s">
        <v>118</v>
      </c>
      <c r="C99" s="83" t="s">
        <v>182</v>
      </c>
      <c r="D99" s="99">
        <v>4</v>
      </c>
      <c r="E99" s="78">
        <v>9</v>
      </c>
      <c r="F99" s="78">
        <v>8</v>
      </c>
      <c r="G99" s="78">
        <v>8</v>
      </c>
      <c r="H99" s="90">
        <v>1</v>
      </c>
      <c r="I99" s="105">
        <v>3654</v>
      </c>
      <c r="J99" s="106">
        <v>5232.459999999999</v>
      </c>
      <c r="K99" s="92">
        <f t="shared" si="1"/>
      </c>
      <c r="L99" s="80">
        <f t="shared" si="0"/>
      </c>
      <c r="M99" s="80">
        <f t="shared" si="2"/>
      </c>
      <c r="N99" s="78"/>
      <c r="O99" s="78"/>
      <c r="P99" s="81"/>
      <c r="Q99" s="81"/>
      <c r="R99" s="81"/>
      <c r="S99" s="81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</row>
    <row customHeight="true" hidden="true" ht="16.071428571428573" r="100">
      <c r="A100" s="78" t="s">
        <v>185</v>
      </c>
      <c r="B100" s="78" t="s">
        <v>148</v>
      </c>
      <c r="C100" s="111" t="s">
        <v>171</v>
      </c>
      <c r="D100" s="100">
        <v>3.5</v>
      </c>
      <c r="E100" s="78">
        <v>15</v>
      </c>
      <c r="F100" s="78">
        <v>13</v>
      </c>
      <c r="G100" s="78">
        <v>13</v>
      </c>
      <c r="H100" s="90">
        <v>0</v>
      </c>
      <c r="I100" s="113">
        <v>5989.200000000001</v>
      </c>
      <c r="J100" s="113">
        <v>5813.699999999999</v>
      </c>
      <c r="K100" s="92">
        <f t="shared" si="1"/>
      </c>
      <c r="L100" s="80">
        <f t="shared" si="0"/>
      </c>
      <c r="M100" s="80">
        <f t="shared" si="2"/>
      </c>
      <c r="N100" s="78" t="s">
        <v>166</v>
      </c>
      <c r="O100" s="78">
        <v>8</v>
      </c>
      <c r="P100" s="81"/>
      <c r="Q100" s="81"/>
      <c r="R100" s="81"/>
      <c r="S100" s="81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</row>
    <row customHeight="true" ht="16.071428571428573" r="101">
      <c r="A101" s="90" t="s">
        <v>185</v>
      </c>
      <c r="B101" s="104" t="s">
        <v>154</v>
      </c>
      <c r="C101" s="98" t="s">
        <v>124</v>
      </c>
      <c r="D101" s="99">
        <v>4</v>
      </c>
      <c r="E101" s="78">
        <v>16</v>
      </c>
      <c r="F101" s="78">
        <v>13</v>
      </c>
      <c r="G101" s="78">
        <v>13</v>
      </c>
      <c r="H101" s="90">
        <v>0</v>
      </c>
      <c r="I101" s="112">
        <v>5892.0999999999985</v>
      </c>
      <c r="J101" s="113">
        <v>3521.3</v>
      </c>
      <c r="K101" s="92">
        <f t="shared" si="1"/>
      </c>
      <c r="L101" s="80">
        <f t="shared" si="0"/>
      </c>
      <c r="M101" s="80">
        <f t="shared" si="2"/>
      </c>
      <c r="N101" s="83" t="s">
        <v>162</v>
      </c>
      <c r="O101" s="78">
        <v>8</v>
      </c>
      <c r="P101" s="81"/>
      <c r="Q101" s="81"/>
      <c r="R101" s="81"/>
      <c r="S101" s="81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</row>
    <row customHeight="true" hidden="true" ht="16.071428571428573" r="102">
      <c r="A102" s="90" t="s">
        <v>185</v>
      </c>
      <c r="B102" s="78" t="s">
        <v>168</v>
      </c>
      <c r="C102" s="83" t="s">
        <v>125</v>
      </c>
      <c r="D102" s="99">
        <v>4</v>
      </c>
      <c r="E102" s="78">
        <v>36</v>
      </c>
      <c r="F102" s="78">
        <v>32</v>
      </c>
      <c r="G102" s="78">
        <v>32</v>
      </c>
      <c r="H102" s="90">
        <v>2</v>
      </c>
      <c r="I102" s="105">
        <v>14047.5</v>
      </c>
      <c r="J102" s="105">
        <v>5124.71</v>
      </c>
      <c r="K102" s="92">
        <f t="shared" si="1"/>
      </c>
      <c r="L102" s="80">
        <f t="shared" si="0"/>
      </c>
      <c r="M102" s="80">
        <f t="shared" si="2"/>
      </c>
      <c r="N102" s="83"/>
      <c r="O102" s="78"/>
      <c r="P102" s="81"/>
      <c r="Q102" s="81"/>
      <c r="R102" s="81"/>
      <c r="S102" s="81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</row>
    <row customHeight="true" hidden="true" ht="16.071428571428573" r="103">
      <c r="A103" s="107" t="s">
        <v>185</v>
      </c>
      <c r="B103" s="108"/>
      <c r="C103" s="108"/>
      <c r="D103" s="88">
        <f>SUM(D99:D102)</f>
      </c>
      <c r="E103" s="88">
        <f>SUM(E99:E102)</f>
      </c>
      <c r="F103" s="88">
        <f>SUM(F99:F102)</f>
      </c>
      <c r="G103" s="88">
        <f>SUM(G99:G102)</f>
      </c>
      <c r="H103" s="88">
        <f>SUM(H99:H102)</f>
      </c>
      <c r="I103" s="88">
        <f>SUM(I99:I102)</f>
      </c>
      <c r="J103" s="88">
        <f>SUM(J99:J102)</f>
      </c>
      <c r="K103" s="109">
        <f t="shared" si="1"/>
      </c>
      <c r="L103" s="109">
        <f t="shared" si="0"/>
      </c>
      <c r="M103" s="109">
        <f t="shared" si="2"/>
      </c>
      <c r="N103" s="88"/>
      <c r="O103" s="88">
        <f>SUM(O99:O102)</f>
      </c>
      <c r="P103" s="88"/>
      <c r="Q103" s="88">
        <f>SUM(Q99:Q102)</f>
      </c>
      <c r="R103" s="88">
        <f>SUM(R99:R102)</f>
      </c>
      <c r="S103" s="88">
        <f>SUM(S99:S102)</f>
      </c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</row>
    <row r="104"/>
    <row r="105"/>
    <row r="106"/>
    <row r="107"/>
    <row r="108"/>
    <row r="109">
      <c r="H109" s="114"/>
    </row>
    <row r="110">
      <c r="H110" s="115"/>
    </row>
    <row r="111">
      <c r="H111" s="115"/>
    </row>
    <row r="112">
      <c r="H112" s="115"/>
    </row>
    <row r="113">
      <c r="H113" s="115"/>
    </row>
    <row r="114">
      <c r="H114" s="115"/>
    </row>
    <row r="115">
      <c r="H115" s="115"/>
    </row>
    <row r="116">
      <c r="H116" s="115"/>
    </row>
  </sheetData>
  <autoFilter ref="A1:S103">
    <filterColumn colId="1">
      <filters>
        <filter val="芦鑫鑫"/>
      </filters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5" min="5" style="0" width="11.211267605633802"/>
  </cols>
  <sheetData>
    <row r="1">
      <c r="A1" s="116" t="s">
        <v>186</v>
      </c>
      <c r="B1" s="116" t="s">
        <v>187</v>
      </c>
      <c r="C1" s="116" t="s">
        <v>188</v>
      </c>
      <c r="D1" s="116" t="s">
        <v>189</v>
      </c>
      <c r="E1" s="116" t="s">
        <v>190</v>
      </c>
      <c r="F1" s="116" t="s">
        <v>191</v>
      </c>
      <c r="G1" s="116" t="s">
        <v>192</v>
      </c>
      <c r="H1" s="116" t="s">
        <v>193</v>
      </c>
      <c r="I1" s="116" t="s">
        <v>194</v>
      </c>
      <c r="J1" s="117" t="s">
        <v>195</v>
      </c>
      <c r="K1" s="118" t="s">
        <v>196</v>
      </c>
      <c r="L1" s="118" t="s">
        <v>197</v>
      </c>
      <c r="M1" s="118" t="s">
        <v>198</v>
      </c>
      <c r="N1" s="118" t="s">
        <v>199</v>
      </c>
      <c r="O1" s="116" t="s">
        <v>200</v>
      </c>
      <c r="P1" s="116" t="s">
        <v>201</v>
      </c>
      <c r="Q1" s="116" t="s">
        <v>200</v>
      </c>
      <c r="R1" s="116" t="s">
        <v>202</v>
      </c>
      <c r="S1" s="116" t="s">
        <v>203</v>
      </c>
      <c r="T1" s="119"/>
    </row>
    <row r="2">
      <c r="A2" s="120" t="s">
        <v>204</v>
      </c>
      <c r="B2" s="120" t="s">
        <v>205</v>
      </c>
      <c r="C2" s="120" t="s">
        <v>206</v>
      </c>
      <c r="D2" s="121">
        <v>3.5</v>
      </c>
      <c r="E2" s="120">
        <v>14</v>
      </c>
      <c r="F2" s="120">
        <v>12</v>
      </c>
      <c r="G2" s="122">
        <v>12</v>
      </c>
      <c r="H2" s="120">
        <v>0</v>
      </c>
      <c r="I2" s="122">
        <v>5530.9</v>
      </c>
      <c r="J2" s="123">
        <v>4613.37</v>
      </c>
      <c r="K2" s="124">
        <f t="shared" ref="K2:K4" si="0">I2/J2</f>
      </c>
      <c r="L2" s="124">
        <f t="shared" ref="L2:L4" si="1">I2/G2</f>
      </c>
      <c r="M2" s="124">
        <f t="shared" ref="M2:M4" si="2">J2/G2</f>
      </c>
      <c r="N2" s="125" t="s">
        <v>207</v>
      </c>
      <c r="O2" s="120">
        <v>2.5</v>
      </c>
      <c r="P2" s="122"/>
      <c r="Q2" s="122"/>
      <c r="R2" s="122"/>
      <c r="S2" s="122"/>
      <c r="T2" s="119"/>
    </row>
    <row r="3">
      <c r="A3" s="120" t="s">
        <v>204</v>
      </c>
      <c r="B3" s="120" t="s">
        <v>208</v>
      </c>
      <c r="C3" s="125" t="s">
        <v>209</v>
      </c>
      <c r="D3" s="125">
        <v>2.5</v>
      </c>
      <c r="E3" s="125">
        <v>13</v>
      </c>
      <c r="F3" s="125">
        <v>8</v>
      </c>
      <c r="G3" s="125">
        <v>11</v>
      </c>
      <c r="H3" s="125">
        <v>1</v>
      </c>
      <c r="I3" s="126">
        <v>4980.200000000001</v>
      </c>
      <c r="J3" s="126">
        <v>4842.91</v>
      </c>
      <c r="K3" s="127">
        <f t="shared" si="0"/>
      </c>
      <c r="L3" s="127">
        <f t="shared" si="1"/>
      </c>
      <c r="M3" s="127">
        <f t="shared" si="2"/>
      </c>
      <c r="N3" s="125" t="s">
        <v>210</v>
      </c>
      <c r="O3" s="125">
        <v>4</v>
      </c>
      <c r="P3" s="126"/>
      <c r="Q3" s="126"/>
      <c r="R3" s="126"/>
      <c r="S3" s="126"/>
      <c r="T3" s="119"/>
    </row>
    <row r="4">
      <c r="A4" s="128" t="s">
        <v>204</v>
      </c>
      <c r="B4" s="129"/>
      <c r="C4" s="129"/>
      <c r="D4" s="129">
        <f>SUM(D2:D3)</f>
      </c>
      <c r="E4" s="129">
        <f>SUM(E2:E3)</f>
      </c>
      <c r="F4" s="129">
        <f>SUM(F2:F3)</f>
      </c>
      <c r="G4" s="129">
        <f>SUM(G2:G3)</f>
      </c>
      <c r="H4" s="129">
        <f>SUM(H2:H3)</f>
      </c>
      <c r="I4" s="129">
        <f>SUM(I2:I3)</f>
      </c>
      <c r="J4" s="130">
        <f>SUM(J2:J3)</f>
      </c>
      <c r="K4" s="131">
        <f t="shared" si="0"/>
      </c>
      <c r="L4" s="131">
        <f t="shared" si="1"/>
      </c>
      <c r="M4" s="131">
        <f t="shared" si="2"/>
      </c>
      <c r="N4" s="129"/>
      <c r="O4" s="129">
        <f>SUM(O2:O3)</f>
      </c>
      <c r="P4" s="129"/>
      <c r="Q4" s="129">
        <f>SUM(Q2:Q3)</f>
      </c>
      <c r="R4" s="129">
        <f>SUM(R2:R3)</f>
      </c>
      <c r="S4" s="129">
        <f>SUM(S2:S3)</f>
      </c>
      <c r="T4" s="119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4" min="14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132" t="s">
        <v>211</v>
      </c>
      <c r="B1" s="132" t="s">
        <v>212</v>
      </c>
      <c r="C1" s="132" t="s">
        <v>213</v>
      </c>
      <c r="D1" s="132" t="s">
        <v>214</v>
      </c>
      <c r="E1" s="132" t="s">
        <v>215</v>
      </c>
      <c r="F1" s="132" t="s">
        <v>216</v>
      </c>
      <c r="G1" s="132" t="s">
        <v>217</v>
      </c>
      <c r="H1" s="132" t="s">
        <v>218</v>
      </c>
      <c r="I1" s="132" t="s">
        <v>219</v>
      </c>
      <c r="J1" s="133" t="s">
        <v>220</v>
      </c>
      <c r="K1" s="134" t="s">
        <v>221</v>
      </c>
      <c r="L1" s="134" t="s">
        <v>222</v>
      </c>
      <c r="M1" s="134" t="s">
        <v>223</v>
      </c>
      <c r="N1" s="134" t="s">
        <v>224</v>
      </c>
      <c r="O1" s="132" t="s">
        <v>225</v>
      </c>
      <c r="P1" s="132" t="s">
        <v>226</v>
      </c>
      <c r="Q1" s="132" t="s">
        <v>225</v>
      </c>
      <c r="R1" s="132" t="s">
        <v>227</v>
      </c>
      <c r="S1" s="132" t="s">
        <v>228</v>
      </c>
    </row>
    <row r="2">
      <c r="A2" s="135" t="s">
        <v>229</v>
      </c>
      <c r="B2" s="136" t="s">
        <v>230</v>
      </c>
      <c r="C2" s="137" t="s">
        <v>231</v>
      </c>
      <c r="D2" s="138">
        <v>5</v>
      </c>
      <c r="E2" s="136">
        <v>46</v>
      </c>
      <c r="F2" s="136">
        <v>33</v>
      </c>
      <c r="G2" s="136">
        <v>33</v>
      </c>
      <c r="H2" s="135">
        <v>3</v>
      </c>
      <c r="I2" s="139">
        <v>14984.6</v>
      </c>
      <c r="J2" s="139">
        <v>8071.11</v>
      </c>
      <c r="K2" s="140">
        <f t="shared" ref="K2:K56" si="1">I2/J2</f>
      </c>
      <c r="L2" s="141">
        <f t="shared" ref="L2:L56" si="0">I2/G2</f>
      </c>
      <c r="M2" s="141">
        <f t="shared" ref="M2:M56" si="2">J2/G2</f>
      </c>
      <c r="N2" s="136" t="s">
        <v>232</v>
      </c>
      <c r="O2" s="136">
        <v>5</v>
      </c>
      <c r="R2" s="142" t="s">
        <v>233</v>
      </c>
      <c r="S2" s="136">
        <v>5</v>
      </c>
    </row>
    <row r="3">
      <c r="A3" s="143" t="s">
        <v>229</v>
      </c>
      <c r="B3" s="144"/>
      <c r="C3" s="144"/>
      <c r="D3" s="145">
        <f>SUM(D2)</f>
      </c>
      <c r="E3" s="145">
        <f>SUM(E2)</f>
      </c>
      <c r="F3" s="145">
        <f>SUM(F2)</f>
      </c>
      <c r="G3" s="145">
        <f>SUM(G2)</f>
      </c>
      <c r="H3" s="145">
        <f>SUM(H2)</f>
      </c>
      <c r="I3" s="145">
        <f>SUM(I2)</f>
      </c>
      <c r="J3" s="145">
        <f>SUM(J2)</f>
      </c>
      <c r="K3" s="146">
        <f t="shared" si="1"/>
      </c>
      <c r="L3" s="146">
        <f t="shared" si="0"/>
      </c>
      <c r="M3" s="146">
        <f t="shared" si="2"/>
      </c>
      <c r="N3" s="145"/>
      <c r="O3" s="145">
        <f>SUM(O2)</f>
      </c>
      <c r="P3" s="145"/>
      <c r="Q3" s="145"/>
      <c r="R3" s="145">
        <f>SUM(R2)</f>
      </c>
      <c r="S3" s="145">
        <f>SUM(S2)</f>
      </c>
    </row>
    <row r="4">
      <c r="A4" s="136" t="s">
        <v>234</v>
      </c>
      <c r="B4" s="136" t="s">
        <v>235</v>
      </c>
      <c r="C4" s="137" t="s">
        <v>236</v>
      </c>
      <c r="D4" s="147">
        <v>5</v>
      </c>
      <c r="E4" s="136">
        <v>33</v>
      </c>
      <c r="F4" s="136">
        <v>19</v>
      </c>
      <c r="G4" s="136">
        <v>19</v>
      </c>
      <c r="H4" s="135">
        <v>0</v>
      </c>
      <c r="I4" s="148">
        <v>8634.2</v>
      </c>
      <c r="J4" s="148">
        <v>6272.999999999999</v>
      </c>
      <c r="K4" s="140">
        <f t="shared" si="1"/>
      </c>
      <c r="L4" s="140">
        <f t="shared" si="0"/>
      </c>
      <c r="M4" s="140">
        <f t="shared" si="2"/>
      </c>
      <c r="N4" s="149"/>
      <c r="O4" s="149"/>
      <c r="P4" s="142"/>
      <c r="Q4" s="142"/>
      <c r="R4" s="142"/>
      <c r="S4" s="142"/>
    </row>
    <row r="5">
      <c r="A5" s="136" t="s">
        <v>234</v>
      </c>
      <c r="B5" s="150" t="s">
        <v>230</v>
      </c>
      <c r="C5" s="151" t="s">
        <v>237</v>
      </c>
      <c r="D5" s="147">
        <v>5</v>
      </c>
      <c r="E5" s="136">
        <v>22</v>
      </c>
      <c r="F5" s="136">
        <v>12</v>
      </c>
      <c r="G5" s="136">
        <v>12</v>
      </c>
      <c r="H5" s="135">
        <v>0</v>
      </c>
      <c r="I5" s="148">
        <v>5361.9</v>
      </c>
      <c r="J5" s="148">
        <v>6973.790000000001</v>
      </c>
      <c r="K5" s="140">
        <f t="shared" si="1"/>
      </c>
      <c r="L5" s="140">
        <f t="shared" si="0"/>
      </c>
      <c r="M5" s="140">
        <f t="shared" si="2"/>
      </c>
      <c r="N5" s="152" t="s">
        <v>238</v>
      </c>
      <c r="O5" s="152">
        <v>10</v>
      </c>
      <c r="P5" s="153"/>
      <c r="Q5" s="142"/>
      <c r="R5" s="142"/>
      <c r="S5" s="142"/>
    </row>
    <row r="6">
      <c r="A6" s="136" t="s">
        <v>234</v>
      </c>
      <c r="B6" s="154" t="s">
        <v>239</v>
      </c>
      <c r="C6" s="155" t="s">
        <v>240</v>
      </c>
      <c r="D6" s="147">
        <v>5</v>
      </c>
      <c r="E6" s="136">
        <v>28</v>
      </c>
      <c r="F6" s="136">
        <v>18</v>
      </c>
      <c r="G6" s="136">
        <v>18</v>
      </c>
      <c r="H6" s="135">
        <v>3</v>
      </c>
      <c r="I6" s="156">
        <v>8218.9</v>
      </c>
      <c r="J6" s="156">
        <v>6730.459999999999</v>
      </c>
      <c r="K6" s="140">
        <f t="shared" si="1"/>
      </c>
      <c r="L6" s="140">
        <f t="shared" si="0"/>
      </c>
      <c r="M6" s="140">
        <f t="shared" si="2"/>
      </c>
      <c r="N6" s="152" t="s">
        <v>241</v>
      </c>
      <c r="O6" s="149">
        <v>10</v>
      </c>
      <c r="P6" s="153"/>
      <c r="Q6" s="142"/>
      <c r="R6" s="142"/>
      <c r="S6" s="142"/>
    </row>
    <row r="7">
      <c r="A7" s="136" t="s">
        <v>234</v>
      </c>
      <c r="B7" s="136" t="s">
        <v>242</v>
      </c>
      <c r="C7" s="149" t="s">
        <v>243</v>
      </c>
      <c r="D7" s="147">
        <v>5</v>
      </c>
      <c r="E7" s="136">
        <v>30</v>
      </c>
      <c r="F7" s="136">
        <v>18</v>
      </c>
      <c r="G7" s="136">
        <v>18</v>
      </c>
      <c r="H7" s="135">
        <v>2</v>
      </c>
      <c r="I7" s="148">
        <v>8050.9000000000015</v>
      </c>
      <c r="J7" s="148">
        <v>7597.18</v>
      </c>
      <c r="K7" s="140">
        <f t="shared" si="1"/>
      </c>
      <c r="L7" s="140">
        <f t="shared" si="0"/>
      </c>
      <c r="M7" s="140">
        <f t="shared" si="2"/>
      </c>
      <c r="N7" s="157"/>
      <c r="O7" s="157"/>
      <c r="P7" s="153"/>
      <c r="Q7" s="142"/>
      <c r="R7" s="142"/>
      <c r="S7" s="142"/>
    </row>
    <row r="8">
      <c r="A8" s="143" t="s">
        <v>234</v>
      </c>
      <c r="B8" s="144"/>
      <c r="C8" s="144"/>
      <c r="D8" s="145">
        <f>SUM(D4:D7)</f>
      </c>
      <c r="E8" s="145">
        <f>SUM(E4:E7)</f>
      </c>
      <c r="F8" s="145">
        <f>SUM(F4:F7)</f>
      </c>
      <c r="G8" s="145">
        <f>SUM(G4:G7)</f>
      </c>
      <c r="H8" s="145">
        <f>SUM(H4:H7)</f>
      </c>
      <c r="I8" s="144">
        <f>SUM(I4:I7)</f>
      </c>
      <c r="J8" s="144">
        <f>SUM(J4:J7)</f>
      </c>
      <c r="K8" s="146">
        <f t="shared" si="1"/>
      </c>
      <c r="L8" s="146">
        <f t="shared" si="0"/>
      </c>
      <c r="M8" s="146">
        <f t="shared" si="2"/>
      </c>
      <c r="N8" s="144"/>
      <c r="O8" s="144">
        <f>SUM(O4:O6)</f>
      </c>
      <c r="P8" s="145"/>
      <c r="Q8" s="145">
        <f>SUM(Q4:Q6)</f>
      </c>
      <c r="R8" s="145">
        <f>SUM(R4:R6)</f>
      </c>
      <c r="S8" s="145">
        <f>SUM(S4:S6)</f>
      </c>
    </row>
    <row r="9">
      <c r="A9" s="136" t="s">
        <v>244</v>
      </c>
      <c r="B9" s="150" t="s">
        <v>230</v>
      </c>
      <c r="C9" s="137" t="s">
        <v>236</v>
      </c>
      <c r="D9" s="147">
        <v>5</v>
      </c>
      <c r="E9" s="136">
        <v>28</v>
      </c>
      <c r="F9" s="136">
        <v>19</v>
      </c>
      <c r="G9" s="136">
        <v>19</v>
      </c>
      <c r="H9" s="135">
        <v>2</v>
      </c>
      <c r="I9" s="148">
        <v>8399</v>
      </c>
      <c r="J9" s="148">
        <v>6422.43</v>
      </c>
      <c r="K9" s="140">
        <f t="shared" si="1"/>
      </c>
      <c r="L9" s="140">
        <f t="shared" si="0"/>
      </c>
      <c r="M9" s="140">
        <f t="shared" si="2"/>
      </c>
      <c r="N9" s="149"/>
      <c r="O9" s="149"/>
      <c r="P9" s="142"/>
      <c r="Q9" s="142"/>
      <c r="R9" s="142"/>
      <c r="S9" s="142"/>
    </row>
    <row r="10">
      <c r="A10" s="136" t="s">
        <v>244</v>
      </c>
      <c r="B10" s="136" t="s">
        <v>235</v>
      </c>
      <c r="C10" s="151" t="s">
        <v>237</v>
      </c>
      <c r="D10" s="147">
        <v>5</v>
      </c>
      <c r="E10" s="136">
        <v>20</v>
      </c>
      <c r="F10" s="136">
        <v>14</v>
      </c>
      <c r="G10" s="136">
        <v>14</v>
      </c>
      <c r="H10" s="135">
        <v>0</v>
      </c>
      <c r="I10" s="148">
        <v>6258</v>
      </c>
      <c r="J10" s="148">
        <v>6217.69</v>
      </c>
      <c r="K10" s="140">
        <f t="shared" si="1"/>
      </c>
      <c r="L10" s="140">
        <f t="shared" si="0"/>
      </c>
      <c r="M10" s="140">
        <f t="shared" si="2"/>
      </c>
      <c r="N10" s="152" t="s">
        <v>238</v>
      </c>
      <c r="O10" s="152">
        <v>10</v>
      </c>
      <c r="P10" s="153"/>
      <c r="Q10" s="142"/>
      <c r="R10" s="136" t="s">
        <v>245</v>
      </c>
      <c r="S10" s="136">
        <v>10</v>
      </c>
    </row>
    <row r="11">
      <c r="A11" s="136" t="s">
        <v>244</v>
      </c>
      <c r="B11" s="136" t="s">
        <v>242</v>
      </c>
      <c r="C11" s="155" t="s">
        <v>240</v>
      </c>
      <c r="D11" s="147">
        <v>5</v>
      </c>
      <c r="E11" s="136">
        <v>18</v>
      </c>
      <c r="F11" s="136">
        <v>14</v>
      </c>
      <c r="G11" s="136">
        <v>14</v>
      </c>
      <c r="H11" s="135">
        <v>1</v>
      </c>
      <c r="I11" s="156">
        <v>6316.799999999999</v>
      </c>
      <c r="J11" s="156">
        <v>5977.9800000000005</v>
      </c>
      <c r="K11" s="140">
        <f t="shared" si="1"/>
      </c>
      <c r="L11" s="140">
        <f t="shared" si="0"/>
      </c>
      <c r="M11" s="140">
        <f t="shared" si="2"/>
      </c>
      <c r="N11" s="152" t="s">
        <v>241</v>
      </c>
      <c r="O11" s="149">
        <v>10</v>
      </c>
      <c r="P11" s="153"/>
      <c r="Q11" s="142"/>
      <c r="R11" s="142" t="s">
        <v>233</v>
      </c>
      <c r="S11" s="136">
        <v>10</v>
      </c>
    </row>
    <row r="12">
      <c r="A12" s="136" t="s">
        <v>244</v>
      </c>
      <c r="B12" s="154" t="s">
        <v>239</v>
      </c>
      <c r="C12" s="149" t="s">
        <v>243</v>
      </c>
      <c r="D12" s="147">
        <v>5</v>
      </c>
      <c r="E12" s="136">
        <v>30</v>
      </c>
      <c r="F12" s="136">
        <v>19</v>
      </c>
      <c r="G12" s="136">
        <v>19</v>
      </c>
      <c r="H12" s="135">
        <v>1</v>
      </c>
      <c r="I12" s="148">
        <v>8554.900000000001</v>
      </c>
      <c r="J12" s="148">
        <v>6999.6</v>
      </c>
      <c r="K12" s="140">
        <f t="shared" si="1"/>
      </c>
      <c r="L12" s="140">
        <f t="shared" si="0"/>
      </c>
      <c r="M12" s="140">
        <f t="shared" si="2"/>
      </c>
      <c r="N12" s="157"/>
      <c r="O12" s="157"/>
      <c r="P12" s="153"/>
      <c r="Q12" s="142"/>
      <c r="R12" s="142"/>
      <c r="S12" s="142"/>
    </row>
    <row r="13">
      <c r="A13" s="143" t="s">
        <v>244</v>
      </c>
      <c r="B13" s="144"/>
      <c r="C13" s="144"/>
      <c r="D13" s="145">
        <f>SUM(D9:D12)</f>
      </c>
      <c r="E13" s="145">
        <f>SUM(E9:E12)</f>
      </c>
      <c r="F13" s="145">
        <f>SUM(F9:F12)</f>
      </c>
      <c r="G13" s="145">
        <f>SUM(G9:G12)</f>
      </c>
      <c r="H13" s="145">
        <f>SUM(H9:H12)</f>
      </c>
      <c r="I13" s="144">
        <f>SUM(I9:I12)</f>
      </c>
      <c r="J13" s="144">
        <f>SUM(J9:J12)</f>
      </c>
      <c r="K13" s="146">
        <f t="shared" si="1"/>
      </c>
      <c r="L13" s="146">
        <f t="shared" si="0"/>
      </c>
      <c r="M13" s="146">
        <f t="shared" si="2"/>
      </c>
      <c r="N13" s="144"/>
      <c r="O13" s="144">
        <f>SUM(O9:O11)</f>
      </c>
      <c r="P13" s="145"/>
      <c r="Q13" s="145">
        <f>SUM(Q9:Q11)</f>
      </c>
      <c r="R13" s="145">
        <f>SUM(R9:R11)</f>
      </c>
      <c r="S13" s="145">
        <f>SUM(S9:S11)</f>
      </c>
    </row>
    <row r="14">
      <c r="A14" s="136" t="s">
        <v>246</v>
      </c>
      <c r="B14" s="150" t="s">
        <v>230</v>
      </c>
      <c r="C14" s="137" t="s">
        <v>236</v>
      </c>
      <c r="D14" s="147">
        <v>5</v>
      </c>
      <c r="E14" s="136">
        <v>21</v>
      </c>
      <c r="F14" s="136">
        <v>14</v>
      </c>
      <c r="G14" s="136">
        <v>14</v>
      </c>
      <c r="H14" s="135">
        <v>0</v>
      </c>
      <c r="I14" s="148">
        <v>6106.8</v>
      </c>
      <c r="J14" s="148">
        <v>7606.860000000001</v>
      </c>
      <c r="K14" s="140">
        <f t="shared" si="1"/>
      </c>
      <c r="L14" s="140">
        <f t="shared" si="0"/>
      </c>
      <c r="M14" s="140">
        <f t="shared" si="2"/>
      </c>
      <c r="N14" s="149"/>
      <c r="O14" s="149"/>
      <c r="P14" s="142"/>
      <c r="Q14" s="142"/>
      <c r="R14" s="142"/>
      <c r="S14" s="142"/>
    </row>
    <row r="15">
      <c r="A15" s="136" t="s">
        <v>246</v>
      </c>
      <c r="B15" s="136" t="s">
        <v>235</v>
      </c>
      <c r="C15" s="151" t="s">
        <v>237</v>
      </c>
      <c r="D15" s="147">
        <v>5</v>
      </c>
      <c r="E15" s="136">
        <v>28</v>
      </c>
      <c r="F15" s="136">
        <v>16</v>
      </c>
      <c r="G15" s="136">
        <v>16</v>
      </c>
      <c r="H15" s="135">
        <v>0</v>
      </c>
      <c r="I15" s="148">
        <v>7299.599999999999</v>
      </c>
      <c r="J15" s="148">
        <v>6924.92</v>
      </c>
      <c r="K15" s="140">
        <f t="shared" si="1"/>
      </c>
      <c r="L15" s="140">
        <f t="shared" si="0"/>
      </c>
      <c r="M15" s="140">
        <f t="shared" si="2"/>
      </c>
      <c r="N15" s="152" t="s">
        <v>238</v>
      </c>
      <c r="O15" s="152">
        <v>10</v>
      </c>
      <c r="P15" s="153"/>
      <c r="Q15" s="142"/>
      <c r="R15" s="136" t="s">
        <v>245</v>
      </c>
      <c r="S15" s="136">
        <v>10</v>
      </c>
    </row>
    <row r="16">
      <c r="A16" s="136" t="s">
        <v>246</v>
      </c>
      <c r="B16" s="136" t="s">
        <v>242</v>
      </c>
      <c r="C16" s="155" t="s">
        <v>240</v>
      </c>
      <c r="D16" s="147">
        <v>5</v>
      </c>
      <c r="E16" s="136">
        <v>25</v>
      </c>
      <c r="F16" s="136">
        <v>20</v>
      </c>
      <c r="G16" s="136">
        <v>20</v>
      </c>
      <c r="H16" s="135">
        <v>2</v>
      </c>
      <c r="I16" s="156">
        <v>8895.6</v>
      </c>
      <c r="J16" s="156">
        <v>6399.08</v>
      </c>
      <c r="K16" s="140">
        <f t="shared" si="1"/>
      </c>
      <c r="L16" s="140">
        <f t="shared" si="0"/>
      </c>
      <c r="M16" s="140">
        <f t="shared" si="2"/>
      </c>
      <c r="N16" s="152" t="s">
        <v>241</v>
      </c>
      <c r="O16" s="149">
        <v>10</v>
      </c>
      <c r="P16" s="153"/>
      <c r="Q16" s="142"/>
      <c r="R16" s="142" t="s">
        <v>233</v>
      </c>
      <c r="S16" s="136">
        <v>10</v>
      </c>
    </row>
    <row r="17">
      <c r="A17" s="136" t="s">
        <v>246</v>
      </c>
      <c r="B17" s="154" t="s">
        <v>239</v>
      </c>
      <c r="C17" s="149" t="s">
        <v>243</v>
      </c>
      <c r="D17" s="147">
        <v>5</v>
      </c>
      <c r="E17" s="136">
        <v>24</v>
      </c>
      <c r="F17" s="136">
        <v>13</v>
      </c>
      <c r="G17" s="136">
        <v>13</v>
      </c>
      <c r="H17" s="135">
        <v>1</v>
      </c>
      <c r="I17" s="148">
        <v>5871.5999999999985</v>
      </c>
      <c r="J17" s="148">
        <v>6964.27</v>
      </c>
      <c r="K17" s="140">
        <f t="shared" si="1"/>
      </c>
      <c r="L17" s="140">
        <f t="shared" si="0"/>
      </c>
      <c r="M17" s="140">
        <f t="shared" si="2"/>
      </c>
      <c r="N17" s="157"/>
      <c r="O17" s="157"/>
      <c r="P17" s="153"/>
      <c r="Q17" s="142"/>
      <c r="R17" s="142"/>
      <c r="S17" s="142"/>
    </row>
    <row r="18">
      <c r="A18" s="143" t="s">
        <v>246</v>
      </c>
      <c r="B18" s="144"/>
      <c r="C18" s="144"/>
      <c r="D18" s="145">
        <f>SUM(D14:D17)</f>
      </c>
      <c r="E18" s="145">
        <f>SUM(E14:E17)</f>
      </c>
      <c r="F18" s="145">
        <f>SUM(F14:F17)</f>
      </c>
      <c r="G18" s="145">
        <f>SUM(G14:G17)</f>
      </c>
      <c r="H18" s="145">
        <f>SUM(H14:H17)</f>
      </c>
      <c r="I18" s="144">
        <f>SUM(I14:I17)</f>
      </c>
      <c r="J18" s="144">
        <f>SUM(J14:J17)</f>
      </c>
      <c r="K18" s="146">
        <f t="shared" si="1"/>
      </c>
      <c r="L18" s="146">
        <f t="shared" si="0"/>
      </c>
      <c r="M18" s="146">
        <f t="shared" si="2"/>
      </c>
      <c r="N18" s="144"/>
      <c r="O18" s="144">
        <f>SUM(O14:O16)</f>
      </c>
      <c r="P18" s="145"/>
      <c r="Q18" s="145">
        <f>SUM(Q14:Q16)</f>
      </c>
      <c r="R18" s="145">
        <f>SUM(R14:R16)</f>
      </c>
      <c r="S18" s="145">
        <f>SUM(S14:S16)</f>
      </c>
    </row>
    <row r="19">
      <c r="A19" s="136" t="s">
        <v>247</v>
      </c>
      <c r="B19" s="136" t="s">
        <v>235</v>
      </c>
      <c r="C19" s="137" t="s">
        <v>248</v>
      </c>
      <c r="D19" s="147">
        <v>5</v>
      </c>
      <c r="E19" s="136">
        <v>20</v>
      </c>
      <c r="F19" s="136">
        <v>15</v>
      </c>
      <c r="G19" s="136">
        <v>15</v>
      </c>
      <c r="H19" s="135">
        <v>0</v>
      </c>
      <c r="I19" s="148">
        <v>6736.8</v>
      </c>
      <c r="J19" s="148">
        <v>5021.700000000001</v>
      </c>
      <c r="K19" s="140">
        <f t="shared" si="1"/>
      </c>
      <c r="L19" s="140">
        <f t="shared" si="0"/>
      </c>
      <c r="M19" s="140">
        <f t="shared" si="2"/>
      </c>
      <c r="N19" s="149"/>
      <c r="O19" s="149"/>
      <c r="P19" s="142"/>
      <c r="Q19" s="142"/>
      <c r="R19" s="142"/>
      <c r="S19" s="142"/>
    </row>
    <row r="20">
      <c r="A20" s="136" t="s">
        <v>247</v>
      </c>
      <c r="B20" s="154" t="s">
        <v>239</v>
      </c>
      <c r="C20" s="151" t="s">
        <v>249</v>
      </c>
      <c r="D20" s="147">
        <v>5</v>
      </c>
      <c r="E20" s="136">
        <v>20</v>
      </c>
      <c r="F20" s="136">
        <v>12</v>
      </c>
      <c r="G20" s="136">
        <v>12</v>
      </c>
      <c r="H20" s="135">
        <v>1</v>
      </c>
      <c r="I20" s="148">
        <v>5384.400000000001</v>
      </c>
      <c r="J20" s="148">
        <v>5053.99</v>
      </c>
      <c r="K20" s="140">
        <f t="shared" si="1"/>
      </c>
      <c r="L20" s="140">
        <f t="shared" si="0"/>
      </c>
      <c r="M20" s="140">
        <f t="shared" si="2"/>
      </c>
      <c r="N20" s="152" t="s">
        <v>250</v>
      </c>
      <c r="O20" s="152">
        <v>8</v>
      </c>
      <c r="P20" s="153"/>
      <c r="Q20" s="142"/>
      <c r="R20" s="136" t="s">
        <v>245</v>
      </c>
      <c r="S20" s="136">
        <v>10</v>
      </c>
    </row>
    <row r="21">
      <c r="A21" s="136" t="s">
        <v>247</v>
      </c>
      <c r="B21" s="136" t="s">
        <v>242</v>
      </c>
      <c r="C21" s="155" t="s">
        <v>251</v>
      </c>
      <c r="D21" s="147">
        <v>5</v>
      </c>
      <c r="E21" s="136">
        <v>29</v>
      </c>
      <c r="F21" s="136">
        <v>22</v>
      </c>
      <c r="G21" s="136">
        <v>22</v>
      </c>
      <c r="H21" s="135">
        <v>2</v>
      </c>
      <c r="I21" s="156">
        <v>9914.7</v>
      </c>
      <c r="J21" s="156">
        <v>8055.759999999999</v>
      </c>
      <c r="K21" s="140">
        <f t="shared" si="1"/>
      </c>
      <c r="L21" s="140">
        <f t="shared" si="0"/>
      </c>
      <c r="M21" s="140">
        <f t="shared" si="2"/>
      </c>
      <c r="N21" s="152" t="s">
        <v>232</v>
      </c>
      <c r="O21" s="149">
        <v>7</v>
      </c>
      <c r="P21" s="153"/>
      <c r="Q21" s="142"/>
      <c r="R21" s="142" t="s">
        <v>233</v>
      </c>
      <c r="S21" s="136">
        <v>10</v>
      </c>
    </row>
    <row r="22">
      <c r="A22" s="143" t="s">
        <v>247</v>
      </c>
      <c r="B22" s="144"/>
      <c r="C22" s="144"/>
      <c r="D22" s="145">
        <f>SUM(D19:D21)</f>
      </c>
      <c r="E22" s="145">
        <f>SUM(E19:E21)</f>
      </c>
      <c r="F22" s="145">
        <f>SUM(F19:F21)</f>
      </c>
      <c r="G22" s="145">
        <f>SUM(G19:G21)</f>
      </c>
      <c r="H22" s="145">
        <f>SUM(H19:H21)</f>
      </c>
      <c r="I22" s="144">
        <f>SUM(I19:I21)</f>
      </c>
      <c r="J22" s="144">
        <f>SUM(J19:J21)</f>
      </c>
      <c r="K22" s="146">
        <f t="shared" si="1"/>
      </c>
      <c r="L22" s="146">
        <f t="shared" si="0"/>
      </c>
      <c r="M22" s="146">
        <f t="shared" si="2"/>
      </c>
      <c r="N22" s="144"/>
      <c r="O22" s="144">
        <f>SUM(O19:O21)</f>
      </c>
      <c r="P22" s="145"/>
      <c r="Q22" s="145">
        <f>SUM(Q19:Q21)</f>
      </c>
      <c r="R22" s="145">
        <f>SUM(R19:R21)</f>
      </c>
      <c r="S22" s="145">
        <f>SUM(S19:S21)</f>
      </c>
    </row>
    <row r="23">
      <c r="A23" s="136" t="s">
        <v>252</v>
      </c>
      <c r="B23" s="136" t="s">
        <v>235</v>
      </c>
      <c r="C23" s="137" t="s">
        <v>253</v>
      </c>
      <c r="D23" s="147">
        <v>2</v>
      </c>
      <c r="E23" s="136">
        <v>0</v>
      </c>
      <c r="F23" s="136">
        <v>0</v>
      </c>
      <c r="G23" s="136">
        <v>0</v>
      </c>
      <c r="H23" s="135">
        <v>0</v>
      </c>
      <c r="I23" s="148">
        <v>0</v>
      </c>
      <c r="J23" s="148">
        <v>2118.8199999999997</v>
      </c>
      <c r="K23" s="140">
        <f t="shared" si="1"/>
      </c>
      <c r="L23" s="140">
        <f t="shared" si="0"/>
      </c>
      <c r="M23" s="140">
        <f t="shared" si="2"/>
      </c>
      <c r="N23" s="149"/>
      <c r="O23" s="149"/>
      <c r="P23" s="142"/>
      <c r="Q23" s="142"/>
      <c r="R23" s="142"/>
      <c r="S23" s="142"/>
    </row>
    <row r="24">
      <c r="A24" s="136" t="s">
        <v>252</v>
      </c>
      <c r="B24" s="154" t="s">
        <v>239</v>
      </c>
      <c r="C24" s="151" t="s">
        <v>254</v>
      </c>
      <c r="D24" s="147">
        <v>4.5</v>
      </c>
      <c r="E24" s="136">
        <v>10</v>
      </c>
      <c r="F24" s="136">
        <v>5</v>
      </c>
      <c r="G24" s="136">
        <v>5</v>
      </c>
      <c r="H24" s="135">
        <v>0</v>
      </c>
      <c r="I24" s="148">
        <v>2296.9</v>
      </c>
      <c r="J24" s="148">
        <v>5934.44</v>
      </c>
      <c r="K24" s="140">
        <f t="shared" si="1"/>
      </c>
      <c r="L24" s="140">
        <f t="shared" si="0"/>
      </c>
      <c r="M24" s="140">
        <f t="shared" si="2"/>
      </c>
      <c r="N24" s="152" t="s">
        <v>238</v>
      </c>
      <c r="O24" s="152">
        <v>6.5</v>
      </c>
      <c r="P24" s="153"/>
      <c r="Q24" s="142"/>
      <c r="R24" s="136" t="s">
        <v>245</v>
      </c>
      <c r="S24" s="136">
        <v>6.5</v>
      </c>
    </row>
    <row r="25">
      <c r="A25" s="136" t="s">
        <v>252</v>
      </c>
      <c r="B25" s="150" t="s">
        <v>255</v>
      </c>
      <c r="C25" s="155" t="s">
        <v>240</v>
      </c>
      <c r="D25" s="147">
        <v>5</v>
      </c>
      <c r="E25" s="136">
        <v>28</v>
      </c>
      <c r="F25" s="136">
        <v>19</v>
      </c>
      <c r="G25" s="136">
        <v>19</v>
      </c>
      <c r="H25" s="135">
        <v>2</v>
      </c>
      <c r="I25" s="156">
        <v>8650</v>
      </c>
      <c r="J25" s="156">
        <v>6585.54</v>
      </c>
      <c r="K25" s="140">
        <f t="shared" si="1"/>
      </c>
      <c r="L25" s="140">
        <f t="shared" si="0"/>
      </c>
      <c r="M25" s="140">
        <f t="shared" si="2"/>
      </c>
      <c r="N25" s="152" t="s">
        <v>241</v>
      </c>
      <c r="O25" s="149">
        <v>10</v>
      </c>
      <c r="P25" s="153"/>
      <c r="Q25" s="142"/>
      <c r="R25" s="142" t="s">
        <v>233</v>
      </c>
      <c r="S25" s="136">
        <v>10</v>
      </c>
    </row>
    <row r="26">
      <c r="A26" s="136" t="s">
        <v>252</v>
      </c>
      <c r="B26" s="136" t="s">
        <v>242</v>
      </c>
      <c r="C26" s="149" t="s">
        <v>243</v>
      </c>
      <c r="D26" s="147">
        <v>5</v>
      </c>
      <c r="E26" s="136">
        <v>19</v>
      </c>
      <c r="F26" s="136">
        <v>16</v>
      </c>
      <c r="G26" s="136">
        <v>16</v>
      </c>
      <c r="H26" s="135">
        <v>0</v>
      </c>
      <c r="I26" s="148">
        <v>7543.199999999999</v>
      </c>
      <c r="J26" s="148">
        <v>6498.72</v>
      </c>
      <c r="K26" s="140">
        <f t="shared" si="1"/>
      </c>
      <c r="L26" s="140">
        <f t="shared" si="0"/>
      </c>
      <c r="M26" s="140">
        <f t="shared" si="2"/>
      </c>
      <c r="N26" s="157"/>
      <c r="O26" s="157"/>
      <c r="P26" s="153"/>
      <c r="Q26" s="142"/>
      <c r="R26" s="142"/>
      <c r="S26" s="142"/>
    </row>
    <row r="27">
      <c r="A27" s="143" t="s">
        <v>252</v>
      </c>
      <c r="B27" s="144"/>
      <c r="C27" s="144"/>
      <c r="D27" s="145">
        <f>SUM(D23:D26)</f>
      </c>
      <c r="E27" s="145">
        <f>SUM(E23:E26)</f>
      </c>
      <c r="F27" s="145">
        <f>SUM(F23:F26)</f>
      </c>
      <c r="G27" s="145">
        <f>SUM(G23:G26)</f>
      </c>
      <c r="H27" s="145">
        <f>SUM(H23:H26)</f>
      </c>
      <c r="I27" s="144">
        <f>SUM(I23:I26)</f>
      </c>
      <c r="J27" s="144">
        <f>SUM(J23:J26)</f>
      </c>
      <c r="K27" s="146">
        <f t="shared" si="1"/>
      </c>
      <c r="L27" s="146">
        <f t="shared" si="0"/>
      </c>
      <c r="M27" s="146">
        <f t="shared" si="2"/>
      </c>
      <c r="N27" s="144"/>
      <c r="O27" s="144">
        <f>SUM(O23:O25)</f>
      </c>
      <c r="P27" s="145"/>
      <c r="Q27" s="145">
        <f>SUM(Q23:Q25)</f>
      </c>
      <c r="R27" s="145">
        <f>SUM(R23:R25)</f>
      </c>
      <c r="S27" s="145">
        <f>SUM(S23:S25)</f>
      </c>
    </row>
    <row r="28">
      <c r="A28" s="136" t="s">
        <v>256</v>
      </c>
      <c r="B28" s="136" t="s">
        <v>255</v>
      </c>
      <c r="C28" s="137" t="s">
        <v>248</v>
      </c>
      <c r="D28" s="147">
        <v>5</v>
      </c>
      <c r="E28" s="136">
        <v>32</v>
      </c>
      <c r="F28" s="136">
        <v>28</v>
      </c>
      <c r="G28" s="136">
        <v>28</v>
      </c>
      <c r="H28" s="135">
        <v>4</v>
      </c>
      <c r="I28" s="148">
        <v>12669.9</v>
      </c>
      <c r="J28" s="148">
        <v>7374.550000000001</v>
      </c>
      <c r="K28" s="140">
        <f t="shared" si="1"/>
      </c>
      <c r="L28" s="140">
        <f t="shared" si="0"/>
      </c>
      <c r="M28" s="140">
        <f t="shared" si="2"/>
      </c>
      <c r="N28" s="152" t="s">
        <v>250</v>
      </c>
      <c r="O28" s="152">
        <v>8</v>
      </c>
      <c r="P28" s="142"/>
      <c r="Q28" s="142"/>
      <c r="R28" s="142"/>
      <c r="S28" s="142"/>
    </row>
    <row r="29">
      <c r="A29" s="136" t="s">
        <v>256</v>
      </c>
      <c r="B29" s="136" t="s">
        <v>242</v>
      </c>
      <c r="C29" s="151" t="s">
        <v>249</v>
      </c>
      <c r="D29" s="158">
        <f>5-0.5</f>
      </c>
      <c r="E29" s="136">
        <v>20</v>
      </c>
      <c r="F29" s="136">
        <v>13</v>
      </c>
      <c r="G29" s="136">
        <v>13</v>
      </c>
      <c r="H29" s="135">
        <v>0</v>
      </c>
      <c r="I29" s="148">
        <v>5871.6</v>
      </c>
      <c r="J29" s="148">
        <v>6416.53</v>
      </c>
      <c r="K29" s="140">
        <f t="shared" si="1"/>
      </c>
      <c r="L29" s="140">
        <f t="shared" si="0"/>
      </c>
      <c r="M29" s="140">
        <f t="shared" si="2"/>
      </c>
      <c r="N29" s="152" t="s">
        <v>257</v>
      </c>
      <c r="O29" s="149">
        <v>5</v>
      </c>
      <c r="P29" s="153"/>
      <c r="Q29" s="142"/>
      <c r="R29" s="136" t="s">
        <v>245</v>
      </c>
      <c r="S29" s="136">
        <v>8</v>
      </c>
    </row>
    <row r="30">
      <c r="A30" s="136" t="s">
        <v>256</v>
      </c>
      <c r="B30" s="154" t="s">
        <v>239</v>
      </c>
      <c r="C30" s="155" t="s">
        <v>258</v>
      </c>
      <c r="D30" s="147">
        <v>3</v>
      </c>
      <c r="E30" s="136">
        <v>5</v>
      </c>
      <c r="F30" s="136">
        <v>3</v>
      </c>
      <c r="G30" s="136">
        <v>3</v>
      </c>
      <c r="H30" s="135">
        <v>0</v>
      </c>
      <c r="I30" s="156">
        <v>1377.5999999999985</v>
      </c>
      <c r="J30" s="156">
        <v>2920.27</v>
      </c>
      <c r="K30" s="140">
        <f t="shared" si="1"/>
      </c>
      <c r="L30" s="140">
        <f t="shared" si="0"/>
      </c>
      <c r="M30" s="159">
        <f t="shared" si="2"/>
      </c>
      <c r="N30" s="157"/>
      <c r="O30" s="157"/>
      <c r="P30" s="153"/>
      <c r="Q30" s="142"/>
      <c r="R30" s="142" t="s">
        <v>233</v>
      </c>
      <c r="S30" s="136">
        <v>5</v>
      </c>
    </row>
    <row r="31">
      <c r="A31" s="143" t="s">
        <v>256</v>
      </c>
      <c r="B31" s="144"/>
      <c r="C31" s="144"/>
      <c r="D31" s="145">
        <f>SUM(D28:D30)</f>
      </c>
      <c r="E31" s="145">
        <f>SUM(E28:E30)</f>
      </c>
      <c r="F31" s="145">
        <f>SUM(F28:F30)</f>
      </c>
      <c r="G31" s="145">
        <f>SUM(G28:G30)</f>
      </c>
      <c r="H31" s="145">
        <f>SUM(H28:H30)</f>
      </c>
      <c r="I31" s="144">
        <f>SUM(I28:I30)</f>
      </c>
      <c r="J31" s="144">
        <f>SUM(J28:J30)</f>
      </c>
      <c r="K31" s="146">
        <f t="shared" si="1"/>
      </c>
      <c r="L31" s="146">
        <f t="shared" si="0"/>
      </c>
      <c r="M31" s="146">
        <f t="shared" si="2"/>
      </c>
      <c r="N31" s="144"/>
      <c r="O31" s="144">
        <f>SUM(O28:O29)</f>
      </c>
      <c r="P31" s="145"/>
      <c r="Q31" s="145">
        <f>SUM(Q28:Q30)</f>
      </c>
      <c r="R31" s="145">
        <f>SUM(R28:R30)</f>
      </c>
      <c r="S31" s="145">
        <f>SUM(S28:S30)</f>
      </c>
    </row>
    <row r="32">
      <c r="A32" s="160" t="s">
        <v>259</v>
      </c>
      <c r="B32" s="160" t="s">
        <v>255</v>
      </c>
      <c r="C32" s="160" t="s">
        <v>236</v>
      </c>
      <c r="D32" s="161">
        <v>5</v>
      </c>
      <c r="E32" s="160">
        <v>33</v>
      </c>
      <c r="F32" s="160">
        <v>23</v>
      </c>
      <c r="G32" s="160">
        <v>23</v>
      </c>
      <c r="H32" s="162">
        <v>1</v>
      </c>
      <c r="I32" s="163">
        <v>10436.5</v>
      </c>
      <c r="J32" s="163">
        <v>5740.24</v>
      </c>
      <c r="K32" s="164">
        <f t="shared" si="1"/>
      </c>
      <c r="L32" s="164">
        <f t="shared" si="0"/>
      </c>
      <c r="M32" s="164">
        <f t="shared" si="2"/>
      </c>
      <c r="N32" s="165"/>
      <c r="O32" s="165"/>
      <c r="P32" s="160"/>
      <c r="Q32" s="160"/>
      <c r="R32" s="160"/>
      <c r="S32" s="160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6"/>
      <c r="DT32" s="166"/>
      <c r="DU32" s="166"/>
      <c r="DV32" s="166"/>
      <c r="DW32" s="166"/>
      <c r="DX32" s="166"/>
      <c r="DY32" s="166"/>
      <c r="DZ32" s="166"/>
      <c r="EA32" s="166"/>
      <c r="EB32" s="166"/>
      <c r="EC32" s="166"/>
      <c r="ED32" s="166"/>
      <c r="EE32" s="166"/>
      <c r="EF32" s="166"/>
      <c r="EG32" s="166"/>
      <c r="EH32" s="166"/>
      <c r="EI32" s="166"/>
      <c r="EJ32" s="166"/>
      <c r="EK32" s="166"/>
      <c r="EL32" s="166"/>
      <c r="EM32" s="166"/>
      <c r="EN32" s="166"/>
      <c r="EO32" s="166"/>
      <c r="EP32" s="166"/>
      <c r="EQ32" s="166"/>
      <c r="ER32" s="166"/>
      <c r="ES32" s="166"/>
      <c r="ET32" s="166"/>
      <c r="EU32" s="166"/>
      <c r="EV32" s="166"/>
      <c r="EW32" s="166"/>
      <c r="EX32" s="166"/>
      <c r="EY32" s="166"/>
      <c r="EZ32" s="166"/>
      <c r="FA32" s="166"/>
      <c r="FB32" s="166"/>
      <c r="FC32" s="166"/>
      <c r="FD32" s="166"/>
      <c r="FE32" s="166"/>
      <c r="FF32" s="166"/>
      <c r="FG32" s="166"/>
      <c r="FH32" s="166"/>
      <c r="FI32" s="166"/>
      <c r="FJ32" s="166"/>
      <c r="FK32" s="166"/>
      <c r="FL32" s="166"/>
      <c r="FM32" s="166"/>
      <c r="FN32" s="166"/>
      <c r="FO32" s="166"/>
      <c r="FP32" s="166"/>
      <c r="FQ32" s="166"/>
      <c r="FR32" s="166"/>
      <c r="FS32" s="166"/>
      <c r="FT32" s="166"/>
      <c r="FU32" s="166"/>
      <c r="FV32" s="166"/>
      <c r="FW32" s="166"/>
      <c r="FX32" s="166"/>
      <c r="FY32" s="166"/>
      <c r="FZ32" s="166"/>
      <c r="GA32" s="166"/>
      <c r="GB32" s="166"/>
      <c r="GC32" s="166"/>
      <c r="GD32" s="166"/>
      <c r="GE32" s="166"/>
    </row>
    <row r="33">
      <c r="A33" s="160" t="s">
        <v>259</v>
      </c>
      <c r="B33" s="167" t="s">
        <v>230</v>
      </c>
      <c r="C33" s="160" t="s">
        <v>260</v>
      </c>
      <c r="D33" s="161">
        <v>4</v>
      </c>
      <c r="E33" s="160">
        <v>21</v>
      </c>
      <c r="F33" s="160">
        <v>14</v>
      </c>
      <c r="G33" s="160">
        <v>14</v>
      </c>
      <c r="H33" s="162">
        <v>3</v>
      </c>
      <c r="I33" s="163">
        <v>6135.700000000001</v>
      </c>
      <c r="J33" s="163">
        <v>4809.35</v>
      </c>
      <c r="K33" s="164">
        <f t="shared" si="1"/>
      </c>
      <c r="L33" s="164">
        <f t="shared" si="0"/>
      </c>
      <c r="M33" s="164">
        <f t="shared" si="2"/>
      </c>
      <c r="N33" s="165"/>
      <c r="O33" s="165"/>
      <c r="P33" s="160"/>
      <c r="Q33" s="160"/>
      <c r="R33" s="160"/>
      <c r="S33" s="160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66"/>
      <c r="CJ33" s="166"/>
      <c r="CK33" s="166"/>
      <c r="CL33" s="166"/>
      <c r="CM33" s="166"/>
      <c r="CN33" s="166"/>
      <c r="CO33" s="166"/>
      <c r="CP33" s="166"/>
      <c r="CQ33" s="166"/>
      <c r="CR33" s="166"/>
      <c r="CS33" s="166"/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6"/>
      <c r="DO33" s="166"/>
      <c r="DP33" s="166"/>
      <c r="DQ33" s="166"/>
      <c r="DR33" s="166"/>
      <c r="DS33" s="166"/>
      <c r="DT33" s="166"/>
      <c r="DU33" s="166"/>
      <c r="DV33" s="166"/>
      <c r="DW33" s="166"/>
      <c r="DX33" s="166"/>
      <c r="DY33" s="166"/>
      <c r="DZ33" s="166"/>
      <c r="EA33" s="166"/>
      <c r="EB33" s="166"/>
      <c r="EC33" s="166"/>
      <c r="ED33" s="166"/>
      <c r="EE33" s="166"/>
      <c r="EF33" s="166"/>
      <c r="EG33" s="166"/>
      <c r="EH33" s="166"/>
      <c r="EI33" s="166"/>
      <c r="EJ33" s="166"/>
      <c r="EK33" s="166"/>
      <c r="EL33" s="166"/>
      <c r="EM33" s="166"/>
      <c r="EN33" s="166"/>
      <c r="EO33" s="166"/>
      <c r="EP33" s="166"/>
      <c r="EQ33" s="166"/>
      <c r="ER33" s="166"/>
      <c r="ES33" s="166"/>
      <c r="ET33" s="166"/>
      <c r="EU33" s="166"/>
      <c r="EV33" s="166"/>
      <c r="EW33" s="166"/>
      <c r="EX33" s="166"/>
      <c r="EY33" s="166"/>
      <c r="EZ33" s="166"/>
      <c r="FA33" s="166"/>
      <c r="FB33" s="166"/>
      <c r="FC33" s="166"/>
      <c r="FD33" s="166"/>
      <c r="FE33" s="166"/>
      <c r="FF33" s="166"/>
      <c r="FG33" s="166"/>
      <c r="FH33" s="166"/>
      <c r="FI33" s="166"/>
      <c r="FJ33" s="166"/>
      <c r="FK33" s="166"/>
      <c r="FL33" s="166"/>
      <c r="FM33" s="166"/>
      <c r="FN33" s="166"/>
      <c r="FO33" s="166"/>
      <c r="FP33" s="166"/>
      <c r="FQ33" s="166"/>
      <c r="FR33" s="166"/>
      <c r="FS33" s="166"/>
      <c r="FT33" s="166"/>
      <c r="FU33" s="166"/>
      <c r="FV33" s="166"/>
      <c r="FW33" s="166"/>
      <c r="FX33" s="166"/>
      <c r="FY33" s="166"/>
      <c r="FZ33" s="166"/>
      <c r="GA33" s="166"/>
      <c r="GB33" s="166"/>
      <c r="GC33" s="166"/>
      <c r="GD33" s="166"/>
      <c r="GE33" s="166"/>
    </row>
    <row r="34">
      <c r="A34" s="160" t="s">
        <v>259</v>
      </c>
      <c r="B34" s="160" t="s">
        <v>261</v>
      </c>
      <c r="C34" s="168" t="s">
        <v>262</v>
      </c>
      <c r="D34" s="161">
        <v>2</v>
      </c>
      <c r="E34" s="160">
        <v>6</v>
      </c>
      <c r="F34" s="160">
        <v>3</v>
      </c>
      <c r="G34" s="160">
        <v>3</v>
      </c>
      <c r="H34" s="162">
        <v>0</v>
      </c>
      <c r="I34" s="163">
        <v>1436.3999999999978</v>
      </c>
      <c r="J34" s="163">
        <v>2009.25</v>
      </c>
      <c r="K34" s="164">
        <f t="shared" si="1"/>
      </c>
      <c r="L34" s="164">
        <f t="shared" si="0"/>
      </c>
      <c r="M34" s="164">
        <f t="shared" si="2"/>
      </c>
      <c r="N34" s="165" t="s">
        <v>238</v>
      </c>
      <c r="O34" s="165">
        <v>10</v>
      </c>
      <c r="P34" s="169"/>
      <c r="Q34" s="160"/>
      <c r="R34" s="160" t="s">
        <v>245</v>
      </c>
      <c r="S34" s="160">
        <v>10</v>
      </c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66"/>
      <c r="CJ34" s="166"/>
      <c r="CK34" s="166"/>
      <c r="CL34" s="166"/>
      <c r="CM34" s="166"/>
      <c r="CN34" s="166"/>
      <c r="CO34" s="166"/>
      <c r="CP34" s="166"/>
      <c r="CQ34" s="166"/>
      <c r="CR34" s="166"/>
      <c r="CS34" s="166"/>
      <c r="CT34" s="166"/>
      <c r="CU34" s="166"/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6"/>
      <c r="DO34" s="166"/>
      <c r="DP34" s="166"/>
      <c r="DQ34" s="166"/>
      <c r="DR34" s="166"/>
      <c r="DS34" s="166"/>
      <c r="DT34" s="166"/>
      <c r="DU34" s="166"/>
      <c r="DV34" s="166"/>
      <c r="DW34" s="166"/>
      <c r="DX34" s="166"/>
      <c r="DY34" s="166"/>
      <c r="DZ34" s="166"/>
      <c r="EA34" s="166"/>
      <c r="EB34" s="166"/>
      <c r="EC34" s="166"/>
      <c r="ED34" s="166"/>
      <c r="EE34" s="166"/>
      <c r="EF34" s="166"/>
      <c r="EG34" s="166"/>
      <c r="EH34" s="166"/>
      <c r="EI34" s="166"/>
      <c r="EJ34" s="166"/>
      <c r="EK34" s="166"/>
      <c r="EL34" s="166"/>
      <c r="EM34" s="166"/>
      <c r="EN34" s="166"/>
      <c r="EO34" s="166"/>
      <c r="EP34" s="166"/>
      <c r="EQ34" s="166"/>
      <c r="ER34" s="166"/>
      <c r="ES34" s="166"/>
      <c r="ET34" s="166"/>
      <c r="EU34" s="166"/>
      <c r="EV34" s="166"/>
      <c r="EW34" s="166"/>
      <c r="EX34" s="166"/>
      <c r="EY34" s="166"/>
      <c r="EZ34" s="166"/>
      <c r="FA34" s="166"/>
      <c r="FB34" s="166"/>
      <c r="FC34" s="166"/>
      <c r="FD34" s="166"/>
      <c r="FE34" s="166"/>
      <c r="FF34" s="166"/>
      <c r="FG34" s="166"/>
      <c r="FH34" s="166"/>
      <c r="FI34" s="166"/>
      <c r="FJ34" s="166"/>
      <c r="FK34" s="166"/>
      <c r="FL34" s="166"/>
      <c r="FM34" s="166"/>
      <c r="FN34" s="166"/>
      <c r="FO34" s="166"/>
      <c r="FP34" s="166"/>
      <c r="FQ34" s="166"/>
      <c r="FR34" s="166"/>
      <c r="FS34" s="166"/>
      <c r="FT34" s="166"/>
      <c r="FU34" s="166"/>
      <c r="FV34" s="166"/>
      <c r="FW34" s="166"/>
      <c r="FX34" s="166"/>
      <c r="FY34" s="166"/>
      <c r="FZ34" s="166"/>
      <c r="GA34" s="166"/>
      <c r="GB34" s="166"/>
      <c r="GC34" s="166"/>
      <c r="GD34" s="166"/>
      <c r="GE34" s="166"/>
    </row>
    <row r="35">
      <c r="A35" s="160" t="s">
        <v>259</v>
      </c>
      <c r="B35" s="170" t="s">
        <v>239</v>
      </c>
      <c r="C35" s="171" t="s">
        <v>263</v>
      </c>
      <c r="D35" s="172">
        <f>3-1</f>
      </c>
      <c r="E35" s="160">
        <v>14</v>
      </c>
      <c r="F35" s="160">
        <v>7</v>
      </c>
      <c r="G35" s="160">
        <v>7</v>
      </c>
      <c r="H35" s="162">
        <v>0</v>
      </c>
      <c r="I35" s="173">
        <v>3351.600000000002</v>
      </c>
      <c r="J35" s="173">
        <v>3405.98</v>
      </c>
      <c r="K35" s="164">
        <f t="shared" si="1"/>
      </c>
      <c r="L35" s="164">
        <f t="shared" si="0"/>
      </c>
      <c r="M35" s="164">
        <f t="shared" si="2"/>
      </c>
      <c r="N35" s="165" t="s">
        <v>232</v>
      </c>
      <c r="O35" s="165">
        <v>7</v>
      </c>
      <c r="P35" s="169"/>
      <c r="Q35" s="160"/>
      <c r="R35" s="160" t="s">
        <v>233</v>
      </c>
      <c r="S35" s="160">
        <v>10</v>
      </c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166"/>
      <c r="CR35" s="166"/>
      <c r="CS35" s="166"/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6"/>
      <c r="DO35" s="166"/>
      <c r="DP35" s="166"/>
      <c r="DQ35" s="166"/>
      <c r="DR35" s="166"/>
      <c r="DS35" s="166"/>
      <c r="DT35" s="166"/>
      <c r="DU35" s="166"/>
      <c r="DV35" s="166"/>
      <c r="DW35" s="166"/>
      <c r="DX35" s="166"/>
      <c r="DY35" s="166"/>
      <c r="DZ35" s="166"/>
      <c r="EA35" s="166"/>
      <c r="EB35" s="166"/>
      <c r="EC35" s="166"/>
      <c r="ED35" s="166"/>
      <c r="EE35" s="166"/>
      <c r="EF35" s="166"/>
      <c r="EG35" s="166"/>
      <c r="EH35" s="166"/>
      <c r="EI35" s="166"/>
      <c r="EJ35" s="166"/>
      <c r="EK35" s="166"/>
      <c r="EL35" s="166"/>
      <c r="EM35" s="166"/>
      <c r="EN35" s="166"/>
      <c r="EO35" s="166"/>
      <c r="EP35" s="166"/>
      <c r="EQ35" s="166"/>
      <c r="ER35" s="166"/>
      <c r="ES35" s="166"/>
      <c r="ET35" s="166"/>
      <c r="EU35" s="166"/>
      <c r="EV35" s="166"/>
      <c r="EW35" s="166"/>
      <c r="EX35" s="166"/>
      <c r="EY35" s="166"/>
      <c r="EZ35" s="166"/>
      <c r="FA35" s="166"/>
      <c r="FB35" s="166"/>
      <c r="FC35" s="166"/>
      <c r="FD35" s="166"/>
      <c r="FE35" s="166"/>
      <c r="FF35" s="166"/>
      <c r="FG35" s="166"/>
      <c r="FH35" s="166"/>
      <c r="FI35" s="166"/>
      <c r="FJ35" s="166"/>
      <c r="FK35" s="166"/>
      <c r="FL35" s="166"/>
      <c r="FM35" s="166"/>
      <c r="FN35" s="166"/>
      <c r="FO35" s="166"/>
      <c r="FP35" s="166"/>
      <c r="FQ35" s="166"/>
      <c r="FR35" s="166"/>
      <c r="FS35" s="166"/>
      <c r="FT35" s="166"/>
      <c r="FU35" s="166"/>
      <c r="FV35" s="166"/>
      <c r="FW35" s="166"/>
      <c r="FX35" s="166"/>
      <c r="FY35" s="166"/>
      <c r="FZ35" s="166"/>
      <c r="GA35" s="166"/>
      <c r="GB35" s="166"/>
      <c r="GC35" s="166"/>
      <c r="GD35" s="166"/>
      <c r="GE35" s="166"/>
    </row>
    <row r="36">
      <c r="A36" s="160" t="s">
        <v>259</v>
      </c>
      <c r="B36" s="170" t="s">
        <v>264</v>
      </c>
      <c r="C36" s="165" t="s">
        <v>265</v>
      </c>
      <c r="D36" s="161">
        <v>3</v>
      </c>
      <c r="E36" s="160">
        <v>2</v>
      </c>
      <c r="F36" s="160">
        <v>0</v>
      </c>
      <c r="G36" s="160">
        <v>0</v>
      </c>
      <c r="H36" s="162">
        <v>0</v>
      </c>
      <c r="I36" s="163">
        <v>0</v>
      </c>
      <c r="J36" s="163">
        <v>3224.46</v>
      </c>
      <c r="K36" s="164">
        <f t="shared" si="1"/>
      </c>
      <c r="L36" s="164">
        <f t="shared" si="0"/>
      </c>
      <c r="M36" s="164">
        <f t="shared" si="2"/>
      </c>
      <c r="N36" s="174"/>
      <c r="O36" s="174"/>
      <c r="P36" s="169"/>
      <c r="Q36" s="160"/>
      <c r="R36" s="160"/>
      <c r="S36" s="160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6"/>
      <c r="DO36" s="166"/>
      <c r="DP36" s="166"/>
      <c r="DQ36" s="166"/>
      <c r="DR36" s="166"/>
      <c r="DS36" s="166"/>
      <c r="DT36" s="166"/>
      <c r="DU36" s="166"/>
      <c r="DV36" s="166"/>
      <c r="DW36" s="166"/>
      <c r="DX36" s="166"/>
      <c r="DY36" s="166"/>
      <c r="DZ36" s="166"/>
      <c r="EA36" s="166"/>
      <c r="EB36" s="166"/>
      <c r="EC36" s="166"/>
      <c r="ED36" s="166"/>
      <c r="EE36" s="166"/>
      <c r="EF36" s="166"/>
      <c r="EG36" s="166"/>
      <c r="EH36" s="166"/>
      <c r="EI36" s="166"/>
      <c r="EJ36" s="166"/>
      <c r="EK36" s="166"/>
      <c r="EL36" s="166"/>
      <c r="EM36" s="166"/>
      <c r="EN36" s="166"/>
      <c r="EO36" s="166"/>
      <c r="EP36" s="166"/>
      <c r="EQ36" s="166"/>
      <c r="ER36" s="166"/>
      <c r="ES36" s="166"/>
      <c r="ET36" s="166"/>
      <c r="EU36" s="166"/>
      <c r="EV36" s="166"/>
      <c r="EW36" s="166"/>
      <c r="EX36" s="166"/>
      <c r="EY36" s="166"/>
      <c r="EZ36" s="166"/>
      <c r="FA36" s="166"/>
      <c r="FB36" s="166"/>
      <c r="FC36" s="166"/>
      <c r="FD36" s="166"/>
      <c r="FE36" s="166"/>
      <c r="FF36" s="166"/>
      <c r="FG36" s="166"/>
      <c r="FH36" s="166"/>
      <c r="FI36" s="166"/>
      <c r="FJ36" s="166"/>
      <c r="FK36" s="166"/>
      <c r="FL36" s="166"/>
      <c r="FM36" s="166"/>
      <c r="FN36" s="166"/>
      <c r="FO36" s="166"/>
      <c r="FP36" s="166"/>
      <c r="FQ36" s="166"/>
      <c r="FR36" s="166"/>
      <c r="FS36" s="166"/>
      <c r="FT36" s="166"/>
      <c r="FU36" s="166"/>
      <c r="FV36" s="166"/>
      <c r="FW36" s="166"/>
      <c r="FX36" s="166"/>
      <c r="FY36" s="166"/>
      <c r="FZ36" s="166"/>
      <c r="GA36" s="166"/>
      <c r="GB36" s="166"/>
      <c r="GC36" s="166"/>
      <c r="GD36" s="166"/>
      <c r="GE36" s="166"/>
    </row>
    <row r="37">
      <c r="A37" s="175" t="s">
        <v>259</v>
      </c>
      <c r="B37" s="176"/>
      <c r="C37" s="176"/>
      <c r="D37" s="175">
        <f>SUM(D32:D36)</f>
      </c>
      <c r="E37" s="175">
        <f>SUM(E32:E36)</f>
      </c>
      <c r="F37" s="175">
        <f>SUM(F32:F36)</f>
      </c>
      <c r="G37" s="175">
        <f>SUM(G32:G36)</f>
      </c>
      <c r="H37" s="175">
        <f>SUM(H32:H36)</f>
      </c>
      <c r="I37" s="176">
        <f>SUM(I32:I36)</f>
      </c>
      <c r="J37" s="176">
        <f>SUM(J32:J36)</f>
      </c>
      <c r="K37" s="177">
        <f t="shared" si="1"/>
      </c>
      <c r="L37" s="177">
        <f t="shared" si="0"/>
      </c>
      <c r="M37" s="177">
        <f t="shared" si="2"/>
      </c>
      <c r="N37" s="176"/>
      <c r="O37" s="176">
        <f>SUM(O33:O35)</f>
      </c>
      <c r="P37" s="175"/>
      <c r="Q37" s="175">
        <f>SUM(Q33:Q35)</f>
      </c>
      <c r="R37" s="175">
        <f>SUM(R33:R35)</f>
      </c>
      <c r="S37" s="175">
        <f>SUM(S33:S35)</f>
      </c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6"/>
      <c r="DS37" s="166"/>
      <c r="DT37" s="166"/>
      <c r="DU37" s="166"/>
      <c r="DV37" s="166"/>
      <c r="DW37" s="166"/>
      <c r="DX37" s="166"/>
      <c r="DY37" s="166"/>
      <c r="DZ37" s="166"/>
      <c r="EA37" s="166"/>
      <c r="EB37" s="166"/>
      <c r="EC37" s="166"/>
      <c r="ED37" s="166"/>
      <c r="EE37" s="166"/>
      <c r="EF37" s="166"/>
      <c r="EG37" s="166"/>
      <c r="EH37" s="166"/>
      <c r="EI37" s="166"/>
      <c r="EJ37" s="166"/>
      <c r="EK37" s="166"/>
      <c r="EL37" s="166"/>
      <c r="EM37" s="166"/>
      <c r="EN37" s="166"/>
      <c r="EO37" s="166"/>
      <c r="EP37" s="166"/>
      <c r="EQ37" s="166"/>
      <c r="ER37" s="166"/>
      <c r="ES37" s="166"/>
      <c r="ET37" s="166"/>
      <c r="EU37" s="166"/>
      <c r="EV37" s="166"/>
      <c r="EW37" s="166"/>
      <c r="EX37" s="166"/>
      <c r="EY37" s="166"/>
      <c r="EZ37" s="166"/>
      <c r="FA37" s="166"/>
      <c r="FB37" s="166"/>
      <c r="FC37" s="166"/>
      <c r="FD37" s="166"/>
      <c r="FE37" s="166"/>
      <c r="FF37" s="166"/>
      <c r="FG37" s="166"/>
      <c r="FH37" s="166"/>
      <c r="FI37" s="166"/>
      <c r="FJ37" s="166"/>
      <c r="FK37" s="166"/>
      <c r="FL37" s="166"/>
      <c r="FM37" s="166"/>
      <c r="FN37" s="166"/>
      <c r="FO37" s="166"/>
      <c r="FP37" s="166"/>
      <c r="FQ37" s="166"/>
      <c r="FR37" s="166"/>
      <c r="FS37" s="166"/>
      <c r="FT37" s="166"/>
      <c r="FU37" s="166"/>
      <c r="FV37" s="166"/>
      <c r="FW37" s="166"/>
      <c r="FX37" s="166"/>
      <c r="FY37" s="166"/>
      <c r="FZ37" s="166"/>
      <c r="GA37" s="166"/>
      <c r="GB37" s="166"/>
      <c r="GC37" s="166"/>
      <c r="GD37" s="166"/>
      <c r="GE37" s="166"/>
    </row>
    <row r="38">
      <c r="A38" s="160" t="s">
        <v>266</v>
      </c>
      <c r="B38" s="160" t="s">
        <v>255</v>
      </c>
      <c r="C38" s="160" t="s">
        <v>236</v>
      </c>
      <c r="D38" s="161">
        <v>5</v>
      </c>
      <c r="E38" s="160">
        <v>33</v>
      </c>
      <c r="F38" s="160">
        <v>27</v>
      </c>
      <c r="G38" s="160">
        <v>27</v>
      </c>
      <c r="H38" s="162">
        <v>2</v>
      </c>
      <c r="I38" s="163">
        <v>12469.3</v>
      </c>
      <c r="J38" s="163">
        <v>5771.08</v>
      </c>
      <c r="K38" s="164">
        <f t="shared" si="1"/>
      </c>
      <c r="L38" s="164">
        <f t="shared" si="0"/>
      </c>
      <c r="M38" s="164">
        <f t="shared" si="2"/>
      </c>
      <c r="N38" s="165"/>
      <c r="O38" s="165"/>
      <c r="P38" s="160"/>
      <c r="Q38" s="160"/>
      <c r="R38" s="160"/>
      <c r="S38" s="160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6"/>
      <c r="DS38" s="166"/>
      <c r="DT38" s="166"/>
      <c r="DU38" s="166"/>
      <c r="DV38" s="166"/>
      <c r="DW38" s="166"/>
      <c r="DX38" s="166"/>
      <c r="DY38" s="166"/>
      <c r="DZ38" s="166"/>
      <c r="EA38" s="166"/>
      <c r="EB38" s="166"/>
      <c r="EC38" s="166"/>
      <c r="ED38" s="166"/>
      <c r="EE38" s="166"/>
      <c r="EF38" s="166"/>
      <c r="EG38" s="166"/>
      <c r="EH38" s="166"/>
      <c r="EI38" s="166"/>
      <c r="EJ38" s="166"/>
      <c r="EK38" s="166"/>
      <c r="EL38" s="166"/>
      <c r="EM38" s="166"/>
      <c r="EN38" s="166"/>
      <c r="EO38" s="166"/>
      <c r="EP38" s="166"/>
      <c r="EQ38" s="166"/>
      <c r="ER38" s="166"/>
      <c r="ES38" s="166"/>
      <c r="ET38" s="166"/>
      <c r="EU38" s="166"/>
      <c r="EV38" s="166"/>
      <c r="EW38" s="166"/>
      <c r="EX38" s="166"/>
      <c r="EY38" s="166"/>
      <c r="EZ38" s="166"/>
      <c r="FA38" s="166"/>
      <c r="FB38" s="166"/>
      <c r="FC38" s="166"/>
      <c r="FD38" s="166"/>
      <c r="FE38" s="166"/>
      <c r="FF38" s="166"/>
      <c r="FG38" s="166"/>
      <c r="FH38" s="166"/>
      <c r="FI38" s="166"/>
      <c r="FJ38" s="166"/>
      <c r="FK38" s="166"/>
      <c r="FL38" s="166"/>
      <c r="FM38" s="166"/>
      <c r="FN38" s="166"/>
      <c r="FO38" s="166"/>
      <c r="FP38" s="166"/>
      <c r="FQ38" s="166"/>
      <c r="FR38" s="166"/>
      <c r="FS38" s="166"/>
      <c r="FT38" s="166"/>
      <c r="FU38" s="166"/>
      <c r="FV38" s="166"/>
      <c r="FW38" s="166"/>
      <c r="FX38" s="166"/>
      <c r="FY38" s="166"/>
      <c r="FZ38" s="166"/>
      <c r="GA38" s="166"/>
      <c r="GB38" s="166"/>
      <c r="GC38" s="166"/>
      <c r="GD38" s="166"/>
      <c r="GE38" s="166"/>
    </row>
    <row r="39">
      <c r="A39" s="160" t="s">
        <v>266</v>
      </c>
      <c r="B39" s="170" t="s">
        <v>235</v>
      </c>
      <c r="C39" s="160" t="s">
        <v>260</v>
      </c>
      <c r="D39" s="161">
        <v>4</v>
      </c>
      <c r="E39" s="160">
        <v>22</v>
      </c>
      <c r="F39" s="160">
        <v>15</v>
      </c>
      <c r="G39" s="160">
        <v>15</v>
      </c>
      <c r="H39" s="162">
        <v>1</v>
      </c>
      <c r="I39" s="163">
        <v>6874.9000000000015</v>
      </c>
      <c r="J39" s="163">
        <v>5419.08</v>
      </c>
      <c r="K39" s="164">
        <f t="shared" si="1"/>
      </c>
      <c r="L39" s="164">
        <f t="shared" si="0"/>
      </c>
      <c r="M39" s="164">
        <f t="shared" si="2"/>
      </c>
      <c r="N39" s="165"/>
      <c r="O39" s="165"/>
      <c r="P39" s="160"/>
      <c r="Q39" s="160"/>
      <c r="R39" s="160"/>
      <c r="S39" s="160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6"/>
      <c r="DT39" s="166"/>
      <c r="DU39" s="166"/>
      <c r="DV39" s="166"/>
      <c r="DW39" s="166"/>
      <c r="DX39" s="166"/>
      <c r="DY39" s="166"/>
      <c r="DZ39" s="166"/>
      <c r="EA39" s="166"/>
      <c r="EB39" s="166"/>
      <c r="EC39" s="166"/>
      <c r="ED39" s="166"/>
      <c r="EE39" s="166"/>
      <c r="EF39" s="166"/>
      <c r="EG39" s="166"/>
      <c r="EH39" s="166"/>
      <c r="EI39" s="166"/>
      <c r="EJ39" s="166"/>
      <c r="EK39" s="166"/>
      <c r="EL39" s="166"/>
      <c r="EM39" s="166"/>
      <c r="EN39" s="166"/>
      <c r="EO39" s="166"/>
      <c r="EP39" s="166"/>
      <c r="EQ39" s="166"/>
      <c r="ER39" s="166"/>
      <c r="ES39" s="166"/>
      <c r="ET39" s="166"/>
      <c r="EU39" s="166"/>
      <c r="EV39" s="166"/>
      <c r="EW39" s="166"/>
      <c r="EX39" s="166"/>
      <c r="EY39" s="166"/>
      <c r="EZ39" s="166"/>
      <c r="FA39" s="166"/>
      <c r="FB39" s="166"/>
      <c r="FC39" s="166"/>
      <c r="FD39" s="166"/>
      <c r="FE39" s="166"/>
      <c r="FF39" s="166"/>
      <c r="FG39" s="166"/>
      <c r="FH39" s="166"/>
      <c r="FI39" s="166"/>
      <c r="FJ39" s="166"/>
      <c r="FK39" s="166"/>
      <c r="FL39" s="166"/>
      <c r="FM39" s="166"/>
      <c r="FN39" s="166"/>
      <c r="FO39" s="166"/>
      <c r="FP39" s="166"/>
      <c r="FQ39" s="166"/>
      <c r="FR39" s="166"/>
      <c r="FS39" s="166"/>
      <c r="FT39" s="166"/>
      <c r="FU39" s="166"/>
      <c r="FV39" s="166"/>
      <c r="FW39" s="166"/>
      <c r="FX39" s="166"/>
      <c r="FY39" s="166"/>
      <c r="FZ39" s="166"/>
      <c r="GA39" s="166"/>
      <c r="GB39" s="166"/>
      <c r="GC39" s="166"/>
      <c r="GD39" s="166"/>
      <c r="GE39" s="166"/>
    </row>
    <row r="40">
      <c r="A40" s="160" t="s">
        <v>266</v>
      </c>
      <c r="B40" s="170" t="s">
        <v>267</v>
      </c>
      <c r="C40" s="168" t="s">
        <v>262</v>
      </c>
      <c r="D40" s="161">
        <v>2</v>
      </c>
      <c r="E40" s="160">
        <v>19</v>
      </c>
      <c r="F40" s="160">
        <v>12</v>
      </c>
      <c r="G40" s="160">
        <v>12</v>
      </c>
      <c r="H40" s="162">
        <v>0</v>
      </c>
      <c r="I40" s="163">
        <v>5628</v>
      </c>
      <c r="J40" s="163">
        <v>2664.3900000000003</v>
      </c>
      <c r="K40" s="164">
        <f t="shared" si="1"/>
      </c>
      <c r="L40" s="164">
        <f t="shared" si="0"/>
      </c>
      <c r="M40" s="164">
        <f t="shared" si="2"/>
      </c>
      <c r="N40" s="165" t="s">
        <v>238</v>
      </c>
      <c r="O40" s="165">
        <v>10</v>
      </c>
      <c r="P40" s="169"/>
      <c r="Q40" s="160"/>
      <c r="R40" s="160" t="s">
        <v>245</v>
      </c>
      <c r="S40" s="160">
        <v>10</v>
      </c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6"/>
      <c r="DT40" s="166"/>
      <c r="DU40" s="166"/>
      <c r="DV40" s="166"/>
      <c r="DW40" s="166"/>
      <c r="DX40" s="166"/>
      <c r="DY40" s="166"/>
      <c r="DZ40" s="166"/>
      <c r="EA40" s="166"/>
      <c r="EB40" s="166"/>
      <c r="EC40" s="166"/>
      <c r="ED40" s="166"/>
      <c r="EE40" s="166"/>
      <c r="EF40" s="166"/>
      <c r="EG40" s="166"/>
      <c r="EH40" s="166"/>
      <c r="EI40" s="166"/>
      <c r="EJ40" s="166"/>
      <c r="EK40" s="166"/>
      <c r="EL40" s="166"/>
      <c r="EM40" s="166"/>
      <c r="EN40" s="166"/>
      <c r="EO40" s="166"/>
      <c r="EP40" s="166"/>
      <c r="EQ40" s="166"/>
      <c r="ER40" s="166"/>
      <c r="ES40" s="166"/>
      <c r="ET40" s="166"/>
      <c r="EU40" s="166"/>
      <c r="EV40" s="166"/>
      <c r="EW40" s="166"/>
      <c r="EX40" s="166"/>
      <c r="EY40" s="166"/>
      <c r="EZ40" s="166"/>
      <c r="FA40" s="166"/>
      <c r="FB40" s="166"/>
      <c r="FC40" s="166"/>
      <c r="FD40" s="166"/>
      <c r="FE40" s="166"/>
      <c r="FF40" s="166"/>
      <c r="FG40" s="166"/>
      <c r="FH40" s="166"/>
      <c r="FI40" s="166"/>
      <c r="FJ40" s="166"/>
      <c r="FK40" s="166"/>
      <c r="FL40" s="166"/>
      <c r="FM40" s="166"/>
      <c r="FN40" s="166"/>
      <c r="FO40" s="166"/>
      <c r="FP40" s="166"/>
      <c r="FQ40" s="166"/>
      <c r="FR40" s="166"/>
      <c r="FS40" s="166"/>
      <c r="FT40" s="166"/>
      <c r="FU40" s="166"/>
      <c r="FV40" s="166"/>
      <c r="FW40" s="166"/>
      <c r="FX40" s="166"/>
      <c r="FY40" s="166"/>
      <c r="FZ40" s="166"/>
      <c r="GA40" s="166"/>
      <c r="GB40" s="166"/>
      <c r="GC40" s="166"/>
      <c r="GD40" s="166"/>
      <c r="GE40" s="166"/>
    </row>
    <row r="41">
      <c r="A41" s="160" t="s">
        <v>266</v>
      </c>
      <c r="B41" s="167" t="s">
        <v>230</v>
      </c>
      <c r="C41" s="171" t="s">
        <v>268</v>
      </c>
      <c r="D41" s="161">
        <v>4</v>
      </c>
      <c r="E41" s="160">
        <v>22</v>
      </c>
      <c r="F41" s="160">
        <v>18</v>
      </c>
      <c r="G41" s="160">
        <v>18</v>
      </c>
      <c r="H41" s="162">
        <v>1</v>
      </c>
      <c r="I41" s="173">
        <v>7988.4</v>
      </c>
      <c r="J41" s="173">
        <v>4514.2</v>
      </c>
      <c r="K41" s="164">
        <f t="shared" si="1"/>
      </c>
      <c r="L41" s="164">
        <f t="shared" si="0"/>
      </c>
      <c r="M41" s="164">
        <f t="shared" si="2"/>
      </c>
      <c r="N41" s="178" t="s">
        <v>269</v>
      </c>
      <c r="O41" s="165">
        <v>7</v>
      </c>
      <c r="P41" s="169"/>
      <c r="Q41" s="160"/>
      <c r="R41" s="160" t="s">
        <v>233</v>
      </c>
      <c r="S41" s="160">
        <v>10</v>
      </c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6"/>
      <c r="DT41" s="166"/>
      <c r="DU41" s="166"/>
      <c r="DV41" s="166"/>
      <c r="DW41" s="166"/>
      <c r="DX41" s="166"/>
      <c r="DY41" s="166"/>
      <c r="DZ41" s="166"/>
      <c r="EA41" s="166"/>
      <c r="EB41" s="166"/>
      <c r="EC41" s="166"/>
      <c r="ED41" s="166"/>
      <c r="EE41" s="166"/>
      <c r="EF41" s="166"/>
      <c r="EG41" s="166"/>
      <c r="EH41" s="166"/>
      <c r="EI41" s="166"/>
      <c r="EJ41" s="166"/>
      <c r="EK41" s="166"/>
      <c r="EL41" s="166"/>
      <c r="EM41" s="166"/>
      <c r="EN41" s="166"/>
      <c r="EO41" s="166"/>
      <c r="EP41" s="166"/>
      <c r="EQ41" s="166"/>
      <c r="ER41" s="166"/>
      <c r="ES41" s="166"/>
      <c r="ET41" s="166"/>
      <c r="EU41" s="166"/>
      <c r="EV41" s="166"/>
      <c r="EW41" s="166"/>
      <c r="EX41" s="166"/>
      <c r="EY41" s="166"/>
      <c r="EZ41" s="166"/>
      <c r="FA41" s="166"/>
      <c r="FB41" s="166"/>
      <c r="FC41" s="166"/>
      <c r="FD41" s="166"/>
      <c r="FE41" s="166"/>
      <c r="FF41" s="166"/>
      <c r="FG41" s="166"/>
      <c r="FH41" s="166"/>
      <c r="FI41" s="166"/>
      <c r="FJ41" s="166"/>
      <c r="FK41" s="166"/>
      <c r="FL41" s="166"/>
      <c r="FM41" s="166"/>
      <c r="FN41" s="166"/>
      <c r="FO41" s="166"/>
      <c r="FP41" s="166"/>
      <c r="FQ41" s="166"/>
      <c r="FR41" s="166"/>
      <c r="FS41" s="166"/>
      <c r="FT41" s="166"/>
      <c r="FU41" s="166"/>
      <c r="FV41" s="166"/>
      <c r="FW41" s="166"/>
      <c r="FX41" s="166"/>
      <c r="FY41" s="166"/>
      <c r="FZ41" s="166"/>
      <c r="GA41" s="166"/>
      <c r="GB41" s="166"/>
      <c r="GC41" s="166"/>
      <c r="GD41" s="166"/>
      <c r="GE41" s="166"/>
    </row>
    <row r="42">
      <c r="A42" s="160" t="s">
        <v>266</v>
      </c>
      <c r="B42" s="160" t="s">
        <v>261</v>
      </c>
      <c r="C42" s="165" t="s">
        <v>270</v>
      </c>
      <c r="D42" s="161">
        <v>2</v>
      </c>
      <c r="E42" s="160">
        <v>7</v>
      </c>
      <c r="F42" s="160">
        <v>5</v>
      </c>
      <c r="G42" s="160">
        <v>5</v>
      </c>
      <c r="H42" s="162">
        <v>0</v>
      </c>
      <c r="I42" s="163">
        <v>2276.4</v>
      </c>
      <c r="J42" s="179">
        <v>2985.75</v>
      </c>
      <c r="K42" s="164">
        <f t="shared" si="1"/>
      </c>
      <c r="L42" s="164">
        <f t="shared" si="0"/>
      </c>
      <c r="M42" s="164">
        <f t="shared" si="2"/>
      </c>
      <c r="N42" s="174"/>
      <c r="O42" s="174"/>
      <c r="P42" s="169"/>
      <c r="Q42" s="160"/>
      <c r="R42" s="160"/>
      <c r="S42" s="160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6"/>
      <c r="DT42" s="166"/>
      <c r="DU42" s="166"/>
      <c r="DV42" s="166"/>
      <c r="DW42" s="166"/>
      <c r="DX42" s="166"/>
      <c r="DY42" s="166"/>
      <c r="DZ42" s="166"/>
      <c r="EA42" s="166"/>
      <c r="EB42" s="166"/>
      <c r="EC42" s="166"/>
      <c r="ED42" s="166"/>
      <c r="EE42" s="166"/>
      <c r="EF42" s="166"/>
      <c r="EG42" s="166"/>
      <c r="EH42" s="166"/>
      <c r="EI42" s="166"/>
      <c r="EJ42" s="166"/>
      <c r="EK42" s="166"/>
      <c r="EL42" s="166"/>
      <c r="EM42" s="166"/>
      <c r="EN42" s="166"/>
      <c r="EO42" s="166"/>
      <c r="EP42" s="166"/>
      <c r="EQ42" s="166"/>
      <c r="ER42" s="166"/>
      <c r="ES42" s="166"/>
      <c r="ET42" s="166"/>
      <c r="EU42" s="166"/>
      <c r="EV42" s="166"/>
      <c r="EW42" s="166"/>
      <c r="EX42" s="166"/>
      <c r="EY42" s="166"/>
      <c r="EZ42" s="166"/>
      <c r="FA42" s="166"/>
      <c r="FB42" s="166"/>
      <c r="FC42" s="166"/>
      <c r="FD42" s="166"/>
      <c r="FE42" s="166"/>
      <c r="FF42" s="166"/>
      <c r="FG42" s="166"/>
      <c r="FH42" s="166"/>
      <c r="FI42" s="166"/>
      <c r="FJ42" s="166"/>
      <c r="FK42" s="166"/>
      <c r="FL42" s="166"/>
      <c r="FM42" s="166"/>
      <c r="FN42" s="166"/>
      <c r="FO42" s="166"/>
      <c r="FP42" s="166"/>
      <c r="FQ42" s="166"/>
      <c r="FR42" s="166"/>
      <c r="FS42" s="166"/>
      <c r="FT42" s="166"/>
      <c r="FU42" s="166"/>
      <c r="FV42" s="166"/>
      <c r="FW42" s="166"/>
      <c r="FX42" s="166"/>
      <c r="FY42" s="166"/>
      <c r="FZ42" s="166"/>
      <c r="GA42" s="166"/>
      <c r="GB42" s="166"/>
      <c r="GC42" s="166"/>
      <c r="GD42" s="166"/>
      <c r="GE42" s="166"/>
    </row>
    <row r="43">
      <c r="A43" s="175" t="s">
        <v>266</v>
      </c>
      <c r="B43" s="176"/>
      <c r="C43" s="176"/>
      <c r="D43" s="175">
        <f>SUM(D38:D42)</f>
      </c>
      <c r="E43" s="175">
        <f>SUM(E38:E42)</f>
      </c>
      <c r="F43" s="175">
        <f>SUM(F38:F42)</f>
      </c>
      <c r="G43" s="175">
        <f>SUM(G38:G42)</f>
      </c>
      <c r="H43" s="175">
        <f>SUM(H38:H42)</f>
      </c>
      <c r="I43" s="176">
        <f>SUM(I38:I42)</f>
      </c>
      <c r="J43" s="176">
        <f>SUM(J38:J42)</f>
      </c>
      <c r="K43" s="177">
        <f t="shared" si="1"/>
      </c>
      <c r="L43" s="177">
        <f t="shared" si="0"/>
      </c>
      <c r="M43" s="177">
        <f t="shared" si="2"/>
      </c>
      <c r="N43" s="176"/>
      <c r="O43" s="176">
        <f>SUM(O39:O41)</f>
      </c>
      <c r="P43" s="175"/>
      <c r="Q43" s="175">
        <f>SUM(Q39:Q41)</f>
      </c>
      <c r="R43" s="175">
        <f>SUM(R39:R41)</f>
      </c>
      <c r="S43" s="175">
        <f>SUM(S39:S41)</f>
      </c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66"/>
      <c r="EB43" s="166"/>
      <c r="EC43" s="166"/>
      <c r="ED43" s="166"/>
      <c r="EE43" s="166"/>
      <c r="EF43" s="166"/>
      <c r="EG43" s="166"/>
      <c r="EH43" s="166"/>
      <c r="EI43" s="166"/>
      <c r="EJ43" s="166"/>
      <c r="EK43" s="166"/>
      <c r="EL43" s="166"/>
      <c r="EM43" s="166"/>
      <c r="EN43" s="166"/>
      <c r="EO43" s="166"/>
      <c r="EP43" s="166"/>
      <c r="EQ43" s="166"/>
      <c r="ER43" s="166"/>
      <c r="ES43" s="166"/>
      <c r="ET43" s="166"/>
      <c r="EU43" s="166"/>
      <c r="EV43" s="166"/>
      <c r="EW43" s="166"/>
      <c r="EX43" s="166"/>
      <c r="EY43" s="166"/>
      <c r="EZ43" s="166"/>
      <c r="FA43" s="166"/>
      <c r="FB43" s="166"/>
      <c r="FC43" s="166"/>
      <c r="FD43" s="166"/>
      <c r="FE43" s="166"/>
      <c r="FF43" s="166"/>
      <c r="FG43" s="166"/>
      <c r="FH43" s="166"/>
      <c r="FI43" s="166"/>
      <c r="FJ43" s="166"/>
      <c r="FK43" s="166"/>
      <c r="FL43" s="166"/>
      <c r="FM43" s="166"/>
      <c r="FN43" s="166"/>
      <c r="FO43" s="166"/>
      <c r="FP43" s="166"/>
      <c r="FQ43" s="166"/>
      <c r="FR43" s="166"/>
      <c r="FS43" s="166"/>
      <c r="FT43" s="166"/>
      <c r="FU43" s="166"/>
      <c r="FV43" s="166"/>
      <c r="FW43" s="166"/>
      <c r="FX43" s="166"/>
      <c r="FY43" s="166"/>
      <c r="FZ43" s="166"/>
      <c r="GA43" s="166"/>
      <c r="GB43" s="166"/>
      <c r="GC43" s="166"/>
      <c r="GD43" s="166"/>
      <c r="GE43" s="166"/>
    </row>
    <row r="44">
      <c r="A44" s="135" t="s">
        <v>271</v>
      </c>
      <c r="B44" s="136" t="s">
        <v>255</v>
      </c>
      <c r="C44" s="137" t="s">
        <v>236</v>
      </c>
      <c r="D44" s="147">
        <v>5</v>
      </c>
      <c r="E44" s="136">
        <v>54</v>
      </c>
      <c r="F44" s="136">
        <v>36</v>
      </c>
      <c r="G44" s="136">
        <v>36</v>
      </c>
      <c r="H44" s="135">
        <v>2</v>
      </c>
      <c r="I44" s="148">
        <v>15858.2</v>
      </c>
      <c r="J44" s="148">
        <v>7662.459999999999</v>
      </c>
      <c r="K44" s="140">
        <f t="shared" si="1"/>
      </c>
      <c r="L44" s="140">
        <f t="shared" si="0"/>
      </c>
      <c r="M44" s="140">
        <f t="shared" si="2"/>
      </c>
      <c r="N44" s="149"/>
      <c r="O44" s="149"/>
    </row>
    <row r="45">
      <c r="A45" s="135" t="s">
        <v>271</v>
      </c>
      <c r="B45" s="137" t="s">
        <v>235</v>
      </c>
      <c r="C45" s="137" t="s">
        <v>260</v>
      </c>
      <c r="D45" s="147">
        <v>4</v>
      </c>
      <c r="E45" s="136">
        <v>30</v>
      </c>
      <c r="F45" s="136">
        <v>17</v>
      </c>
      <c r="G45" s="136">
        <v>17</v>
      </c>
      <c r="H45" s="135">
        <v>0</v>
      </c>
      <c r="I45" s="148">
        <v>7827.799999999999</v>
      </c>
      <c r="J45" s="148">
        <v>5290.870000000001</v>
      </c>
      <c r="K45" s="140">
        <f t="shared" si="1"/>
      </c>
      <c r="L45" s="140">
        <f t="shared" si="0"/>
      </c>
      <c r="M45" s="140">
        <f t="shared" si="2"/>
      </c>
      <c r="N45" s="149"/>
      <c r="O45" s="149"/>
    </row>
    <row r="46">
      <c r="A46" s="135" t="s">
        <v>271</v>
      </c>
      <c r="B46" s="136" t="s">
        <v>264</v>
      </c>
      <c r="C46" s="137" t="s">
        <v>262</v>
      </c>
      <c r="D46" s="147">
        <v>2</v>
      </c>
      <c r="E46" s="136">
        <v>16</v>
      </c>
      <c r="F46" s="136">
        <v>9</v>
      </c>
      <c r="G46" s="136">
        <v>9</v>
      </c>
      <c r="H46" s="135">
        <v>1</v>
      </c>
      <c r="I46" s="148">
        <v>4074</v>
      </c>
      <c r="J46" s="148">
        <v>2710.34</v>
      </c>
      <c r="K46" s="140">
        <f t="shared" si="1"/>
      </c>
      <c r="L46" s="140">
        <f t="shared" si="0"/>
      </c>
      <c r="M46" s="159">
        <f t="shared" si="2"/>
      </c>
      <c r="N46" s="137" t="s">
        <v>238</v>
      </c>
      <c r="O46" s="180">
        <v>10</v>
      </c>
    </row>
    <row r="47">
      <c r="A47" s="150" t="s">
        <v>271</v>
      </c>
      <c r="B47" s="149" t="s">
        <v>230</v>
      </c>
      <c r="C47" s="155" t="s">
        <v>268</v>
      </c>
      <c r="D47" s="181">
        <v>4</v>
      </c>
      <c r="E47" s="149">
        <v>12</v>
      </c>
      <c r="F47" s="149">
        <v>7</v>
      </c>
      <c r="G47" s="149">
        <v>7</v>
      </c>
      <c r="H47" s="150">
        <v>0</v>
      </c>
      <c r="I47" s="148">
        <v>3024</v>
      </c>
      <c r="J47" s="148">
        <v>4038.72</v>
      </c>
      <c r="K47" s="182">
        <f t="shared" si="1"/>
      </c>
      <c r="L47" s="182">
        <f t="shared" si="0"/>
      </c>
      <c r="M47" s="183">
        <f t="shared" si="2"/>
      </c>
      <c r="N47" s="136" t="s">
        <v>272</v>
      </c>
      <c r="O47" s="184">
        <v>9</v>
      </c>
    </row>
    <row r="48">
      <c r="A48" s="136" t="s">
        <v>271</v>
      </c>
      <c r="B48" s="137" t="s">
        <v>267</v>
      </c>
      <c r="C48" s="136" t="s">
        <v>273</v>
      </c>
      <c r="D48" s="185">
        <v>4</v>
      </c>
      <c r="E48" s="136">
        <v>48</v>
      </c>
      <c r="F48" s="136">
        <v>30</v>
      </c>
      <c r="G48" s="136">
        <v>30</v>
      </c>
      <c r="H48" s="136">
        <v>2</v>
      </c>
      <c r="I48" s="148">
        <v>13363.400000000001</v>
      </c>
      <c r="J48" s="148">
        <v>5808.849999999999</v>
      </c>
      <c r="K48" s="141">
        <f t="shared" si="1"/>
      </c>
      <c r="L48" s="141">
        <f t="shared" si="0"/>
      </c>
      <c r="M48" s="141">
        <f t="shared" si="2"/>
      </c>
      <c r="N48" s="186"/>
      <c r="O48" s="157"/>
      <c r="P48" s="187"/>
    </row>
    <row r="49">
      <c r="A49" s="188" t="s">
        <v>271</v>
      </c>
      <c r="B49" s="189"/>
      <c r="C49" s="189"/>
      <c r="D49" s="189">
        <f>SUM(D44:D48)</f>
      </c>
      <c r="E49" s="189">
        <f>SUM(E44:E48)</f>
      </c>
      <c r="F49" s="189">
        <f>SUM(F44:F48)</f>
      </c>
      <c r="G49" s="189">
        <f>SUM(G44:G48)</f>
      </c>
      <c r="H49" s="189">
        <f>SUM(H44:H48)</f>
      </c>
      <c r="I49" s="189">
        <f>SUM(I44:I48)</f>
      </c>
      <c r="J49" s="189">
        <f>SUM(J44:J48)</f>
      </c>
      <c r="K49" s="190">
        <f t="shared" si="1"/>
      </c>
      <c r="L49" s="190">
        <f t="shared" si="0"/>
      </c>
      <c r="M49" s="190">
        <f t="shared" si="2"/>
      </c>
      <c r="N49" s="189"/>
      <c r="O49" s="189">
        <f>SUM(O45:O47)</f>
      </c>
      <c r="P49" s="187"/>
    </row>
    <row r="50">
      <c r="A50" s="135" t="s">
        <v>274</v>
      </c>
      <c r="B50" s="136" t="s">
        <v>255</v>
      </c>
      <c r="C50" s="137" t="s">
        <v>236</v>
      </c>
      <c r="D50" s="147">
        <v>5</v>
      </c>
      <c r="E50" s="136">
        <v>41</v>
      </c>
      <c r="F50" s="136">
        <v>31</v>
      </c>
      <c r="G50" s="136">
        <v>31</v>
      </c>
      <c r="H50" s="135">
        <v>0</v>
      </c>
      <c r="I50" s="148">
        <v>14101.6</v>
      </c>
      <c r="J50" s="148">
        <v>6978.3099999999995</v>
      </c>
      <c r="K50" s="140">
        <f t="shared" si="1"/>
      </c>
      <c r="L50" s="140">
        <f t="shared" si="0"/>
      </c>
      <c r="M50" s="140">
        <f t="shared" si="2"/>
      </c>
      <c r="N50" s="149"/>
      <c r="O50" s="149"/>
    </row>
    <row r="51">
      <c r="A51" s="135" t="s">
        <v>274</v>
      </c>
      <c r="B51" s="137" t="s">
        <v>261</v>
      </c>
      <c r="C51" s="137" t="s">
        <v>275</v>
      </c>
      <c r="D51" s="147">
        <v>2</v>
      </c>
      <c r="E51" s="136">
        <v>11</v>
      </c>
      <c r="F51" s="136">
        <v>8</v>
      </c>
      <c r="G51" s="136">
        <v>8</v>
      </c>
      <c r="H51" s="135">
        <v>0</v>
      </c>
      <c r="I51" s="148">
        <v>3771.6000000000004</v>
      </c>
      <c r="J51" s="148">
        <v>2888.09</v>
      </c>
      <c r="K51" s="140">
        <f t="shared" si="1"/>
      </c>
      <c r="L51" s="140">
        <f t="shared" si="0"/>
      </c>
      <c r="M51" s="140">
        <f t="shared" si="2"/>
      </c>
      <c r="N51" s="149"/>
      <c r="O51" s="149"/>
    </row>
    <row r="52">
      <c r="A52" s="135" t="s">
        <v>274</v>
      </c>
      <c r="B52" s="136" t="s">
        <v>264</v>
      </c>
      <c r="C52" s="137" t="s">
        <v>276</v>
      </c>
      <c r="D52" s="147">
        <v>2</v>
      </c>
      <c r="E52" s="136">
        <v>8</v>
      </c>
      <c r="F52" s="136">
        <v>5</v>
      </c>
      <c r="G52" s="136">
        <v>5</v>
      </c>
      <c r="H52" s="135">
        <v>0</v>
      </c>
      <c r="I52" s="148">
        <v>2335.2000000000007</v>
      </c>
      <c r="J52" s="148">
        <v>1783.43</v>
      </c>
      <c r="K52" s="140">
        <f t="shared" si="1"/>
      </c>
      <c r="L52" s="140">
        <f t="shared" si="0"/>
      </c>
      <c r="M52" s="159">
        <f t="shared" si="2"/>
      </c>
      <c r="N52" s="137" t="s">
        <v>238</v>
      </c>
      <c r="O52" s="180">
        <v>10</v>
      </c>
    </row>
    <row customHeight="true" ht="16.071428571428573" r="53">
      <c r="A53" s="135" t="s">
        <v>274</v>
      </c>
      <c r="B53" s="136" t="s">
        <v>235</v>
      </c>
      <c r="C53" s="137" t="s">
        <v>277</v>
      </c>
      <c r="D53" s="158">
        <f>4-0.5</f>
      </c>
      <c r="E53" s="136">
        <v>40</v>
      </c>
      <c r="F53" s="136">
        <v>23</v>
      </c>
      <c r="G53" s="136">
        <v>23</v>
      </c>
      <c r="H53" s="135">
        <v>1</v>
      </c>
      <c r="I53" s="148">
        <v>10424.399999999998</v>
      </c>
      <c r="J53" s="148">
        <v>5140.87</v>
      </c>
      <c r="K53" s="140">
        <f t="shared" si="1"/>
      </c>
      <c r="L53" s="140">
        <f t="shared" si="0"/>
      </c>
      <c r="M53" s="159">
        <f t="shared" si="2"/>
      </c>
      <c r="N53" s="137"/>
      <c r="O53" s="180"/>
    </row>
    <row r="54">
      <c r="A54" s="135" t="s">
        <v>274</v>
      </c>
      <c r="B54" s="149" t="s">
        <v>267</v>
      </c>
      <c r="C54" s="155" t="s">
        <v>278</v>
      </c>
      <c r="D54" s="181">
        <v>2</v>
      </c>
      <c r="E54" s="149">
        <v>8</v>
      </c>
      <c r="F54" s="149">
        <v>3</v>
      </c>
      <c r="G54" s="149">
        <v>3</v>
      </c>
      <c r="H54" s="150">
        <v>0</v>
      </c>
      <c r="I54" s="148">
        <v>1436.4000000000015</v>
      </c>
      <c r="J54" s="148">
        <v>1944.03</v>
      </c>
      <c r="K54" s="182">
        <f t="shared" si="1"/>
      </c>
      <c r="L54" s="182">
        <f t="shared" si="0"/>
      </c>
      <c r="M54" s="183">
        <f t="shared" si="2"/>
      </c>
      <c r="N54" s="136" t="s">
        <v>272</v>
      </c>
      <c r="O54" s="184">
        <v>9</v>
      </c>
    </row>
    <row r="55">
      <c r="A55" s="135" t="s">
        <v>274</v>
      </c>
      <c r="B55" s="149" t="s">
        <v>230</v>
      </c>
      <c r="C55" s="136" t="s">
        <v>273</v>
      </c>
      <c r="D55" s="191">
        <f>4-0.5</f>
      </c>
      <c r="E55" s="136">
        <v>21</v>
      </c>
      <c r="F55" s="136">
        <v>14</v>
      </c>
      <c r="G55" s="136">
        <v>14</v>
      </c>
      <c r="H55" s="136">
        <v>2</v>
      </c>
      <c r="I55" s="148">
        <v>6270.100000000002</v>
      </c>
      <c r="J55" s="148">
        <v>4704.74</v>
      </c>
      <c r="K55" s="141">
        <f t="shared" si="1"/>
      </c>
      <c r="L55" s="141">
        <f t="shared" si="0"/>
      </c>
      <c r="M55" s="141">
        <f t="shared" si="2"/>
      </c>
      <c r="N55" s="186"/>
      <c r="O55" s="157"/>
    </row>
    <row r="56">
      <c r="A56" s="188" t="s">
        <v>274</v>
      </c>
      <c r="B56" s="189"/>
      <c r="C56" s="189"/>
      <c r="D56" s="189">
        <f>SUM(D50:D55)</f>
      </c>
      <c r="E56" s="189">
        <f>SUM(E50:E55)</f>
      </c>
      <c r="F56" s="189">
        <f>SUM(F50:F55)</f>
      </c>
      <c r="G56" s="189">
        <f>SUM(G50:G55)</f>
      </c>
      <c r="H56" s="189">
        <f>SUM(H50:H55)</f>
      </c>
      <c r="I56" s="189">
        <f>SUM(I50:I55)</f>
      </c>
      <c r="J56" s="189">
        <f>SUM(J50:J55)</f>
      </c>
      <c r="K56" s="190">
        <f t="shared" si="1"/>
      </c>
      <c r="L56" s="190">
        <f t="shared" si="0"/>
      </c>
      <c r="M56" s="190">
        <f t="shared" si="2"/>
      </c>
      <c r="N56" s="189"/>
      <c r="O56" s="189">
        <f>SUM(O51:O54)</f>
      </c>
    </row>
    <row r="57">
      <c r="J57" s="192">
        <v>234048.67</v>
      </c>
    </row>
    <row r="58">
      <c r="J58">
        <v>234655.96999999997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N98" s="193" t="s">
        <v>214</v>
      </c>
      <c r="O98" s="193" t="s">
        <v>279</v>
      </c>
      <c r="P98" s="193" t="s">
        <v>280</v>
      </c>
      <c r="Q98" s="193" t="s">
        <v>281</v>
      </c>
      <c r="R98" s="193" t="s">
        <v>282</v>
      </c>
    </row>
    <row r="99">
      <c r="N99">
        <f>D3+D8+D13+D18+D22+D27+D31</f>
      </c>
      <c r="O99">
        <f>F3+F8+F13+F18+F22+F27+F31</f>
      </c>
      <c r="P99">
        <f>H3+H8+H13+H18+H22+H27+H31</f>
      </c>
      <c r="Q99">
        <f>I3+I8+I13+I18+I22+I27+I31</f>
      </c>
      <c r="R99">
        <f>J3+J8+J13+J18+J22+J27+J31</f>
      </c>
    </row>
    <row r="100">
      <c r="N100" s="194" t="s">
        <v>211</v>
      </c>
      <c r="O100" s="194" t="s">
        <v>213</v>
      </c>
      <c r="P100" s="193" t="s">
        <v>214</v>
      </c>
      <c r="Q100" s="193" t="s">
        <v>217</v>
      </c>
      <c r="R100" s="193" t="s">
        <v>283</v>
      </c>
      <c r="S100" s="193" t="s">
        <v>219</v>
      </c>
      <c r="T100" s="193" t="s">
        <v>220</v>
      </c>
    </row>
    <row r="101">
      <c r="N101" t="s">
        <v>229</v>
      </c>
      <c r="O101" t="s">
        <v>231</v>
      </c>
      <c r="P101">
        <v>5</v>
      </c>
      <c r="Q101">
        <v>33</v>
      </c>
      <c r="R101">
        <v>3</v>
      </c>
      <c r="S101">
        <v>14984.6</v>
      </c>
      <c r="T101">
        <v>8054.69</v>
      </c>
    </row>
    <row r="102">
      <c r="N102" t="s">
        <v>234</v>
      </c>
      <c r="O102" s="195" t="s">
        <v>284</v>
      </c>
      <c r="P102">
        <v>20</v>
      </c>
      <c r="Q102">
        <v>67</v>
      </c>
      <c r="R102">
        <v>5</v>
      </c>
      <c r="S102">
        <v>30265.9</v>
      </c>
      <c r="T102">
        <v>27567.25</v>
      </c>
    </row>
    <row r="103">
      <c r="N103" t="s">
        <v>244</v>
      </c>
      <c r="O103" t="s">
        <v>284</v>
      </c>
      <c r="P103">
        <v>20</v>
      </c>
      <c r="Q103">
        <v>66</v>
      </c>
      <c r="R103">
        <v>4</v>
      </c>
      <c r="S103">
        <v>29528.7</v>
      </c>
      <c r="T103">
        <v>25605.62</v>
      </c>
    </row>
    <row r="104">
      <c r="N104" t="s">
        <v>246</v>
      </c>
      <c r="O104" t="s">
        <v>284</v>
      </c>
      <c r="P104">
        <v>20</v>
      </c>
      <c r="Q104">
        <v>63</v>
      </c>
      <c r="R104">
        <v>3</v>
      </c>
      <c r="S104">
        <v>28173.6</v>
      </c>
      <c r="T104">
        <v>27895.13</v>
      </c>
    </row>
    <row r="105">
      <c r="E105" s="194" t="s">
        <v>211</v>
      </c>
      <c r="F105" s="193" t="s">
        <v>213</v>
      </c>
      <c r="G105" s="194" t="s">
        <v>214</v>
      </c>
      <c r="H105" s="194" t="s">
        <v>217</v>
      </c>
      <c r="I105" s="194" t="s">
        <v>218</v>
      </c>
      <c r="J105" s="194" t="s">
        <v>219</v>
      </c>
      <c r="K105" s="194" t="s">
        <v>220</v>
      </c>
      <c r="N105" t="s">
        <v>247</v>
      </c>
      <c r="O105" s="195" t="s">
        <v>285</v>
      </c>
      <c r="P105">
        <v>15</v>
      </c>
      <c r="Q105">
        <v>49</v>
      </c>
      <c r="R105">
        <v>3</v>
      </c>
      <c r="S105">
        <v>22035.9</v>
      </c>
      <c r="T105">
        <v>18063.510000000002</v>
      </c>
    </row>
    <row r="106">
      <c r="E106" t="s">
        <v>234</v>
      </c>
      <c r="F106" t="s">
        <v>243</v>
      </c>
      <c r="G106">
        <v>5</v>
      </c>
      <c r="H106">
        <v>18</v>
      </c>
      <c r="I106">
        <v>2</v>
      </c>
      <c r="J106">
        <v>8050.9000000000015</v>
      </c>
      <c r="K106">
        <v>7590</v>
      </c>
      <c r="N106" t="s">
        <v>252</v>
      </c>
      <c r="O106" s="149" t="s">
        <v>286</v>
      </c>
      <c r="P106">
        <v>16.5</v>
      </c>
      <c r="Q106">
        <v>40</v>
      </c>
      <c r="R106">
        <v>2</v>
      </c>
      <c r="S106">
        <v>18490.1</v>
      </c>
      <c r="T106">
        <v>21072.33</v>
      </c>
    </row>
    <row r="107">
      <c r="E107" t="s">
        <v>244</v>
      </c>
      <c r="F107" t="s">
        <v>240</v>
      </c>
      <c r="G107">
        <v>5</v>
      </c>
      <c r="H107">
        <v>14</v>
      </c>
      <c r="I107">
        <v>1</v>
      </c>
      <c r="J107">
        <v>6316.799999999999</v>
      </c>
      <c r="K107">
        <v>5977.9800000000005</v>
      </c>
      <c r="N107" t="s">
        <v>256</v>
      </c>
      <c r="O107" s="195" t="s">
        <v>287</v>
      </c>
      <c r="P107">
        <v>13</v>
      </c>
      <c r="Q107">
        <v>44</v>
      </c>
      <c r="R107">
        <v>4</v>
      </c>
      <c r="S107">
        <v>19919.1</v>
      </c>
      <c r="T107">
        <v>16711.260000000002</v>
      </c>
    </row>
    <row r="108">
      <c r="E108" t="s">
        <v>246</v>
      </c>
      <c r="F108" t="s">
        <v>240</v>
      </c>
      <c r="G108">
        <v>5</v>
      </c>
      <c r="H108">
        <v>20</v>
      </c>
      <c r="I108">
        <v>2</v>
      </c>
      <c r="J108">
        <v>8895.6</v>
      </c>
      <c r="K108">
        <v>6399.08</v>
      </c>
    </row>
    <row r="109">
      <c r="E109" t="s">
        <v>247</v>
      </c>
      <c r="F109" t="s">
        <v>251</v>
      </c>
      <c r="G109">
        <v>5</v>
      </c>
      <c r="H109">
        <v>22</v>
      </c>
      <c r="I109">
        <v>2</v>
      </c>
      <c r="J109">
        <v>9914.7</v>
      </c>
      <c r="K109">
        <v>7987.82</v>
      </c>
      <c r="N109" s="193" t="s">
        <v>212</v>
      </c>
      <c r="O109" s="193" t="s">
        <v>214</v>
      </c>
      <c r="P109" s="193" t="s">
        <v>221</v>
      </c>
      <c r="Q109" s="193" t="s">
        <v>281</v>
      </c>
      <c r="R109" s="193" t="s">
        <v>288</v>
      </c>
      <c r="S109" s="193" t="s">
        <v>279</v>
      </c>
      <c r="T109" s="193" t="s">
        <v>218</v>
      </c>
    </row>
    <row r="110">
      <c r="E110" t="s">
        <v>252</v>
      </c>
      <c r="F110" t="s">
        <v>243</v>
      </c>
      <c r="G110">
        <v>5</v>
      </c>
      <c r="H110">
        <v>16</v>
      </c>
      <c r="I110">
        <v>0</v>
      </c>
      <c r="J110">
        <v>7543.199999999999</v>
      </c>
      <c r="K110">
        <v>6498.08</v>
      </c>
      <c r="O110">
        <f>D25+D28</f>
      </c>
      <c r="Q110">
        <f>I25+I28</f>
      </c>
      <c r="R110">
        <f>J25+J28</f>
      </c>
      <c r="S110">
        <f>G25+G28</f>
      </c>
      <c r="T110">
        <f>H25+H28</f>
      </c>
    </row>
    <row r="111">
      <c r="E111" t="s">
        <v>256</v>
      </c>
      <c r="F111" t="s">
        <v>249</v>
      </c>
      <c r="G111">
        <v>5</v>
      </c>
      <c r="H111">
        <v>13</v>
      </c>
      <c r="I111">
        <v>0</v>
      </c>
      <c r="J111">
        <v>5871.6</v>
      </c>
      <c r="K111">
        <v>6416.53</v>
      </c>
      <c r="O111">
        <f>D6+D12+D17+D20+D24+D30</f>
      </c>
      <c r="Q111">
        <f>I6+I12+I17+I20+I24+I30</f>
      </c>
      <c r="R111">
        <f>J6+J12+J17+J20+J24+J30</f>
      </c>
      <c r="S111">
        <f>G6+G12+G17+G20+G24+G30</f>
      </c>
      <c r="T111">
        <f>H6+H12+H17+H20+H24+H30</f>
      </c>
    </row>
    <row r="112">
      <c r="O112">
        <f>D4+D10+D15+D19+D23</f>
      </c>
      <c r="Q112">
        <f>I4+I10+I15+I19+I23</f>
      </c>
      <c r="R112">
        <f>J4+J10+J15+J19+J23</f>
      </c>
      <c r="S112">
        <f>G4+G10+G15+G19+G23</f>
      </c>
      <c r="T112">
        <f>H4+H10+H15+H19+H23</f>
      </c>
    </row>
    <row r="113">
      <c r="O113">
        <f>D2+D5+D9+D14</f>
      </c>
      <c r="Q113">
        <f>I2+I5+I9+I14</f>
      </c>
      <c r="R113">
        <f>J2+J5+J9+J14</f>
      </c>
      <c r="S113">
        <f>G2+G5+G9+G14</f>
      </c>
      <c r="T113">
        <f>H2+H5+H9+H14</f>
      </c>
    </row>
    <row r="114">
      <c r="O114">
        <f>D7+D11+D16+D21+D26+D29</f>
      </c>
      <c r="Q114">
        <f>I7+I11+I16+I21+I26+I29</f>
      </c>
      <c r="R114">
        <f>J7+J11+J16+J21+J26+J29</f>
      </c>
      <c r="S114">
        <f>G7+G11+G16+G21+G26+G29</f>
      </c>
      <c r="T114">
        <f>H7+H11+H16+H21+H26+H29</f>
      </c>
    </row>
  </sheetData>
  <autoFilter ref="A1:S58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4" min="4" style="0" width="12.64480633802817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2.64480633802817"/>
  </cols>
  <sheetData>
    <row r="1">
      <c r="A1" s="196" t="s">
        <v>289</v>
      </c>
      <c r="B1" s="196" t="s">
        <v>290</v>
      </c>
      <c r="C1" s="196" t="s">
        <v>291</v>
      </c>
      <c r="D1" s="196" t="s">
        <v>292</v>
      </c>
      <c r="E1" s="196" t="s">
        <v>293</v>
      </c>
      <c r="F1" s="196" t="s">
        <v>294</v>
      </c>
      <c r="G1" s="196" t="s">
        <v>295</v>
      </c>
      <c r="H1" s="196" t="s">
        <v>296</v>
      </c>
      <c r="I1" s="196" t="s">
        <v>297</v>
      </c>
      <c r="J1" s="197" t="s">
        <v>298</v>
      </c>
      <c r="K1" s="198" t="s">
        <v>299</v>
      </c>
      <c r="L1" s="199" t="s">
        <v>300</v>
      </c>
      <c r="M1" s="199" t="s">
        <v>301</v>
      </c>
      <c r="N1" s="199" t="s">
        <v>302</v>
      </c>
      <c r="O1" s="200" t="s">
        <v>303</v>
      </c>
    </row>
    <row r="2">
      <c r="A2" s="201" t="s">
        <v>304</v>
      </c>
      <c r="B2" s="202" t="s">
        <v>305</v>
      </c>
      <c r="C2" s="203" t="s">
        <v>306</v>
      </c>
      <c r="D2" s="204">
        <v>5</v>
      </c>
      <c r="E2" s="202">
        <v>50</v>
      </c>
      <c r="F2" s="202">
        <v>26</v>
      </c>
      <c r="G2" s="202">
        <v>26</v>
      </c>
      <c r="H2" s="201">
        <v>3</v>
      </c>
      <c r="I2" s="205">
        <v>11909.2</v>
      </c>
      <c r="J2" s="205">
        <v>5725.43</v>
      </c>
      <c r="K2" s="206">
        <f t="shared" ref="K2:K179" si="6">I2/J2</f>
      </c>
      <c r="L2" s="206">
        <f t="shared" ref="L2:L179" si="8">I2/G2</f>
      </c>
      <c r="M2" s="206">
        <f t="shared" ref="M2:M179" si="0">J2/G2</f>
      </c>
      <c r="N2" s="207"/>
      <c r="O2" s="208"/>
    </row>
    <row r="3">
      <c r="A3" s="209" t="s">
        <v>304</v>
      </c>
      <c r="B3" s="208" t="s">
        <v>307</v>
      </c>
      <c r="C3" s="203" t="s">
        <v>308</v>
      </c>
      <c r="D3" s="204">
        <v>2</v>
      </c>
      <c r="E3" s="202">
        <v>7</v>
      </c>
      <c r="F3" s="202">
        <v>4</v>
      </c>
      <c r="G3" s="202">
        <v>4</v>
      </c>
      <c r="H3" s="201">
        <v>0</v>
      </c>
      <c r="I3" s="205">
        <v>1797.5999999999985</v>
      </c>
      <c r="J3" s="205">
        <v>2442.69</v>
      </c>
      <c r="K3" s="206">
        <f t="shared" si="6"/>
      </c>
      <c r="L3" s="206">
        <f t="shared" si="8"/>
      </c>
      <c r="M3" s="206">
        <f t="shared" si="0"/>
      </c>
      <c r="N3" s="208"/>
      <c r="O3" s="208"/>
    </row>
    <row r="4">
      <c r="A4" s="202" t="s">
        <v>304</v>
      </c>
      <c r="B4" s="210" t="s">
        <v>309</v>
      </c>
      <c r="C4" s="211" t="s">
        <v>310</v>
      </c>
      <c r="D4" s="204">
        <v>2</v>
      </c>
      <c r="E4" s="202">
        <v>6</v>
      </c>
      <c r="F4" s="202">
        <v>4</v>
      </c>
      <c r="G4" s="202">
        <v>4</v>
      </c>
      <c r="H4" s="201">
        <v>0</v>
      </c>
      <c r="I4" s="205">
        <v>1856.4000000000015</v>
      </c>
      <c r="J4" s="205">
        <v>2115.3</v>
      </c>
      <c r="K4" s="206">
        <f t="shared" si="6"/>
      </c>
      <c r="L4" s="206">
        <f t="shared" si="8"/>
      </c>
      <c r="M4" s="212">
        <f t="shared" si="0"/>
      </c>
      <c r="N4" s="203" t="s">
        <v>311</v>
      </c>
      <c r="O4" s="213">
        <v>10</v>
      </c>
    </row>
    <row r="5">
      <c r="A5" s="202" t="s">
        <v>304</v>
      </c>
      <c r="B5" s="202" t="s">
        <v>312</v>
      </c>
      <c r="C5" s="211" t="s">
        <v>313</v>
      </c>
      <c r="D5" s="204">
        <v>4</v>
      </c>
      <c r="E5" s="202">
        <v>23</v>
      </c>
      <c r="F5" s="202">
        <v>14</v>
      </c>
      <c r="G5" s="202">
        <v>14</v>
      </c>
      <c r="H5" s="201">
        <v>2</v>
      </c>
      <c r="I5" s="205">
        <v>6468</v>
      </c>
      <c r="J5" s="205">
        <v>4740.81</v>
      </c>
      <c r="K5" s="206">
        <f t="shared" si="6"/>
      </c>
      <c r="L5" s="206">
        <f t="shared" si="8"/>
      </c>
      <c r="M5" s="212">
        <f t="shared" si="0"/>
      </c>
      <c r="N5" s="203"/>
      <c r="O5" s="213"/>
    </row>
    <row r="6">
      <c r="A6" s="202" t="s">
        <v>304</v>
      </c>
      <c r="B6" s="210" t="s">
        <v>314</v>
      </c>
      <c r="C6" s="214" t="s">
        <v>315</v>
      </c>
      <c r="D6" s="215">
        <v>2</v>
      </c>
      <c r="E6" s="208">
        <v>4</v>
      </c>
      <c r="F6" s="208">
        <v>4</v>
      </c>
      <c r="G6" s="208">
        <v>4</v>
      </c>
      <c r="H6" s="209">
        <v>0</v>
      </c>
      <c r="I6" s="205">
        <v>1818.0999999999985</v>
      </c>
      <c r="J6" s="205">
        <v>2279.55</v>
      </c>
      <c r="K6" s="205">
        <f t="shared" si="6"/>
      </c>
      <c r="L6" s="216">
        <f t="shared" si="8"/>
      </c>
      <c r="M6" s="217">
        <f t="shared" si="0"/>
      </c>
      <c r="N6" s="202" t="s">
        <v>316</v>
      </c>
      <c r="O6" s="218">
        <v>9</v>
      </c>
    </row>
    <row r="7">
      <c r="A7" s="202" t="s">
        <v>304</v>
      </c>
      <c r="B7" s="202" t="s">
        <v>317</v>
      </c>
      <c r="C7" s="219" t="s">
        <v>318</v>
      </c>
      <c r="D7" s="220">
        <v>4</v>
      </c>
      <c r="E7" s="202">
        <v>20</v>
      </c>
      <c r="F7" s="202">
        <v>11</v>
      </c>
      <c r="G7" s="202">
        <v>11</v>
      </c>
      <c r="H7" s="202">
        <v>1</v>
      </c>
      <c r="I7" s="205">
        <v>4914</v>
      </c>
      <c r="J7" s="205">
        <v>5324.32</v>
      </c>
      <c r="K7" s="221">
        <f t="shared" si="6"/>
      </c>
      <c r="L7" s="221">
        <f t="shared" si="8"/>
      </c>
      <c r="M7" s="221">
        <f t="shared" si="0"/>
      </c>
      <c r="N7" s="222"/>
      <c r="O7" s="223"/>
    </row>
    <row r="8">
      <c r="A8" s="224" t="s">
        <v>304</v>
      </c>
      <c r="B8" s="225"/>
      <c r="C8" s="226"/>
      <c r="D8" s="226">
        <f>SUM(D2:D7)</f>
      </c>
      <c r="E8" s="226">
        <f>SUM(E2:E7)</f>
      </c>
      <c r="F8" s="226">
        <f>SUM(F2:F7)</f>
      </c>
      <c r="G8" s="226">
        <f>SUM(G2:G7)</f>
      </c>
      <c r="H8" s="226">
        <f>SUM(H2:H7)</f>
      </c>
      <c r="I8" s="226">
        <f>SUM(I2:I7)</f>
      </c>
      <c r="J8" s="226">
        <f>SUM(J2:J7)</f>
      </c>
      <c r="K8" s="227">
        <f t="shared" si="6"/>
      </c>
      <c r="L8" s="227">
        <f t="shared" si="8"/>
      </c>
      <c r="M8" s="227">
        <f t="shared" si="0"/>
      </c>
      <c r="N8" s="226"/>
      <c r="O8" s="226">
        <f>SUM(O3:O6)</f>
      </c>
    </row>
    <row r="9">
      <c r="A9" s="201" t="s">
        <v>319</v>
      </c>
      <c r="B9" s="202" t="s">
        <v>305</v>
      </c>
      <c r="C9" s="203" t="s">
        <v>306</v>
      </c>
      <c r="D9" s="204">
        <v>5</v>
      </c>
      <c r="E9" s="202">
        <v>34</v>
      </c>
      <c r="F9" s="202">
        <v>22</v>
      </c>
      <c r="G9" s="202">
        <v>22</v>
      </c>
      <c r="H9" s="201">
        <v>1</v>
      </c>
      <c r="I9" s="205">
        <v>10188.2</v>
      </c>
      <c r="J9" s="205">
        <v>6318.67</v>
      </c>
      <c r="K9" s="206">
        <f t="shared" si="6"/>
      </c>
      <c r="L9" s="206">
        <f t="shared" si="8"/>
      </c>
      <c r="M9" s="206">
        <f t="shared" si="0"/>
      </c>
      <c r="N9" s="208"/>
      <c r="O9" s="208"/>
    </row>
    <row r="10">
      <c r="A10" s="201" t="s">
        <v>319</v>
      </c>
      <c r="B10" s="210" t="s">
        <v>314</v>
      </c>
      <c r="C10" s="203" t="s">
        <v>308</v>
      </c>
      <c r="D10" s="204">
        <v>2</v>
      </c>
      <c r="E10" s="202">
        <v>18</v>
      </c>
      <c r="F10" s="202">
        <v>11</v>
      </c>
      <c r="G10" s="202">
        <v>11</v>
      </c>
      <c r="H10" s="201">
        <v>1</v>
      </c>
      <c r="I10" s="205">
        <v>4972.799999999999</v>
      </c>
      <c r="J10" s="205">
        <v>3311.05</v>
      </c>
      <c r="K10" s="206">
        <f t="shared" si="6"/>
      </c>
      <c r="L10" s="206">
        <f t="shared" si="8"/>
      </c>
      <c r="M10" s="206">
        <f t="shared" si="0"/>
      </c>
      <c r="N10" s="208"/>
      <c r="O10" s="208"/>
    </row>
    <row r="11">
      <c r="A11" s="201" t="s">
        <v>319</v>
      </c>
      <c r="B11" s="208" t="s">
        <v>307</v>
      </c>
      <c r="C11" s="211" t="s">
        <v>320</v>
      </c>
      <c r="D11" s="204">
        <v>3</v>
      </c>
      <c r="E11" s="202">
        <v>21</v>
      </c>
      <c r="F11" s="202">
        <v>17</v>
      </c>
      <c r="G11" s="202">
        <v>17</v>
      </c>
      <c r="H11" s="201">
        <v>2</v>
      </c>
      <c r="I11" s="205">
        <v>7450.799999999999</v>
      </c>
      <c r="J11" s="205">
        <v>4740.48</v>
      </c>
      <c r="K11" s="206">
        <f t="shared" si="6"/>
      </c>
      <c r="L11" s="206">
        <f t="shared" si="8"/>
      </c>
      <c r="M11" s="212">
        <f t="shared" si="0"/>
      </c>
      <c r="N11" s="203" t="s">
        <v>311</v>
      </c>
      <c r="O11" s="213">
        <v>10</v>
      </c>
    </row>
    <row r="12">
      <c r="A12" s="201" t="s">
        <v>319</v>
      </c>
      <c r="B12" s="202" t="s">
        <v>312</v>
      </c>
      <c r="C12" s="211" t="s">
        <v>321</v>
      </c>
      <c r="D12" s="204">
        <v>4</v>
      </c>
      <c r="E12" s="202">
        <v>18</v>
      </c>
      <c r="F12" s="202">
        <v>12</v>
      </c>
      <c r="G12" s="202">
        <v>12</v>
      </c>
      <c r="H12" s="201">
        <v>1</v>
      </c>
      <c r="I12" s="205">
        <v>5530.9000000000015</v>
      </c>
      <c r="J12" s="205">
        <v>5821.44</v>
      </c>
      <c r="K12" s="206">
        <f t="shared" si="6"/>
      </c>
      <c r="L12" s="206">
        <f t="shared" si="8"/>
      </c>
      <c r="M12" s="212">
        <f t="shared" si="0"/>
      </c>
      <c r="N12" s="203"/>
      <c r="O12" s="213"/>
    </row>
    <row r="13">
      <c r="A13" s="201" t="s">
        <v>319</v>
      </c>
      <c r="B13" s="210" t="s">
        <v>309</v>
      </c>
      <c r="C13" s="214" t="s">
        <v>322</v>
      </c>
      <c r="D13" s="215">
        <v>2</v>
      </c>
      <c r="E13" s="208">
        <v>16</v>
      </c>
      <c r="F13" s="208">
        <v>13</v>
      </c>
      <c r="G13" s="208">
        <v>13</v>
      </c>
      <c r="H13" s="209">
        <v>3</v>
      </c>
      <c r="I13" s="205">
        <v>5871.600000000002</v>
      </c>
      <c r="J13" s="205">
        <v>2531.06</v>
      </c>
      <c r="K13" s="205">
        <f t="shared" si="6"/>
      </c>
      <c r="L13" s="216">
        <f t="shared" si="8"/>
      </c>
      <c r="M13" s="217">
        <f t="shared" si="0"/>
      </c>
      <c r="N13" s="202" t="s">
        <v>323</v>
      </c>
      <c r="O13" s="218">
        <v>10</v>
      </c>
    </row>
    <row r="14">
      <c r="A14" s="201" t="s">
        <v>319</v>
      </c>
      <c r="B14" s="202" t="s">
        <v>317</v>
      </c>
      <c r="C14" s="219" t="s">
        <v>324</v>
      </c>
      <c r="D14" s="220">
        <v>4</v>
      </c>
      <c r="E14" s="202">
        <v>23</v>
      </c>
      <c r="F14" s="202">
        <v>13</v>
      </c>
      <c r="G14" s="202">
        <v>13</v>
      </c>
      <c r="H14" s="202">
        <v>1</v>
      </c>
      <c r="I14" s="205">
        <v>5989.199999999997</v>
      </c>
      <c r="J14" s="205">
        <v>4718.99</v>
      </c>
      <c r="K14" s="221">
        <f t="shared" si="6"/>
      </c>
      <c r="L14" s="221">
        <f t="shared" si="8"/>
      </c>
      <c r="M14" s="221">
        <f t="shared" si="0"/>
      </c>
      <c r="N14" s="222"/>
      <c r="O14" s="223"/>
    </row>
    <row r="15">
      <c r="A15" s="224" t="s">
        <v>319</v>
      </c>
      <c r="B15" s="225"/>
      <c r="C15" s="226"/>
      <c r="D15" s="226">
        <f>SUM(D9:D14)</f>
      </c>
      <c r="E15" s="226">
        <f>SUM(E9:E14)</f>
      </c>
      <c r="F15" s="226">
        <f>SUM(F9:F14)</f>
      </c>
      <c r="G15" s="226">
        <f>SUM(G9:G14)</f>
      </c>
      <c r="H15" s="226">
        <f>SUM(H9:H14)</f>
      </c>
      <c r="I15" s="226">
        <f>SUM(I9:I14)</f>
      </c>
      <c r="J15" s="226">
        <f>SUM(J9:J14)</f>
      </c>
      <c r="K15" s="227">
        <f t="shared" si="6"/>
      </c>
      <c r="L15" s="227">
        <f t="shared" si="8"/>
      </c>
      <c r="M15" s="227">
        <f t="shared" si="0"/>
      </c>
      <c r="N15" s="226"/>
      <c r="O15" s="226">
        <f>SUM(O10:O13)</f>
      </c>
    </row>
    <row r="16">
      <c r="A16" s="201" t="s">
        <v>325</v>
      </c>
      <c r="B16" s="202" t="s">
        <v>305</v>
      </c>
      <c r="C16" s="203" t="s">
        <v>306</v>
      </c>
      <c r="D16" s="204">
        <v>5</v>
      </c>
      <c r="E16" s="202">
        <v>16</v>
      </c>
      <c r="F16" s="202">
        <v>13</v>
      </c>
      <c r="G16" s="202">
        <v>13</v>
      </c>
      <c r="H16" s="201">
        <v>1</v>
      </c>
      <c r="I16" s="205">
        <v>5892.1</v>
      </c>
      <c r="J16" s="205">
        <v>5305.360000000001</v>
      </c>
      <c r="K16" s="206">
        <f t="shared" si="6"/>
      </c>
      <c r="L16" s="206">
        <f t="shared" si="8"/>
      </c>
      <c r="M16" s="206">
        <f t="shared" si="0"/>
      </c>
      <c r="N16" s="208"/>
      <c r="O16" s="208"/>
    </row>
    <row r="17">
      <c r="A17" s="201" t="s">
        <v>325</v>
      </c>
      <c r="B17" s="210" t="s">
        <v>309</v>
      </c>
      <c r="C17" s="203" t="s">
        <v>308</v>
      </c>
      <c r="D17" s="204">
        <v>2</v>
      </c>
      <c r="E17" s="202">
        <v>7</v>
      </c>
      <c r="F17" s="202">
        <v>5</v>
      </c>
      <c r="G17" s="202">
        <v>5</v>
      </c>
      <c r="H17" s="201">
        <v>0</v>
      </c>
      <c r="I17" s="205">
        <v>2394</v>
      </c>
      <c r="J17" s="205">
        <v>2626.51</v>
      </c>
      <c r="K17" s="206">
        <f t="shared" si="6"/>
      </c>
      <c r="L17" s="206">
        <f t="shared" si="8"/>
      </c>
      <c r="M17" s="206">
        <f t="shared" si="0"/>
      </c>
      <c r="N17" s="208"/>
      <c r="O17" s="208"/>
    </row>
    <row r="18">
      <c r="A18" s="201" t="s">
        <v>325</v>
      </c>
      <c r="B18" s="210" t="s">
        <v>314</v>
      </c>
      <c r="C18" s="211" t="s">
        <v>310</v>
      </c>
      <c r="D18" s="204">
        <v>2</v>
      </c>
      <c r="E18" s="202">
        <v>15</v>
      </c>
      <c r="F18" s="202">
        <v>13</v>
      </c>
      <c r="G18" s="202">
        <v>13</v>
      </c>
      <c r="H18" s="201">
        <v>2</v>
      </c>
      <c r="I18" s="205">
        <v>5770.799999999999</v>
      </c>
      <c r="J18" s="205">
        <v>2505.56</v>
      </c>
      <c r="K18" s="206">
        <f t="shared" si="6"/>
      </c>
      <c r="L18" s="206">
        <f t="shared" si="8"/>
      </c>
      <c r="M18" s="212">
        <f t="shared" si="0"/>
      </c>
      <c r="N18" s="203" t="s">
        <v>311</v>
      </c>
      <c r="O18" s="213">
        <v>10</v>
      </c>
    </row>
    <row r="19">
      <c r="A19" s="201" t="s">
        <v>325</v>
      </c>
      <c r="B19" s="202" t="s">
        <v>317</v>
      </c>
      <c r="C19" s="211" t="s">
        <v>313</v>
      </c>
      <c r="D19" s="204">
        <v>4</v>
      </c>
      <c r="E19" s="202">
        <v>22</v>
      </c>
      <c r="F19" s="202">
        <v>13</v>
      </c>
      <c r="G19" s="202">
        <v>13</v>
      </c>
      <c r="H19" s="201">
        <v>0</v>
      </c>
      <c r="I19" s="205">
        <v>5871.6</v>
      </c>
      <c r="J19" s="205">
        <v>4376.58</v>
      </c>
      <c r="K19" s="206">
        <f t="shared" si="6"/>
      </c>
      <c r="L19" s="206">
        <f t="shared" si="8"/>
      </c>
      <c r="M19" s="212">
        <f t="shared" si="0"/>
      </c>
      <c r="N19" s="203"/>
      <c r="O19" s="213"/>
    </row>
    <row r="20">
      <c r="A20" s="201" t="s">
        <v>325</v>
      </c>
      <c r="B20" s="208" t="s">
        <v>307</v>
      </c>
      <c r="C20" s="214" t="s">
        <v>315</v>
      </c>
      <c r="D20" s="215">
        <v>2</v>
      </c>
      <c r="E20" s="208">
        <v>8</v>
      </c>
      <c r="F20" s="208">
        <v>6</v>
      </c>
      <c r="G20" s="208">
        <v>6</v>
      </c>
      <c r="H20" s="209">
        <v>0</v>
      </c>
      <c r="I20" s="205">
        <v>2637.5999999999985</v>
      </c>
      <c r="J20" s="205">
        <v>1709.9499999999998</v>
      </c>
      <c r="K20" s="205">
        <f t="shared" si="6"/>
      </c>
      <c r="L20" s="216">
        <f t="shared" si="8"/>
      </c>
      <c r="M20" s="217">
        <f t="shared" si="0"/>
      </c>
      <c r="N20" s="202" t="s">
        <v>326</v>
      </c>
      <c r="O20" s="218">
        <v>9</v>
      </c>
    </row>
    <row r="21">
      <c r="A21" s="201" t="s">
        <v>325</v>
      </c>
      <c r="B21" s="202" t="s">
        <v>312</v>
      </c>
      <c r="C21" s="219" t="s">
        <v>318</v>
      </c>
      <c r="D21" s="220">
        <v>4</v>
      </c>
      <c r="E21" s="202">
        <v>23</v>
      </c>
      <c r="F21" s="202">
        <v>15</v>
      </c>
      <c r="G21" s="202">
        <v>15</v>
      </c>
      <c r="H21" s="202">
        <v>2</v>
      </c>
      <c r="I21" s="205">
        <v>6790.9000000000015</v>
      </c>
      <c r="J21" s="205">
        <v>5716.58</v>
      </c>
      <c r="K21" s="221">
        <f t="shared" si="6"/>
      </c>
      <c r="L21" s="221">
        <f t="shared" si="8"/>
      </c>
      <c r="M21" s="221">
        <f t="shared" si="0"/>
      </c>
      <c r="N21" s="222"/>
      <c r="O21" s="223"/>
    </row>
    <row r="22">
      <c r="A22" s="224" t="s">
        <v>325</v>
      </c>
      <c r="B22" s="225"/>
      <c r="C22" s="226"/>
      <c r="D22" s="226">
        <f>SUM(D16:D21)</f>
      </c>
      <c r="E22" s="226">
        <f>SUM(E16:E21)</f>
      </c>
      <c r="F22" s="226">
        <f>SUM(F16:F21)</f>
      </c>
      <c r="G22" s="226">
        <f>SUM(G16:G21)</f>
      </c>
      <c r="H22" s="226">
        <f>SUM(H16:H21)</f>
      </c>
      <c r="I22" s="226">
        <f>SUM(I16:I21)</f>
      </c>
      <c r="J22" s="226">
        <f>SUM(J16:J21)</f>
      </c>
      <c r="K22" s="227">
        <f t="shared" si="6"/>
      </c>
      <c r="L22" s="227">
        <f t="shared" si="8"/>
      </c>
      <c r="M22" s="227">
        <f t="shared" si="0"/>
      </c>
      <c r="N22" s="226"/>
      <c r="O22" s="226">
        <f>SUM(O17:O20)</f>
      </c>
    </row>
    <row r="23">
      <c r="A23" s="201" t="s">
        <v>327</v>
      </c>
      <c r="B23" s="202" t="s">
        <v>317</v>
      </c>
      <c r="C23" s="203" t="s">
        <v>306</v>
      </c>
      <c r="D23" s="204">
        <v>5</v>
      </c>
      <c r="E23" s="202">
        <v>23</v>
      </c>
      <c r="F23" s="202">
        <v>13</v>
      </c>
      <c r="G23" s="202">
        <v>13</v>
      </c>
      <c r="H23" s="201">
        <v>2</v>
      </c>
      <c r="I23" s="205">
        <v>6106.8</v>
      </c>
      <c r="J23" s="205">
        <v>5002.45</v>
      </c>
      <c r="K23" s="206">
        <f t="shared" si="6"/>
      </c>
      <c r="L23" s="206">
        <f t="shared" si="8"/>
      </c>
      <c r="M23" s="206">
        <f t="shared" si="0"/>
      </c>
      <c r="N23" s="208"/>
      <c r="O23" s="208"/>
    </row>
    <row r="24">
      <c r="A24" s="201" t="s">
        <v>327</v>
      </c>
      <c r="B24" s="202" t="s">
        <v>305</v>
      </c>
      <c r="C24" s="203" t="s">
        <v>328</v>
      </c>
      <c r="D24" s="204">
        <v>5</v>
      </c>
      <c r="E24" s="202">
        <v>27</v>
      </c>
      <c r="F24" s="202">
        <v>25</v>
      </c>
      <c r="G24" s="202">
        <v>25</v>
      </c>
      <c r="H24" s="201">
        <v>0</v>
      </c>
      <c r="I24" s="205">
        <v>11264.400000000001</v>
      </c>
      <c r="J24" s="205">
        <v>5530.15</v>
      </c>
      <c r="K24" s="206">
        <f t="shared" si="6"/>
      </c>
      <c r="L24" s="206">
        <f t="shared" si="8"/>
      </c>
      <c r="M24" s="206">
        <f t="shared" si="0"/>
      </c>
      <c r="N24" s="203" t="s">
        <v>311</v>
      </c>
      <c r="O24" s="213">
        <v>10</v>
      </c>
    </row>
    <row r="25">
      <c r="A25" s="201" t="s">
        <v>327</v>
      </c>
      <c r="B25" s="210" t="s">
        <v>314</v>
      </c>
      <c r="C25" s="211" t="s">
        <v>329</v>
      </c>
      <c r="D25" s="204">
        <v>3</v>
      </c>
      <c r="E25" s="202">
        <v>6</v>
      </c>
      <c r="F25" s="202">
        <v>3</v>
      </c>
      <c r="G25" s="202">
        <v>3</v>
      </c>
      <c r="H25" s="201">
        <v>0</v>
      </c>
      <c r="I25" s="205">
        <v>1318.7999999999993</v>
      </c>
      <c r="J25" s="205">
        <v>2558</v>
      </c>
      <c r="K25" s="206">
        <f t="shared" si="6"/>
      </c>
      <c r="L25" s="206">
        <f t="shared" si="8"/>
      </c>
      <c r="M25" s="212">
        <f t="shared" si="0"/>
      </c>
    </row>
    <row r="26">
      <c r="A26" s="201" t="s">
        <v>327</v>
      </c>
      <c r="B26" s="210" t="s">
        <v>309</v>
      </c>
      <c r="C26" s="211" t="s">
        <v>330</v>
      </c>
      <c r="D26" s="204">
        <v>3</v>
      </c>
      <c r="E26" s="202">
        <v>13</v>
      </c>
      <c r="F26" s="202">
        <v>10</v>
      </c>
      <c r="G26" s="202">
        <v>10</v>
      </c>
      <c r="H26" s="201">
        <v>0</v>
      </c>
      <c r="I26" s="205">
        <v>4455.700000000001</v>
      </c>
      <c r="J26" s="205">
        <v>3363.21</v>
      </c>
      <c r="K26" s="206">
        <f t="shared" si="6"/>
      </c>
      <c r="L26" s="206">
        <f t="shared" si="8"/>
      </c>
      <c r="M26" s="212">
        <f t="shared" si="0"/>
      </c>
      <c r="N26" s="202" t="s">
        <v>326</v>
      </c>
      <c r="O26" s="213">
        <v>9</v>
      </c>
    </row>
    <row r="27">
      <c r="A27" s="201" t="s">
        <v>327</v>
      </c>
      <c r="B27" s="208" t="s">
        <v>307</v>
      </c>
      <c r="C27" s="219" t="s">
        <v>331</v>
      </c>
      <c r="D27" s="220">
        <v>3</v>
      </c>
      <c r="E27" s="202">
        <v>22</v>
      </c>
      <c r="F27" s="202">
        <v>13</v>
      </c>
      <c r="G27" s="202">
        <v>13</v>
      </c>
      <c r="H27" s="202">
        <v>0</v>
      </c>
      <c r="I27" s="205">
        <v>6106.799999999999</v>
      </c>
      <c r="J27" s="205">
        <v>4246.93</v>
      </c>
      <c r="K27" s="221">
        <f t="shared" si="6"/>
      </c>
      <c r="L27" s="221">
        <f t="shared" si="8"/>
      </c>
      <c r="M27" s="221">
        <f t="shared" si="0"/>
      </c>
      <c r="O27" s="228"/>
    </row>
    <row r="28">
      <c r="A28" s="224" t="s">
        <v>327</v>
      </c>
      <c r="B28" s="225"/>
      <c r="C28" s="226"/>
      <c r="D28" s="226">
        <f>SUM(D23:D27)</f>
      </c>
      <c r="E28" s="226">
        <f>SUM(E23:E27)</f>
      </c>
      <c r="F28" s="226">
        <f>SUM(F23:F27)</f>
      </c>
      <c r="G28" s="226">
        <f>SUM(G23:G27)</f>
      </c>
      <c r="H28" s="226">
        <f>SUM(H23:H27)</f>
      </c>
      <c r="I28" s="226">
        <f>SUM(I23:I27)</f>
      </c>
      <c r="J28" s="226">
        <f>SUM(J23:J27)</f>
      </c>
      <c r="K28" s="227">
        <f t="shared" si="6"/>
      </c>
      <c r="L28" s="227">
        <f t="shared" si="8"/>
      </c>
      <c r="M28" s="227">
        <f t="shared" si="0"/>
      </c>
      <c r="N28" s="226"/>
      <c r="O28" s="226">
        <f>SUM(O24:O26)</f>
      </c>
    </row>
    <row r="29">
      <c r="A29" s="201" t="s">
        <v>332</v>
      </c>
      <c r="B29" s="202" t="s">
        <v>317</v>
      </c>
      <c r="C29" s="203" t="s">
        <v>306</v>
      </c>
      <c r="D29" s="204">
        <v>5</v>
      </c>
      <c r="E29" s="202">
        <v>58</v>
      </c>
      <c r="F29" s="202">
        <v>46</v>
      </c>
      <c r="G29" s="202">
        <v>46</v>
      </c>
      <c r="H29" s="201">
        <v>2</v>
      </c>
      <c r="I29" s="205">
        <v>20591.1</v>
      </c>
      <c r="J29" s="205">
        <v>19296.89</v>
      </c>
      <c r="K29" s="206">
        <f t="shared" si="6"/>
      </c>
      <c r="L29" s="206">
        <f t="shared" si="8"/>
      </c>
      <c r="M29" s="206">
        <f t="shared" si="0"/>
      </c>
      <c r="N29" s="208"/>
      <c r="O29" s="208"/>
    </row>
    <row r="30">
      <c r="A30" s="201" t="s">
        <v>332</v>
      </c>
      <c r="B30" s="202" t="s">
        <v>305</v>
      </c>
      <c r="C30" s="203" t="s">
        <v>328</v>
      </c>
      <c r="D30" s="204">
        <v>5</v>
      </c>
      <c r="E30" s="202">
        <v>47</v>
      </c>
      <c r="F30" s="202">
        <v>31</v>
      </c>
      <c r="G30" s="202">
        <v>31</v>
      </c>
      <c r="H30" s="201">
        <v>1</v>
      </c>
      <c r="I30" s="205">
        <v>14431.200000000004</v>
      </c>
      <c r="J30" s="205">
        <v>7582.540000000001</v>
      </c>
      <c r="K30" s="206">
        <f t="shared" si="6"/>
      </c>
      <c r="L30" s="206">
        <f t="shared" si="8"/>
      </c>
      <c r="M30" s="206">
        <f t="shared" si="0"/>
      </c>
      <c r="N30" s="203" t="s">
        <v>311</v>
      </c>
      <c r="O30" s="213">
        <v>10</v>
      </c>
    </row>
    <row r="31">
      <c r="A31" s="201" t="s">
        <v>332</v>
      </c>
      <c r="B31" s="210" t="s">
        <v>309</v>
      </c>
      <c r="C31" s="211" t="s">
        <v>329</v>
      </c>
      <c r="D31" s="204">
        <v>3</v>
      </c>
      <c r="E31" s="202">
        <v>21</v>
      </c>
      <c r="F31" s="202">
        <v>14</v>
      </c>
      <c r="G31" s="202">
        <v>14</v>
      </c>
      <c r="H31" s="201">
        <v>0</v>
      </c>
      <c r="I31" s="205">
        <v>6232.799999999996</v>
      </c>
      <c r="J31" s="205">
        <v>3022.1099999999997</v>
      </c>
      <c r="K31" s="206">
        <f t="shared" si="6"/>
      </c>
      <c r="L31" s="206">
        <f t="shared" si="8"/>
      </c>
      <c r="M31" s="212">
        <f t="shared" si="0"/>
      </c>
    </row>
    <row r="32">
      <c r="A32" s="201" t="s">
        <v>332</v>
      </c>
      <c r="B32" s="229" t="s">
        <v>312</v>
      </c>
      <c r="C32" s="211" t="s">
        <v>333</v>
      </c>
      <c r="D32" s="204">
        <v>4</v>
      </c>
      <c r="E32" s="202">
        <v>29</v>
      </c>
      <c r="F32" s="202">
        <v>20</v>
      </c>
      <c r="G32" s="202">
        <v>20</v>
      </c>
      <c r="H32" s="201">
        <v>1</v>
      </c>
      <c r="I32" s="205">
        <v>8916.099999999999</v>
      </c>
      <c r="J32" s="205">
        <v>5365.500000000001</v>
      </c>
      <c r="K32" s="206">
        <f t="shared" si="6"/>
      </c>
      <c r="L32" s="206">
        <f t="shared" si="8"/>
      </c>
      <c r="M32" s="212">
        <f t="shared" si="0"/>
      </c>
      <c r="N32" s="202" t="s">
        <v>323</v>
      </c>
      <c r="O32" s="213">
        <v>10</v>
      </c>
    </row>
    <row r="33">
      <c r="A33" s="201" t="s">
        <v>332</v>
      </c>
      <c r="B33" s="208" t="s">
        <v>307</v>
      </c>
      <c r="C33" s="219" t="s">
        <v>334</v>
      </c>
      <c r="D33" s="220">
        <v>3</v>
      </c>
      <c r="E33" s="202">
        <v>32</v>
      </c>
      <c r="F33" s="202">
        <v>26</v>
      </c>
      <c r="G33" s="202">
        <v>26</v>
      </c>
      <c r="H33" s="202">
        <v>4</v>
      </c>
      <c r="I33" s="205">
        <v>11881.300000000003</v>
      </c>
      <c r="J33" s="205">
        <v>6081.12</v>
      </c>
      <c r="K33" s="221">
        <f t="shared" si="6"/>
      </c>
      <c r="L33" s="221">
        <f t="shared" si="8"/>
      </c>
      <c r="M33" s="221">
        <f t="shared" si="0"/>
      </c>
      <c r="O33" s="228"/>
    </row>
    <row r="34">
      <c r="A34" s="224" t="s">
        <v>332</v>
      </c>
      <c r="B34" s="225"/>
      <c r="C34" s="226"/>
      <c r="D34" s="226">
        <f>SUM(D29:D33)</f>
      </c>
      <c r="E34" s="226">
        <f>SUM(E29:E33)</f>
      </c>
      <c r="F34" s="226">
        <f>SUM(F29:F33)</f>
      </c>
      <c r="G34" s="226">
        <f>SUM(G29:G33)</f>
      </c>
      <c r="H34" s="226">
        <f>SUM(H29:H33)</f>
      </c>
      <c r="I34" s="226">
        <f>SUM(I29:I33)</f>
      </c>
      <c r="J34" s="226">
        <f>SUM(J29:J33)</f>
      </c>
      <c r="K34" s="227">
        <f t="shared" si="6"/>
      </c>
      <c r="L34" s="227">
        <f t="shared" si="8"/>
      </c>
      <c r="M34" s="227">
        <f t="shared" si="0"/>
      </c>
      <c r="N34" s="226"/>
      <c r="O34" s="226">
        <f>SUM(O30:O32)</f>
      </c>
    </row>
    <row r="35">
      <c r="A35" s="201" t="s">
        <v>335</v>
      </c>
      <c r="B35" s="202" t="s">
        <v>317</v>
      </c>
      <c r="C35" s="203" t="s">
        <v>306</v>
      </c>
      <c r="D35" s="204">
        <v>5</v>
      </c>
      <c r="E35" s="202">
        <v>41</v>
      </c>
      <c r="F35" s="202">
        <v>31</v>
      </c>
      <c r="G35" s="202">
        <v>31</v>
      </c>
      <c r="H35" s="201">
        <v>2</v>
      </c>
      <c r="I35" s="205">
        <v>14078.4</v>
      </c>
      <c r="J35" s="205">
        <v>7246.16</v>
      </c>
      <c r="K35" s="206">
        <f t="shared" si="6"/>
      </c>
      <c r="L35" s="206">
        <f t="shared" si="8"/>
      </c>
      <c r="M35" s="206">
        <f t="shared" si="0"/>
      </c>
      <c r="N35" s="208"/>
      <c r="O35" s="208"/>
    </row>
    <row r="36">
      <c r="A36" s="201" t="s">
        <v>335</v>
      </c>
      <c r="B36" s="202" t="s">
        <v>305</v>
      </c>
      <c r="C36" s="203" t="s">
        <v>328</v>
      </c>
      <c r="D36" s="204">
        <v>5</v>
      </c>
      <c r="E36" s="202">
        <v>47</v>
      </c>
      <c r="F36" s="202">
        <v>29</v>
      </c>
      <c r="G36" s="202">
        <v>29</v>
      </c>
      <c r="H36" s="201">
        <v>1</v>
      </c>
      <c r="I36" s="205">
        <v>13258.9</v>
      </c>
      <c r="J36" s="205">
        <v>7973.73</v>
      </c>
      <c r="K36" s="206">
        <f t="shared" si="6"/>
      </c>
      <c r="L36" s="206">
        <f t="shared" si="8"/>
      </c>
      <c r="M36" s="206">
        <f t="shared" si="0"/>
      </c>
      <c r="N36" s="203" t="s">
        <v>311</v>
      </c>
      <c r="O36" s="213">
        <v>10</v>
      </c>
    </row>
    <row r="37">
      <c r="A37" s="201" t="s">
        <v>335</v>
      </c>
      <c r="B37" s="210" t="s">
        <v>309</v>
      </c>
      <c r="C37" s="211" t="s">
        <v>329</v>
      </c>
      <c r="D37" s="204">
        <v>3</v>
      </c>
      <c r="E37" s="202">
        <v>14</v>
      </c>
      <c r="F37" s="202">
        <v>7</v>
      </c>
      <c r="G37" s="202">
        <v>7</v>
      </c>
      <c r="H37" s="201">
        <v>0</v>
      </c>
      <c r="I37" s="205">
        <v>3195.7000000000007</v>
      </c>
      <c r="J37" s="205">
        <v>3806.3199999999997</v>
      </c>
      <c r="K37" s="206">
        <f t="shared" si="6"/>
      </c>
      <c r="L37" s="206">
        <f t="shared" si="8"/>
      </c>
      <c r="M37" s="212">
        <f t="shared" si="0"/>
      </c>
    </row>
    <row r="38">
      <c r="A38" s="201" t="s">
        <v>335</v>
      </c>
      <c r="B38" s="229" t="s">
        <v>312</v>
      </c>
      <c r="C38" s="211" t="s">
        <v>333</v>
      </c>
      <c r="D38" s="204">
        <v>4</v>
      </c>
      <c r="E38" s="202">
        <v>24</v>
      </c>
      <c r="F38" s="202">
        <v>15</v>
      </c>
      <c r="G38" s="202">
        <v>15</v>
      </c>
      <c r="H38" s="201">
        <v>1</v>
      </c>
      <c r="I38" s="205">
        <v>6732.0999999999985</v>
      </c>
      <c r="J38" s="205">
        <v>5361.04</v>
      </c>
      <c r="K38" s="206">
        <f t="shared" si="6"/>
      </c>
      <c r="L38" s="206">
        <f t="shared" si="8"/>
      </c>
      <c r="M38" s="212">
        <f t="shared" si="0"/>
      </c>
      <c r="N38" s="202" t="s">
        <v>323</v>
      </c>
      <c r="O38" s="213">
        <v>10</v>
      </c>
    </row>
    <row r="39">
      <c r="A39" s="201" t="s">
        <v>335</v>
      </c>
      <c r="B39" s="230" t="s">
        <v>314</v>
      </c>
      <c r="C39" s="219" t="s">
        <v>334</v>
      </c>
      <c r="D39" s="220">
        <v>3</v>
      </c>
      <c r="E39" s="202">
        <v>19</v>
      </c>
      <c r="F39" s="202">
        <v>13</v>
      </c>
      <c r="G39" s="202">
        <v>13</v>
      </c>
      <c r="H39" s="202">
        <v>1</v>
      </c>
      <c r="I39" s="205">
        <v>5930.4000000000015</v>
      </c>
      <c r="J39" s="205">
        <v>3130.86</v>
      </c>
      <c r="K39" s="221">
        <f t="shared" si="6"/>
      </c>
      <c r="L39" s="221">
        <f t="shared" si="8"/>
      </c>
      <c r="M39" s="221">
        <f t="shared" si="0"/>
      </c>
      <c r="O39" s="228"/>
    </row>
    <row r="40">
      <c r="A40" s="224" t="s">
        <v>335</v>
      </c>
      <c r="B40" s="226"/>
      <c r="C40" s="226"/>
      <c r="D40" s="226">
        <f>SUM(D35:D39)</f>
      </c>
      <c r="E40" s="226">
        <f>SUM(E35:E39)</f>
      </c>
      <c r="F40" s="226">
        <f>SUM(F35:F39)</f>
      </c>
      <c r="G40" s="226">
        <f>SUM(G35:G39)</f>
      </c>
      <c r="H40" s="226">
        <f>SUM(H35:H39)</f>
      </c>
      <c r="I40" s="226">
        <f>SUM(I35:I39)</f>
      </c>
      <c r="J40" s="226">
        <f>SUM(J35:J39)</f>
      </c>
      <c r="K40" s="227">
        <f t="shared" si="6"/>
      </c>
      <c r="L40" s="227">
        <f t="shared" si="8"/>
      </c>
      <c r="M40" s="227">
        <f t="shared" si="0"/>
      </c>
      <c r="N40" s="226"/>
      <c r="O40" s="226">
        <f>SUM(O36:O38)</f>
      </c>
    </row>
    <row r="41">
      <c r="A41" s="201" t="s">
        <v>336</v>
      </c>
      <c r="B41" s="202" t="s">
        <v>317</v>
      </c>
      <c r="C41" s="203" t="s">
        <v>306</v>
      </c>
      <c r="D41" s="204">
        <v>5</v>
      </c>
      <c r="E41" s="202">
        <v>33</v>
      </c>
      <c r="F41" s="202">
        <v>29</v>
      </c>
      <c r="G41" s="202">
        <v>29</v>
      </c>
      <c r="H41" s="201">
        <v>1</v>
      </c>
      <c r="I41" s="205">
        <v>13356</v>
      </c>
      <c r="J41" s="205">
        <v>5888.710000000001</v>
      </c>
      <c r="K41" s="206">
        <f t="shared" si="6"/>
      </c>
      <c r="L41" s="206">
        <f t="shared" si="8"/>
      </c>
      <c r="M41" s="206">
        <f t="shared" si="0"/>
      </c>
      <c r="N41" s="208"/>
      <c r="O41" s="208"/>
    </row>
    <row r="42">
      <c r="A42" s="201" t="s">
        <v>336</v>
      </c>
      <c r="B42" s="202" t="s">
        <v>305</v>
      </c>
      <c r="C42" s="203" t="s">
        <v>328</v>
      </c>
      <c r="D42" s="204">
        <v>5</v>
      </c>
      <c r="E42" s="202">
        <v>55</v>
      </c>
      <c r="F42" s="202">
        <v>48</v>
      </c>
      <c r="G42" s="202">
        <v>48</v>
      </c>
      <c r="H42" s="201">
        <v>4</v>
      </c>
      <c r="I42" s="205">
        <v>21532.9</v>
      </c>
      <c r="J42" s="205">
        <v>8503.743333333334</v>
      </c>
      <c r="K42" s="206">
        <f t="shared" si="6"/>
      </c>
      <c r="L42" s="206">
        <f t="shared" si="8"/>
      </c>
      <c r="M42" s="206">
        <f t="shared" si="0"/>
      </c>
      <c r="N42" s="203" t="s">
        <v>311</v>
      </c>
      <c r="O42" s="213">
        <v>10</v>
      </c>
    </row>
    <row r="43">
      <c r="A43" s="201" t="s">
        <v>336</v>
      </c>
      <c r="B43" s="210" t="s">
        <v>307</v>
      </c>
      <c r="C43" s="211" t="s">
        <v>329</v>
      </c>
      <c r="D43" s="204">
        <v>3</v>
      </c>
      <c r="E43" s="202">
        <v>17</v>
      </c>
      <c r="F43" s="202">
        <v>13</v>
      </c>
      <c r="G43" s="202">
        <v>13</v>
      </c>
      <c r="H43" s="201">
        <v>0</v>
      </c>
      <c r="I43" s="205">
        <v>5833.299999999996</v>
      </c>
      <c r="J43" s="205">
        <v>3989.886666666667</v>
      </c>
      <c r="K43" s="206">
        <f t="shared" si="6"/>
      </c>
      <c r="L43" s="206">
        <f t="shared" si="8"/>
      </c>
      <c r="M43" s="212">
        <f t="shared" si="0"/>
      </c>
    </row>
    <row r="44">
      <c r="A44" s="201" t="s">
        <v>336</v>
      </c>
      <c r="B44" s="229" t="s">
        <v>312</v>
      </c>
      <c r="C44" s="211" t="s">
        <v>333</v>
      </c>
      <c r="D44" s="204">
        <v>4</v>
      </c>
      <c r="E44" s="202">
        <v>27</v>
      </c>
      <c r="F44" s="202">
        <v>14</v>
      </c>
      <c r="G44" s="202">
        <v>14</v>
      </c>
      <c r="H44" s="201">
        <v>0</v>
      </c>
      <c r="I44" s="205">
        <v>6337.300000000003</v>
      </c>
      <c r="J44" s="205">
        <v>5621.16</v>
      </c>
      <c r="K44" s="206">
        <f t="shared" si="6"/>
      </c>
      <c r="L44" s="206">
        <f t="shared" si="8"/>
      </c>
      <c r="M44" s="212">
        <f t="shared" si="0"/>
      </c>
      <c r="N44" s="202" t="s">
        <v>323</v>
      </c>
      <c r="O44" s="213">
        <v>10</v>
      </c>
    </row>
    <row r="45">
      <c r="A45" s="201" t="s">
        <v>336</v>
      </c>
      <c r="B45" s="230" t="s">
        <v>314</v>
      </c>
      <c r="C45" s="219" t="s">
        <v>334</v>
      </c>
      <c r="D45" s="220">
        <v>3</v>
      </c>
      <c r="E45" s="202">
        <v>11</v>
      </c>
      <c r="F45" s="202">
        <v>6</v>
      </c>
      <c r="G45" s="202">
        <v>6</v>
      </c>
      <c r="H45" s="202">
        <v>0</v>
      </c>
      <c r="I45" s="205">
        <v>2678.5999999999985</v>
      </c>
      <c r="J45" s="205">
        <v>3216.09</v>
      </c>
      <c r="K45" s="221">
        <f t="shared" si="6"/>
      </c>
      <c r="L45" s="221">
        <f t="shared" si="8"/>
      </c>
      <c r="M45" s="221">
        <f t="shared" si="0"/>
      </c>
      <c r="O45" s="228"/>
    </row>
    <row r="46">
      <c r="A46" s="224" t="s">
        <v>336</v>
      </c>
      <c r="B46" s="226"/>
      <c r="C46" s="226"/>
      <c r="D46" s="226">
        <f>SUM(D41:D45)</f>
      </c>
      <c r="E46" s="226">
        <f>SUM(E41:E45)</f>
      </c>
      <c r="F46" s="226">
        <f>SUM(F41:F45)</f>
      </c>
      <c r="G46" s="226">
        <f>SUM(G41:G45)</f>
      </c>
      <c r="H46" s="226">
        <f>SUM(H41:H45)</f>
      </c>
      <c r="I46" s="226">
        <f>SUM(I41:I45)</f>
      </c>
      <c r="J46" s="226">
        <f>SUM(J41:J45)</f>
      </c>
      <c r="K46" s="227">
        <f t="shared" si="6"/>
      </c>
      <c r="L46" s="227">
        <f t="shared" si="8"/>
      </c>
      <c r="M46" s="227">
        <f t="shared" si="0"/>
      </c>
      <c r="N46" s="226"/>
      <c r="O46" s="226">
        <f>SUM(O42:O44)</f>
      </c>
    </row>
    <row r="47">
      <c r="A47" s="201" t="s">
        <v>337</v>
      </c>
      <c r="B47" s="202" t="s">
        <v>317</v>
      </c>
      <c r="C47" s="203" t="s">
        <v>306</v>
      </c>
      <c r="D47" s="204">
        <v>5</v>
      </c>
      <c r="E47" s="202">
        <v>41</v>
      </c>
      <c r="F47" s="202">
        <v>29</v>
      </c>
      <c r="G47" s="202">
        <v>29</v>
      </c>
      <c r="H47" s="201">
        <v>1</v>
      </c>
      <c r="I47" s="205">
        <v>13225.3</v>
      </c>
      <c r="J47" s="205">
        <v>6110.4400000000005</v>
      </c>
      <c r="K47" s="206">
        <f t="shared" si="6"/>
      </c>
      <c r="L47" s="206">
        <f t="shared" si="8"/>
      </c>
      <c r="M47" s="206">
        <f t="shared" si="0"/>
      </c>
      <c r="N47" s="208"/>
      <c r="O47" s="208"/>
    </row>
    <row r="48">
      <c r="A48" s="201" t="s">
        <v>337</v>
      </c>
      <c r="B48" s="202" t="s">
        <v>305</v>
      </c>
      <c r="C48" s="203" t="s">
        <v>328</v>
      </c>
      <c r="D48" s="204">
        <v>5</v>
      </c>
      <c r="E48" s="202">
        <v>38</v>
      </c>
      <c r="F48" s="202">
        <v>23</v>
      </c>
      <c r="G48" s="202">
        <v>23</v>
      </c>
      <c r="H48" s="201">
        <v>0</v>
      </c>
      <c r="I48" s="205">
        <v>10386.100000000002</v>
      </c>
      <c r="J48" s="205">
        <v>6239.26</v>
      </c>
      <c r="K48" s="206">
        <f t="shared" si="6"/>
      </c>
      <c r="L48" s="206">
        <f t="shared" si="8"/>
      </c>
      <c r="M48" s="206">
        <f t="shared" si="0"/>
      </c>
      <c r="N48" s="203" t="s">
        <v>311</v>
      </c>
      <c r="O48" s="213">
        <v>10</v>
      </c>
    </row>
    <row r="49">
      <c r="A49" s="201" t="s">
        <v>337</v>
      </c>
      <c r="B49" s="210" t="s">
        <v>307</v>
      </c>
      <c r="C49" s="211" t="s">
        <v>329</v>
      </c>
      <c r="D49" s="204">
        <v>3</v>
      </c>
      <c r="E49" s="202">
        <v>11</v>
      </c>
      <c r="F49" s="202">
        <v>8</v>
      </c>
      <c r="G49" s="202">
        <v>8</v>
      </c>
      <c r="H49" s="201">
        <v>0</v>
      </c>
      <c r="I49" s="205">
        <v>3679.199999999997</v>
      </c>
      <c r="J49" s="205">
        <v>2826.83</v>
      </c>
      <c r="K49" s="206">
        <f t="shared" si="6"/>
      </c>
      <c r="L49" s="206">
        <f t="shared" si="8"/>
      </c>
      <c r="M49" s="212">
        <f t="shared" si="0"/>
      </c>
    </row>
    <row r="50">
      <c r="A50" s="201" t="s">
        <v>337</v>
      </c>
      <c r="B50" s="229" t="s">
        <v>312</v>
      </c>
      <c r="C50" s="211" t="s">
        <v>333</v>
      </c>
      <c r="D50" s="204">
        <v>4</v>
      </c>
      <c r="E50" s="202">
        <v>30</v>
      </c>
      <c r="F50" s="202">
        <v>21</v>
      </c>
      <c r="G50" s="202">
        <v>21</v>
      </c>
      <c r="H50" s="201">
        <v>0</v>
      </c>
      <c r="I50" s="205">
        <v>9428.5</v>
      </c>
      <c r="J50" s="205">
        <v>4963.469999999999</v>
      </c>
      <c r="K50" s="206">
        <f t="shared" si="6"/>
      </c>
      <c r="L50" s="206">
        <f t="shared" si="8"/>
      </c>
      <c r="M50" s="212">
        <f t="shared" si="0"/>
      </c>
      <c r="N50" s="202" t="s">
        <v>323</v>
      </c>
      <c r="O50" s="213">
        <v>10</v>
      </c>
    </row>
    <row r="51">
      <c r="A51" s="201" t="s">
        <v>337</v>
      </c>
      <c r="B51" s="230" t="s">
        <v>309</v>
      </c>
      <c r="C51" s="219" t="s">
        <v>334</v>
      </c>
      <c r="D51" s="220">
        <v>3</v>
      </c>
      <c r="E51" s="202">
        <v>18</v>
      </c>
      <c r="F51" s="202">
        <v>11</v>
      </c>
      <c r="G51" s="202">
        <v>11</v>
      </c>
      <c r="H51" s="202">
        <v>0</v>
      </c>
      <c r="I51" s="205">
        <v>5208</v>
      </c>
      <c r="J51" s="205">
        <v>3958.4000000000005</v>
      </c>
      <c r="K51" s="221">
        <f t="shared" si="6"/>
      </c>
      <c r="L51" s="221">
        <f t="shared" si="8"/>
      </c>
      <c r="M51" s="221">
        <f t="shared" si="0"/>
      </c>
      <c r="O51" s="228"/>
    </row>
    <row r="52">
      <c r="A52" s="224" t="s">
        <v>337</v>
      </c>
      <c r="B52" s="226"/>
      <c r="C52" s="226"/>
      <c r="D52" s="226">
        <f>SUM(D47:D51)</f>
      </c>
      <c r="E52" s="226">
        <f>SUM(E47:E51)</f>
      </c>
      <c r="F52" s="226">
        <f>SUM(F47:F51)</f>
      </c>
      <c r="G52" s="226">
        <f>SUM(G47:G51)</f>
      </c>
      <c r="H52" s="226">
        <f>SUM(H47:H51)</f>
      </c>
      <c r="I52" s="226">
        <f>SUM(I47:I51)</f>
      </c>
      <c r="J52" s="226">
        <f>SUM(J47:J51)</f>
      </c>
      <c r="K52" s="227">
        <f t="shared" si="6"/>
      </c>
      <c r="L52" s="227">
        <f t="shared" si="8"/>
      </c>
      <c r="M52" s="227">
        <f t="shared" si="0"/>
      </c>
      <c r="N52" s="226"/>
      <c r="O52" s="226">
        <f>SUM(O48:O50)</f>
      </c>
    </row>
    <row r="53">
      <c r="A53" s="201" t="s">
        <v>338</v>
      </c>
      <c r="B53" s="202" t="s">
        <v>317</v>
      </c>
      <c r="C53" s="203" t="s">
        <v>339</v>
      </c>
      <c r="D53" s="204">
        <v>4</v>
      </c>
      <c r="E53" s="202">
        <v>40</v>
      </c>
      <c r="F53" s="202">
        <v>29</v>
      </c>
      <c r="G53" s="202">
        <v>29</v>
      </c>
      <c r="H53" s="201">
        <v>1</v>
      </c>
      <c r="I53" s="205">
        <v>13401.7</v>
      </c>
      <c r="J53" s="205">
        <v>5143.16</v>
      </c>
      <c r="K53" s="206">
        <f t="shared" si="6"/>
      </c>
      <c r="L53" s="206">
        <f t="shared" si="8"/>
      </c>
      <c r="M53" s="206">
        <f t="shared" si="0"/>
      </c>
      <c r="N53" s="208"/>
      <c r="O53" s="208"/>
    </row>
    <row r="54">
      <c r="A54" s="201" t="s">
        <v>338</v>
      </c>
      <c r="B54" s="210" t="s">
        <v>307</v>
      </c>
      <c r="C54" s="203" t="s">
        <v>340</v>
      </c>
      <c r="D54" s="204">
        <v>4</v>
      </c>
      <c r="E54" s="202">
        <v>31</v>
      </c>
      <c r="F54" s="202">
        <v>20</v>
      </c>
      <c r="G54" s="202">
        <v>20</v>
      </c>
      <c r="H54" s="201">
        <v>0</v>
      </c>
      <c r="I54" s="205">
        <v>9184.899999999998</v>
      </c>
      <c r="J54" s="205">
        <v>6584.54</v>
      </c>
      <c r="K54" s="206">
        <f t="shared" si="6"/>
      </c>
      <c r="L54" s="206">
        <f t="shared" si="8"/>
      </c>
      <c r="M54" s="206">
        <f t="shared" si="0"/>
      </c>
      <c r="N54" s="203" t="s">
        <v>311</v>
      </c>
      <c r="O54" s="213">
        <v>10</v>
      </c>
    </row>
    <row r="55">
      <c r="A55" s="201" t="s">
        <v>338</v>
      </c>
      <c r="B55" s="230" t="s">
        <v>309</v>
      </c>
      <c r="C55" s="211" t="s">
        <v>341</v>
      </c>
      <c r="D55" s="204">
        <v>4</v>
      </c>
      <c r="E55" s="202">
        <v>12</v>
      </c>
      <c r="F55" s="202">
        <v>11</v>
      </c>
      <c r="G55" s="202">
        <v>11</v>
      </c>
      <c r="H55" s="201">
        <v>0</v>
      </c>
      <c r="I55" s="205">
        <v>4900.9000000000015</v>
      </c>
      <c r="J55" s="205">
        <v>4693.01</v>
      </c>
      <c r="K55" s="206">
        <f t="shared" si="6"/>
      </c>
      <c r="L55" s="206">
        <f t="shared" si="8"/>
      </c>
      <c r="M55" s="212">
        <f t="shared" si="0"/>
      </c>
    </row>
    <row r="56">
      <c r="A56" s="201" t="s">
        <v>338</v>
      </c>
      <c r="B56" s="229" t="s">
        <v>312</v>
      </c>
      <c r="C56" s="211" t="s">
        <v>342</v>
      </c>
      <c r="D56" s="204">
        <v>4</v>
      </c>
      <c r="E56" s="202">
        <v>17</v>
      </c>
      <c r="F56" s="202">
        <v>11</v>
      </c>
      <c r="G56" s="202">
        <v>11</v>
      </c>
      <c r="H56" s="201">
        <v>0</v>
      </c>
      <c r="I56" s="205">
        <v>4821.5999999999985</v>
      </c>
      <c r="J56" s="205">
        <v>4303.9</v>
      </c>
      <c r="K56" s="206">
        <f t="shared" si="6"/>
      </c>
      <c r="L56" s="206">
        <f t="shared" si="8"/>
      </c>
      <c r="M56" s="212">
        <f t="shared" si="0"/>
      </c>
      <c r="N56" s="202" t="s">
        <v>323</v>
      </c>
      <c r="O56" s="213">
        <v>10</v>
      </c>
    </row>
    <row r="57">
      <c r="A57" s="201" t="s">
        <v>338</v>
      </c>
      <c r="B57" s="229" t="s">
        <v>314</v>
      </c>
      <c r="C57" s="219" t="s">
        <v>324</v>
      </c>
      <c r="D57" s="204">
        <v>4</v>
      </c>
      <c r="E57" s="202">
        <v>22</v>
      </c>
      <c r="F57" s="202">
        <v>18</v>
      </c>
      <c r="G57" s="202">
        <v>18</v>
      </c>
      <c r="H57" s="202">
        <v>1</v>
      </c>
      <c r="I57" s="205">
        <v>8076.0999999999985</v>
      </c>
      <c r="J57" s="205">
        <v>4802.35</v>
      </c>
      <c r="K57" s="221">
        <f t="shared" si="6"/>
      </c>
      <c r="L57" s="221">
        <f t="shared" si="8"/>
      </c>
      <c r="M57" s="221">
        <f t="shared" si="0"/>
      </c>
      <c r="O57" s="228"/>
    </row>
    <row r="58">
      <c r="A58" s="224" t="s">
        <v>338</v>
      </c>
      <c r="B58" s="226"/>
      <c r="C58" s="226"/>
      <c r="D58" s="226">
        <f>SUM(D53:D57)</f>
      </c>
      <c r="E58" s="226">
        <f>SUM(E53:E57)</f>
      </c>
      <c r="F58" s="226">
        <f>SUM(F53:F57)</f>
      </c>
      <c r="G58" s="226">
        <f>SUM(G53:G57)</f>
      </c>
      <c r="H58" s="226">
        <f>SUM(H53:H57)</f>
      </c>
      <c r="I58" s="226">
        <f>SUM(I53:I57)</f>
      </c>
      <c r="J58" s="226">
        <f>SUM(J53:J57)</f>
      </c>
      <c r="K58" s="227">
        <f t="shared" si="6"/>
      </c>
      <c r="L58" s="227">
        <f t="shared" si="8"/>
      </c>
      <c r="M58" s="227">
        <f t="shared" si="0"/>
      </c>
      <c r="N58" s="226"/>
      <c r="O58" s="226">
        <f>SUM(O54:O56)</f>
      </c>
    </row>
    <row r="59">
      <c r="A59" s="202" t="s">
        <v>343</v>
      </c>
      <c r="B59" s="202" t="s">
        <v>305</v>
      </c>
      <c r="C59" s="203" t="s">
        <v>339</v>
      </c>
      <c r="D59" s="204">
        <v>4</v>
      </c>
      <c r="E59" s="202">
        <v>52</v>
      </c>
      <c r="F59" s="202">
        <v>29</v>
      </c>
      <c r="G59" s="202">
        <v>29</v>
      </c>
      <c r="H59" s="201">
        <v>2</v>
      </c>
      <c r="I59" s="205">
        <v>13291.5</v>
      </c>
      <c r="J59" s="205">
        <v>5131.29</v>
      </c>
      <c r="K59" s="206">
        <f t="shared" si="6"/>
      </c>
      <c r="L59" s="206">
        <f t="shared" si="8"/>
      </c>
      <c r="M59" s="212">
        <f t="shared" si="0"/>
      </c>
      <c r="N59" s="202"/>
      <c r="O59" s="202"/>
    </row>
    <row r="60">
      <c r="A60" s="202" t="s">
        <v>343</v>
      </c>
      <c r="B60" s="210" t="s">
        <v>309</v>
      </c>
      <c r="C60" s="203" t="s">
        <v>340</v>
      </c>
      <c r="D60" s="204">
        <v>4</v>
      </c>
      <c r="E60" s="202">
        <v>31</v>
      </c>
      <c r="F60" s="202">
        <v>13</v>
      </c>
      <c r="G60" s="202">
        <v>13</v>
      </c>
      <c r="H60" s="201">
        <v>0</v>
      </c>
      <c r="I60" s="205">
        <v>6186.0999999999985</v>
      </c>
      <c r="J60" s="205">
        <v>5902.870000000001</v>
      </c>
      <c r="K60" s="206">
        <f t="shared" si="6"/>
      </c>
      <c r="L60" s="206">
        <f t="shared" si="8"/>
      </c>
      <c r="M60" s="212">
        <f t="shared" si="0"/>
      </c>
      <c r="N60" s="203" t="s">
        <v>311</v>
      </c>
      <c r="O60" s="203">
        <v>10</v>
      </c>
    </row>
    <row customHeight="true" ht="18.452380952380953" r="61">
      <c r="A61" s="202" t="s">
        <v>343</v>
      </c>
      <c r="B61" s="203" t="s">
        <v>312</v>
      </c>
      <c r="C61" s="203" t="s">
        <v>341</v>
      </c>
      <c r="D61" s="204">
        <v>4</v>
      </c>
      <c r="E61" s="202">
        <v>17</v>
      </c>
      <c r="F61" s="202">
        <v>8</v>
      </c>
      <c r="G61" s="202">
        <v>8</v>
      </c>
      <c r="H61" s="201">
        <v>0</v>
      </c>
      <c r="I61" s="205">
        <v>3695</v>
      </c>
      <c r="J61" s="205">
        <v>4456.29</v>
      </c>
      <c r="K61" s="206">
        <f t="shared" si="6"/>
      </c>
      <c r="L61" s="206">
        <f t="shared" si="8"/>
      </c>
      <c r="M61" s="212">
        <f t="shared" si="0"/>
      </c>
      <c r="N61" s="223"/>
      <c r="O61" s="223"/>
    </row>
    <row customHeight="true" ht="18.424036281179145" r="62">
      <c r="A62" s="202" t="s">
        <v>343</v>
      </c>
      <c r="B62" s="203" t="s">
        <v>314</v>
      </c>
      <c r="C62" s="231" t="s">
        <v>344</v>
      </c>
      <c r="D62" s="204">
        <v>3.5</v>
      </c>
      <c r="E62" s="202">
        <v>11</v>
      </c>
      <c r="F62" s="202">
        <v>6</v>
      </c>
      <c r="G62" s="202">
        <v>6</v>
      </c>
      <c r="H62" s="201">
        <v>0</v>
      </c>
      <c r="I62" s="205">
        <v>2696.4000000000015</v>
      </c>
      <c r="J62" s="205">
        <v>5768.549999999999</v>
      </c>
      <c r="K62" s="206">
        <f t="shared" si="6"/>
      </c>
      <c r="L62" s="206">
        <f t="shared" si="8"/>
      </c>
      <c r="M62" s="212">
        <f t="shared" si="0"/>
      </c>
      <c r="N62" s="202" t="s">
        <v>345</v>
      </c>
      <c r="O62" s="203">
        <v>9.5</v>
      </c>
    </row>
    <row r="63">
      <c r="A63" s="202" t="s">
        <v>343</v>
      </c>
      <c r="B63" s="210" t="s">
        <v>307</v>
      </c>
      <c r="C63" s="202" t="s">
        <v>324</v>
      </c>
      <c r="D63" s="204">
        <v>4</v>
      </c>
      <c r="E63" s="202">
        <v>20</v>
      </c>
      <c r="F63" s="202">
        <v>11</v>
      </c>
      <c r="G63" s="202">
        <v>11</v>
      </c>
      <c r="H63" s="202">
        <v>4</v>
      </c>
      <c r="I63" s="205">
        <v>4972.799999999999</v>
      </c>
      <c r="J63" s="205">
        <v>5453.3</v>
      </c>
      <c r="K63" s="221">
        <f t="shared" si="6"/>
      </c>
      <c r="L63" s="221">
        <f t="shared" si="8"/>
      </c>
      <c r="M63" s="232">
        <f t="shared" si="0"/>
      </c>
      <c r="N63" s="223"/>
      <c r="O63" s="228"/>
    </row>
    <row r="64">
      <c r="A64" s="233" t="s">
        <v>343</v>
      </c>
      <c r="B64" s="226"/>
      <c r="C64" s="226"/>
      <c r="D64" s="234">
        <f>SUM(D59:D63)</f>
      </c>
      <c r="E64" s="226">
        <f>SUM(E59:E63)</f>
      </c>
      <c r="F64" s="226">
        <f>SUM(F59:F63)</f>
      </c>
      <c r="G64" s="226">
        <f>SUM(G59:G63)</f>
      </c>
      <c r="H64" s="226">
        <f>SUM(H59:H63)</f>
      </c>
      <c r="I64" s="226">
        <f>SUM(I59:I63)</f>
      </c>
      <c r="J64" s="226">
        <f>SUM(J59:J63)</f>
      </c>
      <c r="K64" s="227">
        <f t="shared" si="6"/>
      </c>
      <c r="L64" s="227">
        <f t="shared" si="8"/>
      </c>
      <c r="M64" s="227">
        <f t="shared" si="0"/>
      </c>
      <c r="N64" s="225"/>
      <c r="O64" s="225">
        <f>SUM(O60:O62)</f>
      </c>
    </row>
    <row r="65">
      <c r="A65" s="201" t="s">
        <v>346</v>
      </c>
      <c r="B65" s="202" t="s">
        <v>317</v>
      </c>
      <c r="C65" s="203" t="s">
        <v>306</v>
      </c>
      <c r="D65" s="204">
        <v>5</v>
      </c>
      <c r="E65" s="202">
        <v>42</v>
      </c>
      <c r="F65" s="202">
        <v>24</v>
      </c>
      <c r="G65" s="202">
        <v>24</v>
      </c>
      <c r="H65" s="201">
        <v>2</v>
      </c>
      <c r="I65" s="205">
        <v>11238.2</v>
      </c>
      <c r="J65" s="205">
        <v>5919.49</v>
      </c>
      <c r="K65" s="206">
        <f t="shared" si="6"/>
      </c>
      <c r="L65" s="206">
        <f t="shared" si="8"/>
      </c>
      <c r="M65" s="206">
        <f t="shared" si="0"/>
      </c>
      <c r="N65" s="208"/>
      <c r="O65" s="208"/>
    </row>
    <row r="66">
      <c r="A66" s="201" t="s">
        <v>346</v>
      </c>
      <c r="B66" s="202" t="s">
        <v>305</v>
      </c>
      <c r="C66" s="203" t="s">
        <v>328</v>
      </c>
      <c r="D66" s="204">
        <v>5</v>
      </c>
      <c r="E66" s="202">
        <v>27</v>
      </c>
      <c r="F66" s="202">
        <v>15</v>
      </c>
      <c r="G66" s="202">
        <v>15</v>
      </c>
      <c r="H66" s="201">
        <v>2</v>
      </c>
      <c r="I66" s="205">
        <v>6811.399999999998</v>
      </c>
      <c r="J66" s="205">
        <v>5734.15</v>
      </c>
      <c r="K66" s="206">
        <f t="shared" si="6"/>
      </c>
      <c r="L66" s="206">
        <f t="shared" si="8"/>
      </c>
      <c r="M66" s="206">
        <f t="shared" si="0"/>
      </c>
      <c r="N66" s="203" t="s">
        <v>311</v>
      </c>
      <c r="O66" s="213">
        <v>10</v>
      </c>
    </row>
    <row r="67">
      <c r="A67" s="201" t="s">
        <v>346</v>
      </c>
      <c r="B67" s="210" t="s">
        <v>309</v>
      </c>
      <c r="C67" s="211" t="s">
        <v>329</v>
      </c>
      <c r="D67" s="204">
        <v>3</v>
      </c>
      <c r="E67" s="202">
        <v>20</v>
      </c>
      <c r="F67" s="202">
        <v>9</v>
      </c>
      <c r="G67" s="202">
        <v>9</v>
      </c>
      <c r="H67" s="201">
        <v>0</v>
      </c>
      <c r="I67" s="205">
        <v>4094.5</v>
      </c>
      <c r="J67" s="205">
        <v>3458.7699999999995</v>
      </c>
      <c r="K67" s="206">
        <f t="shared" si="6"/>
      </c>
      <c r="L67" s="206">
        <f t="shared" si="8"/>
      </c>
      <c r="M67" s="212">
        <f t="shared" si="0"/>
      </c>
    </row>
    <row r="68">
      <c r="A68" s="201" t="s">
        <v>346</v>
      </c>
      <c r="B68" s="229" t="s">
        <v>312</v>
      </c>
      <c r="C68" s="211" t="s">
        <v>333</v>
      </c>
      <c r="D68" s="204">
        <v>4</v>
      </c>
      <c r="E68" s="202">
        <v>22</v>
      </c>
      <c r="F68" s="202">
        <v>11</v>
      </c>
      <c r="G68" s="202">
        <v>11</v>
      </c>
      <c r="H68" s="201">
        <v>0</v>
      </c>
      <c r="I68" s="205">
        <v>4998</v>
      </c>
      <c r="J68" s="205">
        <v>5742.81</v>
      </c>
      <c r="K68" s="206">
        <f t="shared" si="6"/>
      </c>
      <c r="L68" s="206">
        <f t="shared" si="8"/>
      </c>
      <c r="M68" s="212">
        <f t="shared" si="0"/>
      </c>
      <c r="N68" s="202" t="s">
        <v>345</v>
      </c>
      <c r="O68" s="213">
        <v>10</v>
      </c>
    </row>
    <row r="69">
      <c r="A69" s="201" t="s">
        <v>346</v>
      </c>
      <c r="B69" s="230" t="s">
        <v>314</v>
      </c>
      <c r="C69" s="219" t="s">
        <v>334</v>
      </c>
      <c r="D69" s="220">
        <v>3</v>
      </c>
      <c r="E69" s="202">
        <v>21</v>
      </c>
      <c r="F69" s="202">
        <v>13</v>
      </c>
      <c r="G69" s="202">
        <v>13</v>
      </c>
      <c r="H69" s="202">
        <v>1</v>
      </c>
      <c r="I69" s="205">
        <v>5950.9000000000015</v>
      </c>
      <c r="J69" s="205">
        <v>3078.2</v>
      </c>
      <c r="K69" s="221">
        <f t="shared" si="6"/>
      </c>
      <c r="L69" s="221">
        <f t="shared" si="8"/>
      </c>
      <c r="M69" s="221">
        <f t="shared" si="0"/>
      </c>
      <c r="O69" s="228"/>
    </row>
    <row r="70">
      <c r="A70" s="224" t="s">
        <v>346</v>
      </c>
      <c r="B70" s="226"/>
      <c r="C70" s="226"/>
      <c r="D70" s="226">
        <f>SUM(D65:D69)</f>
      </c>
      <c r="E70" s="226">
        <f>SUM(E65:E69)</f>
      </c>
      <c r="F70" s="226">
        <f>SUM(F65:F69)</f>
      </c>
      <c r="G70" s="226">
        <f>SUM(G65:G69)</f>
      </c>
      <c r="H70" s="226">
        <f>SUM(H65:H69)</f>
      </c>
      <c r="I70" s="226">
        <f>SUM(I65:I69)</f>
      </c>
      <c r="J70" s="226">
        <f>SUM(J65:J69)</f>
      </c>
      <c r="K70" s="227">
        <f t="shared" si="6"/>
      </c>
      <c r="L70" s="227">
        <f t="shared" si="8"/>
      </c>
      <c r="M70" s="227">
        <f t="shared" si="0"/>
      </c>
      <c r="N70" s="226"/>
      <c r="O70" s="226">
        <f>SUM(O66:O68)</f>
      </c>
    </row>
    <row r="71">
      <c r="A71" s="209" t="s">
        <v>347</v>
      </c>
      <c r="B71" s="208" t="s">
        <v>317</v>
      </c>
      <c r="C71" s="203" t="s">
        <v>306</v>
      </c>
      <c r="D71" s="204">
        <v>5</v>
      </c>
      <c r="E71" s="202">
        <v>21</v>
      </c>
      <c r="F71" s="202">
        <v>10</v>
      </c>
      <c r="G71" s="202">
        <v>10</v>
      </c>
      <c r="H71" s="201">
        <v>0</v>
      </c>
      <c r="I71" s="205">
        <v>4729.2</v>
      </c>
      <c r="J71" s="205">
        <v>6145.37</v>
      </c>
      <c r="K71" s="206">
        <f t="shared" si="6"/>
      </c>
      <c r="L71" s="206">
        <f t="shared" si="8"/>
      </c>
      <c r="M71" s="206">
        <f t="shared" si="0"/>
      </c>
      <c r="N71" s="208"/>
      <c r="O71" s="208"/>
    </row>
    <row r="72">
      <c r="A72" s="202" t="s">
        <v>347</v>
      </c>
      <c r="B72" s="202" t="s">
        <v>305</v>
      </c>
      <c r="C72" s="211" t="s">
        <v>328</v>
      </c>
      <c r="D72" s="204">
        <v>5</v>
      </c>
      <c r="E72" s="202">
        <v>27</v>
      </c>
      <c r="F72" s="202">
        <v>11</v>
      </c>
      <c r="G72" s="202">
        <v>11</v>
      </c>
      <c r="H72" s="201">
        <v>0</v>
      </c>
      <c r="I72" s="205">
        <v>4993.3</v>
      </c>
      <c r="J72" s="205">
        <v>5832.32</v>
      </c>
      <c r="K72" s="206">
        <f t="shared" si="6"/>
      </c>
      <c r="L72" s="206">
        <f t="shared" si="8"/>
      </c>
      <c r="M72" s="206">
        <f t="shared" si="0"/>
      </c>
      <c r="N72" s="203" t="s">
        <v>311</v>
      </c>
      <c r="O72" s="213">
        <v>10</v>
      </c>
    </row>
    <row r="73">
      <c r="A73" s="202" t="s">
        <v>347</v>
      </c>
      <c r="B73" s="202" t="s">
        <v>307</v>
      </c>
      <c r="C73" s="211" t="s">
        <v>329</v>
      </c>
      <c r="D73" s="204">
        <v>3</v>
      </c>
      <c r="E73" s="202">
        <v>8</v>
      </c>
      <c r="F73" s="202">
        <v>4</v>
      </c>
      <c r="G73" s="202">
        <v>4</v>
      </c>
      <c r="H73" s="201">
        <v>0</v>
      </c>
      <c r="I73" s="205">
        <v>1856.3999999999996</v>
      </c>
      <c r="J73" s="205">
        <v>2860.37</v>
      </c>
      <c r="K73" s="206">
        <f t="shared" si="6"/>
      </c>
      <c r="L73" s="206">
        <f t="shared" si="8"/>
      </c>
      <c r="M73" s="212">
        <f t="shared" si="0"/>
      </c>
    </row>
    <row r="74">
      <c r="A74" s="202" t="s">
        <v>347</v>
      </c>
      <c r="B74" s="210" t="s">
        <v>314</v>
      </c>
      <c r="C74" s="211" t="s">
        <v>333</v>
      </c>
      <c r="D74" s="204">
        <v>4</v>
      </c>
      <c r="E74" s="202">
        <v>22</v>
      </c>
      <c r="F74" s="202">
        <v>13</v>
      </c>
      <c r="G74" s="202">
        <v>13</v>
      </c>
      <c r="H74" s="201">
        <v>0</v>
      </c>
      <c r="I74" s="205">
        <v>6068.500000000002</v>
      </c>
      <c r="J74" s="205">
        <v>5928.94</v>
      </c>
      <c r="K74" s="206">
        <f t="shared" si="6"/>
      </c>
      <c r="L74" s="206">
        <f t="shared" si="8"/>
      </c>
      <c r="M74" s="212">
        <f t="shared" si="0"/>
      </c>
      <c r="N74" s="202" t="s">
        <v>345</v>
      </c>
      <c r="O74" s="213">
        <v>10</v>
      </c>
    </row>
    <row r="75">
      <c r="A75" s="202" t="s">
        <v>347</v>
      </c>
      <c r="B75" s="210" t="s">
        <v>309</v>
      </c>
      <c r="C75" s="219" t="s">
        <v>334</v>
      </c>
      <c r="D75" s="220">
        <v>3</v>
      </c>
      <c r="E75" s="202">
        <v>16</v>
      </c>
      <c r="F75" s="202">
        <v>10</v>
      </c>
      <c r="G75" s="202">
        <v>10</v>
      </c>
      <c r="H75" s="202">
        <v>1</v>
      </c>
      <c r="I75" s="205">
        <v>4573.299999999999</v>
      </c>
      <c r="J75" s="205">
        <v>3996.0200000000004</v>
      </c>
      <c r="K75" s="221">
        <f t="shared" si="6"/>
      </c>
      <c r="L75" s="221">
        <f t="shared" si="8"/>
      </c>
      <c r="M75" s="221">
        <f t="shared" si="0"/>
      </c>
      <c r="O75" s="228"/>
    </row>
    <row r="76">
      <c r="A76" s="233" t="s">
        <v>347</v>
      </c>
      <c r="B76" s="226"/>
      <c r="C76" s="234"/>
      <c r="D76" s="226">
        <f>SUM(D71:D75)</f>
      </c>
      <c r="E76" s="226">
        <f>SUM(E71:E75)</f>
      </c>
      <c r="F76" s="226">
        <f>SUM(F71:F75)</f>
      </c>
      <c r="G76" s="226">
        <f>SUM(G71:G75)</f>
      </c>
      <c r="H76" s="226">
        <f>SUM(H71:H75)</f>
      </c>
      <c r="I76" s="226">
        <f>SUM(I71:I75)</f>
      </c>
      <c r="J76" s="226">
        <f>SUM(J71:J75)</f>
      </c>
      <c r="K76" s="227">
        <f t="shared" si="6"/>
      </c>
      <c r="L76" s="227">
        <f t="shared" si="8"/>
      </c>
      <c r="M76" s="227">
        <f t="shared" si="0"/>
      </c>
      <c r="N76" s="226"/>
      <c r="O76" s="226">
        <f>SUM(O72:O74)</f>
      </c>
    </row>
    <row r="77">
      <c r="A77" s="202" t="s">
        <v>348</v>
      </c>
      <c r="B77" s="202" t="s">
        <v>305</v>
      </c>
      <c r="C77" s="211" t="s">
        <v>349</v>
      </c>
      <c r="D77" s="204">
        <v>4</v>
      </c>
      <c r="E77" s="202">
        <v>20</v>
      </c>
      <c r="F77" s="202">
        <v>10</v>
      </c>
      <c r="G77" s="202">
        <v>10</v>
      </c>
      <c r="H77" s="201">
        <v>1</v>
      </c>
      <c r="I77" s="205">
        <v>4611.6</v>
      </c>
      <c r="J77" s="205">
        <v>4730.49</v>
      </c>
      <c r="K77" s="212">
        <f t="shared" si="6"/>
      </c>
      <c r="L77" s="221">
        <f t="shared" si="8"/>
      </c>
      <c r="M77" s="221">
        <f t="shared" si="0"/>
      </c>
      <c r="N77" s="202"/>
      <c r="O77" s="202"/>
    </row>
    <row r="78">
      <c r="A78" s="202" t="s">
        <v>348</v>
      </c>
      <c r="B78" s="202" t="s">
        <v>317</v>
      </c>
      <c r="C78" s="211" t="s">
        <v>340</v>
      </c>
      <c r="D78" s="204">
        <v>4</v>
      </c>
      <c r="E78" s="202">
        <v>24</v>
      </c>
      <c r="F78" s="202">
        <v>11</v>
      </c>
      <c r="G78" s="202">
        <v>11</v>
      </c>
      <c r="H78" s="201">
        <v>2</v>
      </c>
      <c r="I78" s="205">
        <v>5034.299999999999</v>
      </c>
      <c r="J78" s="205">
        <v>5221.35</v>
      </c>
      <c r="K78" s="212">
        <f t="shared" si="6"/>
      </c>
      <c r="L78" s="221">
        <f t="shared" si="8"/>
      </c>
      <c r="M78" s="221">
        <f t="shared" si="0"/>
      </c>
      <c r="N78" s="203" t="s">
        <v>350</v>
      </c>
      <c r="O78" s="203">
        <v>10</v>
      </c>
    </row>
    <row r="79">
      <c r="A79" s="202" t="s">
        <v>348</v>
      </c>
      <c r="B79" s="202" t="s">
        <v>309</v>
      </c>
      <c r="C79" s="211" t="s">
        <v>341</v>
      </c>
      <c r="D79" s="204">
        <v>4</v>
      </c>
      <c r="E79" s="202">
        <v>25</v>
      </c>
      <c r="F79" s="202">
        <v>16</v>
      </c>
      <c r="G79" s="202">
        <v>16</v>
      </c>
      <c r="H79" s="201">
        <v>1</v>
      </c>
      <c r="I79" s="205">
        <v>7369.500000000002</v>
      </c>
      <c r="J79" s="205">
        <v>5120.46</v>
      </c>
      <c r="K79" s="212">
        <f t="shared" si="6"/>
      </c>
      <c r="L79" s="221">
        <f t="shared" si="8"/>
      </c>
      <c r="M79" s="221">
        <f t="shared" si="0"/>
      </c>
      <c r="N79" s="223"/>
      <c r="O79" s="223"/>
    </row>
    <row r="80">
      <c r="A80" s="202" t="s">
        <v>348</v>
      </c>
      <c r="B80" s="210" t="s">
        <v>312</v>
      </c>
      <c r="C80" s="211" t="s">
        <v>342</v>
      </c>
      <c r="D80" s="204">
        <v>4</v>
      </c>
      <c r="E80" s="202">
        <v>22</v>
      </c>
      <c r="F80" s="202">
        <v>14</v>
      </c>
      <c r="G80" s="202">
        <v>14</v>
      </c>
      <c r="H80" s="201">
        <v>0</v>
      </c>
      <c r="I80" s="205">
        <v>6547.299999999999</v>
      </c>
      <c r="J80" s="205">
        <v>5402.02</v>
      </c>
      <c r="K80" s="212">
        <f t="shared" si="6"/>
      </c>
      <c r="L80" s="221">
        <f t="shared" si="8"/>
      </c>
      <c r="M80" s="221">
        <f t="shared" si="0"/>
      </c>
      <c r="N80" s="202" t="s">
        <v>351</v>
      </c>
      <c r="O80" s="203">
        <v>10</v>
      </c>
    </row>
    <row r="81">
      <c r="A81" s="235" t="s">
        <v>348</v>
      </c>
      <c r="B81" s="236" t="s">
        <v>307</v>
      </c>
      <c r="C81" s="219" t="s">
        <v>324</v>
      </c>
      <c r="D81" s="204">
        <v>4</v>
      </c>
      <c r="E81" s="202">
        <v>25</v>
      </c>
      <c r="F81" s="202">
        <v>10</v>
      </c>
      <c r="G81" s="202">
        <v>10</v>
      </c>
      <c r="H81" s="202">
        <v>0</v>
      </c>
      <c r="I81" s="205">
        <v>4480.899999999998</v>
      </c>
      <c r="J81" s="205">
        <v>4947.23</v>
      </c>
      <c r="K81" s="221">
        <f t="shared" si="6"/>
      </c>
      <c r="L81" s="237">
        <f t="shared" si="8"/>
      </c>
      <c r="M81" s="237">
        <f t="shared" si="0"/>
      </c>
      <c r="N81" s="238"/>
      <c r="O81" s="239"/>
    </row>
    <row r="82">
      <c r="A82" s="224" t="s">
        <v>348</v>
      </c>
      <c r="B82" s="226"/>
      <c r="C82" s="226"/>
      <c r="D82" s="226">
        <f>SUM(D77:D81)</f>
      </c>
      <c r="E82" s="226">
        <f>SUM(E77:E81)</f>
      </c>
      <c r="F82" s="226">
        <f>SUM(F77:F81)</f>
      </c>
      <c r="G82" s="226">
        <f>SUM(G77:G81)</f>
      </c>
      <c r="H82" s="226">
        <f>SUM(H77:H81)</f>
      </c>
      <c r="I82" s="226">
        <f>SUM(I77:I81)</f>
      </c>
      <c r="J82" s="226">
        <f>SUM(J77:J81)</f>
      </c>
      <c r="K82" s="227">
        <f t="shared" si="6"/>
      </c>
      <c r="L82" s="227">
        <f t="shared" si="8"/>
      </c>
      <c r="M82" s="227">
        <f t="shared" si="0"/>
      </c>
      <c r="N82" s="226"/>
      <c r="O82" s="226">
        <f>SUM(O78:O80)</f>
      </c>
    </row>
    <row r="83">
      <c r="A83" s="202" t="s">
        <v>352</v>
      </c>
      <c r="B83" s="202" t="s">
        <v>305</v>
      </c>
      <c r="C83" s="211" t="s">
        <v>349</v>
      </c>
      <c r="D83" s="204">
        <v>4</v>
      </c>
      <c r="E83" s="202">
        <v>32</v>
      </c>
      <c r="F83" s="202">
        <v>23</v>
      </c>
      <c r="G83" s="202">
        <v>23</v>
      </c>
      <c r="H83" s="201">
        <v>1</v>
      </c>
      <c r="I83" s="205">
        <v>10273.2</v>
      </c>
      <c r="J83" s="205">
        <v>5496</v>
      </c>
      <c r="K83" s="212">
        <f t="shared" si="6"/>
      </c>
      <c r="L83" s="221">
        <f t="shared" si="8"/>
      </c>
      <c r="M83" s="221">
        <f t="shared" si="0"/>
      </c>
      <c r="N83" s="202"/>
      <c r="O83" s="202"/>
    </row>
    <row r="84">
      <c r="A84" s="202" t="s">
        <v>352</v>
      </c>
      <c r="B84" s="202" t="s">
        <v>317</v>
      </c>
      <c r="C84" s="211" t="s">
        <v>340</v>
      </c>
      <c r="D84" s="204">
        <v>4</v>
      </c>
      <c r="E84" s="202">
        <v>34</v>
      </c>
      <c r="F84" s="202">
        <v>26</v>
      </c>
      <c r="G84" s="202">
        <v>26</v>
      </c>
      <c r="H84" s="201">
        <v>4</v>
      </c>
      <c r="I84" s="205">
        <v>12019.399999999998</v>
      </c>
      <c r="J84" s="205">
        <v>6714.23</v>
      </c>
      <c r="K84" s="212">
        <f t="shared" si="6"/>
      </c>
      <c r="L84" s="221">
        <f t="shared" si="8"/>
      </c>
      <c r="M84" s="221">
        <f t="shared" si="0"/>
      </c>
      <c r="N84" s="203" t="s">
        <v>353</v>
      </c>
      <c r="O84" s="203">
        <v>10</v>
      </c>
    </row>
    <row r="85">
      <c r="A85" s="202" t="s">
        <v>352</v>
      </c>
      <c r="B85" s="202" t="s">
        <v>309</v>
      </c>
      <c r="C85" s="211" t="s">
        <v>341</v>
      </c>
      <c r="D85" s="204">
        <v>4</v>
      </c>
      <c r="E85" s="202">
        <v>22</v>
      </c>
      <c r="F85" s="202">
        <v>9</v>
      </c>
      <c r="G85" s="202">
        <v>9</v>
      </c>
      <c r="H85" s="201">
        <v>0</v>
      </c>
      <c r="I85" s="205">
        <v>4094.5</v>
      </c>
      <c r="J85" s="205">
        <v>6355.54</v>
      </c>
      <c r="K85" s="212">
        <f t="shared" si="6"/>
      </c>
      <c r="L85" s="221">
        <f t="shared" si="8"/>
      </c>
      <c r="M85" s="221">
        <f t="shared" si="0"/>
      </c>
      <c r="N85" s="223"/>
      <c r="O85" s="223"/>
    </row>
    <row r="86">
      <c r="A86" s="202" t="s">
        <v>352</v>
      </c>
      <c r="B86" s="210" t="s">
        <v>312</v>
      </c>
      <c r="C86" s="211" t="s">
        <v>342</v>
      </c>
      <c r="D86" s="204">
        <v>4</v>
      </c>
      <c r="E86" s="202">
        <v>16</v>
      </c>
      <c r="F86" s="202">
        <v>12</v>
      </c>
      <c r="G86" s="202">
        <v>12</v>
      </c>
      <c r="H86" s="201">
        <v>0</v>
      </c>
      <c r="I86" s="205">
        <v>5418</v>
      </c>
      <c r="J86" s="205">
        <v>5440.26</v>
      </c>
      <c r="K86" s="212">
        <f t="shared" si="6"/>
      </c>
      <c r="L86" s="221">
        <f t="shared" si="8"/>
      </c>
      <c r="M86" s="221">
        <f t="shared" si="0"/>
      </c>
      <c r="N86" s="202" t="s">
        <v>351</v>
      </c>
      <c r="O86" s="203">
        <v>10</v>
      </c>
    </row>
    <row r="87">
      <c r="A87" s="235" t="s">
        <v>352</v>
      </c>
      <c r="B87" s="236" t="s">
        <v>307</v>
      </c>
      <c r="C87" s="219" t="s">
        <v>324</v>
      </c>
      <c r="D87" s="204">
        <v>4</v>
      </c>
      <c r="E87" s="202">
        <v>28</v>
      </c>
      <c r="F87" s="202">
        <v>14</v>
      </c>
      <c r="G87" s="202">
        <v>14</v>
      </c>
      <c r="H87" s="202">
        <v>1</v>
      </c>
      <c r="I87" s="205">
        <v>6258</v>
      </c>
      <c r="J87" s="205">
        <v>5545.04</v>
      </c>
      <c r="K87" s="221">
        <f t="shared" si="6"/>
      </c>
      <c r="L87" s="237">
        <f t="shared" si="8"/>
      </c>
      <c r="M87" s="237">
        <f t="shared" si="0"/>
      </c>
      <c r="N87" s="238"/>
      <c r="O87" s="239"/>
    </row>
    <row r="88">
      <c r="A88" s="224" t="s">
        <v>352</v>
      </c>
      <c r="B88" s="226"/>
      <c r="C88" s="226"/>
      <c r="D88" s="226">
        <f>SUM(D83:D87)</f>
      </c>
      <c r="E88" s="226">
        <f>SUM(E83:E87)</f>
      </c>
      <c r="F88" s="226">
        <f>SUM(F83:F87)</f>
      </c>
      <c r="G88" s="226">
        <f>SUM(G83:G87)</f>
      </c>
      <c r="H88" s="226">
        <f>SUM(H83:H87)</f>
      </c>
      <c r="I88" s="226">
        <f>SUM(I83:I87)</f>
      </c>
      <c r="J88" s="226">
        <f>SUM(J83:J87)</f>
      </c>
      <c r="K88" s="227">
        <f t="shared" si="6"/>
      </c>
      <c r="L88" s="227">
        <f t="shared" si="8"/>
      </c>
      <c r="M88" s="227">
        <f t="shared" si="0"/>
      </c>
      <c r="N88" s="226"/>
      <c r="O88" s="226">
        <f>SUM(O84:O86)</f>
      </c>
    </row>
    <row r="89">
      <c r="A89" s="202" t="s">
        <v>354</v>
      </c>
      <c r="B89" s="202" t="s">
        <v>305</v>
      </c>
      <c r="C89" s="211" t="s">
        <v>349</v>
      </c>
      <c r="D89" s="204">
        <v>4</v>
      </c>
      <c r="E89" s="202">
        <v>44</v>
      </c>
      <c r="F89" s="202">
        <v>27</v>
      </c>
      <c r="G89" s="202">
        <v>27</v>
      </c>
      <c r="H89" s="201">
        <v>3</v>
      </c>
      <c r="I89" s="205">
        <v>12288.2</v>
      </c>
      <c r="J89" s="205">
        <v>5846.7300000000005</v>
      </c>
      <c r="K89" s="212">
        <f t="shared" si="6"/>
      </c>
      <c r="L89" s="221">
        <f t="shared" si="8"/>
      </c>
      <c r="M89" s="221">
        <f t="shared" si="0"/>
      </c>
      <c r="N89" s="202"/>
      <c r="O89" s="202"/>
    </row>
    <row r="90">
      <c r="A90" s="202" t="s">
        <v>354</v>
      </c>
      <c r="B90" s="202" t="s">
        <v>317</v>
      </c>
      <c r="C90" s="211" t="s">
        <v>355</v>
      </c>
      <c r="D90" s="204">
        <v>5</v>
      </c>
      <c r="E90" s="202">
        <v>44</v>
      </c>
      <c r="F90" s="202">
        <v>34</v>
      </c>
      <c r="G90" s="202">
        <v>34</v>
      </c>
      <c r="H90" s="201">
        <v>2</v>
      </c>
      <c r="I90" s="205">
        <v>15593.099999999999</v>
      </c>
      <c r="J90" s="205">
        <v>8825.470000000001</v>
      </c>
      <c r="K90" s="212">
        <f t="shared" si="6"/>
      </c>
      <c r="L90" s="221">
        <f t="shared" si="8"/>
      </c>
      <c r="M90" s="221">
        <f t="shared" si="0"/>
      </c>
      <c r="N90" s="203" t="s">
        <v>353</v>
      </c>
      <c r="O90" s="203">
        <v>10</v>
      </c>
    </row>
    <row r="91">
      <c r="A91" s="202" t="s">
        <v>354</v>
      </c>
      <c r="B91" s="202" t="s">
        <v>312</v>
      </c>
      <c r="C91" s="211" t="s">
        <v>356</v>
      </c>
      <c r="D91" s="204">
        <v>3</v>
      </c>
      <c r="E91" s="202">
        <v>10</v>
      </c>
      <c r="F91" s="202">
        <v>5</v>
      </c>
      <c r="G91" s="202">
        <v>5</v>
      </c>
      <c r="H91" s="201">
        <v>0</v>
      </c>
      <c r="I91" s="205">
        <v>2242.7999999999993</v>
      </c>
      <c r="J91" s="205">
        <v>4357.950000000001</v>
      </c>
      <c r="K91" s="212">
        <f t="shared" si="6"/>
      </c>
      <c r="L91" s="221">
        <f t="shared" si="8"/>
      </c>
      <c r="M91" s="221">
        <f t="shared" si="0"/>
      </c>
      <c r="N91" s="223"/>
      <c r="O91" s="223"/>
    </row>
    <row r="92">
      <c r="A92" s="202" t="s">
        <v>354</v>
      </c>
      <c r="B92" s="210" t="s">
        <v>307</v>
      </c>
      <c r="C92" s="211" t="s">
        <v>342</v>
      </c>
      <c r="D92" s="204">
        <v>4</v>
      </c>
      <c r="E92" s="202">
        <v>18</v>
      </c>
      <c r="F92" s="202">
        <v>13</v>
      </c>
      <c r="G92" s="202">
        <v>13</v>
      </c>
      <c r="H92" s="201">
        <v>2</v>
      </c>
      <c r="I92" s="205">
        <v>6106.800000000003</v>
      </c>
      <c r="J92" s="205">
        <v>4416.99</v>
      </c>
      <c r="K92" s="212">
        <f t="shared" si="6"/>
      </c>
      <c r="L92" s="221">
        <f t="shared" si="8"/>
      </c>
      <c r="M92" s="221">
        <f t="shared" si="0"/>
      </c>
      <c r="N92" s="202" t="s">
        <v>351</v>
      </c>
      <c r="O92" s="203">
        <v>10</v>
      </c>
    </row>
    <row r="93">
      <c r="A93" s="235" t="s">
        <v>354</v>
      </c>
      <c r="B93" s="240" t="s">
        <v>309</v>
      </c>
      <c r="C93" s="219" t="s">
        <v>324</v>
      </c>
      <c r="D93" s="204">
        <v>4</v>
      </c>
      <c r="E93" s="202">
        <v>22</v>
      </c>
      <c r="F93" s="202">
        <v>19</v>
      </c>
      <c r="G93" s="202">
        <v>19</v>
      </c>
      <c r="H93" s="202">
        <v>2</v>
      </c>
      <c r="I93" s="205">
        <v>8706.099999999999</v>
      </c>
      <c r="J93" s="205">
        <v>4718.41</v>
      </c>
      <c r="K93" s="221">
        <f t="shared" si="6"/>
      </c>
      <c r="L93" s="237">
        <f t="shared" si="8"/>
      </c>
      <c r="M93" s="237">
        <f t="shared" si="0"/>
      </c>
      <c r="N93" s="238"/>
      <c r="O93" s="239"/>
    </row>
    <row r="94">
      <c r="A94" s="224" t="s">
        <v>354</v>
      </c>
      <c r="B94" s="226"/>
      <c r="C94" s="226"/>
      <c r="D94" s="226">
        <f>SUM(D89:D93)</f>
      </c>
      <c r="E94" s="226">
        <f>SUM(E89:E93)</f>
      </c>
      <c r="F94" s="226">
        <f>SUM(F89:F93)</f>
      </c>
      <c r="G94" s="226">
        <f>SUM(G89:G93)</f>
      </c>
      <c r="H94" s="226">
        <f>SUM(H89:H93)</f>
      </c>
      <c r="I94" s="226">
        <f>SUM(I89:I93)</f>
      </c>
      <c r="J94" s="226">
        <f>SUM(J89:J93)</f>
      </c>
      <c r="K94" s="227">
        <f t="shared" si="6"/>
      </c>
      <c r="L94" s="227">
        <f t="shared" si="8"/>
      </c>
      <c r="M94" s="227">
        <f t="shared" si="0"/>
      </c>
      <c r="N94" s="226"/>
      <c r="O94" s="226">
        <f>SUM(O90:O92)</f>
      </c>
    </row>
    <row r="95">
      <c r="A95" s="202" t="s">
        <v>357</v>
      </c>
      <c r="B95" s="202" t="s">
        <v>312</v>
      </c>
      <c r="C95" s="211" t="s">
        <v>349</v>
      </c>
      <c r="D95" s="204">
        <v>4</v>
      </c>
      <c r="E95" s="202">
        <v>26</v>
      </c>
      <c r="F95" s="202">
        <v>20</v>
      </c>
      <c r="G95" s="202">
        <v>20</v>
      </c>
      <c r="H95" s="201">
        <v>1</v>
      </c>
      <c r="I95" s="205">
        <v>8907.7</v>
      </c>
      <c r="J95" s="205">
        <v>6554.860000000001</v>
      </c>
      <c r="K95" s="212">
        <f t="shared" si="6"/>
      </c>
      <c r="L95" s="221">
        <f t="shared" si="8"/>
      </c>
      <c r="M95" s="221">
        <f t="shared" si="0"/>
      </c>
      <c r="N95" s="202"/>
      <c r="O95" s="202"/>
    </row>
    <row r="96">
      <c r="A96" s="202" t="s">
        <v>357</v>
      </c>
      <c r="B96" s="202" t="s">
        <v>305</v>
      </c>
      <c r="C96" s="211" t="s">
        <v>340</v>
      </c>
      <c r="D96" s="204">
        <v>4</v>
      </c>
      <c r="E96" s="202">
        <v>34</v>
      </c>
      <c r="F96" s="202">
        <v>28</v>
      </c>
      <c r="G96" s="202">
        <v>28</v>
      </c>
      <c r="H96" s="201">
        <v>2</v>
      </c>
      <c r="I96" s="205">
        <v>12658.8</v>
      </c>
      <c r="J96" s="205">
        <v>5994.57</v>
      </c>
      <c r="K96" s="212">
        <f t="shared" si="6"/>
      </c>
      <c r="L96" s="221">
        <f t="shared" si="8"/>
      </c>
      <c r="M96" s="221">
        <f t="shared" si="0"/>
      </c>
      <c r="N96" s="203" t="s">
        <v>353</v>
      </c>
      <c r="O96" s="203">
        <v>10</v>
      </c>
    </row>
    <row r="97">
      <c r="A97" s="202" t="s">
        <v>357</v>
      </c>
      <c r="B97" s="202" t="s">
        <v>309</v>
      </c>
      <c r="C97" s="211" t="s">
        <v>341</v>
      </c>
      <c r="D97" s="204">
        <v>4</v>
      </c>
      <c r="E97" s="202">
        <v>35</v>
      </c>
      <c r="F97" s="202">
        <v>19</v>
      </c>
      <c r="G97" s="202">
        <v>19</v>
      </c>
      <c r="H97" s="201">
        <v>2</v>
      </c>
      <c r="I97" s="205">
        <v>8508.2</v>
      </c>
      <c r="J97" s="205">
        <v>4832.4</v>
      </c>
      <c r="K97" s="212">
        <f t="shared" si="6"/>
      </c>
      <c r="L97" s="221">
        <f t="shared" si="8"/>
      </c>
      <c r="M97" s="221">
        <f t="shared" si="0"/>
      </c>
      <c r="N97" s="223"/>
      <c r="O97" s="223"/>
    </row>
    <row r="98">
      <c r="A98" s="202" t="s">
        <v>357</v>
      </c>
      <c r="B98" s="210" t="s">
        <v>307</v>
      </c>
      <c r="C98" s="211" t="s">
        <v>342</v>
      </c>
      <c r="D98" s="204">
        <v>4</v>
      </c>
      <c r="E98" s="202">
        <v>32</v>
      </c>
      <c r="F98" s="202">
        <v>19</v>
      </c>
      <c r="G98" s="202">
        <v>19</v>
      </c>
      <c r="H98" s="201">
        <v>1</v>
      </c>
      <c r="I98" s="205">
        <v>8647.3</v>
      </c>
      <c r="J98" s="205">
        <v>5426.22</v>
      </c>
      <c r="K98" s="212">
        <f t="shared" si="6"/>
      </c>
      <c r="L98" s="221">
        <f t="shared" si="8"/>
      </c>
      <c r="M98" s="221">
        <f t="shared" si="0"/>
      </c>
      <c r="N98" s="202" t="s">
        <v>351</v>
      </c>
      <c r="O98" s="203">
        <v>10</v>
      </c>
    </row>
    <row r="99">
      <c r="A99" s="235" t="s">
        <v>357</v>
      </c>
      <c r="B99" s="240" t="s">
        <v>317</v>
      </c>
      <c r="C99" s="219" t="s">
        <v>324</v>
      </c>
      <c r="D99" s="204">
        <v>4</v>
      </c>
      <c r="E99" s="202">
        <v>32</v>
      </c>
      <c r="F99" s="202">
        <v>17</v>
      </c>
      <c r="G99" s="202">
        <v>17</v>
      </c>
      <c r="H99" s="202">
        <v>3</v>
      </c>
      <c r="I99" s="205">
        <v>7773.699999999997</v>
      </c>
      <c r="J99" s="205">
        <v>5474.94</v>
      </c>
      <c r="K99" s="221">
        <f t="shared" si="6"/>
      </c>
      <c r="L99" s="237">
        <f t="shared" si="8"/>
      </c>
      <c r="M99" s="237">
        <f t="shared" si="0"/>
      </c>
      <c r="N99" s="238"/>
      <c r="O99" s="239"/>
    </row>
    <row r="100">
      <c r="A100" s="224" t="s">
        <v>357</v>
      </c>
      <c r="B100" s="226"/>
      <c r="C100" s="226"/>
      <c r="D100" s="226">
        <f>SUM(D95:D99)</f>
      </c>
      <c r="E100" s="226">
        <f>SUM(E95:E99)</f>
      </c>
      <c r="F100" s="226">
        <f>SUM(F95:F99)</f>
      </c>
      <c r="G100" s="226">
        <f>SUM(G95:G99)</f>
      </c>
      <c r="H100" s="226">
        <f>SUM(H95:H99)</f>
      </c>
      <c r="I100" s="226">
        <f>SUM(I95:I99)</f>
      </c>
      <c r="J100" s="226">
        <f>SUM(J95:J99)</f>
      </c>
      <c r="K100" s="227">
        <f t="shared" si="6"/>
      </c>
      <c r="L100" s="227">
        <f t="shared" si="8"/>
      </c>
      <c r="M100" s="227">
        <f t="shared" si="0"/>
      </c>
      <c r="N100" s="226"/>
      <c r="O100" s="226">
        <f>SUM(O96:O98)</f>
      </c>
    </row>
    <row r="101">
      <c r="A101" s="202" t="s">
        <v>358</v>
      </c>
      <c r="B101" s="202" t="s">
        <v>305</v>
      </c>
      <c r="C101" s="211" t="s">
        <v>349</v>
      </c>
      <c r="D101" s="204">
        <v>4</v>
      </c>
      <c r="E101" s="202">
        <v>30</v>
      </c>
      <c r="F101" s="202">
        <v>22</v>
      </c>
      <c r="G101" s="202">
        <v>22</v>
      </c>
      <c r="H101" s="201">
        <v>1</v>
      </c>
      <c r="I101" s="205">
        <v>9789.7</v>
      </c>
      <c r="J101" s="205">
        <v>6075.599999999999</v>
      </c>
      <c r="K101" s="212">
        <f t="shared" si="6"/>
      </c>
      <c r="L101" s="221">
        <f t="shared" si="8"/>
      </c>
      <c r="M101" s="221">
        <f t="shared" si="0"/>
      </c>
      <c r="N101" s="202"/>
      <c r="O101" s="202"/>
    </row>
    <row r="102">
      <c r="A102" s="202" t="s">
        <v>358</v>
      </c>
      <c r="B102" s="202" t="s">
        <v>307</v>
      </c>
      <c r="C102" s="211" t="s">
        <v>340</v>
      </c>
      <c r="D102" s="204">
        <v>4</v>
      </c>
      <c r="E102" s="202">
        <v>26</v>
      </c>
      <c r="F102" s="202">
        <v>22</v>
      </c>
      <c r="G102" s="202">
        <v>22</v>
      </c>
      <c r="H102" s="201">
        <v>1</v>
      </c>
      <c r="I102" s="205">
        <v>9828</v>
      </c>
      <c r="J102" s="205">
        <v>6893.4</v>
      </c>
      <c r="K102" s="212">
        <f t="shared" si="6"/>
      </c>
      <c r="L102" s="221">
        <f t="shared" si="8"/>
      </c>
      <c r="M102" s="221">
        <f t="shared" si="0"/>
      </c>
      <c r="N102" s="203" t="s">
        <v>353</v>
      </c>
      <c r="O102" s="203">
        <v>10</v>
      </c>
    </row>
    <row r="103">
      <c r="A103" s="202" t="s">
        <v>358</v>
      </c>
      <c r="B103" s="202" t="s">
        <v>312</v>
      </c>
      <c r="C103" s="211" t="s">
        <v>341</v>
      </c>
      <c r="D103" s="204">
        <v>4</v>
      </c>
      <c r="E103" s="202">
        <v>10</v>
      </c>
      <c r="F103" s="202">
        <v>9</v>
      </c>
      <c r="G103" s="202">
        <v>9</v>
      </c>
      <c r="H103" s="201">
        <v>0</v>
      </c>
      <c r="I103" s="205">
        <v>4250.399999999998</v>
      </c>
      <c r="J103" s="205">
        <v>5231.96</v>
      </c>
      <c r="K103" s="212">
        <f t="shared" si="6"/>
      </c>
      <c r="L103" s="221">
        <f t="shared" si="8"/>
      </c>
      <c r="M103" s="221">
        <f t="shared" si="0"/>
      </c>
      <c r="N103" s="223"/>
      <c r="O103" s="223"/>
    </row>
    <row r="104">
      <c r="A104" s="202" t="s">
        <v>358</v>
      </c>
      <c r="B104" s="210" t="s">
        <v>317</v>
      </c>
      <c r="C104" s="211" t="s">
        <v>342</v>
      </c>
      <c r="D104" s="204">
        <v>4</v>
      </c>
      <c r="E104" s="202">
        <v>20</v>
      </c>
      <c r="F104" s="202">
        <v>12</v>
      </c>
      <c r="G104" s="202">
        <v>12</v>
      </c>
      <c r="H104" s="201">
        <v>0</v>
      </c>
      <c r="I104" s="205">
        <v>5472.100000000002</v>
      </c>
      <c r="J104" s="205">
        <v>4370.83</v>
      </c>
      <c r="K104" s="212">
        <f t="shared" si="6"/>
      </c>
      <c r="L104" s="221">
        <f t="shared" si="8"/>
      </c>
      <c r="M104" s="221">
        <f t="shared" si="0"/>
      </c>
      <c r="N104" s="202" t="s">
        <v>351</v>
      </c>
      <c r="O104" s="203">
        <v>10</v>
      </c>
    </row>
    <row r="105">
      <c r="A105" s="235" t="s">
        <v>358</v>
      </c>
      <c r="B105" s="240" t="s">
        <v>309</v>
      </c>
      <c r="C105" s="219" t="s">
        <v>324</v>
      </c>
      <c r="D105" s="204">
        <v>4</v>
      </c>
      <c r="E105" s="202">
        <v>25</v>
      </c>
      <c r="F105" s="202">
        <v>10</v>
      </c>
      <c r="G105" s="202">
        <v>10</v>
      </c>
      <c r="H105" s="202">
        <v>0</v>
      </c>
      <c r="I105" s="205">
        <v>4611.600000000002</v>
      </c>
      <c r="J105" s="205">
        <v>5464.42</v>
      </c>
      <c r="K105" s="221">
        <f t="shared" si="6"/>
      </c>
      <c r="L105" s="237">
        <f t="shared" si="8"/>
      </c>
      <c r="M105" s="237">
        <f t="shared" si="0"/>
      </c>
      <c r="N105" s="238"/>
      <c r="O105" s="239"/>
    </row>
    <row r="106">
      <c r="A106" s="224" t="s">
        <v>358</v>
      </c>
      <c r="B106" s="226"/>
      <c r="C106" s="226"/>
      <c r="D106" s="226">
        <f>SUM(D101:D105)</f>
      </c>
      <c r="E106" s="226">
        <f>SUM(E101:E105)</f>
      </c>
      <c r="F106" s="226">
        <f>SUM(F101:F105)</f>
      </c>
      <c r="G106" s="226">
        <f>SUM(G101:G105)</f>
      </c>
      <c r="H106" s="226">
        <f>SUM(H101:H105)</f>
      </c>
      <c r="I106" s="226">
        <f>SUM(I101:I105)</f>
      </c>
      <c r="J106" s="226">
        <f>SUM(J101:J105)</f>
      </c>
      <c r="K106" s="227">
        <f t="shared" si="6"/>
      </c>
      <c r="L106" s="227">
        <f t="shared" si="8"/>
      </c>
      <c r="M106" s="227">
        <f t="shared" si="0"/>
      </c>
      <c r="N106" s="226"/>
      <c r="O106" s="226">
        <f>SUM(O102:O104)</f>
      </c>
    </row>
    <row r="107">
      <c r="A107" s="201" t="s">
        <v>359</v>
      </c>
      <c r="B107" s="202" t="s">
        <v>307</v>
      </c>
      <c r="C107" s="203" t="s">
        <v>360</v>
      </c>
      <c r="D107" s="219">
        <v>5</v>
      </c>
      <c r="E107" s="202">
        <v>35</v>
      </c>
      <c r="F107" s="202">
        <v>16</v>
      </c>
      <c r="G107" s="202">
        <v>16</v>
      </c>
      <c r="H107" s="201">
        <v>3</v>
      </c>
      <c r="I107" s="241">
        <v>7231.4</v>
      </c>
      <c r="J107" s="241">
        <v>6698.08</v>
      </c>
      <c r="K107" s="206">
        <f t="shared" si="6"/>
      </c>
      <c r="L107" s="221">
        <f t="shared" si="8"/>
      </c>
      <c r="M107" s="221">
        <f t="shared" si="0"/>
      </c>
      <c r="N107" s="202" t="s">
        <v>361</v>
      </c>
      <c r="O107" s="202">
        <v>5</v>
      </c>
    </row>
    <row r="108">
      <c r="A108" s="242" t="s">
        <v>359</v>
      </c>
      <c r="B108" s="243"/>
      <c r="C108" s="243"/>
      <c r="D108" s="244">
        <f>SUM(D107)</f>
      </c>
      <c r="E108" s="244">
        <f>SUM(E107)</f>
      </c>
      <c r="F108" s="244">
        <f>SUM(F107)</f>
      </c>
      <c r="G108" s="244">
        <f>SUM(G107)</f>
      </c>
      <c r="H108" s="244">
        <f>SUM(H107)</f>
      </c>
      <c r="I108" s="244">
        <f>SUM(I107)</f>
      </c>
      <c r="J108" s="244">
        <f>SUM(J107)</f>
      </c>
      <c r="K108" s="245">
        <f t="shared" si="6"/>
      </c>
      <c r="L108" s="245">
        <f t="shared" si="8"/>
      </c>
      <c r="M108" s="245">
        <f t="shared" si="0"/>
      </c>
      <c r="N108" s="244"/>
      <c r="O108" s="244">
        <f>SUM(O107)</f>
      </c>
    </row>
    <row r="109">
      <c r="A109" s="202" t="s">
        <v>362</v>
      </c>
      <c r="B109" s="202" t="s">
        <v>305</v>
      </c>
      <c r="C109" s="211" t="s">
        <v>363</v>
      </c>
      <c r="D109" s="204">
        <v>1.5</v>
      </c>
      <c r="E109" s="202">
        <v>1</v>
      </c>
      <c r="F109" s="202">
        <v>1</v>
      </c>
      <c r="G109" s="202">
        <v>1</v>
      </c>
      <c r="H109" s="201">
        <v>0</v>
      </c>
      <c r="I109" s="205">
        <v>478.8</v>
      </c>
      <c r="J109" s="205">
        <v>1050.08</v>
      </c>
      <c r="K109" s="212">
        <f t="shared" si="6"/>
      </c>
      <c r="L109" s="221">
        <f t="shared" si="8"/>
      </c>
      <c r="M109" s="221">
        <f t="shared" si="0"/>
      </c>
      <c r="N109" s="203"/>
      <c r="O109" s="203"/>
    </row>
    <row r="110">
      <c r="A110" s="202" t="s">
        <v>362</v>
      </c>
      <c r="B110" s="202" t="s">
        <v>312</v>
      </c>
      <c r="C110" s="211" t="s">
        <v>364</v>
      </c>
      <c r="D110" s="204">
        <v>2</v>
      </c>
      <c r="E110" s="202">
        <v>18</v>
      </c>
      <c r="F110" s="202">
        <v>10</v>
      </c>
      <c r="G110" s="202">
        <v>10</v>
      </c>
      <c r="H110" s="201">
        <v>0</v>
      </c>
      <c r="I110" s="205">
        <v>4552.8</v>
      </c>
      <c r="J110" s="205">
        <v>2538.46</v>
      </c>
      <c r="K110" s="212">
        <f t="shared" si="6"/>
      </c>
      <c r="L110" s="221">
        <f t="shared" si="8"/>
      </c>
      <c r="M110" s="221">
        <f t="shared" si="0"/>
      </c>
      <c r="N110" s="223"/>
      <c r="O110" s="223"/>
    </row>
    <row r="111">
      <c r="A111" s="202" t="s">
        <v>362</v>
      </c>
      <c r="B111" s="202" t="s">
        <v>305</v>
      </c>
      <c r="C111" s="211" t="s">
        <v>365</v>
      </c>
      <c r="D111" s="204">
        <v>2</v>
      </c>
      <c r="E111" s="202">
        <v>6</v>
      </c>
      <c r="F111" s="202">
        <v>3</v>
      </c>
      <c r="G111" s="202">
        <v>4</v>
      </c>
      <c r="H111" s="201">
        <v>0</v>
      </c>
      <c r="I111" s="205">
        <v>1797.5999999999995</v>
      </c>
      <c r="J111" s="205">
        <v>1954.1</v>
      </c>
      <c r="K111" s="212">
        <f t="shared" si="6"/>
      </c>
      <c r="L111" s="221">
        <f t="shared" si="8"/>
      </c>
      <c r="M111" s="221">
        <f t="shared" si="0"/>
      </c>
      <c r="N111" s="202" t="s">
        <v>366</v>
      </c>
      <c r="O111" s="203">
        <v>7.5</v>
      </c>
    </row>
    <row r="112">
      <c r="A112" s="202" t="s">
        <v>362</v>
      </c>
      <c r="B112" s="202" t="s">
        <v>312</v>
      </c>
      <c r="C112" s="219" t="s">
        <v>367</v>
      </c>
      <c r="D112" s="204">
        <v>2</v>
      </c>
      <c r="E112" s="202">
        <v>7</v>
      </c>
      <c r="F112" s="202">
        <v>4</v>
      </c>
      <c r="G112" s="202">
        <v>4</v>
      </c>
      <c r="H112" s="202">
        <v>0</v>
      </c>
      <c r="I112" s="205">
        <v>1856.4000000000005</v>
      </c>
      <c r="J112" s="205">
        <v>3429.96</v>
      </c>
      <c r="K112" s="221">
        <f t="shared" si="6"/>
      </c>
      <c r="L112" s="237">
        <f t="shared" si="8"/>
      </c>
      <c r="M112" s="237">
        <f t="shared" si="0"/>
      </c>
      <c r="N112" s="238"/>
      <c r="O112" s="239"/>
    </row>
    <row r="113">
      <c r="A113" s="224" t="s">
        <v>362</v>
      </c>
      <c r="B113" s="226"/>
      <c r="C113" s="226"/>
      <c r="D113" s="226">
        <f>SUM(D109:D112)</f>
      </c>
      <c r="E113" s="226">
        <f>SUM(E109:E112)</f>
      </c>
      <c r="F113" s="226">
        <f>SUM(F109:F112)</f>
      </c>
      <c r="G113" s="226">
        <f>SUM(G109:G112)</f>
      </c>
      <c r="H113" s="226">
        <f>SUM(H109:H112)</f>
      </c>
      <c r="I113" s="226">
        <f>SUM(I109:I112)</f>
      </c>
      <c r="J113" s="226">
        <f>SUM(J109:J112)</f>
      </c>
      <c r="K113" s="227">
        <f t="shared" si="6"/>
      </c>
      <c r="L113" s="227">
        <f t="shared" si="8"/>
      </c>
      <c r="M113" s="227">
        <f t="shared" si="0"/>
      </c>
      <c r="N113" s="226"/>
      <c r="O113" s="226">
        <f>SUM(O109:O112)</f>
      </c>
    </row>
    <row r="114">
      <c r="A114" s="202" t="s">
        <v>368</v>
      </c>
      <c r="B114" s="202" t="s">
        <v>305</v>
      </c>
      <c r="C114" s="211" t="s">
        <v>369</v>
      </c>
      <c r="D114" s="204">
        <v>2</v>
      </c>
      <c r="E114" s="202">
        <v>12</v>
      </c>
      <c r="F114" s="202">
        <v>7</v>
      </c>
      <c r="G114" s="202">
        <v>7</v>
      </c>
      <c r="H114" s="201">
        <v>0</v>
      </c>
      <c r="I114" s="205">
        <v>3057.6000000000004</v>
      </c>
      <c r="J114" s="205">
        <v>2371.92</v>
      </c>
      <c r="K114" s="212">
        <f t="shared" si="6"/>
      </c>
      <c r="L114" s="221">
        <f t="shared" si="8"/>
      </c>
      <c r="M114" s="221">
        <f t="shared" si="0"/>
      </c>
      <c r="N114" s="203"/>
      <c r="O114" s="203"/>
    </row>
    <row r="115">
      <c r="A115" s="202" t="s">
        <v>368</v>
      </c>
      <c r="B115" s="202" t="s">
        <v>312</v>
      </c>
      <c r="C115" s="211" t="s">
        <v>364</v>
      </c>
      <c r="D115" s="204">
        <v>2</v>
      </c>
      <c r="E115" s="202">
        <v>10</v>
      </c>
      <c r="F115" s="202">
        <v>7</v>
      </c>
      <c r="G115" s="202">
        <v>7</v>
      </c>
      <c r="H115" s="201">
        <v>7</v>
      </c>
      <c r="I115" s="205">
        <v>3175.2</v>
      </c>
      <c r="J115" s="205">
        <v>2622.59</v>
      </c>
      <c r="K115" s="212">
        <f t="shared" si="6"/>
      </c>
      <c r="L115" s="221">
        <f t="shared" si="8"/>
      </c>
      <c r="M115" s="221">
        <f t="shared" si="0"/>
      </c>
      <c r="N115" s="223"/>
      <c r="O115" s="223"/>
    </row>
    <row r="116">
      <c r="A116" s="202" t="s">
        <v>368</v>
      </c>
      <c r="B116" s="202" t="s">
        <v>305</v>
      </c>
      <c r="C116" s="211" t="s">
        <v>365</v>
      </c>
      <c r="D116" s="204">
        <v>2</v>
      </c>
      <c r="E116" s="202">
        <v>31</v>
      </c>
      <c r="F116" s="202">
        <v>20</v>
      </c>
      <c r="G116" s="202">
        <v>20</v>
      </c>
      <c r="H116" s="201">
        <v>1</v>
      </c>
      <c r="I116" s="205">
        <v>8916.099999999999</v>
      </c>
      <c r="J116" s="205">
        <v>12165.029999999999</v>
      </c>
      <c r="K116" s="212">
        <f t="shared" si="6"/>
      </c>
      <c r="L116" s="221">
        <f t="shared" si="8"/>
      </c>
      <c r="M116" s="221">
        <f t="shared" si="0"/>
      </c>
      <c r="N116" s="202" t="s">
        <v>366</v>
      </c>
      <c r="O116" s="203">
        <v>8</v>
      </c>
    </row>
    <row r="117">
      <c r="A117" s="202" t="s">
        <v>368</v>
      </c>
      <c r="B117" s="202" t="s">
        <v>312</v>
      </c>
      <c r="C117" s="219" t="s">
        <v>367</v>
      </c>
      <c r="D117" s="204">
        <v>2</v>
      </c>
      <c r="E117" s="202">
        <v>21</v>
      </c>
      <c r="F117" s="202">
        <v>17</v>
      </c>
      <c r="G117" s="202">
        <v>17</v>
      </c>
      <c r="H117" s="202">
        <v>2</v>
      </c>
      <c r="I117" s="205">
        <v>7375.200000000001</v>
      </c>
      <c r="J117" s="205">
        <v>2627.3</v>
      </c>
      <c r="K117" s="221">
        <f t="shared" si="6"/>
      </c>
      <c r="L117" s="237">
        <f t="shared" si="8"/>
      </c>
      <c r="M117" s="237">
        <f t="shared" si="0"/>
      </c>
      <c r="N117" s="238"/>
      <c r="O117" s="239"/>
    </row>
    <row r="118">
      <c r="A118" s="224" t="s">
        <v>368</v>
      </c>
      <c r="B118" s="226"/>
      <c r="C118" s="226"/>
      <c r="D118" s="226">
        <f>SUM(D114:D117)</f>
      </c>
      <c r="E118" s="226">
        <f>SUM(E114:E117)</f>
      </c>
      <c r="F118" s="226">
        <f>SUM(F114:F117)</f>
      </c>
      <c r="G118" s="226">
        <f>SUM(G114:G117)</f>
      </c>
      <c r="H118" s="226">
        <f>SUM(H114:H117)</f>
      </c>
      <c r="I118" s="226">
        <f>SUM(I114:I117)</f>
      </c>
      <c r="J118" s="226">
        <f>SUM(J114:J117)</f>
      </c>
      <c r="K118" s="227">
        <f t="shared" si="6"/>
      </c>
      <c r="L118" s="227">
        <f t="shared" si="8"/>
      </c>
      <c r="M118" s="227">
        <f t="shared" si="0"/>
      </c>
      <c r="N118" s="226"/>
      <c r="O118" s="226">
        <f>SUM(O114:O117)</f>
      </c>
    </row>
    <row r="119">
      <c r="A119" s="202" t="s">
        <v>370</v>
      </c>
      <c r="B119" s="202" t="s">
        <v>305</v>
      </c>
      <c r="C119" s="211" t="s">
        <v>369</v>
      </c>
      <c r="D119" s="204">
        <v>2</v>
      </c>
      <c r="E119" s="202">
        <v>25</v>
      </c>
      <c r="F119" s="202">
        <v>14</v>
      </c>
      <c r="G119" s="202">
        <v>14</v>
      </c>
      <c r="H119" s="201">
        <v>2</v>
      </c>
      <c r="I119" s="205">
        <v>6375.6</v>
      </c>
      <c r="J119" s="205">
        <v>3094.1000000000004</v>
      </c>
      <c r="K119" s="212">
        <f t="shared" si="6"/>
      </c>
      <c r="L119" s="221">
        <f t="shared" si="8"/>
      </c>
      <c r="M119" s="221">
        <f t="shared" si="0"/>
      </c>
      <c r="N119" s="203"/>
      <c r="O119" s="203"/>
    </row>
    <row r="120">
      <c r="A120" s="202" t="s">
        <v>370</v>
      </c>
      <c r="B120" s="202" t="s">
        <v>317</v>
      </c>
      <c r="C120" s="211" t="s">
        <v>364</v>
      </c>
      <c r="D120" s="204">
        <v>2</v>
      </c>
      <c r="E120" s="202">
        <v>11</v>
      </c>
      <c r="F120" s="202">
        <v>7</v>
      </c>
      <c r="G120" s="202">
        <v>7</v>
      </c>
      <c r="H120" s="201">
        <v>0</v>
      </c>
      <c r="I120" s="205">
        <v>3116.3999999999996</v>
      </c>
      <c r="J120" s="205">
        <v>2533.73</v>
      </c>
      <c r="K120" s="212">
        <f t="shared" si="6"/>
      </c>
      <c r="L120" s="221">
        <f t="shared" si="8"/>
      </c>
      <c r="M120" s="221">
        <f t="shared" si="0"/>
      </c>
      <c r="N120" s="223"/>
      <c r="O120" s="223"/>
    </row>
    <row customHeight="true" ht="16.071428571428573" r="121">
      <c r="A121" s="202" t="s">
        <v>370</v>
      </c>
      <c r="B121" s="202" t="s">
        <v>305</v>
      </c>
      <c r="C121" s="211" t="s">
        <v>365</v>
      </c>
      <c r="D121" s="204">
        <v>2</v>
      </c>
      <c r="E121" s="202">
        <v>12</v>
      </c>
      <c r="F121" s="202">
        <v>8</v>
      </c>
      <c r="G121" s="202">
        <v>8</v>
      </c>
      <c r="H121" s="201">
        <v>0</v>
      </c>
      <c r="I121" s="205">
        <v>3444</v>
      </c>
      <c r="J121" s="205">
        <v>2608.82</v>
      </c>
      <c r="K121" s="212">
        <f t="shared" si="6"/>
      </c>
      <c r="L121" s="221">
        <f t="shared" si="8"/>
      </c>
      <c r="M121" s="221">
        <f t="shared" si="0"/>
      </c>
      <c r="N121" s="202" t="s">
        <v>366</v>
      </c>
      <c r="O121" s="203">
        <v>7.5</v>
      </c>
    </row>
    <row r="122">
      <c r="A122" s="202" t="s">
        <v>370</v>
      </c>
      <c r="B122" s="202" t="s">
        <v>317</v>
      </c>
      <c r="C122" s="219" t="s">
        <v>371</v>
      </c>
      <c r="D122" s="204">
        <v>1.5</v>
      </c>
      <c r="E122" s="202">
        <v>9</v>
      </c>
      <c r="F122" s="202">
        <v>7</v>
      </c>
      <c r="G122" s="202">
        <v>7</v>
      </c>
      <c r="H122" s="202">
        <v>0</v>
      </c>
      <c r="I122" s="205">
        <v>3082.7999999999993</v>
      </c>
      <c r="J122" s="205">
        <v>2226.31</v>
      </c>
      <c r="K122" s="221">
        <f t="shared" si="6"/>
      </c>
      <c r="L122" s="237">
        <f t="shared" si="8"/>
      </c>
      <c r="M122" s="237">
        <f t="shared" si="0"/>
      </c>
      <c r="N122" s="238"/>
      <c r="O122" s="239"/>
    </row>
    <row r="123">
      <c r="A123" s="224" t="s">
        <v>370</v>
      </c>
      <c r="B123" s="226"/>
      <c r="C123" s="226"/>
      <c r="D123" s="226">
        <f>SUM(D119:D122)</f>
      </c>
      <c r="E123" s="226">
        <f>SUM(E119:E122)</f>
      </c>
      <c r="F123" s="226">
        <f>SUM(F119:F122)</f>
      </c>
      <c r="G123" s="226">
        <f>SUM(G119:G122)</f>
      </c>
      <c r="H123" s="226">
        <f>SUM(H119:H122)</f>
      </c>
      <c r="I123" s="226">
        <f>SUM(I119:I122)</f>
      </c>
      <c r="J123" s="226">
        <f>SUM(J119:J122)</f>
      </c>
      <c r="K123" s="227">
        <f t="shared" si="6"/>
      </c>
      <c r="L123" s="227">
        <f t="shared" si="8"/>
      </c>
      <c r="M123" s="227">
        <f t="shared" si="0"/>
      </c>
      <c r="N123" s="226"/>
      <c r="O123" s="226">
        <f>SUM(O119:O122)</f>
      </c>
    </row>
    <row r="124">
      <c r="A124" s="202" t="s">
        <v>372</v>
      </c>
      <c r="B124" s="202" t="s">
        <v>305</v>
      </c>
      <c r="C124" s="211" t="s">
        <v>340</v>
      </c>
      <c r="D124" s="204">
        <v>4</v>
      </c>
      <c r="E124" s="202">
        <v>40</v>
      </c>
      <c r="F124" s="202">
        <v>26</v>
      </c>
      <c r="G124" s="202">
        <v>26</v>
      </c>
      <c r="H124" s="201">
        <v>2</v>
      </c>
      <c r="I124" s="205">
        <v>11549</v>
      </c>
      <c r="J124" s="205">
        <v>5710.74</v>
      </c>
      <c r="K124" s="212">
        <f t="shared" si="6"/>
      </c>
      <c r="L124" s="221">
        <f t="shared" si="8"/>
      </c>
      <c r="M124" s="221">
        <f t="shared" si="0"/>
      </c>
      <c r="N124" s="203"/>
      <c r="O124" s="203"/>
    </row>
    <row r="125">
      <c r="A125" s="202" t="s">
        <v>372</v>
      </c>
      <c r="B125" s="202" t="s">
        <v>312</v>
      </c>
      <c r="C125" s="211" t="s">
        <v>373</v>
      </c>
      <c r="D125" s="204">
        <v>3</v>
      </c>
      <c r="E125" s="202">
        <v>19</v>
      </c>
      <c r="F125" s="202">
        <v>10</v>
      </c>
      <c r="G125" s="202">
        <v>10</v>
      </c>
      <c r="H125" s="201">
        <v>0</v>
      </c>
      <c r="I125" s="205">
        <v>4535</v>
      </c>
      <c r="J125" s="205">
        <v>3973.7400000000002</v>
      </c>
      <c r="K125" s="212">
        <f t="shared" si="6"/>
      </c>
      <c r="L125" s="221">
        <f t="shared" si="8"/>
      </c>
      <c r="M125" s="221">
        <f t="shared" si="0"/>
      </c>
      <c r="N125" s="223"/>
      <c r="O125" s="223"/>
    </row>
    <row r="126">
      <c r="A126" s="202" t="s">
        <v>372</v>
      </c>
      <c r="B126" s="202" t="s">
        <v>317</v>
      </c>
      <c r="C126" s="211" t="s">
        <v>374</v>
      </c>
      <c r="D126" s="204">
        <v>3</v>
      </c>
      <c r="E126" s="202">
        <v>26</v>
      </c>
      <c r="F126" s="202">
        <v>22</v>
      </c>
      <c r="G126" s="202">
        <v>22</v>
      </c>
      <c r="H126" s="201">
        <v>2</v>
      </c>
      <c r="I126" s="205">
        <v>9827</v>
      </c>
      <c r="J126" s="205">
        <v>3415.2799999999997</v>
      </c>
      <c r="K126" s="212">
        <f t="shared" si="6"/>
      </c>
      <c r="L126" s="221">
        <f t="shared" si="8"/>
      </c>
      <c r="M126" s="221">
        <f t="shared" si="0"/>
      </c>
      <c r="N126" s="202" t="s">
        <v>366</v>
      </c>
      <c r="O126" s="203">
        <v>10</v>
      </c>
    </row>
    <row r="127">
      <c r="A127" s="224" t="s">
        <v>372</v>
      </c>
      <c r="B127" s="226"/>
      <c r="C127" s="226"/>
      <c r="D127" s="226">
        <f>SUM(D124:D126)</f>
      </c>
      <c r="E127" s="226">
        <f>SUM(E124:E126)</f>
      </c>
      <c r="F127" s="226">
        <f>SUM(F124:F126)</f>
      </c>
      <c r="G127" s="226">
        <f>SUM(G124:G126)</f>
      </c>
      <c r="H127" s="226">
        <f>SUM(H124:H126)</f>
      </c>
      <c r="I127" s="226">
        <f>SUM(I124:I126)</f>
      </c>
      <c r="J127" s="226">
        <f>SUM(J124:J126)</f>
      </c>
      <c r="K127" s="227">
        <f t="shared" si="6"/>
      </c>
      <c r="L127" s="227">
        <f t="shared" si="8"/>
      </c>
      <c r="M127" s="227">
        <f t="shared" si="0"/>
      </c>
      <c r="N127" s="226"/>
      <c r="O127" s="226">
        <f>SUM(O124:O126)</f>
      </c>
    </row>
    <row r="128">
      <c r="A128" s="202" t="s">
        <v>375</v>
      </c>
      <c r="B128" s="202" t="s">
        <v>309</v>
      </c>
      <c r="C128" s="211" t="s">
        <v>376</v>
      </c>
      <c r="D128" s="204">
        <v>4</v>
      </c>
      <c r="E128" s="202">
        <v>3</v>
      </c>
      <c r="F128" s="202">
        <v>3</v>
      </c>
      <c r="G128" s="202">
        <v>3</v>
      </c>
      <c r="H128" s="201">
        <v>0</v>
      </c>
      <c r="I128" s="205">
        <v>1796.4</v>
      </c>
      <c r="J128" s="205">
        <v>3941.3200000000006</v>
      </c>
      <c r="K128" s="212">
        <f t="shared" si="6"/>
      </c>
      <c r="L128" s="221">
        <f t="shared" si="8"/>
      </c>
      <c r="M128" s="221">
        <f t="shared" si="0"/>
      </c>
      <c r="N128" s="203" t="s">
        <v>377</v>
      </c>
      <c r="O128" s="203">
        <v>4</v>
      </c>
    </row>
    <row r="129">
      <c r="A129" s="202" t="s">
        <v>375</v>
      </c>
      <c r="B129" s="202" t="s">
        <v>307</v>
      </c>
      <c r="C129" s="211" t="s">
        <v>321</v>
      </c>
      <c r="D129" s="204">
        <v>4</v>
      </c>
      <c r="E129" s="202">
        <v>8</v>
      </c>
      <c r="F129" s="202">
        <v>4</v>
      </c>
      <c r="G129" s="202">
        <v>4</v>
      </c>
      <c r="H129" s="201">
        <v>0</v>
      </c>
      <c r="I129" s="205">
        <v>2395.2000000000003</v>
      </c>
      <c r="J129" s="205">
        <v>4687.87</v>
      </c>
      <c r="K129" s="212">
        <f t="shared" si="6"/>
      </c>
      <c r="L129" s="221">
        <f t="shared" si="8"/>
      </c>
      <c r="M129" s="221">
        <f t="shared" si="0"/>
      </c>
      <c r="N129" s="223"/>
      <c r="O129" s="223"/>
    </row>
    <row r="130">
      <c r="A130" s="202" t="s">
        <v>375</v>
      </c>
      <c r="B130" s="202" t="s">
        <v>314</v>
      </c>
      <c r="C130" s="211" t="s">
        <v>378</v>
      </c>
      <c r="D130" s="204">
        <v>4</v>
      </c>
      <c r="E130" s="202">
        <v>19</v>
      </c>
      <c r="F130" s="202">
        <v>6</v>
      </c>
      <c r="G130" s="202">
        <v>6</v>
      </c>
      <c r="H130" s="201">
        <v>0</v>
      </c>
      <c r="I130" s="205">
        <v>3592.7999999999993</v>
      </c>
      <c r="J130" s="205">
        <v>4411.599999999999</v>
      </c>
      <c r="K130" s="212">
        <f t="shared" si="6"/>
      </c>
      <c r="L130" s="221">
        <f t="shared" si="8"/>
      </c>
      <c r="M130" s="221">
        <f t="shared" si="0"/>
      </c>
      <c r="N130" s="202" t="s">
        <v>361</v>
      </c>
      <c r="O130" s="203">
        <v>8</v>
      </c>
    </row>
    <row r="131">
      <c r="A131" s="224" t="s">
        <v>375</v>
      </c>
      <c r="B131" s="226"/>
      <c r="C131" s="226"/>
      <c r="D131" s="226">
        <f>SUM(D128:D130)</f>
      </c>
      <c r="E131" s="226">
        <f>SUM(E128:E130)</f>
      </c>
      <c r="F131" s="226">
        <f>SUM(F128:F130)</f>
      </c>
      <c r="G131" s="226">
        <f>SUM(G128:G130)</f>
      </c>
      <c r="H131" s="226">
        <f>SUM(H128:H130)</f>
      </c>
      <c r="I131" s="226">
        <f>SUM(I128:I130)</f>
      </c>
      <c r="J131" s="226">
        <f>SUM(J128:J130)</f>
      </c>
      <c r="K131" s="227">
        <f t="shared" si="6"/>
      </c>
      <c r="L131" s="227">
        <f t="shared" si="8"/>
      </c>
      <c r="M131" s="227">
        <f t="shared" si="0"/>
      </c>
      <c r="N131" s="226"/>
      <c r="O131" s="226">
        <f>SUM(O128:O130)</f>
      </c>
    </row>
    <row r="132">
      <c r="A132" s="202" t="s">
        <v>379</v>
      </c>
      <c r="B132" s="210" t="s">
        <v>317</v>
      </c>
      <c r="C132" s="211" t="s">
        <v>349</v>
      </c>
      <c r="D132" s="204">
        <v>4</v>
      </c>
      <c r="E132" s="202">
        <v>25</v>
      </c>
      <c r="F132" s="202">
        <v>15</v>
      </c>
      <c r="G132" s="202">
        <v>15</v>
      </c>
      <c r="H132" s="201">
        <v>1</v>
      </c>
      <c r="I132" s="246">
        <v>8934.1</v>
      </c>
      <c r="J132" s="205">
        <v>4054.58</v>
      </c>
      <c r="K132" s="212">
        <f t="shared" si="6"/>
      </c>
      <c r="L132" s="221">
        <f t="shared" si="8"/>
      </c>
      <c r="M132" s="221">
        <f t="shared" si="0"/>
      </c>
      <c r="N132" s="202"/>
      <c r="O132" s="202"/>
    </row>
    <row r="133">
      <c r="A133" s="202" t="s">
        <v>379</v>
      </c>
      <c r="B133" s="202" t="s">
        <v>305</v>
      </c>
      <c r="C133" s="211" t="s">
        <v>340</v>
      </c>
      <c r="D133" s="204">
        <v>4</v>
      </c>
      <c r="E133" s="202">
        <v>15</v>
      </c>
      <c r="F133" s="202">
        <v>10</v>
      </c>
      <c r="G133" s="202">
        <v>10</v>
      </c>
      <c r="H133" s="201">
        <v>1</v>
      </c>
      <c r="I133" s="205">
        <v>5844.299999999999</v>
      </c>
      <c r="J133" s="205">
        <v>4703.4</v>
      </c>
      <c r="K133" s="212">
        <f t="shared" si="6"/>
      </c>
      <c r="L133" s="221">
        <f t="shared" si="8"/>
      </c>
      <c r="M133" s="221">
        <f t="shared" si="0"/>
      </c>
      <c r="N133" s="203" t="s">
        <v>380</v>
      </c>
      <c r="O133" s="203">
        <v>10</v>
      </c>
    </row>
    <row r="134">
      <c r="A134" s="202" t="s">
        <v>379</v>
      </c>
      <c r="B134" s="202" t="s">
        <v>314</v>
      </c>
      <c r="C134" s="211" t="s">
        <v>341</v>
      </c>
      <c r="D134" s="204">
        <v>4</v>
      </c>
      <c r="E134" s="202">
        <v>18</v>
      </c>
      <c r="F134" s="202">
        <v>10</v>
      </c>
      <c r="G134" s="202">
        <v>10</v>
      </c>
      <c r="H134" s="201">
        <v>1</v>
      </c>
      <c r="I134" s="205">
        <v>5940.1</v>
      </c>
      <c r="J134" s="205">
        <v>4370.83</v>
      </c>
      <c r="K134" s="212">
        <f t="shared" si="6"/>
      </c>
      <c r="L134" s="221">
        <f t="shared" si="8"/>
      </c>
      <c r="M134" s="221">
        <f t="shared" si="0"/>
      </c>
      <c r="N134" s="203"/>
      <c r="O134" s="203"/>
    </row>
    <row r="135">
      <c r="A135" s="202" t="s">
        <v>379</v>
      </c>
      <c r="B135" s="202" t="s">
        <v>307</v>
      </c>
      <c r="C135" s="211" t="s">
        <v>342</v>
      </c>
      <c r="D135" s="204">
        <v>4</v>
      </c>
      <c r="E135" s="202">
        <v>17</v>
      </c>
      <c r="F135" s="202">
        <v>14</v>
      </c>
      <c r="G135" s="202">
        <v>14</v>
      </c>
      <c r="H135" s="201">
        <v>0</v>
      </c>
      <c r="I135" s="205">
        <v>8287.400000000001</v>
      </c>
      <c r="J135" s="205">
        <v>6122.85</v>
      </c>
      <c r="K135" s="212">
        <f t="shared" si="6"/>
      </c>
      <c r="L135" s="221">
        <f t="shared" si="8"/>
      </c>
      <c r="M135" s="221">
        <f t="shared" si="0"/>
      </c>
      <c r="N135" s="202" t="s">
        <v>381</v>
      </c>
      <c r="O135" s="203">
        <v>10</v>
      </c>
    </row>
    <row r="136">
      <c r="A136" s="235" t="s">
        <v>379</v>
      </c>
      <c r="B136" s="202" t="s">
        <v>312</v>
      </c>
      <c r="C136" s="219" t="s">
        <v>324</v>
      </c>
      <c r="D136" s="204">
        <v>4</v>
      </c>
      <c r="E136" s="202">
        <v>19</v>
      </c>
      <c r="F136" s="202">
        <v>11</v>
      </c>
      <c r="G136" s="202">
        <v>11</v>
      </c>
      <c r="H136" s="202">
        <v>1</v>
      </c>
      <c r="I136" s="205">
        <v>6586.799999999996</v>
      </c>
      <c r="J136" s="205">
        <v>4986.92</v>
      </c>
      <c r="K136" s="221">
        <f t="shared" si="6"/>
      </c>
      <c r="L136" s="237">
        <f t="shared" si="8"/>
      </c>
      <c r="M136" s="237">
        <f t="shared" si="0"/>
      </c>
      <c r="N136" s="238"/>
      <c r="O136" s="239"/>
    </row>
    <row r="137">
      <c r="A137" s="224" t="s">
        <v>379</v>
      </c>
      <c r="B137" s="226"/>
      <c r="C137" s="226"/>
      <c r="D137" s="226">
        <f>SUM(D132:D136)</f>
      </c>
      <c r="E137" s="226">
        <f>SUM(E132:E136)</f>
      </c>
      <c r="F137" s="226">
        <f>SUM(F132:F136)</f>
      </c>
      <c r="G137" s="226">
        <f>SUM(G132:G136)</f>
      </c>
      <c r="H137" s="226">
        <f>SUM(H132:H136)</f>
      </c>
      <c r="I137" s="226">
        <f>SUM(I132:I136)</f>
      </c>
      <c r="J137" s="226">
        <f>SUM(J132:J136)</f>
      </c>
      <c r="K137" s="227">
        <f t="shared" si="6"/>
      </c>
      <c r="L137" s="227">
        <f t="shared" si="8"/>
      </c>
      <c r="M137" s="227">
        <f t="shared" si="0"/>
      </c>
      <c r="N137" s="226"/>
      <c r="O137" s="226">
        <f>SUM(O132:O136)</f>
      </c>
    </row>
    <row r="138">
      <c r="A138" s="202" t="s">
        <v>382</v>
      </c>
      <c r="B138" s="210" t="s">
        <v>317</v>
      </c>
      <c r="C138" s="211" t="s">
        <v>349</v>
      </c>
      <c r="D138" s="204">
        <v>4</v>
      </c>
      <c r="E138" s="202">
        <v>12</v>
      </c>
      <c r="F138" s="202">
        <v>8</v>
      </c>
      <c r="G138" s="202">
        <v>8</v>
      </c>
      <c r="H138" s="201">
        <v>0</v>
      </c>
      <c r="I138" s="246">
        <v>4790.4</v>
      </c>
      <c r="J138" s="205">
        <v>4503.02</v>
      </c>
      <c r="K138" s="212">
        <f t="shared" si="6"/>
      </c>
      <c r="L138" s="221">
        <f t="shared" si="8"/>
      </c>
      <c r="M138" s="221">
        <f t="shared" si="0"/>
      </c>
      <c r="N138" s="202" t="s">
        <v>350</v>
      </c>
      <c r="O138" s="202">
        <v>1</v>
      </c>
    </row>
    <row r="139">
      <c r="A139" s="202" t="s">
        <v>382</v>
      </c>
      <c r="B139" s="202" t="s">
        <v>305</v>
      </c>
      <c r="C139" s="211" t="s">
        <v>340</v>
      </c>
      <c r="D139" s="204">
        <v>4</v>
      </c>
      <c r="E139" s="202">
        <v>20</v>
      </c>
      <c r="F139" s="202">
        <v>16</v>
      </c>
      <c r="G139" s="202">
        <v>16</v>
      </c>
      <c r="H139" s="201">
        <v>0</v>
      </c>
      <c r="I139" s="205">
        <v>9485</v>
      </c>
      <c r="J139" s="205">
        <v>5065.860000000001</v>
      </c>
      <c r="K139" s="212">
        <f t="shared" si="6"/>
      </c>
      <c r="L139" s="221">
        <f t="shared" si="8"/>
      </c>
      <c r="M139" s="221">
        <f t="shared" si="0"/>
      </c>
      <c r="N139" s="203" t="s">
        <v>380</v>
      </c>
      <c r="O139" s="203">
        <v>9</v>
      </c>
    </row>
    <row r="140">
      <c r="A140" s="202" t="s">
        <v>382</v>
      </c>
      <c r="B140" s="202" t="s">
        <v>309</v>
      </c>
      <c r="C140" s="211" t="s">
        <v>341</v>
      </c>
      <c r="D140" s="204">
        <v>4</v>
      </c>
      <c r="E140" s="202">
        <v>21</v>
      </c>
      <c r="F140" s="202">
        <v>15</v>
      </c>
      <c r="G140" s="202">
        <v>15</v>
      </c>
      <c r="H140" s="201">
        <v>1</v>
      </c>
      <c r="I140" s="205">
        <v>8886.199999999999</v>
      </c>
      <c r="J140" s="205">
        <v>5318.429999999999</v>
      </c>
      <c r="K140" s="212">
        <f t="shared" si="6"/>
      </c>
      <c r="L140" s="221">
        <f t="shared" si="8"/>
      </c>
      <c r="M140" s="221">
        <f t="shared" si="0"/>
      </c>
      <c r="N140" s="203"/>
      <c r="O140" s="203"/>
    </row>
    <row r="141">
      <c r="A141" s="202" t="s">
        <v>382</v>
      </c>
      <c r="B141" s="202" t="s">
        <v>312</v>
      </c>
      <c r="C141" s="211" t="s">
        <v>383</v>
      </c>
      <c r="D141" s="204">
        <v>3</v>
      </c>
      <c r="E141" s="202">
        <v>13</v>
      </c>
      <c r="F141" s="202">
        <v>7</v>
      </c>
      <c r="G141" s="202">
        <v>7</v>
      </c>
      <c r="H141" s="201">
        <v>1</v>
      </c>
      <c r="I141" s="205">
        <v>4143.700000000001</v>
      </c>
      <c r="J141" s="205">
        <v>3612.33</v>
      </c>
      <c r="K141" s="212">
        <f t="shared" si="6"/>
      </c>
      <c r="L141" s="221">
        <f t="shared" si="8"/>
      </c>
      <c r="M141" s="221">
        <f t="shared" si="0"/>
      </c>
      <c r="N141" s="202" t="s">
        <v>381</v>
      </c>
      <c r="O141" s="203">
        <v>1</v>
      </c>
    </row>
    <row r="142">
      <c r="A142" s="235" t="s">
        <v>382</v>
      </c>
      <c r="B142" s="202" t="s">
        <v>307</v>
      </c>
      <c r="C142" s="219" t="s">
        <v>384</v>
      </c>
      <c r="D142" s="204">
        <v>3</v>
      </c>
      <c r="E142" s="202">
        <v>16</v>
      </c>
      <c r="F142" s="202">
        <v>10</v>
      </c>
      <c r="G142" s="202">
        <v>10</v>
      </c>
      <c r="H142" s="202">
        <v>0</v>
      </c>
      <c r="I142" s="205">
        <v>5940.100000000002</v>
      </c>
      <c r="J142" s="205">
        <v>3466.4</v>
      </c>
      <c r="K142" s="221">
        <f t="shared" si="6"/>
      </c>
      <c r="L142" s="237">
        <f t="shared" si="8"/>
      </c>
      <c r="M142" s="237">
        <f t="shared" si="0"/>
      </c>
      <c r="N142" s="247" t="s">
        <v>385</v>
      </c>
      <c r="O142" s="248">
        <v>7</v>
      </c>
    </row>
    <row r="143">
      <c r="A143" s="249" t="s">
        <v>382</v>
      </c>
      <c r="B143" s="244"/>
      <c r="C143" s="244"/>
      <c r="D143" s="244">
        <f>SUM(D138:D142)</f>
      </c>
      <c r="E143" s="244">
        <f>SUM(E138:E142)</f>
      </c>
      <c r="F143" s="244">
        <f>SUM(F138:F142)</f>
      </c>
      <c r="G143" s="244">
        <f>SUM(G138:G142)</f>
      </c>
      <c r="H143" s="244">
        <f>SUM(H138:H142)</f>
      </c>
      <c r="I143" s="244">
        <f>SUM(I138:I142)</f>
      </c>
      <c r="J143" s="244">
        <f>SUM(J138:J142)</f>
      </c>
      <c r="K143" s="245">
        <f t="shared" si="6"/>
      </c>
      <c r="L143" s="245">
        <f t="shared" si="8"/>
      </c>
      <c r="M143" s="245">
        <f t="shared" si="0"/>
      </c>
      <c r="N143" s="244"/>
      <c r="O143" s="244">
        <f>SUM(O138:O142)</f>
      </c>
    </row>
    <row r="144">
      <c r="A144" s="202" t="s">
        <v>386</v>
      </c>
      <c r="B144" s="210" t="s">
        <v>317</v>
      </c>
      <c r="C144" s="203" t="s">
        <v>349</v>
      </c>
      <c r="D144" s="220">
        <v>4</v>
      </c>
      <c r="E144" s="202">
        <v>17</v>
      </c>
      <c r="F144" s="202">
        <v>11</v>
      </c>
      <c r="G144" s="202">
        <v>11</v>
      </c>
      <c r="H144" s="202">
        <v>0</v>
      </c>
      <c r="I144" s="250">
        <v>6395.2</v>
      </c>
      <c r="J144" s="251">
        <v>4851.2</v>
      </c>
      <c r="K144" s="221">
        <f t="shared" si="6"/>
      </c>
      <c r="L144" s="221">
        <f t="shared" si="8"/>
      </c>
      <c r="M144" s="221">
        <f t="shared" si="0"/>
      </c>
      <c r="N144" s="202" t="s">
        <v>353</v>
      </c>
      <c r="O144" s="202">
        <v>10</v>
      </c>
      <c r="P144" s="238"/>
    </row>
    <row r="145">
      <c r="A145" s="202" t="s">
        <v>386</v>
      </c>
      <c r="B145" s="202" t="s">
        <v>309</v>
      </c>
      <c r="C145" s="203" t="s">
        <v>387</v>
      </c>
      <c r="D145" s="220">
        <v>3</v>
      </c>
      <c r="E145" s="202">
        <v>7</v>
      </c>
      <c r="F145" s="202">
        <v>7</v>
      </c>
      <c r="G145" s="202">
        <v>7</v>
      </c>
      <c r="H145" s="202">
        <v>0</v>
      </c>
      <c r="I145" s="251">
        <v>4191.599999999999</v>
      </c>
      <c r="J145" s="251">
        <v>1992.13</v>
      </c>
      <c r="K145" s="221">
        <f t="shared" si="6"/>
      </c>
      <c r="L145" s="221">
        <f t="shared" si="8"/>
      </c>
      <c r="M145" s="221">
        <f t="shared" si="0"/>
      </c>
      <c r="N145" s="203"/>
      <c r="O145" s="203"/>
      <c r="P145" s="238"/>
    </row>
    <row r="146">
      <c r="A146" s="202" t="s">
        <v>386</v>
      </c>
      <c r="B146" s="202" t="s">
        <v>312</v>
      </c>
      <c r="C146" s="203" t="s">
        <v>388</v>
      </c>
      <c r="D146" s="220">
        <v>4</v>
      </c>
      <c r="E146" s="202">
        <v>14</v>
      </c>
      <c r="F146" s="202">
        <v>8</v>
      </c>
      <c r="G146" s="202">
        <v>8</v>
      </c>
      <c r="H146" s="202">
        <v>0</v>
      </c>
      <c r="I146" s="251">
        <v>4790.4000000000015</v>
      </c>
      <c r="J146" s="251">
        <v>3568.71</v>
      </c>
      <c r="K146" s="221">
        <f t="shared" si="6"/>
      </c>
      <c r="L146" s="221">
        <f t="shared" si="8"/>
      </c>
      <c r="M146" s="221">
        <f t="shared" si="0"/>
      </c>
      <c r="N146" s="203" t="s">
        <v>389</v>
      </c>
      <c r="O146" s="203">
        <v>1.5</v>
      </c>
      <c r="P146" s="238"/>
    </row>
    <row r="147">
      <c r="A147" s="202" t="s">
        <v>386</v>
      </c>
      <c r="B147" s="202" t="s">
        <v>305</v>
      </c>
      <c r="C147" s="203" t="s">
        <v>390</v>
      </c>
      <c r="D147" s="220">
        <v>4</v>
      </c>
      <c r="E147" s="202">
        <v>1</v>
      </c>
      <c r="F147" s="202">
        <v>1</v>
      </c>
      <c r="G147" s="202">
        <v>1</v>
      </c>
      <c r="H147" s="202">
        <v>0</v>
      </c>
      <c r="I147" s="251">
        <v>598.7999999999993</v>
      </c>
      <c r="J147" s="251">
        <v>2446.58</v>
      </c>
      <c r="K147" s="221">
        <f t="shared" si="6"/>
      </c>
      <c r="L147" s="221">
        <f t="shared" si="8"/>
      </c>
      <c r="M147" s="221">
        <f t="shared" si="0"/>
      </c>
      <c r="N147" s="202" t="s">
        <v>380</v>
      </c>
      <c r="O147" s="203">
        <v>6.5</v>
      </c>
      <c r="P147" s="238"/>
    </row>
    <row r="148">
      <c r="A148" s="202" t="s">
        <v>386</v>
      </c>
      <c r="B148" s="202" t="s">
        <v>314</v>
      </c>
      <c r="C148" s="202" t="s">
        <v>384</v>
      </c>
      <c r="D148" s="220">
        <v>3</v>
      </c>
      <c r="E148" s="202">
        <v>13</v>
      </c>
      <c r="F148" s="202">
        <v>9</v>
      </c>
      <c r="G148" s="202">
        <v>9</v>
      </c>
      <c r="H148" s="202">
        <v>0</v>
      </c>
      <c r="I148" s="251">
        <v>5389.200000000001</v>
      </c>
      <c r="J148" s="251">
        <v>4145.24</v>
      </c>
      <c r="K148" s="221">
        <f t="shared" si="6"/>
      </c>
      <c r="L148" s="221">
        <f t="shared" si="8"/>
      </c>
      <c r="M148" s="221">
        <f t="shared" si="0"/>
      </c>
      <c r="N148" s="252"/>
      <c r="O148" s="203"/>
      <c r="P148" s="238"/>
    </row>
    <row r="149">
      <c r="A149" s="233" t="s">
        <v>386</v>
      </c>
      <c r="B149" s="226"/>
      <c r="C149" s="226"/>
      <c r="D149" s="226">
        <f>SUM(D144:D148)</f>
      </c>
      <c r="E149" s="226">
        <f>SUM(E144:E148)</f>
      </c>
      <c r="F149" s="226">
        <f>SUM(F144:F148)</f>
      </c>
      <c r="G149" s="226">
        <f>SUM(G144:G148)</f>
      </c>
      <c r="H149" s="226">
        <f>SUM(H144:H148)</f>
      </c>
      <c r="I149" s="226">
        <f>SUM(I144:I148)</f>
      </c>
      <c r="J149" s="226">
        <f>SUM(J144:J148)</f>
      </c>
      <c r="K149" s="227">
        <f t="shared" si="6"/>
      </c>
      <c r="L149" s="227">
        <f t="shared" si="8"/>
      </c>
      <c r="M149" s="227">
        <f t="shared" si="0"/>
      </c>
      <c r="N149" s="226"/>
      <c r="O149" s="226">
        <f>SUM(O144:O148)</f>
      </c>
      <c r="P149" s="238"/>
    </row>
    <row r="150">
      <c r="A150" s="202" t="s">
        <v>391</v>
      </c>
      <c r="B150" s="202" t="s">
        <v>312</v>
      </c>
      <c r="C150" s="203" t="s">
        <v>349</v>
      </c>
      <c r="D150" s="220">
        <v>4</v>
      </c>
      <c r="E150" s="202">
        <v>8</v>
      </c>
      <c r="F150" s="202">
        <v>6</v>
      </c>
      <c r="G150" s="202">
        <v>6</v>
      </c>
      <c r="H150" s="202">
        <v>1</v>
      </c>
      <c r="I150" s="250">
        <v>3544.9</v>
      </c>
      <c r="J150" s="251">
        <v>4627.700000000001</v>
      </c>
      <c r="K150" s="221">
        <f t="shared" si="6"/>
      </c>
      <c r="L150" s="221">
        <f t="shared" si="8"/>
      </c>
      <c r="M150" s="221">
        <f t="shared" si="0"/>
      </c>
      <c r="N150" s="202" t="s">
        <v>353</v>
      </c>
      <c r="O150" s="202">
        <v>10</v>
      </c>
      <c r="P150" s="238"/>
    </row>
    <row r="151">
      <c r="A151" s="202" t="s">
        <v>391</v>
      </c>
      <c r="B151" s="202" t="s">
        <v>317</v>
      </c>
      <c r="C151" s="203" t="s">
        <v>340</v>
      </c>
      <c r="D151" s="220">
        <v>4</v>
      </c>
      <c r="E151" s="202">
        <v>5</v>
      </c>
      <c r="F151" s="202">
        <v>4</v>
      </c>
      <c r="G151" s="202">
        <v>4</v>
      </c>
      <c r="H151" s="202">
        <v>0</v>
      </c>
      <c r="I151" s="251">
        <v>2395.2000000000003</v>
      </c>
      <c r="J151" s="251">
        <v>4244.88</v>
      </c>
      <c r="K151" s="221">
        <f t="shared" si="6"/>
      </c>
      <c r="L151" s="221">
        <f t="shared" si="8"/>
      </c>
      <c r="M151" s="221">
        <f t="shared" si="0"/>
      </c>
      <c r="N151" s="223"/>
      <c r="O151" s="223"/>
      <c r="P151" s="238"/>
    </row>
    <row r="152">
      <c r="A152" s="202" t="s">
        <v>391</v>
      </c>
      <c r="B152" s="202" t="s">
        <v>314</v>
      </c>
      <c r="C152" s="203" t="s">
        <v>373</v>
      </c>
      <c r="D152" s="220">
        <v>3</v>
      </c>
      <c r="E152" s="202">
        <v>6</v>
      </c>
      <c r="F152" s="202">
        <v>3</v>
      </c>
      <c r="G152" s="202">
        <v>3</v>
      </c>
      <c r="H152" s="202">
        <v>0</v>
      </c>
      <c r="I152" s="251">
        <v>1700.5999999999995</v>
      </c>
      <c r="J152" s="251">
        <v>3199.2</v>
      </c>
      <c r="K152" s="221">
        <f t="shared" si="6"/>
      </c>
      <c r="L152" s="221">
        <f t="shared" si="8"/>
      </c>
      <c r="M152" s="221">
        <f t="shared" si="0"/>
      </c>
      <c r="N152" s="203" t="s">
        <v>392</v>
      </c>
      <c r="O152" s="203">
        <v>4</v>
      </c>
      <c r="P152" s="238"/>
    </row>
    <row r="153">
      <c r="A153" s="202" t="s">
        <v>391</v>
      </c>
      <c r="B153" s="202" t="s">
        <v>309</v>
      </c>
      <c r="C153" s="203" t="s">
        <v>374</v>
      </c>
      <c r="D153" s="220">
        <v>3</v>
      </c>
      <c r="E153" s="202">
        <v>14</v>
      </c>
      <c r="F153" s="202">
        <v>9</v>
      </c>
      <c r="G153" s="202">
        <v>9</v>
      </c>
      <c r="H153" s="202">
        <v>0</v>
      </c>
      <c r="I153" s="251">
        <v>5389.2</v>
      </c>
      <c r="J153" s="251">
        <v>3403.98</v>
      </c>
      <c r="K153" s="221">
        <f t="shared" si="6"/>
      </c>
      <c r="L153" s="221">
        <f t="shared" si="8"/>
      </c>
      <c r="M153" s="221">
        <f t="shared" si="0"/>
      </c>
      <c r="N153" s="202" t="s">
        <v>366</v>
      </c>
      <c r="O153" s="203">
        <v>4</v>
      </c>
      <c r="P153" s="238"/>
    </row>
    <row r="154">
      <c r="A154" s="202" t="s">
        <v>391</v>
      </c>
      <c r="B154" s="202" t="s">
        <v>307</v>
      </c>
      <c r="C154" s="202" t="s">
        <v>378</v>
      </c>
      <c r="D154" s="220">
        <v>4</v>
      </c>
      <c r="E154" s="202">
        <v>11</v>
      </c>
      <c r="F154" s="202">
        <v>7</v>
      </c>
      <c r="G154" s="202">
        <v>7</v>
      </c>
      <c r="H154" s="202">
        <v>0</v>
      </c>
      <c r="I154" s="251">
        <v>4143.699999999999</v>
      </c>
      <c r="J154" s="251">
        <v>4151.19</v>
      </c>
      <c r="K154" s="221">
        <f t="shared" si="6"/>
      </c>
      <c r="L154" s="221">
        <f t="shared" si="8"/>
      </c>
      <c r="M154" s="221">
        <f t="shared" si="0"/>
      </c>
      <c r="N154" s="252"/>
      <c r="O154" s="203"/>
      <c r="P154" s="238"/>
    </row>
    <row r="155">
      <c r="A155" s="233" t="s">
        <v>391</v>
      </c>
      <c r="B155" s="226"/>
      <c r="C155" s="226"/>
      <c r="D155" s="226">
        <f>SUM(D150:D154)</f>
      </c>
      <c r="E155" s="226">
        <f>SUM(E150:E154)</f>
      </c>
      <c r="F155" s="226">
        <f>SUM(F150:F154)</f>
      </c>
      <c r="G155" s="226">
        <f>SUM(G150:G154)</f>
      </c>
      <c r="H155" s="226">
        <f>SUM(H150:H154)</f>
      </c>
      <c r="I155" s="226">
        <f>SUM(I150:I154)</f>
      </c>
      <c r="J155" s="226">
        <f>SUM(J150:J154)</f>
      </c>
      <c r="K155" s="227">
        <f t="shared" si="6"/>
      </c>
      <c r="L155" s="227">
        <f t="shared" si="8"/>
      </c>
      <c r="M155" s="227">
        <f t="shared" si="0"/>
      </c>
      <c r="N155" s="226"/>
      <c r="O155" s="226">
        <f>SUM(O150:O154)</f>
      </c>
      <c r="P155" s="238"/>
    </row>
    <row r="156">
      <c r="A156" s="202" t="s">
        <v>393</v>
      </c>
      <c r="B156" s="202" t="s">
        <v>305</v>
      </c>
      <c r="C156" s="203" t="s">
        <v>349</v>
      </c>
      <c r="D156" s="220">
        <v>4</v>
      </c>
      <c r="E156" s="202">
        <v>13</v>
      </c>
      <c r="F156" s="202">
        <v>8</v>
      </c>
      <c r="G156" s="202">
        <v>8</v>
      </c>
      <c r="H156" s="202">
        <v>1</v>
      </c>
      <c r="I156" s="250">
        <v>4790.4</v>
      </c>
      <c r="J156" s="251">
        <v>4377.7699999999995</v>
      </c>
      <c r="K156" s="221">
        <f t="shared" si="6"/>
      </c>
      <c r="L156" s="221">
        <f t="shared" si="8"/>
      </c>
      <c r="M156" s="221">
        <f t="shared" si="0"/>
      </c>
      <c r="N156" s="202" t="s">
        <v>353</v>
      </c>
      <c r="O156" s="202">
        <v>10</v>
      </c>
      <c r="P156" s="238"/>
    </row>
    <row r="157">
      <c r="A157" s="202" t="s">
        <v>393</v>
      </c>
      <c r="B157" s="202" t="s">
        <v>317</v>
      </c>
      <c r="C157" s="203" t="s">
        <v>340</v>
      </c>
      <c r="D157" s="220">
        <v>4</v>
      </c>
      <c r="E157" s="202">
        <v>14</v>
      </c>
      <c r="F157" s="202">
        <v>12</v>
      </c>
      <c r="G157" s="202">
        <v>12</v>
      </c>
      <c r="H157" s="202">
        <v>1</v>
      </c>
      <c r="I157" s="251">
        <v>7089.800000000001</v>
      </c>
      <c r="J157" s="251">
        <v>6192.83</v>
      </c>
      <c r="K157" s="221">
        <f t="shared" si="6"/>
      </c>
      <c r="L157" s="221">
        <f t="shared" si="8"/>
      </c>
      <c r="M157" s="221">
        <f t="shared" si="0"/>
      </c>
      <c r="N157" s="223"/>
      <c r="O157" s="223"/>
      <c r="P157" s="238"/>
    </row>
    <row r="158">
      <c r="A158" s="202" t="s">
        <v>393</v>
      </c>
      <c r="B158" s="202" t="s">
        <v>307</v>
      </c>
      <c r="C158" s="203" t="s">
        <v>373</v>
      </c>
      <c r="D158" s="220">
        <v>3</v>
      </c>
      <c r="E158" s="202">
        <v>12</v>
      </c>
      <c r="F158" s="202">
        <v>5</v>
      </c>
      <c r="G158" s="202">
        <v>5</v>
      </c>
      <c r="H158" s="202">
        <v>0</v>
      </c>
      <c r="I158" s="251">
        <v>2994</v>
      </c>
      <c r="J158" s="251">
        <v>4223.62</v>
      </c>
      <c r="K158" s="221">
        <f t="shared" si="6"/>
      </c>
      <c r="L158" s="221">
        <f t="shared" si="8"/>
      </c>
      <c r="M158" s="221">
        <f t="shared" si="0"/>
      </c>
      <c r="N158" s="203" t="s">
        <v>380</v>
      </c>
      <c r="O158" s="203">
        <v>8</v>
      </c>
      <c r="P158" s="238"/>
    </row>
    <row r="159">
      <c r="A159" s="202" t="s">
        <v>393</v>
      </c>
      <c r="B159" s="202" t="s">
        <v>312</v>
      </c>
      <c r="C159" s="203" t="s">
        <v>390</v>
      </c>
      <c r="D159" s="220">
        <v>4</v>
      </c>
      <c r="E159" s="202">
        <v>4</v>
      </c>
      <c r="F159" s="202">
        <v>4</v>
      </c>
      <c r="G159" s="202">
        <v>4</v>
      </c>
      <c r="H159" s="202">
        <v>0</v>
      </c>
      <c r="I159" s="251">
        <v>2395.2000000000007</v>
      </c>
      <c r="J159" s="251">
        <v>6284.700000000001</v>
      </c>
      <c r="K159" s="221">
        <f t="shared" si="6"/>
      </c>
      <c r="L159" s="221">
        <f t="shared" si="8"/>
      </c>
      <c r="M159" s="221">
        <f t="shared" si="0"/>
      </c>
      <c r="N159" s="202"/>
      <c r="O159" s="203"/>
      <c r="P159" s="238"/>
    </row>
    <row r="160">
      <c r="A160" s="202" t="s">
        <v>393</v>
      </c>
      <c r="B160" s="202" t="s">
        <v>309</v>
      </c>
      <c r="C160" s="202" t="s">
        <v>384</v>
      </c>
      <c r="D160" s="220">
        <v>3</v>
      </c>
      <c r="E160" s="202">
        <v>6</v>
      </c>
      <c r="F160" s="202">
        <v>3</v>
      </c>
      <c r="G160" s="202">
        <v>3</v>
      </c>
      <c r="H160" s="202">
        <v>0</v>
      </c>
      <c r="I160" s="251">
        <v>1748.5</v>
      </c>
      <c r="J160" s="251">
        <v>3259.16</v>
      </c>
      <c r="K160" s="221">
        <f t="shared" si="6"/>
      </c>
      <c r="L160" s="221">
        <f t="shared" si="8"/>
      </c>
      <c r="M160" s="221">
        <f t="shared" si="0"/>
      </c>
      <c r="N160" s="252"/>
      <c r="O160" s="203"/>
      <c r="P160" s="238"/>
    </row>
    <row r="161">
      <c r="A161" s="233" t="s">
        <v>393</v>
      </c>
      <c r="B161" s="226"/>
      <c r="C161" s="226"/>
      <c r="D161" s="226">
        <f>SUM(D156:D160)</f>
      </c>
      <c r="E161" s="226">
        <f>SUM(E156:E160)</f>
      </c>
      <c r="F161" s="226">
        <f>SUM(F156:F160)</f>
      </c>
      <c r="G161" s="226">
        <f>SUM(G156:G160)</f>
      </c>
      <c r="H161" s="226">
        <f>SUM(H156:H160)</f>
      </c>
      <c r="I161" s="226">
        <f>SUM(I156:I160)</f>
      </c>
      <c r="J161" s="226">
        <f>SUM(J156:J160)</f>
      </c>
      <c r="K161" s="227">
        <f t="shared" si="6"/>
      </c>
      <c r="L161" s="227">
        <f t="shared" si="8"/>
      </c>
      <c r="M161" s="227">
        <f t="shared" si="0"/>
      </c>
      <c r="N161" s="226"/>
      <c r="O161" s="226">
        <f>SUM(O156:O160)</f>
      </c>
      <c r="P161" s="238"/>
    </row>
    <row r="162">
      <c r="A162" s="202" t="s">
        <v>394</v>
      </c>
      <c r="B162" s="202" t="s">
        <v>317</v>
      </c>
      <c r="C162" s="203" t="s">
        <v>349</v>
      </c>
      <c r="D162" s="220">
        <v>4</v>
      </c>
      <c r="E162" s="202">
        <v>10</v>
      </c>
      <c r="F162" s="202">
        <v>7</v>
      </c>
      <c r="G162" s="202">
        <v>7</v>
      </c>
      <c r="H162" s="202">
        <v>0</v>
      </c>
      <c r="I162" s="250">
        <v>3275</v>
      </c>
      <c r="J162" s="251">
        <v>5716.07</v>
      </c>
      <c r="K162" s="221">
        <f t="shared" si="6"/>
      </c>
      <c r="L162" s="221">
        <f t="shared" si="8"/>
      </c>
      <c r="M162" s="221">
        <f t="shared" si="0"/>
      </c>
      <c r="N162" s="202" t="s">
        <v>353</v>
      </c>
      <c r="O162" s="202">
        <v>10</v>
      </c>
      <c r="P162" s="238"/>
    </row>
    <row r="163">
      <c r="A163" s="202" t="s">
        <v>394</v>
      </c>
      <c r="B163" s="202" t="s">
        <v>314</v>
      </c>
      <c r="C163" s="203" t="s">
        <v>387</v>
      </c>
      <c r="D163" s="220">
        <v>3</v>
      </c>
      <c r="E163" s="202">
        <v>5</v>
      </c>
      <c r="F163" s="202">
        <v>4</v>
      </c>
      <c r="G163" s="202">
        <v>4</v>
      </c>
      <c r="H163" s="202">
        <v>0</v>
      </c>
      <c r="I163" s="251">
        <v>2155.2</v>
      </c>
      <c r="J163" s="251">
        <v>2652.73</v>
      </c>
      <c r="K163" s="221">
        <f t="shared" si="6"/>
      </c>
      <c r="L163" s="221">
        <f t="shared" si="8"/>
      </c>
      <c r="M163" s="221">
        <f t="shared" si="0"/>
      </c>
      <c r="N163" s="223"/>
      <c r="O163" s="223"/>
      <c r="P163" s="238"/>
    </row>
    <row r="164">
      <c r="A164" s="202" t="s">
        <v>394</v>
      </c>
      <c r="B164" s="202" t="s">
        <v>312</v>
      </c>
      <c r="C164" s="203" t="s">
        <v>388</v>
      </c>
      <c r="D164" s="220">
        <v>4</v>
      </c>
      <c r="E164" s="202">
        <v>17</v>
      </c>
      <c r="F164" s="202">
        <v>10</v>
      </c>
      <c r="G164" s="202">
        <v>10</v>
      </c>
      <c r="H164" s="202">
        <v>0</v>
      </c>
      <c r="I164" s="251">
        <v>5148.000000000001</v>
      </c>
      <c r="J164" s="251">
        <v>4351.93</v>
      </c>
      <c r="K164" s="221">
        <f t="shared" si="6"/>
      </c>
      <c r="L164" s="221">
        <f t="shared" si="8"/>
      </c>
      <c r="M164" s="221">
        <f t="shared" si="0"/>
      </c>
      <c r="N164" s="203" t="s">
        <v>380</v>
      </c>
      <c r="O164" s="203">
        <v>8</v>
      </c>
      <c r="P164" s="238"/>
    </row>
    <row r="165">
      <c r="A165" s="202" t="s">
        <v>394</v>
      </c>
      <c r="B165" s="202" t="s">
        <v>307</v>
      </c>
      <c r="C165" s="203" t="s">
        <v>390</v>
      </c>
      <c r="D165" s="220">
        <v>4</v>
      </c>
      <c r="E165" s="202">
        <v>25</v>
      </c>
      <c r="F165" s="202">
        <v>21</v>
      </c>
      <c r="G165" s="202">
        <v>21</v>
      </c>
      <c r="H165" s="202">
        <v>5</v>
      </c>
      <c r="I165" s="251">
        <v>10256.5</v>
      </c>
      <c r="J165" s="251">
        <v>4624.38</v>
      </c>
      <c r="K165" s="221">
        <f t="shared" si="6"/>
      </c>
      <c r="L165" s="221">
        <f t="shared" si="8"/>
      </c>
      <c r="M165" s="221">
        <f t="shared" si="0"/>
      </c>
      <c r="N165" s="202"/>
      <c r="O165" s="203"/>
      <c r="P165" s="238"/>
    </row>
    <row r="166">
      <c r="A166" s="202" t="s">
        <v>394</v>
      </c>
      <c r="B166" s="202" t="s">
        <v>309</v>
      </c>
      <c r="C166" s="202" t="s">
        <v>384</v>
      </c>
      <c r="D166" s="220">
        <v>3</v>
      </c>
      <c r="E166" s="202">
        <v>16</v>
      </c>
      <c r="F166" s="202">
        <v>13</v>
      </c>
      <c r="G166" s="202">
        <v>13</v>
      </c>
      <c r="H166" s="202">
        <v>2</v>
      </c>
      <c r="I166" s="251">
        <v>6378.200000000001</v>
      </c>
      <c r="J166" s="251">
        <v>3830.4999999999995</v>
      </c>
      <c r="K166" s="221">
        <f t="shared" si="6"/>
      </c>
      <c r="L166" s="221">
        <f t="shared" si="8"/>
      </c>
      <c r="M166" s="221">
        <f t="shared" si="0"/>
      </c>
      <c r="N166" s="252"/>
      <c r="O166" s="203"/>
      <c r="P166" s="238"/>
    </row>
    <row r="167">
      <c r="A167" s="233" t="s">
        <v>394</v>
      </c>
      <c r="B167" s="226"/>
      <c r="C167" s="226"/>
      <c r="D167" s="226">
        <f>SUM(D162:D166)</f>
      </c>
      <c r="E167" s="226">
        <f>SUM(E162:E166)</f>
      </c>
      <c r="F167" s="226">
        <f>SUM(F162:F166)</f>
      </c>
      <c r="G167" s="226">
        <f>SUM(G162:G166)</f>
      </c>
      <c r="H167" s="226">
        <f>SUM(H162:H166)</f>
      </c>
      <c r="I167" s="226">
        <f>SUM(I162:I166)</f>
      </c>
      <c r="J167" s="226">
        <f>SUM(J162:J166)</f>
      </c>
      <c r="K167" s="227">
        <f t="shared" si="6"/>
      </c>
      <c r="L167" s="227">
        <f t="shared" si="8"/>
      </c>
      <c r="M167" s="227">
        <f t="shared" si="0"/>
      </c>
      <c r="N167" s="226"/>
      <c r="O167" s="226">
        <f>SUM(O162:O166)</f>
      </c>
      <c r="P167" s="238"/>
    </row>
    <row r="168">
      <c r="A168" s="202" t="s">
        <v>395</v>
      </c>
      <c r="B168" s="202" t="s">
        <v>312</v>
      </c>
      <c r="C168" s="203" t="s">
        <v>349</v>
      </c>
      <c r="D168" s="220">
        <v>4</v>
      </c>
      <c r="E168" s="202">
        <v>24</v>
      </c>
      <c r="F168" s="202">
        <v>17</v>
      </c>
      <c r="G168" s="202">
        <v>17</v>
      </c>
      <c r="H168" s="202">
        <v>0</v>
      </c>
      <c r="I168" s="250">
        <v>8619.6</v>
      </c>
      <c r="J168" s="251">
        <v>5993.6</v>
      </c>
      <c r="K168" s="221">
        <f t="shared" si="6"/>
      </c>
      <c r="L168" s="221">
        <f t="shared" si="8"/>
      </c>
      <c r="M168" s="221">
        <f t="shared" si="0"/>
      </c>
      <c r="N168" s="202" t="s">
        <v>353</v>
      </c>
      <c r="O168" s="202">
        <v>10</v>
      </c>
    </row>
    <row r="169">
      <c r="A169" s="202" t="s">
        <v>395</v>
      </c>
      <c r="B169" s="202" t="s">
        <v>307</v>
      </c>
      <c r="C169" s="203" t="s">
        <v>340</v>
      </c>
      <c r="D169" s="220">
        <v>4</v>
      </c>
      <c r="E169" s="202">
        <v>15</v>
      </c>
      <c r="F169" s="202">
        <v>11</v>
      </c>
      <c r="G169" s="202">
        <v>11</v>
      </c>
      <c r="H169" s="202">
        <v>0</v>
      </c>
      <c r="I169" s="251">
        <v>5271.9</v>
      </c>
      <c r="J169" s="251">
        <v>5390.219999999999</v>
      </c>
      <c r="K169" s="221">
        <f t="shared" si="6"/>
      </c>
      <c r="L169" s="221">
        <f t="shared" si="8"/>
      </c>
      <c r="M169" s="221">
        <f t="shared" si="0"/>
      </c>
      <c r="N169" s="223"/>
      <c r="O169" s="223"/>
    </row>
    <row r="170">
      <c r="A170" s="202" t="s">
        <v>395</v>
      </c>
      <c r="B170" s="202" t="s">
        <v>314</v>
      </c>
      <c r="C170" s="203" t="s">
        <v>373</v>
      </c>
      <c r="D170" s="220">
        <v>3</v>
      </c>
      <c r="E170" s="202">
        <v>11</v>
      </c>
      <c r="F170" s="202">
        <v>5</v>
      </c>
      <c r="G170" s="202">
        <v>5</v>
      </c>
      <c r="H170" s="202">
        <v>0</v>
      </c>
      <c r="I170" s="251">
        <v>2991.9999999999995</v>
      </c>
      <c r="J170" s="251">
        <v>3694.7700000000004</v>
      </c>
      <c r="K170" s="221">
        <f t="shared" si="6"/>
      </c>
      <c r="L170" s="221">
        <f t="shared" si="8"/>
      </c>
      <c r="M170" s="221">
        <f t="shared" si="0"/>
      </c>
      <c r="N170" s="203" t="s">
        <v>380</v>
      </c>
      <c r="O170" s="203">
        <v>8</v>
      </c>
    </row>
    <row r="171">
      <c r="A171" s="202" t="s">
        <v>395</v>
      </c>
      <c r="B171" s="202" t="s">
        <v>309</v>
      </c>
      <c r="C171" s="203" t="s">
        <v>374</v>
      </c>
      <c r="D171" s="253">
        <f>3-1</f>
      </c>
      <c r="E171" s="202">
        <v>18</v>
      </c>
      <c r="F171" s="202">
        <v>15</v>
      </c>
      <c r="G171" s="202">
        <v>15</v>
      </c>
      <c r="H171" s="202">
        <v>1</v>
      </c>
      <c r="I171" s="251">
        <v>7383.700000000001</v>
      </c>
      <c r="J171" s="251">
        <v>3789.2599999999998</v>
      </c>
      <c r="K171" s="221">
        <f t="shared" si="6"/>
      </c>
      <c r="L171" s="221">
        <f t="shared" si="8"/>
      </c>
      <c r="M171" s="221">
        <f t="shared" si="0"/>
      </c>
      <c r="N171" s="202"/>
      <c r="O171" s="203"/>
    </row>
    <row r="172">
      <c r="A172" s="202" t="s">
        <v>395</v>
      </c>
      <c r="B172" s="202" t="s">
        <v>317</v>
      </c>
      <c r="C172" s="202" t="s">
        <v>378</v>
      </c>
      <c r="D172" s="220">
        <v>4</v>
      </c>
      <c r="E172" s="202">
        <v>20</v>
      </c>
      <c r="F172" s="202">
        <v>13</v>
      </c>
      <c r="G172" s="202">
        <v>13</v>
      </c>
      <c r="H172" s="202">
        <v>1</v>
      </c>
      <c r="I172" s="251">
        <v>6507.799999999999</v>
      </c>
      <c r="J172" s="251">
        <v>5195.03</v>
      </c>
      <c r="K172" s="221">
        <f t="shared" si="6"/>
      </c>
      <c r="L172" s="221">
        <f t="shared" si="8"/>
      </c>
      <c r="M172" s="221">
        <f t="shared" si="0"/>
      </c>
      <c r="N172" s="252"/>
      <c r="O172" s="203"/>
    </row>
    <row r="173">
      <c r="A173" s="233" t="s">
        <v>395</v>
      </c>
      <c r="B173" s="226"/>
      <c r="C173" s="226"/>
      <c r="D173" s="226">
        <f>SUM(D168:D172)</f>
      </c>
      <c r="E173" s="226">
        <f>SUM(E168:E172)</f>
      </c>
      <c r="F173" s="226">
        <f>SUM(F168:F172)</f>
      </c>
      <c r="G173" s="226">
        <f>SUM(G168:G172)</f>
      </c>
      <c r="H173" s="226">
        <f>SUM(H168:H172)</f>
      </c>
      <c r="I173" s="226">
        <f>SUM(I168:I172)</f>
      </c>
      <c r="J173" s="226">
        <f>SUM(J168:J172)</f>
      </c>
      <c r="K173" s="227">
        <f t="shared" si="6"/>
      </c>
      <c r="L173" s="227">
        <f t="shared" si="8"/>
      </c>
      <c r="M173" s="227">
        <f t="shared" si="0"/>
      </c>
      <c r="N173" s="226"/>
      <c r="O173" s="226">
        <f>SUM(O168:O172)</f>
      </c>
    </row>
    <row r="174">
      <c r="A174" s="202" t="s">
        <v>396</v>
      </c>
      <c r="B174" s="202" t="s">
        <v>312</v>
      </c>
      <c r="C174" s="203" t="s">
        <v>349</v>
      </c>
      <c r="D174" s="253">
        <f>4-1</f>
      </c>
      <c r="E174" s="202">
        <v>23</v>
      </c>
      <c r="F174" s="202">
        <v>17</v>
      </c>
      <c r="G174" s="202">
        <v>17</v>
      </c>
      <c r="H174" s="202">
        <v>0</v>
      </c>
      <c r="I174" s="250">
        <v>8485.5</v>
      </c>
      <c r="J174" s="251">
        <v>4973.68</v>
      </c>
      <c r="K174" s="221">
        <f t="shared" si="6"/>
      </c>
      <c r="L174" s="221">
        <f t="shared" si="8"/>
      </c>
      <c r="M174" s="221">
        <f t="shared" si="0"/>
      </c>
      <c r="N174" s="202" t="s">
        <v>353</v>
      </c>
      <c r="O174" s="202">
        <v>10</v>
      </c>
    </row>
    <row r="175">
      <c r="A175" s="202" t="s">
        <v>396</v>
      </c>
      <c r="B175" s="202" t="s">
        <v>317</v>
      </c>
      <c r="C175" s="203" t="s">
        <v>340</v>
      </c>
      <c r="D175" s="253">
        <f>4-1.5</f>
      </c>
      <c r="E175" s="202">
        <v>18</v>
      </c>
      <c r="F175" s="202">
        <v>13</v>
      </c>
      <c r="G175" s="202">
        <v>13</v>
      </c>
      <c r="H175" s="202">
        <v>0</v>
      </c>
      <c r="I175" s="251">
        <v>6032.9</v>
      </c>
      <c r="J175" s="251">
        <v>5120.07</v>
      </c>
      <c r="K175" s="221">
        <f t="shared" si="6"/>
      </c>
      <c r="L175" s="221">
        <f t="shared" si="8"/>
      </c>
      <c r="M175" s="221">
        <f t="shared" si="0"/>
      </c>
      <c r="N175" s="223"/>
      <c r="O175" s="223"/>
    </row>
    <row customHeight="true" ht="16.071428571428573" r="176">
      <c r="A176" s="202" t="s">
        <v>396</v>
      </c>
      <c r="B176" s="202" t="s">
        <v>314</v>
      </c>
      <c r="C176" s="203" t="s">
        <v>373</v>
      </c>
      <c r="D176" s="253">
        <f t="shared" ref="D176:D177" si="1">3-1</f>
      </c>
      <c r="E176" s="202">
        <v>11</v>
      </c>
      <c r="F176" s="202">
        <v>6</v>
      </c>
      <c r="G176" s="202">
        <v>6</v>
      </c>
      <c r="H176" s="202">
        <v>0</v>
      </c>
      <c r="I176" s="251">
        <v>2992.800000000001</v>
      </c>
      <c r="J176" s="251">
        <v>3430.87</v>
      </c>
      <c r="K176" s="221">
        <f t="shared" si="6"/>
      </c>
      <c r="L176" s="221">
        <f t="shared" si="8"/>
      </c>
      <c r="M176" s="221">
        <f t="shared" si="0"/>
      </c>
      <c r="N176" s="203" t="s">
        <v>380</v>
      </c>
      <c r="O176" s="203">
        <v>8</v>
      </c>
    </row>
    <row customHeight="true" ht="16.071428571428573" r="177">
      <c r="A177" s="202" t="s">
        <v>396</v>
      </c>
      <c r="B177" s="202" t="s">
        <v>307</v>
      </c>
      <c r="C177" s="203" t="s">
        <v>374</v>
      </c>
      <c r="D177" s="253">
        <f t="shared" si="1"/>
      </c>
      <c r="E177" s="202">
        <v>13</v>
      </c>
      <c r="F177" s="202">
        <v>9</v>
      </c>
      <c r="G177" s="202">
        <v>9</v>
      </c>
      <c r="H177" s="202">
        <v>0</v>
      </c>
      <c r="I177" s="251">
        <v>4270.899999999998</v>
      </c>
      <c r="J177" s="251">
        <v>3890.88</v>
      </c>
      <c r="K177" s="221">
        <f t="shared" si="6"/>
      </c>
      <c r="L177" s="221">
        <f t="shared" si="8"/>
      </c>
      <c r="M177" s="221">
        <f t="shared" si="0"/>
      </c>
      <c r="N177" s="202"/>
      <c r="O177" s="203"/>
    </row>
    <row customHeight="true" ht="16.071428571428573" r="178">
      <c r="A178" s="202" t="s">
        <v>396</v>
      </c>
      <c r="B178" s="202" t="s">
        <v>305</v>
      </c>
      <c r="C178" s="202" t="s">
        <v>378</v>
      </c>
      <c r="D178" s="253">
        <f>4-2</f>
      </c>
      <c r="E178" s="202">
        <v>26</v>
      </c>
      <c r="F178" s="202">
        <v>22</v>
      </c>
      <c r="G178" s="202">
        <v>22</v>
      </c>
      <c r="H178" s="202">
        <v>1</v>
      </c>
      <c r="I178" s="251">
        <v>10740.400000000001</v>
      </c>
      <c r="J178" s="251">
        <v>5829</v>
      </c>
      <c r="K178" s="221">
        <f t="shared" si="6"/>
      </c>
      <c r="L178" s="221">
        <f t="shared" si="8"/>
      </c>
      <c r="M178" s="221">
        <f t="shared" si="0"/>
      </c>
      <c r="N178" s="252"/>
      <c r="O178" s="203"/>
    </row>
    <row customHeight="true" ht="16.071428571428573" r="179">
      <c r="A179" s="233" t="s">
        <v>396</v>
      </c>
      <c r="B179" s="226"/>
      <c r="C179" s="226"/>
      <c r="D179" s="226">
        <f>SUM(D174:D178)</f>
      </c>
      <c r="E179" s="226">
        <f>SUM(E174:E178)</f>
      </c>
      <c r="F179" s="226">
        <f>SUM(F174:F178)</f>
      </c>
      <c r="G179" s="226">
        <f>SUM(G174:G178)</f>
      </c>
      <c r="H179" s="226">
        <f>SUM(H174:H178)</f>
      </c>
      <c r="I179" s="226">
        <f>SUM(I174:I178)</f>
      </c>
      <c r="J179" s="226">
        <v>23399.43</v>
      </c>
      <c r="K179" s="227">
        <f t="shared" si="6"/>
      </c>
      <c r="L179" s="227">
        <f t="shared" si="8"/>
      </c>
      <c r="M179" s="227">
        <f t="shared" si="0"/>
      </c>
      <c r="N179" s="226"/>
      <c r="O179" s="226">
        <f>SUM(O174:O178)</f>
      </c>
    </row>
    <row customHeight="true" ht="16.071428571428573" r="180">
      <c r="E180" s="254"/>
    </row>
    <row r="181">
      <c r="E181" s="254"/>
    </row>
    <row customHeight="true" ht="16.071428571428573" r="182">
      <c r="I182" s="254"/>
      <c r="J182" s="254"/>
    </row>
    <row customHeight="true" ht="16.071428571428573" r="183"/>
    <row customHeight="true" ht="16.071428571428573" r="184">
      <c r="H184" s="255" t="s">
        <v>397</v>
      </c>
    </row>
    <row customHeight="true" ht="16.071428571428573" r="185">
      <c r="H185" s="256">
        <f t="shared" ref="H185:H190" si="4">F185/G185</f>
      </c>
    </row>
    <row customHeight="true" ht="16.071428571428573" r="186">
      <c r="H186" s="256">
        <f t="shared" si="4"/>
      </c>
    </row>
    <row customHeight="true" ht="16.071428571428573" r="187">
      <c r="H187" s="256">
        <f t="shared" si="4"/>
      </c>
    </row>
    <row customHeight="true" ht="16.071428571428573" r="188">
      <c r="H188" s="256">
        <f t="shared" si="4"/>
      </c>
    </row>
    <row customHeight="true" ht="16.071428571428573" r="189">
      <c r="H189" s="256">
        <f t="shared" si="4"/>
      </c>
    </row>
    <row customHeight="true" ht="16.071428571428573" r="190">
      <c r="H190" s="256">
        <f t="shared" si="4"/>
      </c>
    </row>
    <row customHeight="true" ht="16.071428571428573" r="191"/>
    <row customHeight="true" ht="16.071428571428573" r="192"/>
    <row customHeight="true" ht="16.071428571428573" r="193"/>
    <row customHeight="true" ht="16.071428571428573" r="194"/>
    <row customHeight="true" ht="16.071428571428573" r="195"/>
    <row customHeight="true" ht="16.071428571428573" r="196"/>
    <row customHeight="true" ht="16.071428571428573" r="197"/>
    <row customHeight="true" ht="16.071428571428573" r="198"/>
    <row customHeight="true" ht="16.071428571428573" r="199"/>
    <row customHeight="true" ht="16.071428571428573" r="200"/>
    <row customHeight="true" ht="16.071428571428573" r="201"/>
    <row customHeight="true" ht="16.071428571428573" r="202"/>
    <row customHeight="true" ht="16.071428571428573" r="203"/>
    <row customHeight="true" ht="16.071428571428573" r="204"/>
    <row customHeight="true" ht="16.071428571428573" r="205"/>
    <row customHeight="true" ht="16.071428571428573" r="206"/>
    <row customHeight="true" ht="16.071428571428573" r="207"/>
    <row customHeight="true" ht="16.071428571428573" r="208"/>
    <row customHeight="true" ht="16.071428571428573" r="209"/>
    <row customHeight="true" ht="16.071428571428573" r="210"/>
    <row customHeight="true" ht="16.071428571428573" r="211"/>
    <row customHeight="true" ht="16.071428571428573" r="212"/>
    <row customHeight="true" ht="16.071428571428573" r="213"/>
    <row customHeight="true" ht="16.071428571428573" r="214"/>
    <row customHeight="true" ht="16.071428571428573" r="215"/>
    <row customHeight="true" ht="16.071428571428573" r="216"/>
    <row customHeight="true" ht="16.071428571428573" r="217"/>
    <row customHeight="true" ht="16.071428571428573" r="218"/>
    <row customHeight="true" ht="16.071428571428573" r="219"/>
    <row customHeight="true" ht="16.071428571428573" r="220"/>
    <row customHeight="true" ht="16.071428571428573" r="221"/>
    <row r="222"/>
    <row r="223">
      <c r="E223" s="200" t="s">
        <v>290</v>
      </c>
      <c r="F223" s="200" t="s">
        <v>292</v>
      </c>
      <c r="G223" s="200" t="s">
        <v>295</v>
      </c>
      <c r="H223" s="200" t="s">
        <v>297</v>
      </c>
      <c r="I223" s="200" t="s">
        <v>298</v>
      </c>
      <c r="J223" s="200" t="s">
        <v>299</v>
      </c>
      <c r="K223" s="200" t="s">
        <v>301</v>
      </c>
      <c r="L223" s="200" t="s">
        <v>300</v>
      </c>
      <c r="M223" s="200" t="s">
        <v>398</v>
      </c>
    </row>
    <row r="224">
      <c r="E224" s="202" t="s">
        <v>305</v>
      </c>
      <c r="F224" s="202">
        <v>89.5</v>
      </c>
      <c r="G224" s="202">
        <v>462</v>
      </c>
      <c r="H224" s="250">
        <v>209199.40000000002</v>
      </c>
      <c r="I224" s="250">
        <v>126974.82333333338</v>
      </c>
      <c r="J224" s="250">
        <f t="shared" ref="J224:J230" si="5">H224/I224</f>
      </c>
      <c r="K224" s="250">
        <f t="shared" ref="K224:K230" si="2">I224/G224</f>
      </c>
      <c r="L224" s="250">
        <f t="shared" ref="L224:L230" si="3">H224/G224</f>
      </c>
      <c r="M224" s="250">
        <f t="shared" ref="M224:M230" si="7">I224/F224</f>
      </c>
    </row>
    <row r="225">
      <c r="E225" s="202" t="s">
        <v>317</v>
      </c>
      <c r="F225" s="202">
        <v>78.5</v>
      </c>
      <c r="G225" s="202">
        <v>384</v>
      </c>
      <c r="H225" s="250">
        <v>175420.3</v>
      </c>
      <c r="I225" s="250">
        <v>113949.48</v>
      </c>
      <c r="J225" s="250">
        <f t="shared" si="5"/>
      </c>
      <c r="K225" s="250">
        <f t="shared" si="2"/>
      </c>
      <c r="L225" s="250">
        <f t="shared" si="3"/>
      </c>
      <c r="M225" s="250">
        <f t="shared" si="7"/>
      </c>
    </row>
    <row r="226">
      <c r="E226" s="202" t="s">
        <v>307</v>
      </c>
      <c r="F226" s="202">
        <v>59</v>
      </c>
      <c r="G226" s="202">
        <v>220</v>
      </c>
      <c r="H226" s="250">
        <v>100348.29999999999</v>
      </c>
      <c r="I226" s="250">
        <v>79547.22666666667</v>
      </c>
      <c r="J226" s="250">
        <f t="shared" si="5"/>
      </c>
      <c r="K226" s="250">
        <f t="shared" si="2"/>
      </c>
      <c r="L226" s="250">
        <f t="shared" si="3"/>
      </c>
      <c r="M226" s="250">
        <f t="shared" si="7"/>
      </c>
    </row>
    <row r="227">
      <c r="E227" s="202" t="s">
        <v>312</v>
      </c>
      <c r="F227" s="202">
        <v>70</v>
      </c>
      <c r="G227" s="202">
        <v>249</v>
      </c>
      <c r="H227" s="250">
        <v>112579.19999999998</v>
      </c>
      <c r="I227" s="250">
        <v>94218.479</v>
      </c>
      <c r="J227" s="250">
        <f t="shared" si="5"/>
      </c>
      <c r="K227" s="250">
        <f t="shared" si="2"/>
      </c>
      <c r="L227" s="250">
        <f t="shared" si="3"/>
      </c>
      <c r="M227" s="250">
        <f t="shared" si="7"/>
      </c>
    </row>
    <row r="228">
      <c r="E228" s="202" t="s">
        <v>309</v>
      </c>
      <c r="F228" s="202">
        <v>56</v>
      </c>
      <c r="G228" s="202">
        <v>183</v>
      </c>
      <c r="H228" s="250">
        <v>84055.3</v>
      </c>
      <c r="I228" s="250">
        <v>69998.68000000001</v>
      </c>
      <c r="J228" s="250">
        <f t="shared" si="5"/>
      </c>
      <c r="K228" s="250">
        <f t="shared" si="2"/>
      </c>
      <c r="L228" s="250">
        <f t="shared" si="3"/>
      </c>
      <c r="M228" s="250">
        <f t="shared" si="7"/>
      </c>
    </row>
    <row r="229">
      <c r="E229" s="202" t="s">
        <v>314</v>
      </c>
      <c r="F229" s="202">
        <v>33.5</v>
      </c>
      <c r="G229" s="202">
        <v>106</v>
      </c>
      <c r="H229" s="250">
        <v>48874.2</v>
      </c>
      <c r="I229" s="250">
        <v>40989.87</v>
      </c>
      <c r="J229" s="250">
        <f t="shared" si="5"/>
      </c>
      <c r="K229" s="250">
        <f t="shared" si="2"/>
      </c>
      <c r="L229" s="250">
        <f t="shared" si="3"/>
      </c>
      <c r="M229" s="250">
        <f t="shared" si="7"/>
      </c>
    </row>
    <row r="230">
      <c r="E230" s="226" t="s">
        <v>399</v>
      </c>
      <c r="F230" s="226">
        <v>386.5</v>
      </c>
      <c r="G230" s="226">
        <v>1604</v>
      </c>
      <c r="H230" s="257">
        <v>730476.7</v>
      </c>
      <c r="I230" s="257">
        <v>525678.559</v>
      </c>
      <c r="J230" s="257">
        <f t="shared" si="5"/>
      </c>
      <c r="K230" s="257">
        <f t="shared" si="2"/>
      </c>
      <c r="L230" s="257">
        <f t="shared" si="3"/>
      </c>
      <c r="M230" s="257">
        <f t="shared" si="7"/>
      </c>
    </row>
  </sheetData>
  <autoFilter ref="A1:O18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customHeight="true" ht="16.071428571428573" r="1">
      <c r="A1" s="258" t="s">
        <v>400</v>
      </c>
      <c r="B1" s="258" t="s">
        <v>401</v>
      </c>
      <c r="C1" s="258" t="s">
        <v>402</v>
      </c>
      <c r="D1" s="258" t="s">
        <v>403</v>
      </c>
      <c r="E1" s="258" t="s">
        <v>404</v>
      </c>
      <c r="F1" s="258" t="s">
        <v>405</v>
      </c>
      <c r="G1" s="258" t="s">
        <v>406</v>
      </c>
      <c r="H1" s="258" t="s">
        <v>407</v>
      </c>
      <c r="I1" s="258" t="s">
        <v>408</v>
      </c>
      <c r="J1" s="259" t="s">
        <v>409</v>
      </c>
      <c r="K1" s="260" t="s">
        <v>410</v>
      </c>
      <c r="L1" s="261" t="s">
        <v>411</v>
      </c>
      <c r="M1" s="261" t="s">
        <v>412</v>
      </c>
      <c r="N1" s="261" t="s">
        <v>413</v>
      </c>
      <c r="O1" s="262" t="s">
        <v>414</v>
      </c>
    </row>
    <row r="2">
      <c r="A2" s="263" t="s">
        <v>415</v>
      </c>
      <c r="B2" s="264" t="s">
        <v>416</v>
      </c>
      <c r="C2" s="265" t="s">
        <v>417</v>
      </c>
      <c r="D2" s="266">
        <v>4</v>
      </c>
      <c r="E2" s="264">
        <v>9</v>
      </c>
      <c r="F2" s="264">
        <v>1</v>
      </c>
      <c r="G2" s="264">
        <v>1</v>
      </c>
      <c r="H2" s="263">
        <v>0</v>
      </c>
      <c r="I2" s="267">
        <v>860.5</v>
      </c>
      <c r="J2" s="267">
        <v>3993.6899999999996</v>
      </c>
      <c r="K2" s="268">
        <f t="shared" ref="K2:K3" si="0">I2/J2</f>
      </c>
      <c r="L2" s="269">
        <f t="shared" ref="L2:L3" si="1">I2/G2</f>
      </c>
      <c r="M2" s="269">
        <f t="shared" ref="M2:M3" si="2">J2/G2</f>
      </c>
      <c r="N2" s="270" t="s">
        <v>418</v>
      </c>
      <c r="O2" s="264">
        <v>4</v>
      </c>
    </row>
    <row r="3">
      <c r="A3" s="271" t="s">
        <v>415</v>
      </c>
      <c r="B3" s="272"/>
      <c r="C3" s="272"/>
      <c r="D3" s="273">
        <f>SUM(D2)</f>
      </c>
      <c r="E3" s="273">
        <f>SUM(E2)</f>
      </c>
      <c r="F3" s="273">
        <f>SUM(F2)</f>
      </c>
      <c r="G3" s="273">
        <f>SUM(G2)</f>
      </c>
      <c r="H3" s="273">
        <f>SUM(H2)</f>
      </c>
      <c r="I3" s="273">
        <f>SUM(I2)</f>
      </c>
      <c r="J3" s="273">
        <f>SUM(J2)</f>
      </c>
      <c r="K3" s="274">
        <f t="shared" si="0"/>
      </c>
      <c r="L3" s="274">
        <f t="shared" si="1"/>
      </c>
      <c r="M3" s="274">
        <f t="shared" si="2"/>
      </c>
      <c r="N3" s="273"/>
      <c r="O3" s="273">
        <f>SUM(O2)</f>
      </c>
    </row>
  </sheetData>
  <autoFilter ref="A1:O3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275" t="s">
        <v>419</v>
      </c>
      <c r="B1" s="275" t="s">
        <v>420</v>
      </c>
      <c r="C1" s="275" t="s">
        <v>421</v>
      </c>
      <c r="D1" s="275" t="s">
        <v>422</v>
      </c>
      <c r="E1" s="275" t="s">
        <v>423</v>
      </c>
      <c r="F1" s="275" t="s">
        <v>424</v>
      </c>
      <c r="G1" s="275" t="s">
        <v>425</v>
      </c>
      <c r="H1" s="275" t="s">
        <v>426</v>
      </c>
      <c r="I1" s="275" t="s">
        <v>427</v>
      </c>
      <c r="J1" s="276" t="s">
        <v>428</v>
      </c>
      <c r="K1" s="277" t="s">
        <v>429</v>
      </c>
      <c r="L1" s="278" t="s">
        <v>430</v>
      </c>
      <c r="M1" s="278" t="s">
        <v>431</v>
      </c>
      <c r="N1" s="278" t="s">
        <v>432</v>
      </c>
      <c r="O1" s="279" t="s">
        <v>433</v>
      </c>
    </row>
    <row r="2">
      <c r="A2" s="280" t="s">
        <v>434</v>
      </c>
      <c r="B2" s="280" t="s">
        <v>435</v>
      </c>
      <c r="C2" s="281" t="s">
        <v>436</v>
      </c>
      <c r="D2" s="282">
        <v>4</v>
      </c>
      <c r="E2" s="280">
        <v>19</v>
      </c>
      <c r="F2" s="280">
        <v>10</v>
      </c>
      <c r="G2" s="280">
        <v>10</v>
      </c>
      <c r="H2" s="280">
        <v>0</v>
      </c>
      <c r="I2" s="283">
        <v>4980.1</v>
      </c>
      <c r="J2" s="284">
        <v>5032.2300000000005</v>
      </c>
      <c r="K2" s="285">
        <f t="shared" ref="K2:K126" si="0">I2/J2</f>
      </c>
      <c r="L2" s="285">
        <f t="shared" ref="L2:L126" si="2">I2/G2</f>
      </c>
      <c r="M2" s="285">
        <f t="shared" ref="M2:M126" si="1">J2/G2</f>
      </c>
      <c r="N2" s="280" t="s">
        <v>437</v>
      </c>
      <c r="O2" s="280">
        <v>10</v>
      </c>
    </row>
    <row r="3">
      <c r="A3" s="280" t="s">
        <v>434</v>
      </c>
      <c r="B3" s="280" t="s">
        <v>438</v>
      </c>
      <c r="C3" s="281" t="s">
        <v>439</v>
      </c>
      <c r="D3" s="282">
        <v>4</v>
      </c>
      <c r="E3" s="280">
        <v>19</v>
      </c>
      <c r="F3" s="280">
        <v>14</v>
      </c>
      <c r="G3" s="280">
        <v>14</v>
      </c>
      <c r="H3" s="280">
        <v>0</v>
      </c>
      <c r="I3" s="284">
        <v>6790</v>
      </c>
      <c r="J3" s="284">
        <v>5230.14</v>
      </c>
      <c r="K3" s="285">
        <f t="shared" si="0"/>
      </c>
      <c r="L3" s="285">
        <f t="shared" si="2"/>
      </c>
      <c r="M3" s="285">
        <f t="shared" si="1"/>
      </c>
      <c r="N3" s="286"/>
      <c r="O3" s="286"/>
    </row>
    <row r="4">
      <c r="A4" s="280" t="s">
        <v>434</v>
      </c>
      <c r="B4" s="280" t="s">
        <v>440</v>
      </c>
      <c r="C4" s="281" t="s">
        <v>441</v>
      </c>
      <c r="D4" s="282">
        <v>3</v>
      </c>
      <c r="E4" s="280">
        <v>12</v>
      </c>
      <c r="F4" s="280">
        <v>9</v>
      </c>
      <c r="G4" s="280">
        <v>9</v>
      </c>
      <c r="H4" s="280">
        <v>0</v>
      </c>
      <c r="I4" s="284">
        <v>4309.199999999999</v>
      </c>
      <c r="J4" s="284">
        <v>3206.63</v>
      </c>
      <c r="K4" s="285">
        <f t="shared" si="0"/>
      </c>
      <c r="L4" s="285">
        <f t="shared" si="2"/>
      </c>
      <c r="M4" s="285">
        <f t="shared" si="1"/>
      </c>
      <c r="N4" s="281" t="s">
        <v>442</v>
      </c>
      <c r="O4" s="281">
        <v>8</v>
      </c>
    </row>
    <row r="5">
      <c r="A5" s="280" t="s">
        <v>434</v>
      </c>
      <c r="B5" s="287" t="s">
        <v>443</v>
      </c>
      <c r="C5" s="281" t="s">
        <v>444</v>
      </c>
      <c r="D5" s="282">
        <v>3</v>
      </c>
      <c r="E5" s="280">
        <v>11</v>
      </c>
      <c r="F5" s="280">
        <v>9</v>
      </c>
      <c r="G5" s="280">
        <v>9</v>
      </c>
      <c r="H5" s="280">
        <v>2</v>
      </c>
      <c r="I5" s="284">
        <v>4463</v>
      </c>
      <c r="J5" s="284">
        <v>3180.1</v>
      </c>
      <c r="K5" s="285">
        <f t="shared" si="0"/>
      </c>
      <c r="L5" s="285">
        <f t="shared" si="2"/>
      </c>
      <c r="M5" s="285">
        <f t="shared" si="1"/>
      </c>
      <c r="N5" s="280"/>
      <c r="O5" s="281"/>
    </row>
    <row r="6">
      <c r="A6" s="280" t="s">
        <v>434</v>
      </c>
      <c r="B6" s="280" t="s">
        <v>445</v>
      </c>
      <c r="C6" s="280" t="s">
        <v>446</v>
      </c>
      <c r="D6" s="282">
        <v>4</v>
      </c>
      <c r="E6" s="280">
        <v>20</v>
      </c>
      <c r="F6" s="280">
        <v>16</v>
      </c>
      <c r="G6" s="280">
        <v>16</v>
      </c>
      <c r="H6" s="280">
        <v>1</v>
      </c>
      <c r="I6" s="284">
        <v>8140.799999999999</v>
      </c>
      <c r="J6" s="284">
        <v>4751.21</v>
      </c>
      <c r="K6" s="285">
        <f t="shared" si="0"/>
      </c>
      <c r="L6" s="285">
        <f t="shared" si="2"/>
      </c>
      <c r="M6" s="285">
        <f t="shared" si="1"/>
      </c>
      <c r="N6" s="288"/>
      <c r="O6" s="281"/>
    </row>
    <row r="7">
      <c r="A7" s="289" t="s">
        <v>434</v>
      </c>
      <c r="B7" s="290"/>
      <c r="C7" s="290"/>
      <c r="D7" s="290">
        <f>SUM(D2:D6)</f>
      </c>
      <c r="E7" s="290">
        <f>SUM(E2:E6)</f>
      </c>
      <c r="F7" s="290">
        <f>SUM(F2:F6)</f>
      </c>
      <c r="G7" s="290">
        <f>SUM(G2:G6)</f>
      </c>
      <c r="H7" s="290">
        <f>SUM(H2:H6)</f>
      </c>
      <c r="I7" s="290">
        <f>SUM(I2:I6)</f>
      </c>
      <c r="J7" s="290">
        <f>SUM(J2:J6)</f>
      </c>
      <c r="K7" s="291">
        <f t="shared" si="0"/>
      </c>
      <c r="L7" s="291">
        <f t="shared" si="2"/>
      </c>
      <c r="M7" s="291">
        <f t="shared" si="1"/>
      </c>
      <c r="N7" s="290"/>
      <c r="O7" s="290">
        <f>SUM(O2:O6)</f>
      </c>
    </row>
    <row r="8">
      <c r="A8" s="280" t="s">
        <v>447</v>
      </c>
      <c r="B8" s="280" t="s">
        <v>435</v>
      </c>
      <c r="C8" s="281" t="s">
        <v>436</v>
      </c>
      <c r="D8" s="282">
        <v>4</v>
      </c>
      <c r="E8" s="280">
        <v>20</v>
      </c>
      <c r="F8" s="280">
        <v>13</v>
      </c>
      <c r="G8" s="280">
        <v>13</v>
      </c>
      <c r="H8" s="280">
        <v>2</v>
      </c>
      <c r="I8" s="283">
        <v>6464.4</v>
      </c>
      <c r="J8" s="284">
        <v>4524.910000000001</v>
      </c>
      <c r="K8" s="285">
        <f t="shared" si="0"/>
      </c>
      <c r="L8" s="285">
        <f t="shared" si="2"/>
      </c>
      <c r="M8" s="285">
        <f t="shared" si="1"/>
      </c>
      <c r="N8" s="280" t="s">
        <v>437</v>
      </c>
      <c r="O8" s="280">
        <v>10</v>
      </c>
    </row>
    <row r="9">
      <c r="A9" s="280" t="s">
        <v>447</v>
      </c>
      <c r="B9" s="280" t="s">
        <v>438</v>
      </c>
      <c r="C9" s="281" t="s">
        <v>439</v>
      </c>
      <c r="D9" s="282">
        <v>4</v>
      </c>
      <c r="E9" s="280">
        <v>18</v>
      </c>
      <c r="F9" s="280">
        <v>15</v>
      </c>
      <c r="G9" s="280">
        <v>15</v>
      </c>
      <c r="H9" s="280">
        <v>1</v>
      </c>
      <c r="I9" s="284">
        <v>7743.700000000001</v>
      </c>
      <c r="J9" s="284">
        <v>4247.87</v>
      </c>
      <c r="K9" s="285">
        <f t="shared" si="0"/>
      </c>
      <c r="L9" s="285">
        <f t="shared" si="2"/>
      </c>
      <c r="M9" s="285">
        <f t="shared" si="1"/>
      </c>
      <c r="N9" s="286"/>
      <c r="O9" s="286"/>
    </row>
    <row r="10">
      <c r="A10" s="280" t="s">
        <v>447</v>
      </c>
      <c r="B10" s="280" t="s">
        <v>440</v>
      </c>
      <c r="C10" s="281" t="s">
        <v>441</v>
      </c>
      <c r="D10" s="282">
        <v>3</v>
      </c>
      <c r="E10" s="280">
        <v>7</v>
      </c>
      <c r="F10" s="280">
        <v>3</v>
      </c>
      <c r="G10" s="280">
        <v>3</v>
      </c>
      <c r="H10" s="280">
        <v>0</v>
      </c>
      <c r="I10" s="284">
        <v>1479.7999999999993</v>
      </c>
      <c r="J10" s="284">
        <v>3311.96</v>
      </c>
      <c r="K10" s="285">
        <f t="shared" si="0"/>
      </c>
      <c r="L10" s="285">
        <f t="shared" si="2"/>
      </c>
      <c r="M10" s="285">
        <f t="shared" si="1"/>
      </c>
      <c r="N10" s="281" t="s">
        <v>442</v>
      </c>
      <c r="O10" s="281">
        <v>8</v>
      </c>
    </row>
    <row r="11">
      <c r="A11" s="280" t="s">
        <v>447</v>
      </c>
      <c r="B11" s="287" t="s">
        <v>443</v>
      </c>
      <c r="C11" s="281" t="s">
        <v>444</v>
      </c>
      <c r="D11" s="282">
        <v>3</v>
      </c>
      <c r="E11" s="280">
        <v>15</v>
      </c>
      <c r="F11" s="280">
        <v>12</v>
      </c>
      <c r="G11" s="280">
        <v>12</v>
      </c>
      <c r="H11" s="280">
        <v>2</v>
      </c>
      <c r="I11" s="284">
        <v>5745.6</v>
      </c>
      <c r="J11" s="284">
        <v>3405.29</v>
      </c>
      <c r="K11" s="285">
        <f t="shared" si="0"/>
      </c>
      <c r="L11" s="285">
        <f t="shared" si="2"/>
      </c>
      <c r="M11" s="285">
        <f t="shared" si="1"/>
      </c>
      <c r="N11" s="280"/>
      <c r="O11" s="281"/>
    </row>
    <row r="12">
      <c r="A12" s="280" t="s">
        <v>447</v>
      </c>
      <c r="B12" s="280" t="s">
        <v>445</v>
      </c>
      <c r="C12" s="280" t="s">
        <v>446</v>
      </c>
      <c r="D12" s="282">
        <v>4</v>
      </c>
      <c r="E12" s="280">
        <v>19</v>
      </c>
      <c r="F12" s="280">
        <v>14</v>
      </c>
      <c r="G12" s="280">
        <v>14</v>
      </c>
      <c r="H12" s="280">
        <v>2</v>
      </c>
      <c r="I12" s="284">
        <v>7106.5999999999985</v>
      </c>
      <c r="J12" s="284">
        <v>5514.82</v>
      </c>
      <c r="K12" s="285">
        <f t="shared" si="0"/>
      </c>
      <c r="L12" s="285">
        <f t="shared" si="2"/>
      </c>
      <c r="M12" s="285">
        <f t="shared" si="1"/>
      </c>
      <c r="N12" s="288"/>
      <c r="O12" s="281"/>
    </row>
    <row r="13">
      <c r="A13" s="289" t="s">
        <v>447</v>
      </c>
      <c r="B13" s="290"/>
      <c r="C13" s="290"/>
      <c r="D13" s="290">
        <f>SUM(D8:D12)</f>
      </c>
      <c r="E13" s="290">
        <f>SUM(E8:E12)</f>
      </c>
      <c r="F13" s="290">
        <f>SUM(F8:F12)</f>
      </c>
      <c r="G13" s="290">
        <f>SUM(G8:G12)</f>
      </c>
      <c r="H13" s="290">
        <f>SUM(H8:H12)</f>
      </c>
      <c r="I13" s="290">
        <f>SUM(I8:I12)</f>
      </c>
      <c r="J13" s="290">
        <f>SUM(J8:J12)</f>
      </c>
      <c r="K13" s="291">
        <f t="shared" si="0"/>
      </c>
      <c r="L13" s="291">
        <f t="shared" si="2"/>
      </c>
      <c r="M13" s="291">
        <f t="shared" si="1"/>
      </c>
      <c r="N13" s="290"/>
      <c r="O13" s="290">
        <f>SUM(O8:O12)</f>
      </c>
    </row>
    <row r="14">
      <c r="A14" s="280" t="s">
        <v>448</v>
      </c>
      <c r="B14" s="280" t="s">
        <v>435</v>
      </c>
      <c r="C14" s="281" t="s">
        <v>436</v>
      </c>
      <c r="D14" s="282">
        <v>4</v>
      </c>
      <c r="E14" s="280">
        <v>14</v>
      </c>
      <c r="F14" s="280">
        <v>8</v>
      </c>
      <c r="G14" s="280">
        <v>8</v>
      </c>
      <c r="H14" s="280">
        <v>1</v>
      </c>
      <c r="I14" s="283">
        <v>4070</v>
      </c>
      <c r="J14" s="284">
        <v>4601.27</v>
      </c>
      <c r="K14" s="285">
        <f t="shared" si="0"/>
      </c>
      <c r="L14" s="285">
        <f t="shared" si="2"/>
      </c>
      <c r="M14" s="285">
        <f t="shared" si="1"/>
      </c>
      <c r="N14" s="280" t="s">
        <v>437</v>
      </c>
      <c r="O14" s="280">
        <v>10</v>
      </c>
    </row>
    <row r="15">
      <c r="A15" s="280" t="s">
        <v>448</v>
      </c>
      <c r="B15" s="280" t="s">
        <v>438</v>
      </c>
      <c r="C15" s="281" t="s">
        <v>439</v>
      </c>
      <c r="D15" s="282">
        <v>4</v>
      </c>
      <c r="E15" s="280">
        <v>21</v>
      </c>
      <c r="F15" s="280">
        <v>17</v>
      </c>
      <c r="G15" s="280">
        <v>17</v>
      </c>
      <c r="H15" s="280">
        <v>0</v>
      </c>
      <c r="I15" s="284">
        <v>8341.7</v>
      </c>
      <c r="J15" s="284">
        <v>5083.88</v>
      </c>
      <c r="K15" s="285">
        <f t="shared" si="0"/>
      </c>
      <c r="L15" s="285">
        <f t="shared" si="2"/>
      </c>
      <c r="M15" s="285">
        <f t="shared" si="1"/>
      </c>
      <c r="N15" s="286"/>
      <c r="O15" s="286"/>
    </row>
    <row r="16">
      <c r="A16" s="280" t="s">
        <v>448</v>
      </c>
      <c r="B16" s="280" t="s">
        <v>440</v>
      </c>
      <c r="C16" s="281" t="s">
        <v>441</v>
      </c>
      <c r="D16" s="282">
        <v>3</v>
      </c>
      <c r="E16" s="280">
        <v>9</v>
      </c>
      <c r="F16" s="280">
        <v>5</v>
      </c>
      <c r="G16" s="280">
        <v>5</v>
      </c>
      <c r="H16" s="280">
        <v>0</v>
      </c>
      <c r="I16" s="284">
        <v>2394</v>
      </c>
      <c r="J16" s="284">
        <v>3231.2400000000002</v>
      </c>
      <c r="K16" s="285">
        <f t="shared" si="0"/>
      </c>
      <c r="L16" s="285">
        <f t="shared" si="2"/>
      </c>
      <c r="M16" s="285">
        <f t="shared" si="1"/>
      </c>
      <c r="N16" s="281" t="s">
        <v>442</v>
      </c>
      <c r="O16" s="281">
        <v>8</v>
      </c>
    </row>
    <row r="17">
      <c r="A17" s="280" t="s">
        <v>448</v>
      </c>
      <c r="B17" s="287" t="s">
        <v>443</v>
      </c>
      <c r="C17" s="281" t="s">
        <v>444</v>
      </c>
      <c r="D17" s="282">
        <v>3</v>
      </c>
      <c r="E17" s="280">
        <v>10</v>
      </c>
      <c r="F17" s="280">
        <v>6</v>
      </c>
      <c r="G17" s="280">
        <v>6</v>
      </c>
      <c r="H17" s="280">
        <v>0</v>
      </c>
      <c r="I17" s="284">
        <v>2872.7999999999993</v>
      </c>
      <c r="J17" s="284">
        <v>2902.21</v>
      </c>
      <c r="K17" s="285">
        <f t="shared" si="0"/>
      </c>
      <c r="L17" s="285">
        <f t="shared" si="2"/>
      </c>
      <c r="M17" s="285">
        <f t="shared" si="1"/>
      </c>
      <c r="N17" s="280"/>
      <c r="O17" s="281"/>
    </row>
    <row r="18">
      <c r="A18" s="280" t="s">
        <v>448</v>
      </c>
      <c r="B18" s="280" t="s">
        <v>445</v>
      </c>
      <c r="C18" s="280" t="s">
        <v>446</v>
      </c>
      <c r="D18" s="282">
        <v>4</v>
      </c>
      <c r="E18" s="280">
        <v>11</v>
      </c>
      <c r="F18" s="280">
        <v>7</v>
      </c>
      <c r="G18" s="280">
        <v>7</v>
      </c>
      <c r="H18" s="280">
        <v>0</v>
      </c>
      <c r="I18" s="284">
        <v>3351.5999999999985</v>
      </c>
      <c r="J18" s="284">
        <v>4470.51</v>
      </c>
      <c r="K18" s="285">
        <f t="shared" si="0"/>
      </c>
      <c r="L18" s="285">
        <f t="shared" si="2"/>
      </c>
      <c r="M18" s="285">
        <f t="shared" si="1"/>
      </c>
      <c r="N18" s="288"/>
      <c r="O18" s="281"/>
    </row>
    <row r="19">
      <c r="A19" s="289" t="s">
        <v>448</v>
      </c>
      <c r="B19" s="290"/>
      <c r="C19" s="290"/>
      <c r="D19" s="290">
        <f>SUM(D14:D18)</f>
      </c>
      <c r="E19" s="290">
        <f>SUM(E14:E18)</f>
      </c>
      <c r="F19" s="290">
        <f>SUM(F14:F18)</f>
      </c>
      <c r="G19" s="290">
        <f>SUM(G14:G18)</f>
      </c>
      <c r="H19" s="290">
        <f>SUM(H14:H18)</f>
      </c>
      <c r="I19" s="290">
        <f>SUM(I14:I18)</f>
      </c>
      <c r="J19" s="290">
        <f>SUM(J14:J18)</f>
      </c>
      <c r="K19" s="291">
        <f t="shared" si="0"/>
      </c>
      <c r="L19" s="291">
        <f t="shared" si="2"/>
      </c>
      <c r="M19" s="291">
        <f t="shared" si="1"/>
      </c>
      <c r="N19" s="290"/>
      <c r="O19" s="290">
        <f>SUM(O14:O18)</f>
      </c>
    </row>
    <row r="20">
      <c r="A20" s="280" t="s">
        <v>449</v>
      </c>
      <c r="B20" s="280" t="s">
        <v>438</v>
      </c>
      <c r="C20" s="281" t="s">
        <v>436</v>
      </c>
      <c r="D20" s="282">
        <v>4</v>
      </c>
      <c r="E20" s="280">
        <v>14</v>
      </c>
      <c r="F20" s="280">
        <v>12</v>
      </c>
      <c r="G20" s="280">
        <v>12</v>
      </c>
      <c r="H20" s="280">
        <v>1</v>
      </c>
      <c r="I20" s="283">
        <v>6225.6</v>
      </c>
      <c r="J20" s="284">
        <v>4523.7300000000005</v>
      </c>
      <c r="K20" s="285">
        <f t="shared" si="0"/>
      </c>
      <c r="L20" s="285">
        <f t="shared" si="2"/>
      </c>
      <c r="M20" s="285">
        <f t="shared" si="1"/>
      </c>
      <c r="N20" s="280" t="s">
        <v>437</v>
      </c>
      <c r="O20" s="280">
        <v>10</v>
      </c>
    </row>
    <row r="21">
      <c r="A21" s="280" t="s">
        <v>449</v>
      </c>
      <c r="B21" s="280" t="s">
        <v>445</v>
      </c>
      <c r="C21" s="281" t="s">
        <v>439</v>
      </c>
      <c r="D21" s="282">
        <v>4</v>
      </c>
      <c r="E21" s="280">
        <v>7</v>
      </c>
      <c r="F21" s="280">
        <v>7</v>
      </c>
      <c r="G21" s="280">
        <v>7</v>
      </c>
      <c r="H21" s="280">
        <v>0</v>
      </c>
      <c r="I21" s="284">
        <v>3591.6000000000004</v>
      </c>
      <c r="J21" s="284">
        <v>4850.95</v>
      </c>
      <c r="K21" s="285">
        <f t="shared" si="0"/>
      </c>
      <c r="L21" s="285">
        <f t="shared" si="2"/>
      </c>
      <c r="M21" s="285">
        <f t="shared" si="1"/>
      </c>
      <c r="N21" s="286"/>
      <c r="O21" s="286"/>
    </row>
    <row r="22">
      <c r="A22" s="280" t="s">
        <v>449</v>
      </c>
      <c r="B22" s="280" t="s">
        <v>440</v>
      </c>
      <c r="C22" s="281" t="s">
        <v>441</v>
      </c>
      <c r="D22" s="282">
        <v>3</v>
      </c>
      <c r="E22" s="280">
        <v>11</v>
      </c>
      <c r="F22" s="280">
        <v>4</v>
      </c>
      <c r="G22" s="280">
        <v>4</v>
      </c>
      <c r="H22" s="280">
        <v>0</v>
      </c>
      <c r="I22" s="284">
        <v>1838.5999999999985</v>
      </c>
      <c r="J22" s="284">
        <v>3271.33</v>
      </c>
      <c r="K22" s="285">
        <f t="shared" si="0"/>
      </c>
      <c r="L22" s="285">
        <f t="shared" si="2"/>
      </c>
      <c r="M22" s="285">
        <f t="shared" si="1"/>
      </c>
      <c r="N22" s="281" t="s">
        <v>442</v>
      </c>
      <c r="O22" s="281">
        <v>4.5</v>
      </c>
    </row>
    <row r="23">
      <c r="A23" s="280" t="s">
        <v>449</v>
      </c>
      <c r="B23" s="280" t="s">
        <v>435</v>
      </c>
      <c r="C23" s="281" t="s">
        <v>450</v>
      </c>
      <c r="D23" s="282">
        <v>3.5</v>
      </c>
      <c r="E23" s="280">
        <v>7</v>
      </c>
      <c r="F23" s="280">
        <v>4</v>
      </c>
      <c r="G23" s="280">
        <v>4</v>
      </c>
      <c r="H23" s="280">
        <v>0</v>
      </c>
      <c r="I23" s="284">
        <v>2155.2000000000007</v>
      </c>
      <c r="J23" s="284">
        <v>3655.3</v>
      </c>
      <c r="K23" s="285">
        <f t="shared" si="0"/>
      </c>
      <c r="L23" s="285">
        <f t="shared" si="2"/>
      </c>
      <c r="M23" s="285">
        <f t="shared" si="1"/>
      </c>
      <c r="N23" s="280"/>
      <c r="O23" s="281"/>
    </row>
    <row r="24">
      <c r="A24" s="289" t="s">
        <v>449</v>
      </c>
      <c r="B24" s="290"/>
      <c r="C24" s="290"/>
      <c r="D24" s="290">
        <f>SUM(D20:D23)</f>
      </c>
      <c r="E24" s="290">
        <f>SUM(E20:E23)</f>
      </c>
      <c r="F24" s="290">
        <f>SUM(F20:F23)</f>
      </c>
      <c r="G24" s="290">
        <f>SUM(G20:G23)</f>
      </c>
      <c r="H24" s="290">
        <f>SUM(H20:H23)</f>
      </c>
      <c r="I24" s="290">
        <f>SUM(I20:I23)</f>
      </c>
      <c r="J24" s="290">
        <f>SUM(J20:J23)</f>
      </c>
      <c r="K24" s="291">
        <f t="shared" si="0"/>
      </c>
      <c r="L24" s="291">
        <f t="shared" si="2"/>
      </c>
      <c r="M24" s="291">
        <f t="shared" si="1"/>
      </c>
      <c r="N24" s="290"/>
      <c r="O24" s="290">
        <f>SUM(O20:O23)</f>
      </c>
    </row>
    <row r="25">
      <c r="A25" s="280" t="s">
        <v>451</v>
      </c>
      <c r="B25" s="280" t="s">
        <v>438</v>
      </c>
      <c r="C25" s="281" t="s">
        <v>436</v>
      </c>
      <c r="D25" s="282">
        <v>4</v>
      </c>
      <c r="E25" s="280">
        <v>24</v>
      </c>
      <c r="F25" s="280">
        <v>16</v>
      </c>
      <c r="G25" s="280">
        <v>16</v>
      </c>
      <c r="H25" s="280">
        <v>0</v>
      </c>
      <c r="I25" s="283">
        <v>8380.8</v>
      </c>
      <c r="J25" s="284">
        <v>4553.85</v>
      </c>
      <c r="K25" s="285">
        <f t="shared" si="0"/>
      </c>
      <c r="L25" s="285">
        <f t="shared" si="2"/>
      </c>
      <c r="M25" s="285">
        <f t="shared" si="1"/>
      </c>
      <c r="N25" s="280" t="s">
        <v>437</v>
      </c>
      <c r="O25" s="280">
        <v>10</v>
      </c>
    </row>
    <row r="26">
      <c r="A26" s="280" t="s">
        <v>451</v>
      </c>
      <c r="B26" s="280" t="s">
        <v>445</v>
      </c>
      <c r="C26" s="281" t="s">
        <v>439</v>
      </c>
      <c r="D26" s="282">
        <v>4</v>
      </c>
      <c r="E26" s="280">
        <v>12</v>
      </c>
      <c r="F26" s="280">
        <v>5</v>
      </c>
      <c r="G26" s="280">
        <v>5</v>
      </c>
      <c r="H26" s="280">
        <v>0</v>
      </c>
      <c r="I26" s="284">
        <v>2279.1000000000004</v>
      </c>
      <c r="J26" s="284">
        <v>5540.040000000001</v>
      </c>
      <c r="K26" s="285">
        <f t="shared" si="0"/>
      </c>
      <c r="L26" s="285">
        <f t="shared" si="2"/>
      </c>
      <c r="M26" s="285">
        <f t="shared" si="1"/>
      </c>
      <c r="N26" s="286"/>
      <c r="O26" s="286"/>
    </row>
    <row r="27">
      <c r="A27" s="280" t="s">
        <v>451</v>
      </c>
      <c r="B27" s="280" t="s">
        <v>440</v>
      </c>
      <c r="C27" s="281" t="s">
        <v>441</v>
      </c>
      <c r="D27" s="282">
        <v>3</v>
      </c>
      <c r="E27" s="280">
        <v>10</v>
      </c>
      <c r="F27" s="280">
        <v>6</v>
      </c>
      <c r="G27" s="280">
        <v>6</v>
      </c>
      <c r="H27" s="280">
        <v>1</v>
      </c>
      <c r="I27" s="284">
        <v>2872.800000000001</v>
      </c>
      <c r="J27" s="284">
        <v>4108.9400000000005</v>
      </c>
      <c r="K27" s="285">
        <f t="shared" si="0"/>
      </c>
      <c r="L27" s="285">
        <f t="shared" si="2"/>
      </c>
      <c r="M27" s="285">
        <f t="shared" si="1"/>
      </c>
      <c r="N27" s="281" t="s">
        <v>442</v>
      </c>
      <c r="O27" s="281">
        <v>8</v>
      </c>
    </row>
    <row r="28">
      <c r="A28" s="280" t="s">
        <v>451</v>
      </c>
      <c r="B28" s="280" t="s">
        <v>435</v>
      </c>
      <c r="C28" s="281" t="s">
        <v>452</v>
      </c>
      <c r="D28" s="282">
        <v>4</v>
      </c>
      <c r="E28" s="280">
        <v>15</v>
      </c>
      <c r="F28" s="280">
        <v>9</v>
      </c>
      <c r="G28" s="280">
        <v>9</v>
      </c>
      <c r="H28" s="280">
        <v>0</v>
      </c>
      <c r="I28" s="284">
        <v>4909.200000000001</v>
      </c>
      <c r="J28" s="284">
        <v>4416.6900000000005</v>
      </c>
      <c r="K28" s="285">
        <f t="shared" si="0"/>
      </c>
      <c r="L28" s="285">
        <f t="shared" si="2"/>
      </c>
      <c r="M28" s="285">
        <f t="shared" si="1"/>
      </c>
      <c r="N28" s="280"/>
      <c r="O28" s="281"/>
    </row>
    <row customHeight="true" ht="16.071428571428573" r="29">
      <c r="A29" s="280" t="s">
        <v>451</v>
      </c>
      <c r="B29" s="280" t="s">
        <v>443</v>
      </c>
      <c r="C29" s="280" t="s">
        <v>453</v>
      </c>
      <c r="D29" s="282">
        <v>3</v>
      </c>
      <c r="E29" s="280">
        <v>11</v>
      </c>
      <c r="F29" s="280">
        <v>9</v>
      </c>
      <c r="G29" s="280">
        <v>9</v>
      </c>
      <c r="H29" s="280">
        <v>1</v>
      </c>
      <c r="I29" s="284">
        <v>4309.199999999997</v>
      </c>
      <c r="J29" s="284">
        <v>3611.8999999999996</v>
      </c>
      <c r="K29" s="285">
        <f t="shared" si="0"/>
      </c>
      <c r="L29" s="285">
        <f t="shared" si="2"/>
      </c>
      <c r="M29" s="285">
        <f t="shared" si="1"/>
      </c>
      <c r="N29" s="280"/>
      <c r="O29" s="281"/>
    </row>
    <row r="30">
      <c r="A30" s="289" t="s">
        <v>451</v>
      </c>
      <c r="B30" s="290"/>
      <c r="C30" s="290"/>
      <c r="D30" s="290">
        <f>SUM(D25:D29)</f>
      </c>
      <c r="E30" s="290">
        <f>SUM(E25:E29)</f>
      </c>
      <c r="F30" s="290">
        <f>SUM(F25:F29)</f>
      </c>
      <c r="G30" s="290">
        <f>SUM(G25:G29)</f>
      </c>
      <c r="H30" s="290">
        <f>SUM(H25:H29)</f>
      </c>
      <c r="I30" s="290">
        <f>SUM(I25:I29)</f>
      </c>
      <c r="J30" s="290">
        <f>SUM(J25:J29)</f>
      </c>
      <c r="K30" s="291">
        <f t="shared" si="0"/>
      </c>
      <c r="L30" s="291">
        <f t="shared" si="2"/>
      </c>
      <c r="M30" s="291">
        <f t="shared" si="1"/>
      </c>
      <c r="N30" s="290"/>
      <c r="O30" s="290">
        <f>SUM(O25:O29)</f>
      </c>
    </row>
    <row r="31">
      <c r="A31" s="280" t="s">
        <v>454</v>
      </c>
      <c r="B31" s="280" t="s">
        <v>438</v>
      </c>
      <c r="C31" s="281" t="s">
        <v>436</v>
      </c>
      <c r="D31" s="282">
        <v>4</v>
      </c>
      <c r="E31" s="280">
        <v>19</v>
      </c>
      <c r="F31" s="280">
        <v>16</v>
      </c>
      <c r="G31" s="280">
        <v>16</v>
      </c>
      <c r="H31" s="280">
        <v>1</v>
      </c>
      <c r="I31" s="283">
        <v>7584.2</v>
      </c>
      <c r="J31" s="284">
        <v>6516.55</v>
      </c>
      <c r="K31" s="285">
        <f t="shared" si="0"/>
      </c>
      <c r="L31" s="285">
        <f t="shared" si="2"/>
      </c>
      <c r="M31" s="285">
        <f t="shared" si="1"/>
      </c>
      <c r="N31" s="280" t="s">
        <v>455</v>
      </c>
      <c r="O31" s="280">
        <v>10</v>
      </c>
    </row>
    <row r="32">
      <c r="A32" s="280" t="s">
        <v>454</v>
      </c>
      <c r="B32" s="280" t="s">
        <v>445</v>
      </c>
      <c r="C32" s="281" t="s">
        <v>439</v>
      </c>
      <c r="D32" s="282">
        <v>4</v>
      </c>
      <c r="E32" s="280">
        <v>25</v>
      </c>
      <c r="F32" s="280">
        <v>21</v>
      </c>
      <c r="G32" s="280">
        <v>21</v>
      </c>
      <c r="H32" s="280">
        <v>3</v>
      </c>
      <c r="I32" s="284">
        <v>10261.599999999999</v>
      </c>
      <c r="J32" s="284">
        <v>4804.710000000001</v>
      </c>
      <c r="K32" s="285">
        <f t="shared" si="0"/>
      </c>
      <c r="L32" s="285">
        <f t="shared" si="2"/>
      </c>
      <c r="M32" s="285">
        <f t="shared" si="1"/>
      </c>
      <c r="N32" s="286"/>
      <c r="O32" s="286"/>
    </row>
    <row r="33">
      <c r="A33" s="280" t="s">
        <v>454</v>
      </c>
      <c r="B33" s="280" t="s">
        <v>440</v>
      </c>
      <c r="C33" s="281" t="s">
        <v>441</v>
      </c>
      <c r="D33" s="282">
        <v>3</v>
      </c>
      <c r="E33" s="280">
        <v>35</v>
      </c>
      <c r="F33" s="280">
        <v>15</v>
      </c>
      <c r="G33" s="280">
        <v>15</v>
      </c>
      <c r="H33" s="280">
        <v>2</v>
      </c>
      <c r="I33" s="284">
        <v>7105.4000000000015</v>
      </c>
      <c r="J33" s="284">
        <v>2851.04</v>
      </c>
      <c r="K33" s="285">
        <f t="shared" si="0"/>
      </c>
      <c r="L33" s="285">
        <f t="shared" si="2"/>
      </c>
      <c r="M33" s="285">
        <f t="shared" si="1"/>
      </c>
      <c r="N33" s="281" t="s">
        <v>442</v>
      </c>
      <c r="O33" s="281">
        <v>8</v>
      </c>
    </row>
    <row r="34">
      <c r="A34" s="280" t="s">
        <v>454</v>
      </c>
      <c r="B34" s="280" t="s">
        <v>435</v>
      </c>
      <c r="C34" s="281" t="s">
        <v>452</v>
      </c>
      <c r="D34" s="282">
        <v>4</v>
      </c>
      <c r="E34" s="280">
        <v>9</v>
      </c>
      <c r="F34" s="280">
        <v>6</v>
      </c>
      <c r="G34" s="280">
        <v>6</v>
      </c>
      <c r="H34" s="280">
        <v>0</v>
      </c>
      <c r="I34" s="284">
        <v>2872.7999999999993</v>
      </c>
      <c r="J34" s="284">
        <v>4310.34</v>
      </c>
      <c r="K34" s="285">
        <f t="shared" si="0"/>
      </c>
      <c r="L34" s="285">
        <f t="shared" si="2"/>
      </c>
      <c r="M34" s="285">
        <f t="shared" si="1"/>
      </c>
      <c r="N34" s="280"/>
      <c r="O34" s="281"/>
    </row>
    <row r="35">
      <c r="A35" s="280" t="s">
        <v>454</v>
      </c>
      <c r="B35" s="280" t="s">
        <v>443</v>
      </c>
      <c r="C35" s="280" t="s">
        <v>453</v>
      </c>
      <c r="D35" s="282">
        <v>3</v>
      </c>
      <c r="E35" s="280">
        <v>13</v>
      </c>
      <c r="F35" s="280">
        <v>8</v>
      </c>
      <c r="G35" s="280">
        <v>8</v>
      </c>
      <c r="H35" s="280">
        <v>0</v>
      </c>
      <c r="I35" s="284">
        <v>3792.0999999999985</v>
      </c>
      <c r="J35" s="284">
        <v>3523.5299999999997</v>
      </c>
      <c r="K35" s="285">
        <f t="shared" si="0"/>
      </c>
      <c r="L35" s="285">
        <f t="shared" si="2"/>
      </c>
      <c r="M35" s="285">
        <f t="shared" si="1"/>
      </c>
      <c r="N35" s="280"/>
      <c r="O35" s="281"/>
    </row>
    <row r="36">
      <c r="A36" s="289" t="s">
        <v>454</v>
      </c>
      <c r="B36" s="290"/>
      <c r="C36" s="290"/>
      <c r="D36" s="290">
        <f>SUM(D31:D35)</f>
      </c>
      <c r="E36" s="290">
        <f>SUM(E31:E35)</f>
      </c>
      <c r="F36" s="290">
        <f>SUM(F31:F35)</f>
      </c>
      <c r="G36" s="290">
        <f>SUM(G31:G35)</f>
      </c>
      <c r="H36" s="290">
        <f>SUM(H31:H35)</f>
      </c>
      <c r="I36" s="290">
        <f>SUM(I31:I35)</f>
      </c>
      <c r="J36" s="290">
        <f>SUM(J31:J35)</f>
      </c>
      <c r="K36" s="291">
        <f t="shared" si="0"/>
      </c>
      <c r="L36" s="291">
        <f t="shared" si="2"/>
      </c>
      <c r="M36" s="291">
        <f t="shared" si="1"/>
      </c>
      <c r="N36" s="290"/>
      <c r="O36" s="290">
        <f>SUM(O31:O35)</f>
      </c>
    </row>
    <row r="37">
      <c r="A37" s="280" t="s">
        <v>456</v>
      </c>
      <c r="B37" s="280" t="s">
        <v>438</v>
      </c>
      <c r="C37" s="281" t="s">
        <v>436</v>
      </c>
      <c r="D37" s="282">
        <v>4</v>
      </c>
      <c r="E37" s="280">
        <v>10</v>
      </c>
      <c r="F37" s="280">
        <v>7</v>
      </c>
      <c r="G37" s="280">
        <v>7</v>
      </c>
      <c r="H37" s="280">
        <v>1</v>
      </c>
      <c r="I37" s="283">
        <v>3553.3</v>
      </c>
      <c r="J37" s="284">
        <v>4408.139999999999</v>
      </c>
      <c r="K37" s="285">
        <f t="shared" si="0"/>
      </c>
      <c r="L37" s="285">
        <f t="shared" si="2"/>
      </c>
      <c r="M37" s="285">
        <f t="shared" si="1"/>
      </c>
      <c r="N37" s="280" t="s">
        <v>455</v>
      </c>
      <c r="O37" s="280">
        <v>10</v>
      </c>
    </row>
    <row r="38">
      <c r="A38" s="280" t="s">
        <v>456</v>
      </c>
      <c r="B38" s="280" t="s">
        <v>445</v>
      </c>
      <c r="C38" s="281" t="s">
        <v>439</v>
      </c>
      <c r="D38" s="282">
        <v>4</v>
      </c>
      <c r="E38" s="280">
        <v>17</v>
      </c>
      <c r="F38" s="280">
        <v>10</v>
      </c>
      <c r="G38" s="280">
        <v>10</v>
      </c>
      <c r="H38" s="280">
        <v>1</v>
      </c>
      <c r="I38" s="284">
        <v>4711.400000000001</v>
      </c>
      <c r="J38" s="284">
        <v>4900.57</v>
      </c>
      <c r="K38" s="285">
        <f t="shared" si="0"/>
      </c>
      <c r="L38" s="285">
        <f t="shared" si="2"/>
      </c>
      <c r="M38" s="285">
        <f t="shared" si="1"/>
      </c>
      <c r="N38" s="286"/>
      <c r="O38" s="286"/>
    </row>
    <row r="39">
      <c r="A39" s="280" t="s">
        <v>456</v>
      </c>
      <c r="B39" s="280" t="s">
        <v>440</v>
      </c>
      <c r="C39" s="281" t="s">
        <v>441</v>
      </c>
      <c r="D39" s="282">
        <v>3</v>
      </c>
      <c r="E39" s="280">
        <v>19</v>
      </c>
      <c r="F39" s="280">
        <v>11</v>
      </c>
      <c r="G39" s="280">
        <v>11</v>
      </c>
      <c r="H39" s="280">
        <v>1</v>
      </c>
      <c r="I39" s="284">
        <v>5266.799999999999</v>
      </c>
      <c r="J39" s="284">
        <v>3785.57</v>
      </c>
      <c r="K39" s="285">
        <f t="shared" si="0"/>
      </c>
      <c r="L39" s="285">
        <f t="shared" si="2"/>
      </c>
      <c r="M39" s="285">
        <f t="shared" si="1"/>
      </c>
      <c r="N39" s="281" t="s">
        <v>442</v>
      </c>
      <c r="O39" s="281">
        <v>8</v>
      </c>
    </row>
    <row r="40">
      <c r="A40" s="280" t="s">
        <v>456</v>
      </c>
      <c r="B40" s="280" t="s">
        <v>435</v>
      </c>
      <c r="C40" s="281" t="s">
        <v>452</v>
      </c>
      <c r="D40" s="282">
        <v>4</v>
      </c>
      <c r="E40" s="280">
        <v>14</v>
      </c>
      <c r="F40" s="280">
        <v>12</v>
      </c>
      <c r="G40" s="280">
        <v>12</v>
      </c>
      <c r="H40" s="280">
        <v>1</v>
      </c>
      <c r="I40" s="284">
        <v>5789</v>
      </c>
      <c r="J40" s="284">
        <v>3843.59</v>
      </c>
      <c r="K40" s="285">
        <f t="shared" si="0"/>
      </c>
      <c r="L40" s="285">
        <f t="shared" si="2"/>
      </c>
      <c r="M40" s="285">
        <f t="shared" si="1"/>
      </c>
      <c r="N40" s="280"/>
      <c r="O40" s="281"/>
    </row>
    <row r="41">
      <c r="A41" s="280" t="s">
        <v>456</v>
      </c>
      <c r="B41" s="280" t="s">
        <v>443</v>
      </c>
      <c r="C41" s="280" t="s">
        <v>453</v>
      </c>
      <c r="D41" s="282">
        <v>3</v>
      </c>
      <c r="E41" s="280">
        <v>18</v>
      </c>
      <c r="F41" s="280">
        <v>12</v>
      </c>
      <c r="G41" s="280">
        <v>12</v>
      </c>
      <c r="H41" s="280">
        <v>0</v>
      </c>
      <c r="I41" s="284">
        <v>5745.5999999999985</v>
      </c>
      <c r="J41" s="284">
        <v>5041.71</v>
      </c>
      <c r="K41" s="285">
        <f t="shared" si="0"/>
      </c>
      <c r="L41" s="285">
        <f t="shared" si="2"/>
      </c>
      <c r="M41" s="285">
        <f t="shared" si="1"/>
      </c>
      <c r="N41" s="280"/>
      <c r="O41" s="281"/>
    </row>
    <row r="42">
      <c r="A42" s="289" t="s">
        <v>456</v>
      </c>
      <c r="B42" s="290"/>
      <c r="C42" s="290"/>
      <c r="D42" s="290">
        <f>SUM(D37:D41)</f>
      </c>
      <c r="E42" s="290">
        <f>SUM(E37:E41)</f>
      </c>
      <c r="F42" s="290">
        <f>SUM(F37:F41)</f>
      </c>
      <c r="G42" s="290">
        <f>SUM(G37:G41)</f>
      </c>
      <c r="H42" s="290">
        <f>SUM(H37:H41)</f>
      </c>
      <c r="I42" s="290">
        <f>SUM(I37:I41)</f>
      </c>
      <c r="J42" s="290">
        <f>SUM(J37:J41)</f>
      </c>
      <c r="K42" s="291">
        <f t="shared" si="0"/>
      </c>
      <c r="L42" s="291">
        <f t="shared" si="2"/>
      </c>
      <c r="M42" s="291">
        <f t="shared" si="1"/>
      </c>
      <c r="N42" s="290"/>
      <c r="O42" s="290">
        <f>SUM(O37:O41)</f>
      </c>
    </row>
    <row r="43">
      <c r="A43" s="280" t="s">
        <v>457</v>
      </c>
      <c r="B43" s="280" t="s">
        <v>438</v>
      </c>
      <c r="C43" s="281" t="s">
        <v>436</v>
      </c>
      <c r="D43" s="282">
        <v>4</v>
      </c>
      <c r="E43" s="280">
        <v>19</v>
      </c>
      <c r="F43" s="280">
        <v>12</v>
      </c>
      <c r="G43" s="280">
        <v>12</v>
      </c>
      <c r="H43" s="280">
        <v>1</v>
      </c>
      <c r="I43" s="283">
        <v>5707.3</v>
      </c>
      <c r="J43" s="284">
        <v>3714.3599999999997</v>
      </c>
      <c r="K43" s="285">
        <f t="shared" si="0"/>
      </c>
      <c r="L43" s="285">
        <f t="shared" si="2"/>
      </c>
      <c r="M43" s="285">
        <f t="shared" si="1"/>
      </c>
      <c r="N43" s="280" t="s">
        <v>455</v>
      </c>
      <c r="O43" s="280">
        <v>10</v>
      </c>
    </row>
    <row r="44">
      <c r="A44" s="280" t="s">
        <v>457</v>
      </c>
      <c r="B44" s="280" t="s">
        <v>445</v>
      </c>
      <c r="C44" s="281" t="s">
        <v>439</v>
      </c>
      <c r="D44" s="282">
        <v>4</v>
      </c>
      <c r="E44" s="280">
        <v>23</v>
      </c>
      <c r="F44" s="280">
        <v>21</v>
      </c>
      <c r="G44" s="280">
        <v>21</v>
      </c>
      <c r="H44" s="280">
        <v>3</v>
      </c>
      <c r="I44" s="284">
        <v>10016.5</v>
      </c>
      <c r="J44" s="284">
        <v>6011.17</v>
      </c>
      <c r="K44" s="285">
        <f t="shared" si="0"/>
      </c>
      <c r="L44" s="285">
        <f t="shared" si="2"/>
      </c>
      <c r="M44" s="285">
        <f t="shared" si="1"/>
      </c>
      <c r="N44" s="286"/>
      <c r="O44" s="286"/>
    </row>
    <row r="45">
      <c r="A45" s="280" t="s">
        <v>457</v>
      </c>
      <c r="B45" s="280" t="s">
        <v>443</v>
      </c>
      <c r="C45" s="281" t="s">
        <v>441</v>
      </c>
      <c r="D45" s="282">
        <v>3</v>
      </c>
      <c r="E45" s="280">
        <v>12</v>
      </c>
      <c r="F45" s="280">
        <v>4</v>
      </c>
      <c r="G45" s="280">
        <v>4</v>
      </c>
      <c r="H45" s="280">
        <v>0</v>
      </c>
      <c r="I45" s="284">
        <v>1915.2000000000007</v>
      </c>
      <c r="J45" s="284">
        <v>3063.5299999999997</v>
      </c>
      <c r="K45" s="285">
        <f t="shared" si="0"/>
      </c>
      <c r="L45" s="285">
        <f t="shared" si="2"/>
      </c>
      <c r="M45" s="285">
        <f t="shared" si="1"/>
      </c>
      <c r="N45" s="281" t="s">
        <v>458</v>
      </c>
      <c r="O45" s="281">
        <v>8</v>
      </c>
    </row>
    <row r="46">
      <c r="A46" s="280" t="s">
        <v>457</v>
      </c>
      <c r="B46" s="280" t="s">
        <v>435</v>
      </c>
      <c r="C46" s="281" t="s">
        <v>452</v>
      </c>
      <c r="D46" s="282">
        <v>4</v>
      </c>
      <c r="E46" s="280">
        <v>8</v>
      </c>
      <c r="F46" s="280">
        <v>5</v>
      </c>
      <c r="G46" s="280">
        <v>5</v>
      </c>
      <c r="H46" s="280">
        <v>0</v>
      </c>
      <c r="I46" s="284">
        <v>2394</v>
      </c>
      <c r="J46" s="284">
        <v>3837.46</v>
      </c>
      <c r="K46" s="285">
        <f t="shared" si="0"/>
      </c>
      <c r="L46" s="285">
        <f t="shared" si="2"/>
      </c>
      <c r="M46" s="285">
        <f t="shared" si="1"/>
      </c>
      <c r="N46" s="280"/>
      <c r="O46" s="281"/>
    </row>
    <row r="47">
      <c r="A47" s="280" t="s">
        <v>457</v>
      </c>
      <c r="B47" s="280" t="s">
        <v>440</v>
      </c>
      <c r="C47" s="280" t="s">
        <v>453</v>
      </c>
      <c r="D47" s="282">
        <v>3</v>
      </c>
      <c r="E47" s="280">
        <v>9</v>
      </c>
      <c r="F47" s="280">
        <v>7</v>
      </c>
      <c r="G47" s="280">
        <v>7</v>
      </c>
      <c r="H47" s="280">
        <v>0</v>
      </c>
      <c r="I47" s="284">
        <v>3351.5999999999985</v>
      </c>
      <c r="J47" s="284">
        <v>3144.3</v>
      </c>
      <c r="K47" s="285">
        <f t="shared" si="0"/>
      </c>
      <c r="L47" s="285">
        <f t="shared" si="2"/>
      </c>
      <c r="M47" s="285">
        <f t="shared" si="1"/>
      </c>
      <c r="N47" s="280"/>
      <c r="O47" s="281"/>
    </row>
    <row r="48">
      <c r="A48" s="289" t="s">
        <v>457</v>
      </c>
      <c r="B48" s="290"/>
      <c r="C48" s="290"/>
      <c r="D48" s="290">
        <f>SUM(D43:D47)</f>
      </c>
      <c r="E48" s="290">
        <f>SUM(E43:E47)</f>
      </c>
      <c r="F48" s="290">
        <f>SUM(F43:F47)</f>
      </c>
      <c r="G48" s="290">
        <f>SUM(G43:G47)</f>
      </c>
      <c r="H48" s="290">
        <f>SUM(H43:H47)</f>
      </c>
      <c r="I48" s="290">
        <f>SUM(I43:I47)</f>
      </c>
      <c r="J48" s="290">
        <f>SUM(J43:J47)</f>
      </c>
      <c r="K48" s="291">
        <f t="shared" si="0"/>
      </c>
      <c r="L48" s="291">
        <f t="shared" si="2"/>
      </c>
      <c r="M48" s="291">
        <f t="shared" si="1"/>
      </c>
      <c r="N48" s="290"/>
      <c r="O48" s="290">
        <f>SUM(O43:O47)</f>
      </c>
    </row>
    <row r="49">
      <c r="A49" s="280" t="s">
        <v>459</v>
      </c>
      <c r="B49" s="280" t="s">
        <v>438</v>
      </c>
      <c r="C49" s="281" t="s">
        <v>436</v>
      </c>
      <c r="D49" s="282">
        <v>4</v>
      </c>
      <c r="E49" s="280">
        <v>12</v>
      </c>
      <c r="F49" s="280">
        <v>10</v>
      </c>
      <c r="G49" s="280">
        <v>10</v>
      </c>
      <c r="H49" s="280">
        <v>0</v>
      </c>
      <c r="I49" s="283">
        <v>4788</v>
      </c>
      <c r="J49" s="284">
        <v>4056.45</v>
      </c>
      <c r="K49" s="285">
        <f t="shared" si="0"/>
      </c>
      <c r="L49" s="285">
        <f t="shared" si="2"/>
      </c>
      <c r="M49" s="285">
        <f t="shared" si="1"/>
      </c>
      <c r="N49" s="280" t="s">
        <v>455</v>
      </c>
      <c r="O49" s="280">
        <v>1</v>
      </c>
    </row>
    <row r="50">
      <c r="A50" s="280" t="s">
        <v>459</v>
      </c>
      <c r="B50" s="280" t="s">
        <v>445</v>
      </c>
      <c r="C50" s="281" t="s">
        <v>439</v>
      </c>
      <c r="D50" s="282">
        <v>4</v>
      </c>
      <c r="E50" s="280">
        <v>23</v>
      </c>
      <c r="F50" s="280">
        <v>16</v>
      </c>
      <c r="G50" s="280">
        <v>16</v>
      </c>
      <c r="H50" s="280">
        <v>0</v>
      </c>
      <c r="I50" s="284">
        <v>7660.799999999999</v>
      </c>
      <c r="J50" s="284">
        <v>4905.06</v>
      </c>
      <c r="K50" s="285">
        <f t="shared" si="0"/>
      </c>
      <c r="L50" s="285">
        <f t="shared" si="2"/>
      </c>
      <c r="M50" s="285">
        <f t="shared" si="1"/>
      </c>
      <c r="N50" s="281" t="s">
        <v>460</v>
      </c>
      <c r="O50" s="281">
        <v>3</v>
      </c>
    </row>
    <row r="51">
      <c r="A51" s="280" t="s">
        <v>459</v>
      </c>
      <c r="B51" s="280" t="s">
        <v>440</v>
      </c>
      <c r="C51" s="281" t="s">
        <v>461</v>
      </c>
      <c r="D51" s="282">
        <v>4</v>
      </c>
      <c r="E51" s="280">
        <v>10</v>
      </c>
      <c r="F51" s="280">
        <v>9</v>
      </c>
      <c r="G51" s="280">
        <v>9</v>
      </c>
      <c r="H51" s="280">
        <v>0</v>
      </c>
      <c r="I51" s="284">
        <v>4309.200000000001</v>
      </c>
      <c r="J51" s="284">
        <v>4792.83</v>
      </c>
      <c r="K51" s="285">
        <f t="shared" si="0"/>
      </c>
      <c r="L51" s="285">
        <f t="shared" si="2"/>
      </c>
      <c r="M51" s="285">
        <f t="shared" si="1"/>
      </c>
      <c r="N51" s="281" t="s">
        <v>458</v>
      </c>
      <c r="O51" s="281">
        <v>8</v>
      </c>
    </row>
    <row r="52">
      <c r="A52" s="289" t="s">
        <v>459</v>
      </c>
      <c r="B52" s="290"/>
      <c r="C52" s="290"/>
      <c r="D52" s="290">
        <f>SUM(D49:D51)</f>
      </c>
      <c r="E52" s="290">
        <f>SUM(E49:E51)</f>
      </c>
      <c r="F52" s="290">
        <f>SUM(F49:F51)</f>
      </c>
      <c r="G52" s="290">
        <f>SUM(G49:G51)</f>
      </c>
      <c r="H52" s="290">
        <f>SUM(H49:H51)</f>
      </c>
      <c r="I52" s="290">
        <f>SUM(I49:I51)</f>
      </c>
      <c r="J52" s="290">
        <f>SUM(J49:J51)</f>
      </c>
      <c r="K52" s="291">
        <f t="shared" si="0"/>
      </c>
      <c r="L52" s="291">
        <f t="shared" si="2"/>
      </c>
      <c r="M52" s="291">
        <f t="shared" si="1"/>
      </c>
      <c r="N52" s="290"/>
      <c r="O52" s="290">
        <f>SUM(O49:O51)</f>
      </c>
    </row>
    <row r="53">
      <c r="A53" s="280" t="s">
        <v>462</v>
      </c>
      <c r="B53" s="280" t="s">
        <v>435</v>
      </c>
      <c r="C53" s="281" t="s">
        <v>436</v>
      </c>
      <c r="D53" s="282">
        <v>4</v>
      </c>
      <c r="E53" s="280">
        <v>8</v>
      </c>
      <c r="F53" s="280">
        <v>7</v>
      </c>
      <c r="G53" s="280">
        <v>7</v>
      </c>
      <c r="H53" s="280">
        <v>0</v>
      </c>
      <c r="I53" s="283">
        <v>3313.3</v>
      </c>
      <c r="J53" s="284">
        <v>3713.19</v>
      </c>
      <c r="K53" s="285">
        <f t="shared" si="0"/>
      </c>
      <c r="L53" s="285">
        <f t="shared" si="2"/>
      </c>
      <c r="M53" s="285">
        <f t="shared" si="1"/>
      </c>
      <c r="N53" s="280" t="s">
        <v>455</v>
      </c>
      <c r="O53" s="280">
        <v>1</v>
      </c>
    </row>
    <row r="54">
      <c r="A54" s="280" t="s">
        <v>462</v>
      </c>
      <c r="B54" s="280" t="s">
        <v>438</v>
      </c>
      <c r="C54" s="281" t="s">
        <v>439</v>
      </c>
      <c r="D54" s="282">
        <v>4</v>
      </c>
      <c r="E54" s="280">
        <v>16</v>
      </c>
      <c r="F54" s="280">
        <v>8</v>
      </c>
      <c r="G54" s="280">
        <v>8</v>
      </c>
      <c r="H54" s="280">
        <v>0</v>
      </c>
      <c r="I54" s="284">
        <v>3753.8</v>
      </c>
      <c r="J54" s="284">
        <v>4043.42</v>
      </c>
      <c r="K54" s="285">
        <f t="shared" si="0"/>
      </c>
      <c r="L54" s="285">
        <f t="shared" si="2"/>
      </c>
      <c r="M54" s="285">
        <f t="shared" si="1"/>
      </c>
      <c r="N54" s="281" t="s">
        <v>460</v>
      </c>
      <c r="O54" s="281">
        <v>3</v>
      </c>
    </row>
    <row r="55">
      <c r="A55" s="280" t="s">
        <v>462</v>
      </c>
      <c r="B55" s="280" t="s">
        <v>445</v>
      </c>
      <c r="C55" s="281" t="s">
        <v>461</v>
      </c>
      <c r="D55" s="282">
        <v>4</v>
      </c>
      <c r="E55" s="280">
        <v>22</v>
      </c>
      <c r="F55" s="280">
        <v>14</v>
      </c>
      <c r="G55" s="280">
        <v>14</v>
      </c>
      <c r="H55" s="280">
        <v>1</v>
      </c>
      <c r="I55" s="284">
        <v>6703.199999999999</v>
      </c>
      <c r="J55" s="284">
        <v>4542.48</v>
      </c>
      <c r="K55" s="285">
        <f t="shared" si="0"/>
      </c>
      <c r="L55" s="285">
        <f t="shared" si="2"/>
      </c>
      <c r="M55" s="285">
        <f t="shared" si="1"/>
      </c>
      <c r="N55" s="281" t="s">
        <v>458</v>
      </c>
      <c r="O55" s="281">
        <v>8</v>
      </c>
    </row>
    <row r="56">
      <c r="A56" s="289" t="s">
        <v>462</v>
      </c>
      <c r="B56" s="290"/>
      <c r="C56" s="290"/>
      <c r="D56" s="290">
        <f>SUM(D53:D55)</f>
      </c>
      <c r="E56" s="290">
        <f>SUM(E53:E55)</f>
      </c>
      <c r="F56" s="290">
        <f>SUM(F53:F55)</f>
      </c>
      <c r="G56" s="290">
        <f>SUM(G53:G55)</f>
      </c>
      <c r="H56" s="290">
        <f>SUM(H53:H55)</f>
      </c>
      <c r="I56" s="290">
        <f>SUM(I53:I55)</f>
      </c>
      <c r="J56" s="290">
        <f>SUM(J53:J55)</f>
      </c>
      <c r="K56" s="291">
        <f t="shared" si="0"/>
      </c>
      <c r="L56" s="291">
        <f t="shared" si="2"/>
      </c>
      <c r="M56" s="291">
        <f t="shared" si="1"/>
      </c>
      <c r="N56" s="290"/>
      <c r="O56" s="290">
        <f>SUM(O53:O55)</f>
      </c>
    </row>
    <row r="57">
      <c r="A57" s="280" t="s">
        <v>463</v>
      </c>
      <c r="B57" s="280" t="s">
        <v>435</v>
      </c>
      <c r="C57" s="281" t="s">
        <v>436</v>
      </c>
      <c r="D57" s="282">
        <v>4</v>
      </c>
      <c r="E57" s="280">
        <v>19</v>
      </c>
      <c r="F57" s="280">
        <v>10</v>
      </c>
      <c r="G57" s="280">
        <v>10</v>
      </c>
      <c r="H57" s="280">
        <v>1</v>
      </c>
      <c r="I57" s="283">
        <v>4788</v>
      </c>
      <c r="J57" s="284">
        <v>4527.139999999999</v>
      </c>
      <c r="K57" s="285">
        <f t="shared" si="0"/>
      </c>
      <c r="L57" s="285">
        <f t="shared" si="2"/>
      </c>
      <c r="M57" s="285">
        <f t="shared" si="1"/>
      </c>
      <c r="N57" s="280" t="s">
        <v>455</v>
      </c>
      <c r="O57" s="280">
        <v>1</v>
      </c>
    </row>
    <row r="58">
      <c r="A58" s="280" t="s">
        <v>463</v>
      </c>
      <c r="B58" s="280" t="s">
        <v>445</v>
      </c>
      <c r="C58" s="281" t="s">
        <v>439</v>
      </c>
      <c r="D58" s="282">
        <v>4</v>
      </c>
      <c r="E58" s="280">
        <v>22</v>
      </c>
      <c r="F58" s="280">
        <v>15</v>
      </c>
      <c r="G58" s="280">
        <v>15</v>
      </c>
      <c r="H58" s="280">
        <v>0</v>
      </c>
      <c r="I58" s="284">
        <v>7182</v>
      </c>
      <c r="J58" s="284">
        <v>4912.26</v>
      </c>
      <c r="K58" s="285">
        <f t="shared" si="0"/>
      </c>
      <c r="L58" s="285">
        <f t="shared" si="2"/>
      </c>
      <c r="M58" s="285">
        <f t="shared" si="1"/>
      </c>
      <c r="N58" s="281" t="s">
        <v>460</v>
      </c>
      <c r="O58" s="281">
        <v>2</v>
      </c>
    </row>
    <row r="59">
      <c r="A59" s="280" t="s">
        <v>463</v>
      </c>
      <c r="B59" s="280" t="s">
        <v>443</v>
      </c>
      <c r="C59" s="281" t="s">
        <v>441</v>
      </c>
      <c r="D59" s="282">
        <v>3</v>
      </c>
      <c r="E59" s="280">
        <v>14</v>
      </c>
      <c r="F59" s="280">
        <v>8</v>
      </c>
      <c r="G59" s="280">
        <v>8</v>
      </c>
      <c r="H59" s="280">
        <v>2</v>
      </c>
      <c r="I59" s="284">
        <v>3830.3999999999996</v>
      </c>
      <c r="J59" s="284">
        <v>5114.639999999999</v>
      </c>
      <c r="K59" s="285">
        <f t="shared" si="0"/>
      </c>
      <c r="L59" s="285">
        <f t="shared" si="2"/>
      </c>
      <c r="M59" s="285">
        <f t="shared" si="1"/>
      </c>
      <c r="N59" s="281" t="s">
        <v>458</v>
      </c>
      <c r="O59" s="281">
        <v>8</v>
      </c>
    </row>
    <row r="60">
      <c r="A60" s="289" t="s">
        <v>463</v>
      </c>
      <c r="B60" s="290"/>
      <c r="C60" s="290"/>
      <c r="D60" s="290">
        <f>SUM(D57:D59)</f>
      </c>
      <c r="E60" s="290">
        <f>SUM(E57:E59)</f>
      </c>
      <c r="F60" s="290">
        <f>SUM(F57:F59)</f>
      </c>
      <c r="G60" s="290">
        <f>SUM(G57:G59)</f>
      </c>
      <c r="H60" s="290">
        <f>SUM(H57:H59)</f>
      </c>
      <c r="I60" s="290">
        <f>SUM(I57:I59)</f>
      </c>
      <c r="J60" s="290">
        <f>SUM(J57:J59)</f>
      </c>
      <c r="K60" s="291">
        <f t="shared" si="0"/>
      </c>
      <c r="L60" s="291">
        <f t="shared" si="2"/>
      </c>
      <c r="M60" s="291">
        <f t="shared" si="1"/>
      </c>
      <c r="N60" s="290"/>
      <c r="O60" s="290">
        <f>SUM(O57:O59)</f>
      </c>
    </row>
    <row r="61">
      <c r="A61" s="280" t="s">
        <v>464</v>
      </c>
      <c r="B61" s="280" t="s">
        <v>438</v>
      </c>
      <c r="C61" s="281" t="s">
        <v>436</v>
      </c>
      <c r="D61" s="282">
        <v>4</v>
      </c>
      <c r="E61" s="280">
        <v>17</v>
      </c>
      <c r="F61" s="280">
        <v>11</v>
      </c>
      <c r="G61" s="280">
        <v>11</v>
      </c>
      <c r="H61" s="280">
        <v>1</v>
      </c>
      <c r="I61" s="283">
        <v>5266.8</v>
      </c>
      <c r="J61" s="284">
        <v>3963.98</v>
      </c>
      <c r="K61" s="285">
        <f t="shared" si="0"/>
      </c>
      <c r="L61" s="285">
        <f t="shared" si="2"/>
      </c>
      <c r="M61" s="285">
        <f t="shared" si="1"/>
      </c>
      <c r="N61" s="280" t="s">
        <v>455</v>
      </c>
      <c r="O61" s="280">
        <v>1</v>
      </c>
    </row>
    <row r="62">
      <c r="A62" s="280" t="s">
        <v>464</v>
      </c>
      <c r="B62" s="280" t="s">
        <v>440</v>
      </c>
      <c r="C62" s="281" t="s">
        <v>439</v>
      </c>
      <c r="D62" s="282">
        <v>4</v>
      </c>
      <c r="E62" s="280">
        <v>21</v>
      </c>
      <c r="F62" s="280">
        <v>13</v>
      </c>
      <c r="G62" s="280">
        <v>13</v>
      </c>
      <c r="H62" s="280">
        <v>0</v>
      </c>
      <c r="I62" s="284">
        <v>6147.8</v>
      </c>
      <c r="J62" s="284">
        <v>4535.360000000001</v>
      </c>
      <c r="K62" s="285">
        <f t="shared" si="0"/>
      </c>
      <c r="L62" s="285">
        <f t="shared" si="2"/>
      </c>
      <c r="M62" s="285">
        <f t="shared" si="1"/>
      </c>
      <c r="N62" s="281" t="s">
        <v>460</v>
      </c>
      <c r="O62" s="281">
        <v>2</v>
      </c>
    </row>
    <row r="63">
      <c r="A63" s="280" t="s">
        <v>464</v>
      </c>
      <c r="B63" s="280" t="s">
        <v>443</v>
      </c>
      <c r="C63" s="281" t="s">
        <v>461</v>
      </c>
      <c r="D63" s="282">
        <v>4</v>
      </c>
      <c r="E63" s="280">
        <v>22</v>
      </c>
      <c r="F63" s="280">
        <v>11</v>
      </c>
      <c r="G63" s="280">
        <v>11</v>
      </c>
      <c r="H63" s="280">
        <v>0</v>
      </c>
      <c r="I63" s="284">
        <v>5228.499999999998</v>
      </c>
      <c r="J63" s="284">
        <v>5477.299999999999</v>
      </c>
      <c r="K63" s="285">
        <f t="shared" si="0"/>
      </c>
      <c r="L63" s="285">
        <f t="shared" si="2"/>
      </c>
      <c r="M63" s="285">
        <f t="shared" si="1"/>
      </c>
      <c r="N63" s="281" t="s">
        <v>458</v>
      </c>
      <c r="O63" s="281">
        <v>9</v>
      </c>
    </row>
    <row r="64">
      <c r="A64" s="289" t="s">
        <v>464</v>
      </c>
      <c r="B64" s="290"/>
      <c r="C64" s="290"/>
      <c r="D64" s="290">
        <f>SUM(D61:D63)</f>
      </c>
      <c r="E64" s="290">
        <f>SUM(E61:E63)</f>
      </c>
      <c r="F64" s="290">
        <f>SUM(F61:F63)</f>
      </c>
      <c r="G64" s="290">
        <f>SUM(G61:G63)</f>
      </c>
      <c r="H64" s="290">
        <f>SUM(H61:H63)</f>
      </c>
      <c r="I64" s="290">
        <f>SUM(I61:I63)</f>
      </c>
      <c r="J64" s="290">
        <f>SUM(J61:J63)</f>
      </c>
      <c r="K64" s="291">
        <f t="shared" si="0"/>
      </c>
      <c r="L64" s="291">
        <f t="shared" si="2"/>
      </c>
      <c r="M64" s="291">
        <f t="shared" si="1"/>
      </c>
      <c r="N64" s="290"/>
      <c r="O64" s="290">
        <f>SUM(O61:O63)</f>
      </c>
    </row>
    <row r="65">
      <c r="A65" s="280" t="s">
        <v>465</v>
      </c>
      <c r="B65" s="280" t="s">
        <v>445</v>
      </c>
      <c r="C65" s="281" t="s">
        <v>436</v>
      </c>
      <c r="D65" s="282">
        <v>4</v>
      </c>
      <c r="E65" s="280">
        <v>15</v>
      </c>
      <c r="F65" s="280">
        <v>8</v>
      </c>
      <c r="G65" s="280">
        <v>8</v>
      </c>
      <c r="H65" s="280">
        <v>0</v>
      </c>
      <c r="I65" s="283">
        <v>3792.1</v>
      </c>
      <c r="J65" s="284">
        <v>4586.4400000000005</v>
      </c>
      <c r="K65" s="285">
        <f t="shared" si="0"/>
      </c>
      <c r="L65" s="285">
        <f t="shared" si="2"/>
      </c>
      <c r="M65" s="285">
        <f t="shared" si="1"/>
      </c>
      <c r="N65" s="280" t="s">
        <v>455</v>
      </c>
      <c r="O65" s="280">
        <v>1</v>
      </c>
    </row>
    <row r="66">
      <c r="A66" s="280" t="s">
        <v>465</v>
      </c>
      <c r="B66" s="280" t="s">
        <v>443</v>
      </c>
      <c r="C66" s="281" t="s">
        <v>439</v>
      </c>
      <c r="D66" s="292">
        <f>4-0.5</f>
      </c>
      <c r="E66" s="280">
        <v>16</v>
      </c>
      <c r="F66" s="280">
        <v>6</v>
      </c>
      <c r="G66" s="280">
        <v>6</v>
      </c>
      <c r="H66" s="280">
        <v>1</v>
      </c>
      <c r="I66" s="284">
        <v>2872.7999999999997</v>
      </c>
      <c r="J66" s="284">
        <v>4419.28</v>
      </c>
      <c r="K66" s="285">
        <f t="shared" si="0"/>
      </c>
      <c r="L66" s="285">
        <f t="shared" si="2"/>
      </c>
      <c r="M66" s="285">
        <f t="shared" si="1"/>
      </c>
      <c r="N66" s="281" t="s">
        <v>460</v>
      </c>
      <c r="O66" s="281">
        <v>2</v>
      </c>
    </row>
    <row r="67">
      <c r="A67" s="280" t="s">
        <v>465</v>
      </c>
      <c r="B67" s="280" t="s">
        <v>440</v>
      </c>
      <c r="C67" s="281" t="s">
        <v>461</v>
      </c>
      <c r="D67" s="282">
        <v>4</v>
      </c>
      <c r="E67" s="280">
        <v>14</v>
      </c>
      <c r="F67" s="280">
        <v>10</v>
      </c>
      <c r="G67" s="280">
        <v>10</v>
      </c>
      <c r="H67" s="280">
        <v>0</v>
      </c>
      <c r="I67" s="284">
        <v>4788</v>
      </c>
      <c r="J67" s="284">
        <v>4291.02</v>
      </c>
      <c r="K67" s="285">
        <f t="shared" si="0"/>
      </c>
      <c r="L67" s="285">
        <f t="shared" si="2"/>
      </c>
      <c r="M67" s="285">
        <f t="shared" si="1"/>
      </c>
      <c r="N67" s="281" t="s">
        <v>458</v>
      </c>
      <c r="O67" s="281">
        <v>9</v>
      </c>
    </row>
    <row r="68">
      <c r="A68" s="289" t="s">
        <v>465</v>
      </c>
      <c r="B68" s="290"/>
      <c r="C68" s="290"/>
      <c r="D68" s="290">
        <f>SUM(D65:D67)</f>
      </c>
      <c r="E68" s="290">
        <f>SUM(E65:E67)</f>
      </c>
      <c r="F68" s="290">
        <f>SUM(F65:F67)</f>
      </c>
      <c r="G68" s="290">
        <f>SUM(G65:G67)</f>
      </c>
      <c r="H68" s="290">
        <f>SUM(H65:H67)</f>
      </c>
      <c r="I68" s="290">
        <f>SUM(I65:I67)</f>
      </c>
      <c r="J68" s="290">
        <f>SUM(J65:J67)</f>
      </c>
      <c r="K68" s="291">
        <f t="shared" si="0"/>
      </c>
      <c r="L68" s="291">
        <f t="shared" si="2"/>
      </c>
      <c r="M68" s="291">
        <f t="shared" si="1"/>
      </c>
      <c r="N68" s="290"/>
      <c r="O68" s="290">
        <f>SUM(O65:O67)</f>
      </c>
    </row>
    <row r="69">
      <c r="A69" s="280" t="s">
        <v>466</v>
      </c>
      <c r="B69" s="280" t="s">
        <v>445</v>
      </c>
      <c r="C69" s="281" t="s">
        <v>436</v>
      </c>
      <c r="D69" s="282">
        <v>4</v>
      </c>
      <c r="E69" s="280">
        <v>18</v>
      </c>
      <c r="F69" s="280">
        <v>16</v>
      </c>
      <c r="G69" s="280">
        <v>16</v>
      </c>
      <c r="H69" s="280">
        <v>2</v>
      </c>
      <c r="I69" s="283">
        <v>7660.800000000001</v>
      </c>
      <c r="J69" s="284">
        <v>4010.49</v>
      </c>
      <c r="K69" s="285">
        <f t="shared" si="0"/>
      </c>
      <c r="L69" s="285">
        <f t="shared" si="2"/>
      </c>
      <c r="M69" s="285">
        <f t="shared" si="1"/>
      </c>
      <c r="N69" s="280" t="s">
        <v>455</v>
      </c>
      <c r="O69" s="280">
        <v>12</v>
      </c>
    </row>
    <row r="70">
      <c r="A70" s="280" t="s">
        <v>466</v>
      </c>
      <c r="B70" s="280" t="s">
        <v>440</v>
      </c>
      <c r="C70" s="281" t="s">
        <v>439</v>
      </c>
      <c r="D70" s="282">
        <v>4</v>
      </c>
      <c r="E70" s="280">
        <v>16</v>
      </c>
      <c r="F70" s="280">
        <v>10</v>
      </c>
      <c r="G70" s="280">
        <v>10</v>
      </c>
      <c r="H70" s="280">
        <v>0</v>
      </c>
      <c r="I70" s="284">
        <v>4749.699999999999</v>
      </c>
      <c r="J70" s="284">
        <v>4783.01</v>
      </c>
      <c r="K70" s="285">
        <f t="shared" si="0"/>
      </c>
      <c r="L70" s="285">
        <f t="shared" si="2"/>
      </c>
      <c r="M70" s="285">
        <f t="shared" si="1"/>
      </c>
      <c r="N70" s="281"/>
      <c r="O70" s="281"/>
    </row>
    <row r="71">
      <c r="A71" s="280" t="s">
        <v>466</v>
      </c>
      <c r="B71" s="280" t="s">
        <v>438</v>
      </c>
      <c r="C71" s="281" t="s">
        <v>461</v>
      </c>
      <c r="D71" s="282">
        <v>4</v>
      </c>
      <c r="E71" s="280">
        <v>17</v>
      </c>
      <c r="F71" s="280">
        <v>12</v>
      </c>
      <c r="G71" s="280">
        <v>12</v>
      </c>
      <c r="H71" s="280">
        <v>0</v>
      </c>
      <c r="I71" s="284">
        <v>5745.5999999999985</v>
      </c>
      <c r="J71" s="284">
        <v>4795.18</v>
      </c>
      <c r="K71" s="285">
        <f t="shared" si="0"/>
      </c>
      <c r="L71" s="285">
        <f t="shared" si="2"/>
      </c>
      <c r="M71" s="285">
        <f t="shared" si="1"/>
      </c>
      <c r="N71" s="281"/>
      <c r="O71" s="281"/>
    </row>
    <row r="72">
      <c r="A72" s="289" t="s">
        <v>466</v>
      </c>
      <c r="B72" s="290"/>
      <c r="C72" s="290"/>
      <c r="D72" s="290">
        <f>SUM(D69:D71)</f>
      </c>
      <c r="E72" s="290">
        <f>SUM(E69:E71)</f>
      </c>
      <c r="F72" s="290">
        <f>SUM(F69:F71)</f>
      </c>
      <c r="G72" s="290">
        <f>SUM(G69:G71)</f>
      </c>
      <c r="H72" s="290">
        <f>SUM(H69:H71)</f>
      </c>
      <c r="I72" s="290">
        <f>SUM(I69:I71)</f>
      </c>
      <c r="J72" s="290">
        <f>SUM(J69:J71)</f>
      </c>
      <c r="K72" s="291">
        <f t="shared" si="0"/>
      </c>
      <c r="L72" s="291">
        <f t="shared" si="2"/>
      </c>
      <c r="M72" s="291">
        <f t="shared" si="1"/>
      </c>
      <c r="N72" s="290"/>
      <c r="O72" s="290">
        <f>SUM(O69:O71)</f>
      </c>
    </row>
    <row r="73">
      <c r="A73" s="280" t="s">
        <v>467</v>
      </c>
      <c r="B73" s="280" t="s">
        <v>445</v>
      </c>
      <c r="C73" s="281" t="s">
        <v>468</v>
      </c>
      <c r="D73" s="282">
        <v>5</v>
      </c>
      <c r="E73" s="280">
        <v>17</v>
      </c>
      <c r="F73" s="280">
        <v>12</v>
      </c>
      <c r="G73" s="280">
        <v>12</v>
      </c>
      <c r="H73" s="280">
        <v>2</v>
      </c>
      <c r="I73" s="283">
        <v>5745.6</v>
      </c>
      <c r="J73" s="284">
        <v>5329.8099999999995</v>
      </c>
      <c r="K73" s="285">
        <f t="shared" si="0"/>
      </c>
      <c r="L73" s="285">
        <f t="shared" si="2"/>
      </c>
      <c r="M73" s="285">
        <f t="shared" si="1"/>
      </c>
      <c r="N73" s="280" t="s">
        <v>455</v>
      </c>
      <c r="O73" s="280">
        <v>12</v>
      </c>
    </row>
    <row r="74">
      <c r="A74" s="280" t="s">
        <v>467</v>
      </c>
      <c r="B74" s="280" t="s">
        <v>440</v>
      </c>
      <c r="C74" s="281" t="s">
        <v>469</v>
      </c>
      <c r="D74" s="282">
        <v>4</v>
      </c>
      <c r="E74" s="280">
        <v>16</v>
      </c>
      <c r="F74" s="280">
        <v>12</v>
      </c>
      <c r="G74" s="280">
        <v>12</v>
      </c>
      <c r="H74" s="280">
        <v>1</v>
      </c>
      <c r="I74" s="284">
        <v>5745.6</v>
      </c>
      <c r="J74" s="284">
        <v>5055.43</v>
      </c>
      <c r="K74" s="285">
        <f t="shared" si="0"/>
      </c>
      <c r="L74" s="285">
        <f t="shared" si="2"/>
      </c>
      <c r="M74" s="285">
        <f t="shared" si="1"/>
      </c>
      <c r="N74" s="281"/>
      <c r="O74" s="281"/>
    </row>
    <row r="75">
      <c r="A75" s="280" t="s">
        <v>467</v>
      </c>
      <c r="B75" s="280" t="s">
        <v>438</v>
      </c>
      <c r="C75" s="281" t="s">
        <v>470</v>
      </c>
      <c r="D75" s="282">
        <v>3</v>
      </c>
      <c r="E75" s="280">
        <v>9</v>
      </c>
      <c r="F75" s="280">
        <v>6</v>
      </c>
      <c r="G75" s="280">
        <v>6</v>
      </c>
      <c r="H75" s="280">
        <v>0</v>
      </c>
      <c r="I75" s="284">
        <v>2834.5</v>
      </c>
      <c r="J75" s="284">
        <v>2684.9300000000003</v>
      </c>
      <c r="K75" s="285">
        <f t="shared" si="0"/>
      </c>
      <c r="L75" s="285">
        <f t="shared" si="2"/>
      </c>
      <c r="M75" s="285">
        <f t="shared" si="1"/>
      </c>
      <c r="N75" s="281"/>
      <c r="O75" s="281"/>
    </row>
    <row r="76">
      <c r="A76" s="289" t="s">
        <v>467</v>
      </c>
      <c r="B76" s="290"/>
      <c r="C76" s="290"/>
      <c r="D76" s="290">
        <f>SUM(D73:D75)</f>
      </c>
      <c r="E76" s="290">
        <f>SUM(E73:E75)</f>
      </c>
      <c r="F76" s="290">
        <f>SUM(F73:F75)</f>
      </c>
      <c r="G76" s="290">
        <f>SUM(G73:G75)</f>
      </c>
      <c r="H76" s="290">
        <f>SUM(H73:H75)</f>
      </c>
      <c r="I76" s="290">
        <f>SUM(I73:I75)</f>
      </c>
      <c r="J76" s="290">
        <f>SUM(J73:J75)</f>
      </c>
      <c r="K76" s="291">
        <f t="shared" si="0"/>
      </c>
      <c r="L76" s="291">
        <f t="shared" si="2"/>
      </c>
      <c r="M76" s="291">
        <f t="shared" si="1"/>
      </c>
      <c r="N76" s="290"/>
      <c r="O76" s="290">
        <f>SUM(O73:O75)</f>
      </c>
    </row>
    <row r="77">
      <c r="A77" s="280" t="s">
        <v>471</v>
      </c>
      <c r="B77" s="280" t="s">
        <v>445</v>
      </c>
      <c r="C77" s="281" t="s">
        <v>468</v>
      </c>
      <c r="D77" s="282">
        <v>5</v>
      </c>
      <c r="E77" s="280">
        <v>29</v>
      </c>
      <c r="F77" s="280">
        <v>18</v>
      </c>
      <c r="G77" s="280">
        <v>18</v>
      </c>
      <c r="H77" s="280">
        <v>2</v>
      </c>
      <c r="I77" s="283">
        <v>8465.2</v>
      </c>
      <c r="J77" s="284">
        <v>6128.98</v>
      </c>
      <c r="K77" s="285">
        <f t="shared" si="0"/>
      </c>
      <c r="L77" s="285">
        <f t="shared" si="2"/>
      </c>
      <c r="M77" s="285">
        <f t="shared" si="1"/>
      </c>
      <c r="N77" s="280" t="s">
        <v>455</v>
      </c>
      <c r="O77" s="280">
        <v>9</v>
      </c>
    </row>
    <row r="78">
      <c r="A78" s="280" t="s">
        <v>471</v>
      </c>
      <c r="B78" s="280" t="s">
        <v>472</v>
      </c>
      <c r="C78" s="281" t="s">
        <v>469</v>
      </c>
      <c r="D78" s="282">
        <v>4</v>
      </c>
      <c r="E78" s="280">
        <v>18</v>
      </c>
      <c r="F78" s="280">
        <v>11</v>
      </c>
      <c r="G78" s="280">
        <v>11</v>
      </c>
      <c r="H78" s="280">
        <v>2</v>
      </c>
      <c r="I78" s="284">
        <v>5228.5</v>
      </c>
      <c r="J78" s="284">
        <v>4821.9</v>
      </c>
      <c r="K78" s="285">
        <f t="shared" si="0"/>
      </c>
      <c r="L78" s="285">
        <f t="shared" si="2"/>
      </c>
      <c r="M78" s="285">
        <f t="shared" si="1"/>
      </c>
      <c r="N78" s="281"/>
      <c r="O78" s="281"/>
    </row>
    <row r="79">
      <c r="A79" s="289" t="s">
        <v>471</v>
      </c>
      <c r="B79" s="290"/>
      <c r="C79" s="290"/>
      <c r="D79" s="290">
        <f>SUM(D77:D78)</f>
      </c>
      <c r="E79" s="290">
        <f>SUM(E77:E78)</f>
      </c>
      <c r="F79" s="290">
        <f>SUM(F77:F78)</f>
      </c>
      <c r="G79" s="290">
        <f>SUM(G77:G78)</f>
      </c>
      <c r="H79" s="290">
        <f>SUM(H77:H78)</f>
      </c>
      <c r="I79" s="290">
        <f>SUM(I77:I78)</f>
      </c>
      <c r="J79" s="290">
        <f>SUM(J77:J78)</f>
      </c>
      <c r="K79" s="291">
        <f t="shared" si="0"/>
      </c>
      <c r="L79" s="291">
        <f t="shared" si="2"/>
      </c>
      <c r="M79" s="291">
        <f t="shared" si="1"/>
      </c>
      <c r="N79" s="290"/>
      <c r="O79" s="290">
        <f>SUM(O77:O78)</f>
      </c>
    </row>
    <row r="80">
      <c r="A80" s="280" t="s">
        <v>473</v>
      </c>
      <c r="B80" s="280" t="s">
        <v>445</v>
      </c>
      <c r="C80" s="281" t="s">
        <v>468</v>
      </c>
      <c r="D80" s="282">
        <v>5</v>
      </c>
      <c r="E80" s="280">
        <v>19</v>
      </c>
      <c r="F80" s="280">
        <v>16</v>
      </c>
      <c r="G80" s="280">
        <v>16</v>
      </c>
      <c r="H80" s="280">
        <v>0</v>
      </c>
      <c r="I80" s="283">
        <v>7545.9</v>
      </c>
      <c r="J80" s="284">
        <v>5275.740000000001</v>
      </c>
      <c r="K80" s="285">
        <f t="shared" si="0"/>
      </c>
      <c r="L80" s="285">
        <f t="shared" si="2"/>
      </c>
      <c r="M80" s="285">
        <f t="shared" si="1"/>
      </c>
      <c r="N80" s="280" t="s">
        <v>474</v>
      </c>
      <c r="O80" s="280">
        <v>9</v>
      </c>
    </row>
    <row r="81">
      <c r="A81" s="280" t="s">
        <v>473</v>
      </c>
      <c r="B81" s="280" t="s">
        <v>435</v>
      </c>
      <c r="C81" s="281" t="s">
        <v>469</v>
      </c>
      <c r="D81" s="282">
        <v>4</v>
      </c>
      <c r="E81" s="280">
        <v>14</v>
      </c>
      <c r="F81" s="280">
        <v>13</v>
      </c>
      <c r="G81" s="280">
        <v>13</v>
      </c>
      <c r="H81" s="280">
        <v>1</v>
      </c>
      <c r="I81" s="284">
        <v>6147.800000000001</v>
      </c>
      <c r="J81" s="284">
        <v>6202.01</v>
      </c>
      <c r="K81" s="285">
        <f t="shared" si="0"/>
      </c>
      <c r="L81" s="285">
        <f t="shared" si="2"/>
      </c>
      <c r="M81" s="285">
        <f t="shared" si="1"/>
      </c>
      <c r="N81" s="281"/>
      <c r="O81" s="281"/>
    </row>
    <row r="82">
      <c r="A82" s="289" t="s">
        <v>473</v>
      </c>
      <c r="B82" s="290"/>
      <c r="C82" s="290"/>
      <c r="D82" s="290">
        <f>SUM(D80:D81)</f>
      </c>
      <c r="E82" s="290">
        <f>SUM(E80:E81)</f>
      </c>
      <c r="F82" s="290">
        <f>SUM(F80:F81)</f>
      </c>
      <c r="G82" s="290">
        <f>SUM(G80:G81)</f>
      </c>
      <c r="H82" s="290">
        <f>SUM(H80:H81)</f>
      </c>
      <c r="I82" s="290">
        <f>SUM(I80:I81)</f>
      </c>
      <c r="J82" s="290">
        <f>SUM(J80:J81)</f>
      </c>
      <c r="K82" s="291">
        <f t="shared" si="0"/>
      </c>
      <c r="L82" s="291">
        <f t="shared" si="2"/>
      </c>
      <c r="M82" s="291">
        <f t="shared" si="1"/>
      </c>
      <c r="N82" s="290"/>
      <c r="O82" s="290">
        <f>SUM(O80:O81)</f>
      </c>
    </row>
    <row r="83">
      <c r="A83" s="280" t="s">
        <v>475</v>
      </c>
      <c r="B83" s="280" t="s">
        <v>445</v>
      </c>
      <c r="C83" s="281" t="s">
        <v>468</v>
      </c>
      <c r="D83" s="282">
        <v>5</v>
      </c>
      <c r="E83" s="280">
        <v>11</v>
      </c>
      <c r="F83" s="280">
        <v>3</v>
      </c>
      <c r="G83" s="280">
        <v>3</v>
      </c>
      <c r="H83" s="280">
        <v>0</v>
      </c>
      <c r="I83" s="283">
        <v>1436.4</v>
      </c>
      <c r="J83" s="284">
        <v>4380.62</v>
      </c>
      <c r="K83" s="285">
        <f t="shared" si="0"/>
      </c>
      <c r="L83" s="285">
        <f t="shared" si="2"/>
      </c>
      <c r="M83" s="285">
        <f t="shared" si="1"/>
      </c>
      <c r="N83" s="280" t="s">
        <v>437</v>
      </c>
      <c r="O83" s="280">
        <v>9</v>
      </c>
    </row>
    <row r="84">
      <c r="A84" s="280" t="s">
        <v>475</v>
      </c>
      <c r="B84" s="280" t="s">
        <v>438</v>
      </c>
      <c r="C84" s="281" t="s">
        <v>469</v>
      </c>
      <c r="D84" s="282">
        <v>4</v>
      </c>
      <c r="E84" s="280">
        <v>19</v>
      </c>
      <c r="F84" s="280">
        <v>17</v>
      </c>
      <c r="G84" s="280">
        <v>17</v>
      </c>
      <c r="H84" s="280">
        <v>1</v>
      </c>
      <c r="I84" s="284">
        <v>8139.6</v>
      </c>
      <c r="J84" s="284">
        <v>4018.68</v>
      </c>
      <c r="K84" s="285">
        <f t="shared" si="0"/>
      </c>
      <c r="L84" s="285">
        <f t="shared" si="2"/>
      </c>
      <c r="M84" s="285">
        <f t="shared" si="1"/>
      </c>
      <c r="N84" s="281"/>
      <c r="O84" s="281"/>
    </row>
    <row r="85">
      <c r="A85" s="289" t="s">
        <v>475</v>
      </c>
      <c r="B85" s="290"/>
      <c r="C85" s="290"/>
      <c r="D85" s="290">
        <f>SUM(D83:D84)</f>
      </c>
      <c r="E85" s="290">
        <f>SUM(E83:E84)</f>
      </c>
      <c r="F85" s="290">
        <f>SUM(F83:F84)</f>
      </c>
      <c r="G85" s="290">
        <f>SUM(G83:G84)</f>
      </c>
      <c r="H85" s="290">
        <f>SUM(H83:H84)</f>
      </c>
      <c r="I85" s="290">
        <f>SUM(I83:I84)</f>
      </c>
      <c r="J85" s="290">
        <f>SUM(J83:J84)</f>
      </c>
      <c r="K85" s="291">
        <f t="shared" si="0"/>
      </c>
      <c r="L85" s="291">
        <f t="shared" si="2"/>
      </c>
      <c r="M85" s="291">
        <f t="shared" si="1"/>
      </c>
      <c r="N85" s="290"/>
      <c r="O85" s="290">
        <f>SUM(O83:O84)</f>
      </c>
    </row>
    <row r="86">
      <c r="A86" s="280" t="s">
        <v>476</v>
      </c>
      <c r="B86" s="280" t="s">
        <v>445</v>
      </c>
      <c r="C86" s="281" t="s">
        <v>468</v>
      </c>
      <c r="D86" s="282">
        <v>5</v>
      </c>
      <c r="E86" s="280">
        <v>34</v>
      </c>
      <c r="F86" s="280">
        <v>25</v>
      </c>
      <c r="G86" s="280">
        <v>25</v>
      </c>
      <c r="H86" s="280">
        <v>2</v>
      </c>
      <c r="I86" s="283">
        <v>11970</v>
      </c>
      <c r="J86" s="284">
        <v>4633.66</v>
      </c>
      <c r="K86" s="285">
        <f t="shared" si="0"/>
      </c>
      <c r="L86" s="285">
        <f t="shared" si="2"/>
      </c>
      <c r="M86" s="285">
        <f t="shared" si="1"/>
      </c>
      <c r="N86" s="280" t="s">
        <v>437</v>
      </c>
      <c r="O86" s="280">
        <v>9</v>
      </c>
    </row>
    <row r="87">
      <c r="A87" s="280" t="s">
        <v>476</v>
      </c>
      <c r="B87" s="280" t="s">
        <v>440</v>
      </c>
      <c r="C87" s="281" t="s">
        <v>469</v>
      </c>
      <c r="D87" s="282">
        <v>4</v>
      </c>
      <c r="E87" s="280">
        <v>13</v>
      </c>
      <c r="F87" s="280">
        <v>6</v>
      </c>
      <c r="G87" s="280">
        <v>6</v>
      </c>
      <c r="H87" s="280">
        <v>0</v>
      </c>
      <c r="I87" s="284">
        <v>2872.7999999999993</v>
      </c>
      <c r="J87" s="284">
        <v>4510.32</v>
      </c>
      <c r="K87" s="285">
        <f t="shared" si="0"/>
      </c>
      <c r="L87" s="285">
        <f t="shared" si="2"/>
      </c>
      <c r="M87" s="285">
        <f t="shared" si="1"/>
      </c>
      <c r="N87" s="281"/>
      <c r="O87" s="281"/>
    </row>
    <row r="88">
      <c r="A88" s="289" t="s">
        <v>476</v>
      </c>
      <c r="B88" s="290"/>
      <c r="C88" s="290"/>
      <c r="D88" s="290">
        <f>SUM(D86:D87)</f>
      </c>
      <c r="E88" s="290">
        <f>SUM(E86:E87)</f>
      </c>
      <c r="F88" s="290">
        <f>SUM(F86:F87)</f>
      </c>
      <c r="G88" s="290">
        <f>SUM(G86:G87)</f>
      </c>
      <c r="H88" s="290">
        <f>SUM(H86:H87)</f>
      </c>
      <c r="I88" s="290">
        <f>SUM(I86:I87)</f>
      </c>
      <c r="J88" s="290">
        <f>SUM(J86:J87)</f>
      </c>
      <c r="K88" s="291">
        <f t="shared" si="0"/>
      </c>
      <c r="L88" s="291">
        <f t="shared" si="2"/>
      </c>
      <c r="M88" s="291">
        <f t="shared" si="1"/>
      </c>
      <c r="N88" s="290"/>
      <c r="O88" s="290">
        <f>SUM(O86:O87)</f>
      </c>
    </row>
    <row r="89">
      <c r="A89" s="280" t="s">
        <v>477</v>
      </c>
      <c r="B89" s="280" t="s">
        <v>445</v>
      </c>
      <c r="C89" s="281" t="s">
        <v>468</v>
      </c>
      <c r="D89" s="282">
        <v>5</v>
      </c>
      <c r="E89" s="280">
        <v>35</v>
      </c>
      <c r="F89" s="280">
        <v>27</v>
      </c>
      <c r="G89" s="280">
        <v>27</v>
      </c>
      <c r="H89" s="280">
        <v>1</v>
      </c>
      <c r="I89" s="283">
        <v>12851</v>
      </c>
      <c r="J89" s="284">
        <v>5996.2</v>
      </c>
      <c r="K89" s="285">
        <f t="shared" si="0"/>
      </c>
      <c r="L89" s="285">
        <f t="shared" si="2"/>
      </c>
      <c r="M89" s="285">
        <f t="shared" si="1"/>
      </c>
      <c r="N89" s="280" t="s">
        <v>437</v>
      </c>
      <c r="O89" s="280">
        <v>9</v>
      </c>
    </row>
    <row r="90">
      <c r="A90" s="280" t="s">
        <v>477</v>
      </c>
      <c r="B90" s="280" t="s">
        <v>435</v>
      </c>
      <c r="C90" s="281" t="s">
        <v>469</v>
      </c>
      <c r="D90" s="282">
        <v>4</v>
      </c>
      <c r="E90" s="280">
        <v>13</v>
      </c>
      <c r="F90" s="280">
        <v>9</v>
      </c>
      <c r="G90" s="280">
        <v>9</v>
      </c>
      <c r="H90" s="280">
        <v>1</v>
      </c>
      <c r="I90" s="284">
        <v>17160.2</v>
      </c>
      <c r="J90" s="284">
        <v>5125.710000000001</v>
      </c>
      <c r="K90" s="285">
        <f t="shared" si="0"/>
      </c>
      <c r="L90" s="285">
        <f t="shared" si="2"/>
      </c>
      <c r="M90" s="285">
        <f t="shared" si="1"/>
      </c>
      <c r="N90" s="281"/>
      <c r="O90" s="281"/>
    </row>
    <row r="91">
      <c r="A91" s="289" t="s">
        <v>477</v>
      </c>
      <c r="B91" s="290"/>
      <c r="C91" s="290"/>
      <c r="D91" s="290">
        <f>SUM(D89:D90)</f>
      </c>
      <c r="E91" s="290">
        <f>SUM(E89:E90)</f>
      </c>
      <c r="F91" s="290">
        <f>SUM(F89:F90)</f>
      </c>
      <c r="G91" s="290">
        <f>SUM(G89:G90)</f>
      </c>
      <c r="H91" s="290">
        <f>SUM(H89:H90)</f>
      </c>
      <c r="I91" s="290">
        <f>SUM(I89:I90)</f>
      </c>
      <c r="J91" s="290">
        <f>SUM(J89:J90)</f>
      </c>
      <c r="K91" s="291">
        <f t="shared" si="0"/>
      </c>
      <c r="L91" s="291">
        <f t="shared" si="2"/>
      </c>
      <c r="M91" s="291">
        <f t="shared" si="1"/>
      </c>
      <c r="N91" s="290"/>
      <c r="O91" s="290">
        <f>SUM(O89:O90)</f>
      </c>
    </row>
    <row r="92">
      <c r="A92" s="280" t="s">
        <v>478</v>
      </c>
      <c r="B92" s="280" t="s">
        <v>445</v>
      </c>
      <c r="C92" s="281" t="s">
        <v>468</v>
      </c>
      <c r="D92" s="282">
        <v>5</v>
      </c>
      <c r="E92" s="280">
        <v>32</v>
      </c>
      <c r="F92" s="280">
        <v>26</v>
      </c>
      <c r="G92" s="280">
        <v>26</v>
      </c>
      <c r="H92" s="280">
        <v>1</v>
      </c>
      <c r="I92" s="283">
        <v>12410.5</v>
      </c>
      <c r="J92" s="284">
        <v>5692.429999999999</v>
      </c>
      <c r="K92" s="285">
        <f t="shared" si="0"/>
      </c>
      <c r="L92" s="285">
        <f t="shared" si="2"/>
      </c>
      <c r="M92" s="285">
        <f t="shared" si="1"/>
      </c>
      <c r="N92" s="280" t="s">
        <v>437</v>
      </c>
      <c r="O92" s="280">
        <v>9</v>
      </c>
    </row>
    <row r="93">
      <c r="A93" s="280" t="s">
        <v>478</v>
      </c>
      <c r="B93" s="280" t="s">
        <v>472</v>
      </c>
      <c r="C93" s="281" t="s">
        <v>469</v>
      </c>
      <c r="D93" s="282">
        <v>4</v>
      </c>
      <c r="E93" s="280">
        <v>7</v>
      </c>
      <c r="F93" s="280">
        <v>6</v>
      </c>
      <c r="G93" s="280">
        <v>6</v>
      </c>
      <c r="H93" s="280">
        <v>0</v>
      </c>
      <c r="I93" s="284">
        <v>2834.5</v>
      </c>
      <c r="J93" s="284">
        <v>3697.4500000000003</v>
      </c>
      <c r="K93" s="285">
        <f t="shared" si="0"/>
      </c>
      <c r="L93" s="285">
        <f t="shared" si="2"/>
      </c>
      <c r="M93" s="285">
        <f t="shared" si="1"/>
      </c>
      <c r="N93" s="281"/>
      <c r="O93" s="281"/>
    </row>
    <row r="94">
      <c r="A94" s="289" t="s">
        <v>478</v>
      </c>
      <c r="B94" s="290"/>
      <c r="C94" s="290"/>
      <c r="D94" s="290">
        <f>SUM(D92:D93)</f>
      </c>
      <c r="E94" s="290">
        <f>SUM(E92:E93)</f>
      </c>
      <c r="F94" s="290">
        <f>SUM(F92:F93)</f>
      </c>
      <c r="G94" s="290">
        <f>SUM(G92:G93)</f>
      </c>
      <c r="H94" s="290">
        <f>SUM(H92:H93)</f>
      </c>
      <c r="I94" s="290">
        <f>SUM(I92:I93)</f>
      </c>
      <c r="J94" s="290">
        <f>SUM(J92:J93)</f>
      </c>
      <c r="K94" s="291">
        <f t="shared" si="0"/>
      </c>
      <c r="L94" s="291">
        <f t="shared" si="2"/>
      </c>
      <c r="M94" s="291">
        <f t="shared" si="1"/>
      </c>
      <c r="N94" s="290"/>
      <c r="O94" s="290">
        <f>SUM(O92:O93)</f>
      </c>
    </row>
    <row r="95">
      <c r="A95" s="280" t="s">
        <v>479</v>
      </c>
      <c r="B95" s="280" t="s">
        <v>445</v>
      </c>
      <c r="C95" s="281" t="s">
        <v>436</v>
      </c>
      <c r="D95" s="282">
        <v>4</v>
      </c>
      <c r="E95" s="280">
        <v>29</v>
      </c>
      <c r="F95" s="280">
        <v>18</v>
      </c>
      <c r="G95" s="280">
        <v>18</v>
      </c>
      <c r="H95" s="280">
        <v>0</v>
      </c>
      <c r="I95" s="283">
        <v>8580.1</v>
      </c>
      <c r="J95" s="284">
        <v>5269.41</v>
      </c>
      <c r="K95" s="285">
        <f t="shared" si="0"/>
      </c>
      <c r="L95" s="285">
        <f t="shared" si="2"/>
      </c>
      <c r="M95" s="285">
        <f t="shared" si="1"/>
      </c>
      <c r="N95" s="280" t="s">
        <v>437</v>
      </c>
      <c r="O95" s="280">
        <v>8</v>
      </c>
    </row>
    <row r="96">
      <c r="A96" s="280" t="s">
        <v>479</v>
      </c>
      <c r="B96" s="280" t="s">
        <v>438</v>
      </c>
      <c r="C96" s="281" t="s">
        <v>439</v>
      </c>
      <c r="D96" s="282">
        <v>4</v>
      </c>
      <c r="E96" s="280">
        <v>27</v>
      </c>
      <c r="F96" s="280">
        <v>13</v>
      </c>
      <c r="G96" s="280">
        <v>13</v>
      </c>
      <c r="H96" s="280">
        <v>1</v>
      </c>
      <c r="I96" s="284">
        <v>6071.199999999999</v>
      </c>
      <c r="J96" s="284">
        <v>4604.37</v>
      </c>
      <c r="K96" s="285">
        <f t="shared" si="0"/>
      </c>
      <c r="L96" s="285">
        <f t="shared" si="2"/>
      </c>
      <c r="M96" s="285">
        <f t="shared" si="1"/>
      </c>
      <c r="N96" s="281"/>
      <c r="O96" s="281"/>
    </row>
    <row r="97">
      <c r="A97" s="289" t="s">
        <v>479</v>
      </c>
      <c r="B97" s="290"/>
      <c r="C97" s="290"/>
      <c r="D97" s="290">
        <f>SUM(D95:D96)</f>
      </c>
      <c r="E97" s="290">
        <f>SUM(E95:E96)</f>
      </c>
      <c r="F97" s="290">
        <f>SUM(F95:F96)</f>
      </c>
      <c r="G97" s="290">
        <f>SUM(G95:G96)</f>
      </c>
      <c r="H97" s="290">
        <f>SUM(H95:H96)</f>
      </c>
      <c r="I97" s="290">
        <f>SUM(I95:I96)</f>
      </c>
      <c r="J97" s="290">
        <f>SUM(J95:J96)</f>
      </c>
      <c r="K97" s="291">
        <f t="shared" si="0"/>
      </c>
      <c r="L97" s="291">
        <f t="shared" si="2"/>
      </c>
      <c r="M97" s="291">
        <f t="shared" si="1"/>
      </c>
      <c r="N97" s="290"/>
      <c r="O97" s="290">
        <f>SUM(O95:O96)</f>
      </c>
    </row>
    <row r="98">
      <c r="A98" s="280" t="s">
        <v>480</v>
      </c>
      <c r="B98" s="280" t="s">
        <v>445</v>
      </c>
      <c r="C98" s="281" t="s">
        <v>468</v>
      </c>
      <c r="D98" s="282">
        <v>5</v>
      </c>
      <c r="E98" s="280">
        <v>27</v>
      </c>
      <c r="F98" s="280">
        <v>21</v>
      </c>
      <c r="G98" s="280">
        <v>21</v>
      </c>
      <c r="H98" s="280">
        <v>1</v>
      </c>
      <c r="I98" s="283">
        <v>10016.5</v>
      </c>
      <c r="J98" s="284">
        <v>4770.41</v>
      </c>
      <c r="K98" s="285">
        <f t="shared" si="0"/>
      </c>
      <c r="L98" s="285">
        <f t="shared" si="2"/>
      </c>
      <c r="M98" s="285">
        <f t="shared" si="1"/>
      </c>
      <c r="N98" s="280" t="s">
        <v>437</v>
      </c>
      <c r="O98" s="280">
        <v>9</v>
      </c>
    </row>
    <row r="99">
      <c r="A99" s="280" t="s">
        <v>480</v>
      </c>
      <c r="B99" s="280" t="s">
        <v>438</v>
      </c>
      <c r="C99" s="281" t="s">
        <v>469</v>
      </c>
      <c r="D99" s="282">
        <v>4</v>
      </c>
      <c r="E99" s="280">
        <v>22</v>
      </c>
      <c r="F99" s="280">
        <v>15</v>
      </c>
      <c r="G99" s="280">
        <v>15</v>
      </c>
      <c r="H99" s="280">
        <v>1</v>
      </c>
      <c r="I99" s="284">
        <v>7143.700000000001</v>
      </c>
      <c r="J99" s="284">
        <v>4323.39</v>
      </c>
      <c r="K99" s="285">
        <f t="shared" si="0"/>
      </c>
      <c r="L99" s="285">
        <f t="shared" si="2"/>
      </c>
      <c r="M99" s="285">
        <f t="shared" si="1"/>
      </c>
      <c r="N99" s="281"/>
      <c r="O99" s="281"/>
    </row>
    <row r="100">
      <c r="A100" s="289" t="s">
        <v>480</v>
      </c>
      <c r="B100" s="290"/>
      <c r="C100" s="290"/>
      <c r="D100" s="290">
        <f>SUM(D98:D99)</f>
      </c>
      <c r="E100" s="290">
        <f>SUM(E98:E99)</f>
      </c>
      <c r="F100" s="290">
        <f>SUM(F98:F99)</f>
      </c>
      <c r="G100" s="290">
        <f>SUM(G98:G99)</f>
      </c>
      <c r="H100" s="290">
        <f>SUM(H98:H99)</f>
      </c>
      <c r="I100" s="290">
        <f>SUM(I98:I99)</f>
      </c>
      <c r="J100" s="290">
        <f>SUM(J98:J99)</f>
      </c>
      <c r="K100" s="291">
        <f t="shared" si="0"/>
      </c>
      <c r="L100" s="291">
        <f t="shared" si="2"/>
      </c>
      <c r="M100" s="291">
        <f t="shared" si="1"/>
      </c>
      <c r="N100" s="290"/>
      <c r="O100" s="290">
        <f>SUM(O98:O99)</f>
      </c>
    </row>
    <row r="101">
      <c r="A101" s="280" t="s">
        <v>481</v>
      </c>
      <c r="B101" s="280" t="s">
        <v>445</v>
      </c>
      <c r="C101" s="281" t="s">
        <v>468</v>
      </c>
      <c r="D101" s="282">
        <v>5</v>
      </c>
      <c r="E101" s="280">
        <v>18</v>
      </c>
      <c r="F101" s="280">
        <v>11</v>
      </c>
      <c r="G101" s="280">
        <v>11</v>
      </c>
      <c r="H101" s="280">
        <v>1</v>
      </c>
      <c r="I101" s="283">
        <v>5266.8</v>
      </c>
      <c r="J101" s="284">
        <v>5723.82</v>
      </c>
      <c r="K101" s="285">
        <f t="shared" si="0"/>
      </c>
      <c r="L101" s="285">
        <f t="shared" si="2"/>
      </c>
      <c r="M101" s="285">
        <f t="shared" si="1"/>
      </c>
      <c r="N101" s="280" t="s">
        <v>455</v>
      </c>
      <c r="O101" s="280">
        <v>1</v>
      </c>
    </row>
    <row r="102">
      <c r="A102" s="280" t="s">
        <v>481</v>
      </c>
      <c r="B102" s="280" t="s">
        <v>438</v>
      </c>
      <c r="C102" s="281" t="s">
        <v>469</v>
      </c>
      <c r="D102" s="292">
        <f>4-0.15</f>
      </c>
      <c r="E102" s="280">
        <v>15</v>
      </c>
      <c r="F102" s="280">
        <v>9</v>
      </c>
      <c r="G102" s="280">
        <v>9</v>
      </c>
      <c r="H102" s="280">
        <v>0</v>
      </c>
      <c r="I102" s="284">
        <v>4309.2</v>
      </c>
      <c r="J102" s="284">
        <v>4150.4</v>
      </c>
      <c r="K102" s="285">
        <f t="shared" si="0"/>
      </c>
      <c r="L102" s="285">
        <f t="shared" si="2"/>
      </c>
      <c r="M102" s="285">
        <f t="shared" si="1"/>
      </c>
      <c r="N102" s="281" t="s">
        <v>460</v>
      </c>
      <c r="O102" s="281">
        <v>7</v>
      </c>
    </row>
    <row customHeight="true" ht="16.071428571428573" r="103">
      <c r="A103" s="280" t="s">
        <v>481</v>
      </c>
      <c r="B103" s="280" t="s">
        <v>435</v>
      </c>
      <c r="C103" s="281" t="s">
        <v>482</v>
      </c>
      <c r="D103" s="282">
        <v>4</v>
      </c>
      <c r="E103" s="280">
        <v>12</v>
      </c>
      <c r="F103" s="280">
        <v>10</v>
      </c>
      <c r="G103" s="280">
        <v>10</v>
      </c>
      <c r="H103" s="280">
        <v>0</v>
      </c>
      <c r="I103" s="284">
        <v>4749.7</v>
      </c>
      <c r="J103" s="284">
        <v>3976.1499999999996</v>
      </c>
      <c r="K103" s="285">
        <f t="shared" si="0"/>
      </c>
      <c r="L103" s="285">
        <f t="shared" si="2"/>
      </c>
      <c r="M103" s="285">
        <f t="shared" si="1"/>
      </c>
      <c r="N103" s="281" t="s">
        <v>483</v>
      </c>
      <c r="O103" s="281">
        <v>5</v>
      </c>
    </row>
    <row r="104">
      <c r="A104" s="289" t="s">
        <v>481</v>
      </c>
      <c r="B104" s="290"/>
      <c r="C104" s="290"/>
      <c r="D104" s="290">
        <f>SUM(D101:D103)</f>
      </c>
      <c r="E104" s="290">
        <f>SUM(E101:E103)</f>
      </c>
      <c r="F104" s="290">
        <f>SUM(F101:F103)</f>
      </c>
      <c r="G104" s="290">
        <f>SUM(G101:G103)</f>
      </c>
      <c r="H104" s="290">
        <f>SUM(H101:H103)</f>
      </c>
      <c r="I104" s="290">
        <f>SUM(I101:I103)</f>
      </c>
      <c r="J104" s="290">
        <f>SUM(J101:J103)</f>
      </c>
      <c r="K104" s="291">
        <f t="shared" si="0"/>
      </c>
      <c r="L104" s="291">
        <f t="shared" si="2"/>
      </c>
      <c r="M104" s="291">
        <f t="shared" si="1"/>
      </c>
      <c r="N104" s="290"/>
      <c r="O104" s="290">
        <f>SUM(O101:O103)</f>
      </c>
    </row>
    <row r="105">
      <c r="A105" s="280" t="s">
        <v>484</v>
      </c>
      <c r="B105" s="280" t="s">
        <v>445</v>
      </c>
      <c r="C105" s="281" t="s">
        <v>468</v>
      </c>
      <c r="D105" s="282">
        <v>5</v>
      </c>
      <c r="E105" s="280">
        <v>28</v>
      </c>
      <c r="F105" s="280">
        <v>22</v>
      </c>
      <c r="G105" s="280">
        <v>22</v>
      </c>
      <c r="H105" s="280">
        <v>1</v>
      </c>
      <c r="I105" s="283">
        <v>10495.3</v>
      </c>
      <c r="J105" s="284">
        <v>3943.5299999999997</v>
      </c>
      <c r="K105" s="285">
        <f t="shared" si="0"/>
      </c>
      <c r="L105" s="285">
        <f t="shared" si="2"/>
      </c>
      <c r="M105" s="285">
        <f t="shared" si="1"/>
      </c>
      <c r="N105" s="280" t="s">
        <v>455</v>
      </c>
      <c r="O105" s="280">
        <v>8</v>
      </c>
    </row>
    <row r="106">
      <c r="A106" s="280" t="s">
        <v>484</v>
      </c>
      <c r="B106" s="280" t="s">
        <v>435</v>
      </c>
      <c r="C106" s="281" t="s">
        <v>469</v>
      </c>
      <c r="D106" s="282">
        <v>4</v>
      </c>
      <c r="E106" s="280">
        <v>22</v>
      </c>
      <c r="F106" s="280">
        <v>9</v>
      </c>
      <c r="G106" s="280">
        <v>9</v>
      </c>
      <c r="H106" s="280">
        <v>0</v>
      </c>
      <c r="I106" s="284">
        <v>4309.2</v>
      </c>
      <c r="J106" s="284">
        <v>5247.52</v>
      </c>
      <c r="K106" s="285">
        <f t="shared" si="0"/>
      </c>
      <c r="L106" s="285">
        <f t="shared" si="2"/>
      </c>
      <c r="M106" s="285">
        <f t="shared" si="1"/>
      </c>
      <c r="N106" s="281"/>
      <c r="O106" s="281"/>
    </row>
    <row r="107">
      <c r="A107" s="280" t="s">
        <v>484</v>
      </c>
      <c r="B107" s="280" t="s">
        <v>472</v>
      </c>
      <c r="C107" s="281" t="s">
        <v>482</v>
      </c>
      <c r="D107" s="282">
        <v>4</v>
      </c>
      <c r="E107" s="280">
        <v>12</v>
      </c>
      <c r="F107" s="280">
        <v>9</v>
      </c>
      <c r="G107" s="280">
        <v>9</v>
      </c>
      <c r="H107" s="280">
        <v>0</v>
      </c>
      <c r="I107" s="284">
        <v>4309.2</v>
      </c>
      <c r="J107" s="284">
        <v>3787.9599999999996</v>
      </c>
      <c r="K107" s="285">
        <f t="shared" si="0"/>
      </c>
      <c r="L107" s="285">
        <f t="shared" si="2"/>
      </c>
      <c r="M107" s="285">
        <f t="shared" si="1"/>
      </c>
      <c r="N107" s="281" t="s">
        <v>483</v>
      </c>
      <c r="O107" s="281">
        <v>5</v>
      </c>
    </row>
    <row r="108">
      <c r="A108" s="289" t="s">
        <v>484</v>
      </c>
      <c r="B108" s="290"/>
      <c r="C108" s="290"/>
      <c r="D108" s="290">
        <f>SUM(D105:D107)</f>
      </c>
      <c r="E108" s="290">
        <f>SUM(E105:E107)</f>
      </c>
      <c r="F108" s="290">
        <f>SUM(F105:F107)</f>
      </c>
      <c r="G108" s="290">
        <f>SUM(G105:G107)</f>
      </c>
      <c r="H108" s="290">
        <f>SUM(H105:H107)</f>
      </c>
      <c r="I108" s="290">
        <f>SUM(I105:I107)</f>
      </c>
      <c r="J108" s="290">
        <f>SUM(J105:J107)</f>
      </c>
      <c r="K108" s="291">
        <f t="shared" si="0"/>
      </c>
      <c r="L108" s="291">
        <f t="shared" si="2"/>
      </c>
      <c r="M108" s="291">
        <f t="shared" si="1"/>
      </c>
      <c r="N108" s="290"/>
      <c r="O108" s="290">
        <f>SUM(O105:O107)</f>
      </c>
    </row>
    <row r="109">
      <c r="A109" s="280" t="s">
        <v>485</v>
      </c>
      <c r="B109" s="280" t="s">
        <v>445</v>
      </c>
      <c r="C109" s="281" t="s">
        <v>468</v>
      </c>
      <c r="D109" s="282">
        <v>5</v>
      </c>
      <c r="E109" s="280">
        <v>11</v>
      </c>
      <c r="F109" s="280">
        <v>4</v>
      </c>
      <c r="G109" s="280">
        <v>4</v>
      </c>
      <c r="H109" s="280">
        <v>0</v>
      </c>
      <c r="I109" s="284">
        <v>1915.2</v>
      </c>
      <c r="J109" s="284">
        <v>3943.38</v>
      </c>
      <c r="K109" s="285">
        <f t="shared" si="0"/>
      </c>
      <c r="L109" s="285">
        <f t="shared" si="2"/>
      </c>
      <c r="M109" s="285">
        <f t="shared" si="1"/>
      </c>
      <c r="N109" s="280" t="s">
        <v>455</v>
      </c>
      <c r="O109" s="280">
        <v>8</v>
      </c>
    </row>
    <row r="110">
      <c r="A110" s="280" t="s">
        <v>485</v>
      </c>
      <c r="B110" s="280" t="s">
        <v>435</v>
      </c>
      <c r="C110" s="281" t="s">
        <v>469</v>
      </c>
      <c r="D110" s="282">
        <v>4</v>
      </c>
      <c r="E110" s="280">
        <v>13</v>
      </c>
      <c r="F110" s="280">
        <v>10</v>
      </c>
      <c r="G110" s="280">
        <v>10</v>
      </c>
      <c r="H110" s="280">
        <v>1</v>
      </c>
      <c r="I110" s="284">
        <v>4788</v>
      </c>
      <c r="J110" s="284">
        <v>3789.31</v>
      </c>
      <c r="K110" s="285">
        <f t="shared" si="0"/>
      </c>
      <c r="L110" s="285">
        <f t="shared" si="2"/>
      </c>
      <c r="M110" s="285">
        <f t="shared" si="1"/>
      </c>
      <c r="N110" s="281"/>
      <c r="O110" s="281"/>
    </row>
    <row r="111">
      <c r="A111" s="280" t="s">
        <v>485</v>
      </c>
      <c r="B111" s="280" t="s">
        <v>440</v>
      </c>
      <c r="C111" s="281" t="s">
        <v>482</v>
      </c>
      <c r="D111" s="292">
        <f>4-1</f>
      </c>
      <c r="E111" s="280">
        <v>16</v>
      </c>
      <c r="F111" s="280">
        <v>8</v>
      </c>
      <c r="G111" s="280">
        <v>8</v>
      </c>
      <c r="H111" s="280">
        <v>0</v>
      </c>
      <c r="I111" s="284">
        <v>3792.1</v>
      </c>
      <c r="J111" s="284">
        <v>4455.18</v>
      </c>
      <c r="K111" s="285">
        <f t="shared" si="0"/>
      </c>
      <c r="L111" s="285">
        <f t="shared" si="2"/>
      </c>
      <c r="M111" s="285">
        <f t="shared" si="1"/>
      </c>
      <c r="N111" s="281" t="s">
        <v>483</v>
      </c>
      <c r="O111" s="281">
        <v>5</v>
      </c>
    </row>
    <row r="112">
      <c r="A112" s="289" t="s">
        <v>485</v>
      </c>
      <c r="B112" s="290"/>
      <c r="C112" s="290"/>
      <c r="D112" s="290">
        <f>SUM(D109:D111)</f>
      </c>
      <c r="E112" s="290">
        <f>SUM(E109:E111)</f>
      </c>
      <c r="F112" s="290">
        <f>SUM(F109:F111)</f>
      </c>
      <c r="G112" s="290">
        <f>SUM(G109:G111)</f>
      </c>
      <c r="H112" s="290">
        <f>SUM(H109:H111)</f>
      </c>
      <c r="I112" s="290">
        <f>SUM(I109:I111)</f>
      </c>
      <c r="J112" s="290">
        <f>SUM(J109:J111)</f>
      </c>
      <c r="K112" s="291">
        <f t="shared" si="0"/>
      </c>
      <c r="L112" s="291">
        <f t="shared" si="2"/>
      </c>
      <c r="M112" s="291">
        <f t="shared" si="1"/>
      </c>
      <c r="N112" s="290"/>
      <c r="O112" s="290">
        <f>SUM(O109:O111)</f>
      </c>
    </row>
    <row r="113">
      <c r="A113" s="280" t="s">
        <v>486</v>
      </c>
      <c r="B113" s="280" t="s">
        <v>445</v>
      </c>
      <c r="C113" s="281" t="s">
        <v>468</v>
      </c>
      <c r="D113" s="282">
        <v>5</v>
      </c>
      <c r="E113" s="280">
        <v>22</v>
      </c>
      <c r="F113" s="280">
        <v>17</v>
      </c>
      <c r="G113" s="280">
        <v>17</v>
      </c>
      <c r="H113" s="280">
        <v>0</v>
      </c>
      <c r="I113" s="284">
        <v>8101.3</v>
      </c>
      <c r="J113" s="280">
        <v>5395.32</v>
      </c>
      <c r="K113" s="285">
        <f t="shared" si="0"/>
      </c>
      <c r="L113" s="285">
        <f t="shared" si="2"/>
      </c>
      <c r="M113" s="285">
        <f t="shared" si="1"/>
      </c>
      <c r="N113" s="280" t="s">
        <v>455</v>
      </c>
      <c r="O113" s="280">
        <v>8</v>
      </c>
    </row>
    <row r="114">
      <c r="A114" s="280" t="s">
        <v>486</v>
      </c>
      <c r="B114" s="280" t="s">
        <v>435</v>
      </c>
      <c r="C114" s="281" t="s">
        <v>469</v>
      </c>
      <c r="D114" s="282">
        <v>4</v>
      </c>
      <c r="E114" s="280">
        <v>17</v>
      </c>
      <c r="F114" s="280">
        <v>13</v>
      </c>
      <c r="G114" s="280">
        <v>13</v>
      </c>
      <c r="H114" s="280">
        <v>0</v>
      </c>
      <c r="I114" s="284">
        <v>6186.1</v>
      </c>
      <c r="J114" s="284">
        <v>4808.4</v>
      </c>
      <c r="K114" s="285">
        <f t="shared" si="0"/>
      </c>
      <c r="L114" s="285">
        <f t="shared" si="2"/>
      </c>
      <c r="M114" s="285">
        <f t="shared" si="1"/>
      </c>
      <c r="N114" s="281"/>
      <c r="O114" s="281"/>
    </row>
    <row r="115">
      <c r="A115" s="280" t="s">
        <v>486</v>
      </c>
      <c r="B115" s="280" t="s">
        <v>472</v>
      </c>
      <c r="C115" s="281" t="s">
        <v>482</v>
      </c>
      <c r="D115" s="282">
        <v>4</v>
      </c>
      <c r="E115" s="280">
        <v>5</v>
      </c>
      <c r="F115" s="280">
        <v>4</v>
      </c>
      <c r="G115" s="280">
        <v>4</v>
      </c>
      <c r="H115" s="280">
        <v>0</v>
      </c>
      <c r="I115" s="284">
        <v>1915.2</v>
      </c>
      <c r="J115" s="284">
        <v>3437.63</v>
      </c>
      <c r="K115" s="285">
        <f t="shared" si="0"/>
      </c>
      <c r="L115" s="285">
        <f t="shared" si="2"/>
      </c>
      <c r="M115" s="285">
        <f t="shared" si="1"/>
      </c>
      <c r="N115" s="281" t="s">
        <v>483</v>
      </c>
      <c r="O115" s="281">
        <v>5</v>
      </c>
    </row>
    <row r="116">
      <c r="A116" s="289" t="s">
        <v>486</v>
      </c>
      <c r="B116" s="290"/>
      <c r="C116" s="290"/>
      <c r="D116" s="290">
        <f>SUM(D113:D115)</f>
      </c>
      <c r="E116" s="290">
        <f>SUM(E113:E115)</f>
      </c>
      <c r="F116" s="290">
        <f>SUM(F113:F115)</f>
      </c>
      <c r="G116" s="290">
        <f>SUM(G113:G115)</f>
      </c>
      <c r="H116" s="290">
        <f>SUM(H113:H115)</f>
      </c>
      <c r="I116" s="290">
        <f>SUM(I113:I115)</f>
      </c>
      <c r="J116" s="290">
        <f>SUM(J113:J115)</f>
      </c>
      <c r="K116" s="291">
        <f t="shared" si="0"/>
      </c>
      <c r="L116" s="291">
        <f t="shared" si="2"/>
      </c>
      <c r="M116" s="291">
        <f t="shared" si="1"/>
      </c>
      <c r="N116" s="290"/>
      <c r="O116" s="290">
        <f>SUM(O113:O115)</f>
      </c>
    </row>
    <row r="117">
      <c r="A117" s="280" t="s">
        <v>487</v>
      </c>
      <c r="B117" s="280" t="s">
        <v>445</v>
      </c>
      <c r="C117" s="281" t="s">
        <v>468</v>
      </c>
      <c r="D117" s="292">
        <f>5-1.15</f>
      </c>
      <c r="E117" s="280">
        <v>21</v>
      </c>
      <c r="F117" s="280">
        <v>16</v>
      </c>
      <c r="G117" s="280">
        <v>16</v>
      </c>
      <c r="H117" s="280">
        <v>1</v>
      </c>
      <c r="I117" s="284">
        <v>7622.5</v>
      </c>
      <c r="J117" s="280">
        <v>6208.450000000001</v>
      </c>
      <c r="K117" s="285">
        <f t="shared" si="0"/>
      </c>
      <c r="L117" s="285">
        <f t="shared" si="2"/>
      </c>
      <c r="M117" s="285">
        <f t="shared" si="1"/>
      </c>
      <c r="N117" s="280" t="s">
        <v>455</v>
      </c>
      <c r="O117" s="280">
        <v>9</v>
      </c>
    </row>
    <row r="118">
      <c r="A118" s="280" t="s">
        <v>487</v>
      </c>
      <c r="B118" s="280" t="s">
        <v>435</v>
      </c>
      <c r="C118" s="281" t="s">
        <v>469</v>
      </c>
      <c r="D118" s="282">
        <v>4</v>
      </c>
      <c r="E118" s="280">
        <v>15</v>
      </c>
      <c r="F118" s="280">
        <v>10</v>
      </c>
      <c r="G118" s="280">
        <v>10</v>
      </c>
      <c r="H118" s="280">
        <v>1</v>
      </c>
      <c r="I118" s="284">
        <v>4788</v>
      </c>
      <c r="J118" s="284">
        <v>4334.57</v>
      </c>
      <c r="K118" s="285">
        <f t="shared" si="0"/>
      </c>
      <c r="L118" s="285">
        <f t="shared" si="2"/>
      </c>
      <c r="M118" s="285">
        <f t="shared" si="1"/>
      </c>
      <c r="N118" s="281"/>
      <c r="O118" s="281"/>
    </row>
    <row r="119">
      <c r="A119" s="280" t="s">
        <v>487</v>
      </c>
      <c r="B119" s="280" t="s">
        <v>472</v>
      </c>
      <c r="C119" s="281" t="s">
        <v>470</v>
      </c>
      <c r="D119" s="282">
        <v>3</v>
      </c>
      <c r="E119" s="280">
        <v>10</v>
      </c>
      <c r="F119" s="280">
        <v>6</v>
      </c>
      <c r="G119" s="280">
        <v>6</v>
      </c>
      <c r="H119" s="280">
        <v>0</v>
      </c>
      <c r="I119" s="284">
        <v>2872.8</v>
      </c>
      <c r="J119" s="284">
        <v>2800.18</v>
      </c>
      <c r="K119" s="285">
        <f t="shared" si="0"/>
      </c>
      <c r="L119" s="285">
        <f t="shared" si="2"/>
      </c>
      <c r="M119" s="285">
        <f t="shared" si="1"/>
      </c>
      <c r="N119" s="281" t="s">
        <v>483</v>
      </c>
      <c r="O119" s="281">
        <v>3</v>
      </c>
    </row>
    <row r="120">
      <c r="A120" s="289" t="s">
        <v>487</v>
      </c>
      <c r="B120" s="290"/>
      <c r="C120" s="290"/>
      <c r="D120" s="290">
        <f>SUM(D117:D119)</f>
      </c>
      <c r="E120" s="290">
        <f>SUM(E117:E119)</f>
      </c>
      <c r="F120" s="290">
        <f>SUM(F117:F119)</f>
      </c>
      <c r="G120" s="290">
        <f>SUM(G117:G119)</f>
      </c>
      <c r="H120" s="290">
        <f>SUM(H117:H119)</f>
      </c>
      <c r="I120" s="290">
        <f>SUM(I117:I119)</f>
      </c>
      <c r="J120" s="290">
        <f>SUM(J117:J119)</f>
      </c>
      <c r="K120" s="291">
        <f t="shared" si="0"/>
      </c>
      <c r="L120" s="291">
        <f t="shared" si="2"/>
      </c>
      <c r="M120" s="291">
        <f t="shared" si="1"/>
      </c>
      <c r="N120" s="290"/>
      <c r="O120" s="290">
        <f>SUM(O117:O119)</f>
      </c>
    </row>
    <row customHeight="true" ht="16.071428571428573" r="121">
      <c r="A121" s="280" t="s">
        <v>488</v>
      </c>
      <c r="B121" s="280" t="s">
        <v>435</v>
      </c>
      <c r="C121" s="281" t="s">
        <v>436</v>
      </c>
      <c r="D121" s="282">
        <v>4</v>
      </c>
      <c r="E121" s="280">
        <v>19</v>
      </c>
      <c r="F121" s="280">
        <v>15</v>
      </c>
      <c r="G121" s="280">
        <v>15</v>
      </c>
      <c r="H121" s="280">
        <v>2</v>
      </c>
      <c r="I121" s="284">
        <v>7182</v>
      </c>
      <c r="J121" s="280">
        <v>4094.54</v>
      </c>
      <c r="K121" s="285">
        <f t="shared" si="0"/>
      </c>
      <c r="L121" s="285">
        <f t="shared" si="2"/>
      </c>
      <c r="M121" s="285">
        <f t="shared" si="1"/>
      </c>
      <c r="N121" s="280" t="s">
        <v>455</v>
      </c>
      <c r="O121" s="280">
        <v>8</v>
      </c>
    </row>
    <row r="122">
      <c r="A122" s="280" t="s">
        <v>488</v>
      </c>
      <c r="B122" s="280" t="s">
        <v>472</v>
      </c>
      <c r="C122" s="281" t="s">
        <v>439</v>
      </c>
      <c r="D122" s="282">
        <v>4</v>
      </c>
      <c r="E122" s="293">
        <f>34-19</f>
      </c>
      <c r="F122" s="280">
        <v>7</v>
      </c>
      <c r="G122" s="280">
        <v>7</v>
      </c>
      <c r="H122" s="280">
        <v>0</v>
      </c>
      <c r="I122" s="284">
        <v>3351.6000000000004</v>
      </c>
      <c r="J122" s="284">
        <v>3861.44</v>
      </c>
      <c r="K122" s="285">
        <f t="shared" si="0"/>
      </c>
      <c r="L122" s="285">
        <f t="shared" si="2"/>
      </c>
      <c r="M122" s="285">
        <f t="shared" si="1"/>
      </c>
      <c r="N122" s="281"/>
      <c r="O122" s="281"/>
    </row>
    <row r="123">
      <c r="A123" s="289" t="s">
        <v>488</v>
      </c>
      <c r="B123" s="290"/>
      <c r="C123" s="290"/>
      <c r="D123" s="290">
        <f>SUM(D121:D122)</f>
      </c>
      <c r="E123" s="290">
        <f>SUM(E121:E122)</f>
      </c>
      <c r="F123" s="290">
        <f>SUM(F121:F122)</f>
      </c>
      <c r="G123" s="290">
        <f>SUM(G121:G122)</f>
      </c>
      <c r="H123" s="290">
        <f>SUM(H121:H122)</f>
      </c>
      <c r="I123" s="290">
        <f>SUM(I121:I122)</f>
      </c>
      <c r="J123" s="290">
        <f>SUM(J121:J122)</f>
      </c>
      <c r="K123" s="291">
        <f t="shared" si="0"/>
      </c>
      <c r="L123" s="291">
        <f t="shared" si="2"/>
      </c>
      <c r="M123" s="291">
        <f t="shared" si="1"/>
      </c>
      <c r="N123" s="290"/>
      <c r="O123" s="290">
        <f>SUM(O121:O122)</f>
      </c>
    </row>
    <row r="124">
      <c r="A124" s="280" t="s">
        <v>489</v>
      </c>
      <c r="B124" s="280" t="s">
        <v>435</v>
      </c>
      <c r="C124" s="281" t="s">
        <v>468</v>
      </c>
      <c r="D124" s="292">
        <f>5-1.15</f>
      </c>
      <c r="E124" s="280">
        <v>14</v>
      </c>
      <c r="F124" s="280">
        <v>8</v>
      </c>
      <c r="G124" s="280">
        <v>8</v>
      </c>
      <c r="H124" s="280">
        <v>0</v>
      </c>
      <c r="I124" s="284">
        <v>3830.4</v>
      </c>
      <c r="J124" s="280">
        <v>5041.85</v>
      </c>
      <c r="K124" s="285">
        <f t="shared" si="0"/>
      </c>
      <c r="L124" s="285">
        <f t="shared" si="2"/>
      </c>
      <c r="M124" s="285">
        <f t="shared" si="1"/>
      </c>
      <c r="N124" s="280" t="s">
        <v>455</v>
      </c>
      <c r="O124" s="280">
        <v>8</v>
      </c>
    </row>
    <row r="125">
      <c r="A125" s="280" t="s">
        <v>489</v>
      </c>
      <c r="B125" s="280" t="s">
        <v>490</v>
      </c>
      <c r="C125" s="281" t="s">
        <v>491</v>
      </c>
      <c r="D125" s="282">
        <v>3</v>
      </c>
      <c r="E125" s="287">
        <v>10</v>
      </c>
      <c r="F125" s="280">
        <v>9</v>
      </c>
      <c r="G125" s="280">
        <v>9</v>
      </c>
      <c r="H125" s="280">
        <v>0</v>
      </c>
      <c r="I125" s="284">
        <v>4270.9</v>
      </c>
      <c r="J125" s="284">
        <v>3126.13</v>
      </c>
      <c r="K125" s="285">
        <f t="shared" si="0"/>
      </c>
      <c r="L125" s="285">
        <f t="shared" si="2"/>
      </c>
      <c r="M125" s="285">
        <f t="shared" si="1"/>
      </c>
      <c r="N125" s="281"/>
      <c r="O125" s="281"/>
    </row>
    <row r="126">
      <c r="A126" s="289" t="s">
        <v>489</v>
      </c>
      <c r="B126" s="290"/>
      <c r="C126" s="290"/>
      <c r="D126" s="290">
        <f>SUM(D124:D125)</f>
      </c>
      <c r="E126" s="290">
        <f>SUM(E124:E125)</f>
      </c>
      <c r="F126" s="290">
        <f>SUM(F124:F125)</f>
      </c>
      <c r="G126" s="290">
        <f>SUM(G124:G125)</f>
      </c>
      <c r="H126" s="290">
        <f>SUM(H124:H125)</f>
      </c>
      <c r="I126" s="290">
        <f>SUM(I124:I125)</f>
      </c>
      <c r="J126" s="290">
        <f>SUM(J124:J125)</f>
      </c>
      <c r="K126" s="291">
        <f t="shared" si="0"/>
      </c>
      <c r="L126" s="291">
        <f t="shared" si="2"/>
      </c>
      <c r="M126" s="291">
        <f t="shared" si="1"/>
      </c>
      <c r="N126" s="290"/>
      <c r="O126" s="290">
        <f>SUM(O124:O125)</f>
      </c>
    </row>
    <row r="127"/>
    <row r="128"/>
    <row r="129"/>
    <row r="130">
      <c r="M130" t="s">
        <v>432</v>
      </c>
      <c r="N130" t="s">
        <v>492</v>
      </c>
    </row>
    <row r="131">
      <c r="M131" t="s">
        <v>442</v>
      </c>
      <c r="N131">
        <v>52.5</v>
      </c>
    </row>
    <row customHeight="true" ht="16.071428571428573" r="132">
      <c r="M132" t="s">
        <v>460</v>
      </c>
      <c r="N132">
        <v>19</v>
      </c>
    </row>
    <row customHeight="true" ht="16.071428571428573" r="133">
      <c r="M133" t="s">
        <v>455</v>
      </c>
      <c r="N133">
        <v>118</v>
      </c>
      <c r="O133">
        <v>18</v>
      </c>
    </row>
    <row customHeight="true" ht="16.071428571428573" r="134">
      <c r="L134" s="294"/>
      <c r="M134" t="s">
        <v>458</v>
      </c>
      <c r="N134">
        <v>50</v>
      </c>
    </row>
    <row customHeight="true" ht="16.071428571428573" r="135">
      <c r="H135" s="295"/>
      <c r="I135" s="295"/>
      <c r="J135" s="295"/>
      <c r="K135" s="295"/>
      <c r="L135" s="294"/>
      <c r="M135" t="s">
        <v>437</v>
      </c>
      <c r="N135">
        <v>103</v>
      </c>
      <c r="O135">
        <v>11</v>
      </c>
    </row>
    <row customHeight="true" ht="16.071428571428573" r="136">
      <c r="H136" s="295"/>
      <c r="J136" s="295"/>
      <c r="M136" t="s">
        <v>483</v>
      </c>
      <c r="N136">
        <v>23</v>
      </c>
    </row>
    <row r="137">
      <c r="H137" s="295"/>
      <c r="I137" s="296"/>
      <c r="J137" s="294"/>
      <c r="M137" t="s">
        <v>474</v>
      </c>
      <c r="N137">
        <v>9</v>
      </c>
    </row>
    <row r="138">
      <c r="H138" s="295"/>
      <c r="I138" s="297"/>
      <c r="J138" s="294"/>
      <c r="M138" t="s">
        <v>493</v>
      </c>
      <c r="N138">
        <v>374.5</v>
      </c>
    </row>
    <row r="139">
      <c r="H139" s="295"/>
    </row>
    <row r="140">
      <c r="H140" s="295"/>
    </row>
    <row r="141">
      <c r="H141" s="295"/>
    </row>
    <row r="142">
      <c r="H142" s="295"/>
    </row>
    <row r="143">
      <c r="H143" s="295"/>
    </row>
    <row r="144">
      <c r="H144" s="295"/>
    </row>
    <row r="145">
      <c r="H145" s="295"/>
    </row>
    <row r="146">
      <c r="H146" s="295"/>
    </row>
    <row r="147">
      <c r="H147" s="295"/>
    </row>
    <row r="148">
      <c r="H148" s="295"/>
    </row>
    <row r="149">
      <c r="H149" s="295"/>
    </row>
    <row r="150">
      <c r="H150" s="295"/>
    </row>
    <row r="151">
      <c r="H151" s="295"/>
    </row>
  </sheetData>
  <autoFilter ref="A1:T199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</cols>
  <sheetData>
    <row r="1">
      <c r="A1" s="298" t="s">
        <v>494</v>
      </c>
      <c r="B1" s="298" t="s">
        <v>495</v>
      </c>
      <c r="C1" s="298" t="s">
        <v>496</v>
      </c>
      <c r="D1" s="298" t="s">
        <v>497</v>
      </c>
      <c r="E1" s="298" t="s">
        <v>498</v>
      </c>
      <c r="F1" s="298" t="s">
        <v>499</v>
      </c>
      <c r="G1" s="298" t="s">
        <v>500</v>
      </c>
      <c r="H1" s="298" t="s">
        <v>501</v>
      </c>
      <c r="I1" s="298" t="s">
        <v>502</v>
      </c>
      <c r="J1" s="299" t="s">
        <v>503</v>
      </c>
      <c r="K1" s="300" t="s">
        <v>504</v>
      </c>
      <c r="L1" s="300" t="s">
        <v>505</v>
      </c>
      <c r="M1" s="300" t="s">
        <v>506</v>
      </c>
      <c r="N1" s="300" t="s">
        <v>507</v>
      </c>
      <c r="O1" s="298" t="s">
        <v>508</v>
      </c>
      <c r="P1" s="301"/>
    </row>
    <row r="2">
      <c r="A2" s="302" t="s">
        <v>509</v>
      </c>
      <c r="B2" s="302" t="s">
        <v>510</v>
      </c>
      <c r="C2" s="303" t="s">
        <v>511</v>
      </c>
      <c r="D2" s="304">
        <v>5</v>
      </c>
      <c r="E2" s="302">
        <v>18</v>
      </c>
      <c r="F2" s="302">
        <v>14</v>
      </c>
      <c r="G2" s="302">
        <v>14</v>
      </c>
      <c r="H2" s="302">
        <v>1</v>
      </c>
      <c r="I2" s="305">
        <v>6703.2</v>
      </c>
      <c r="J2" s="302">
        <v>5755.57</v>
      </c>
      <c r="K2" s="306">
        <f t="shared" ref="K2:K63" si="0">I2/J2</f>
      </c>
      <c r="L2" s="306">
        <f t="shared" ref="L2:L63" si="1">I2/G2</f>
      </c>
      <c r="M2" s="306">
        <f t="shared" ref="M2:M63" si="2">J2/G2</f>
      </c>
      <c r="N2" s="302" t="s">
        <v>512</v>
      </c>
      <c r="O2" s="302">
        <v>8</v>
      </c>
    </row>
    <row r="3">
      <c r="A3" s="302" t="s">
        <v>509</v>
      </c>
      <c r="B3" s="302" t="s">
        <v>513</v>
      </c>
      <c r="C3" s="303" t="s">
        <v>514</v>
      </c>
      <c r="D3" s="304">
        <v>3</v>
      </c>
      <c r="E3" s="307">
        <v>11</v>
      </c>
      <c r="F3" s="302">
        <v>8</v>
      </c>
      <c r="G3" s="302">
        <v>8</v>
      </c>
      <c r="H3" s="302">
        <v>0</v>
      </c>
      <c r="I3" s="305">
        <v>3830.4000000000005</v>
      </c>
      <c r="J3" s="302">
        <v>3060.5699999999997</v>
      </c>
      <c r="K3" s="306">
        <f t="shared" si="0"/>
      </c>
      <c r="L3" s="306">
        <f t="shared" si="1"/>
      </c>
      <c r="M3" s="306">
        <f t="shared" si="2"/>
      </c>
      <c r="N3" s="303"/>
      <c r="O3" s="303"/>
    </row>
    <row r="4">
      <c r="A4" s="308" t="s">
        <v>509</v>
      </c>
      <c r="B4" s="309"/>
      <c r="C4" s="309"/>
      <c r="D4" s="309">
        <f>SUM(D2:D3)</f>
      </c>
      <c r="E4" s="309">
        <f>SUM(E2:E3)</f>
      </c>
      <c r="F4" s="309">
        <f>SUM(F2:F3)</f>
      </c>
      <c r="G4" s="309">
        <f>SUM(G2:G3)</f>
      </c>
      <c r="H4" s="309">
        <f>SUM(H2:H3)</f>
      </c>
      <c r="I4" s="309">
        <f>SUM(I2:I3)</f>
      </c>
      <c r="J4" s="309">
        <f>SUM(J2:J3)</f>
      </c>
      <c r="K4" s="310">
        <f t="shared" si="0"/>
      </c>
      <c r="L4" s="310">
        <f t="shared" si="1"/>
      </c>
      <c r="M4" s="310">
        <f t="shared" si="2"/>
      </c>
      <c r="N4" s="309"/>
      <c r="O4" s="309">
        <f>SUM(O2:O3)</f>
      </c>
    </row>
    <row r="5">
      <c r="A5" s="302" t="s">
        <v>515</v>
      </c>
      <c r="B5" s="302" t="s">
        <v>510</v>
      </c>
      <c r="C5" s="303" t="s">
        <v>516</v>
      </c>
      <c r="D5" s="304">
        <v>4</v>
      </c>
      <c r="E5" s="302">
        <v>15</v>
      </c>
      <c r="F5" s="302">
        <v>10</v>
      </c>
      <c r="G5" s="302">
        <v>10</v>
      </c>
      <c r="H5" s="302">
        <v>0</v>
      </c>
      <c r="I5" s="305">
        <v>4788</v>
      </c>
      <c r="J5" s="302">
        <v>3855.72</v>
      </c>
      <c r="K5" s="306">
        <f t="shared" si="0"/>
      </c>
      <c r="L5" s="306">
        <f t="shared" si="1"/>
      </c>
      <c r="M5" s="306">
        <f t="shared" si="2"/>
      </c>
      <c r="N5" s="302" t="s">
        <v>512</v>
      </c>
      <c r="O5" s="302">
        <v>8</v>
      </c>
    </row>
    <row r="6">
      <c r="A6" s="302" t="s">
        <v>515</v>
      </c>
      <c r="B6" s="302" t="s">
        <v>517</v>
      </c>
      <c r="C6" s="303" t="s">
        <v>518</v>
      </c>
      <c r="D6" s="304">
        <v>4</v>
      </c>
      <c r="E6" s="307">
        <v>12</v>
      </c>
      <c r="F6" s="302">
        <v>5</v>
      </c>
      <c r="G6" s="302">
        <v>5</v>
      </c>
      <c r="H6" s="302">
        <v>0</v>
      </c>
      <c r="I6" s="305">
        <v>2355.7</v>
      </c>
      <c r="J6" s="302">
        <v>4154.83</v>
      </c>
      <c r="K6" s="306">
        <f t="shared" si="0"/>
      </c>
      <c r="L6" s="306">
        <f t="shared" si="1"/>
      </c>
      <c r="M6" s="306">
        <f t="shared" si="2"/>
      </c>
      <c r="N6" s="303"/>
      <c r="O6" s="303"/>
    </row>
    <row r="7">
      <c r="A7" s="308" t="s">
        <v>515</v>
      </c>
      <c r="B7" s="309"/>
      <c r="C7" s="309"/>
      <c r="D7" s="309">
        <f>SUM(D5:D6)</f>
      </c>
      <c r="E7" s="309">
        <f>SUM(E5:E6)</f>
      </c>
      <c r="F7" s="309">
        <f>SUM(F5:F6)</f>
      </c>
      <c r="G7" s="309">
        <f>SUM(G5:G6)</f>
      </c>
      <c r="H7" s="309">
        <f>SUM(H5:H6)</f>
      </c>
      <c r="I7" s="309">
        <f>SUM(I5:I6)</f>
      </c>
      <c r="J7" s="309">
        <f>SUM(J5:J6)</f>
      </c>
      <c r="K7" s="310">
        <f t="shared" si="0"/>
      </c>
      <c r="L7" s="310">
        <f t="shared" si="1"/>
      </c>
      <c r="M7" s="310">
        <f t="shared" si="2"/>
      </c>
      <c r="N7" s="309"/>
      <c r="O7" s="309">
        <f>SUM(O5:O6)</f>
      </c>
    </row>
    <row r="8">
      <c r="A8" s="302" t="s">
        <v>519</v>
      </c>
      <c r="B8" s="302" t="s">
        <v>510</v>
      </c>
      <c r="C8" s="303" t="s">
        <v>511</v>
      </c>
      <c r="D8" s="304">
        <v>5</v>
      </c>
      <c r="E8" s="302">
        <v>18</v>
      </c>
      <c r="F8" s="302">
        <v>10</v>
      </c>
      <c r="G8" s="302">
        <v>10</v>
      </c>
      <c r="H8" s="302">
        <v>0</v>
      </c>
      <c r="I8" s="305">
        <v>4711.4</v>
      </c>
      <c r="J8" s="302">
        <v>5584.84</v>
      </c>
      <c r="K8" s="306">
        <f t="shared" si="0"/>
      </c>
      <c r="L8" s="306">
        <f t="shared" si="1"/>
      </c>
      <c r="M8" s="306">
        <f t="shared" si="2"/>
      </c>
      <c r="N8" s="302" t="s">
        <v>512</v>
      </c>
      <c r="O8" s="302">
        <v>8</v>
      </c>
    </row>
    <row r="9">
      <c r="A9" s="302" t="s">
        <v>519</v>
      </c>
      <c r="B9" s="302" t="s">
        <v>513</v>
      </c>
      <c r="C9" s="303" t="s">
        <v>514</v>
      </c>
      <c r="D9" s="304">
        <v>3</v>
      </c>
      <c r="E9" s="307">
        <v>8</v>
      </c>
      <c r="F9" s="302">
        <v>7</v>
      </c>
      <c r="G9" s="302">
        <v>7</v>
      </c>
      <c r="H9" s="302">
        <v>0</v>
      </c>
      <c r="I9" s="305">
        <v>3351.6000000000004</v>
      </c>
      <c r="J9" s="302">
        <v>3535.6</v>
      </c>
      <c r="K9" s="306">
        <f t="shared" si="0"/>
      </c>
      <c r="L9" s="306">
        <f t="shared" si="1"/>
      </c>
      <c r="M9" s="306">
        <f t="shared" si="2"/>
      </c>
      <c r="N9" s="303"/>
      <c r="O9" s="303"/>
    </row>
    <row r="10">
      <c r="A10" s="308" t="s">
        <v>519</v>
      </c>
      <c r="B10" s="309"/>
      <c r="C10" s="309"/>
      <c r="D10" s="309">
        <f>SUM(D8:D9)</f>
      </c>
      <c r="E10" s="309">
        <f>SUM(E8:E9)</f>
      </c>
      <c r="F10" s="309">
        <f>SUM(F8:F9)</f>
      </c>
      <c r="G10" s="309">
        <f>SUM(G8:G9)</f>
      </c>
      <c r="H10" s="309">
        <f>SUM(H8:H9)</f>
      </c>
      <c r="I10" s="309">
        <f>SUM(I8:I9)</f>
      </c>
      <c r="J10" s="309">
        <f>SUM(J8:J9)</f>
      </c>
      <c r="K10" s="310">
        <f t="shared" si="0"/>
      </c>
      <c r="L10" s="310">
        <f t="shared" si="1"/>
      </c>
      <c r="M10" s="310">
        <f t="shared" si="2"/>
      </c>
      <c r="N10" s="309"/>
      <c r="O10" s="309">
        <f>SUM(O8:O9)</f>
      </c>
    </row>
    <row r="11">
      <c r="A11" s="302" t="s">
        <v>520</v>
      </c>
      <c r="B11" s="302" t="s">
        <v>521</v>
      </c>
      <c r="C11" s="303" t="s">
        <v>516</v>
      </c>
      <c r="D11" s="304">
        <v>4</v>
      </c>
      <c r="E11" s="302">
        <v>14</v>
      </c>
      <c r="F11" s="302">
        <v>8</v>
      </c>
      <c r="G11" s="302">
        <v>8</v>
      </c>
      <c r="H11" s="302">
        <v>0</v>
      </c>
      <c r="I11" s="305">
        <v>3792.1</v>
      </c>
      <c r="J11" s="302">
        <v>3500.87</v>
      </c>
      <c r="K11" s="306">
        <f t="shared" si="0"/>
      </c>
      <c r="L11" s="306">
        <f t="shared" si="1"/>
      </c>
      <c r="M11" s="306">
        <f t="shared" si="2"/>
      </c>
      <c r="N11" s="302" t="s">
        <v>512</v>
      </c>
      <c r="O11" s="302">
        <v>7</v>
      </c>
    </row>
    <row r="12">
      <c r="A12" s="302" t="s">
        <v>520</v>
      </c>
      <c r="B12" s="302" t="s">
        <v>513</v>
      </c>
      <c r="C12" s="303" t="s">
        <v>522</v>
      </c>
      <c r="D12" s="304">
        <v>3</v>
      </c>
      <c r="E12" s="307">
        <v>5</v>
      </c>
      <c r="F12" s="302">
        <v>3</v>
      </c>
      <c r="G12" s="302">
        <v>3</v>
      </c>
      <c r="H12" s="302">
        <v>0</v>
      </c>
      <c r="I12" s="305">
        <v>1436.4</v>
      </c>
      <c r="J12" s="302">
        <v>3085.3599999999997</v>
      </c>
      <c r="K12" s="306">
        <f t="shared" si="0"/>
      </c>
      <c r="L12" s="306">
        <f t="shared" si="1"/>
      </c>
      <c r="M12" s="306">
        <f t="shared" si="2"/>
      </c>
      <c r="N12" s="303"/>
      <c r="O12" s="303"/>
    </row>
    <row r="13">
      <c r="A13" s="308" t="s">
        <v>520</v>
      </c>
      <c r="B13" s="309"/>
      <c r="C13" s="309"/>
      <c r="D13" s="309">
        <f>SUM(D11:D12)</f>
      </c>
      <c r="E13" s="309">
        <f>SUM(E11:E12)</f>
      </c>
      <c r="F13" s="309">
        <f>SUM(F11:F12)</f>
      </c>
      <c r="G13" s="309">
        <f>SUM(G11:G12)</f>
      </c>
      <c r="H13" s="309">
        <f>SUM(H11:H12)</f>
      </c>
      <c r="I13" s="309">
        <f>SUM(I11:I12)</f>
      </c>
      <c r="J13" s="309">
        <f>SUM(J11:J12)</f>
      </c>
      <c r="K13" s="310">
        <f t="shared" si="0"/>
      </c>
      <c r="L13" s="310">
        <f t="shared" si="1"/>
      </c>
      <c r="M13" s="310">
        <f t="shared" si="2"/>
      </c>
      <c r="N13" s="309"/>
      <c r="O13" s="309">
        <f>SUM(O11:O12)</f>
      </c>
    </row>
    <row r="14">
      <c r="A14" s="302" t="s">
        <v>523</v>
      </c>
      <c r="B14" s="302" t="s">
        <v>510</v>
      </c>
      <c r="C14" s="303" t="s">
        <v>516</v>
      </c>
      <c r="D14" s="304">
        <v>4</v>
      </c>
      <c r="E14" s="302">
        <v>12</v>
      </c>
      <c r="F14" s="302">
        <v>6</v>
      </c>
      <c r="G14" s="302">
        <v>6</v>
      </c>
      <c r="H14" s="302">
        <v>0</v>
      </c>
      <c r="I14" s="305">
        <v>2872.8</v>
      </c>
      <c r="J14" s="302">
        <v>3326.34</v>
      </c>
      <c r="K14" s="306">
        <f t="shared" si="0"/>
      </c>
      <c r="L14" s="306">
        <f t="shared" si="1"/>
      </c>
      <c r="M14" s="306">
        <f t="shared" si="2"/>
      </c>
      <c r="N14" s="302" t="s">
        <v>512</v>
      </c>
      <c r="O14" s="302">
        <v>9</v>
      </c>
    </row>
    <row r="15">
      <c r="A15" s="302" t="s">
        <v>523</v>
      </c>
      <c r="B15" s="302" t="s">
        <v>517</v>
      </c>
      <c r="C15" s="303" t="s">
        <v>524</v>
      </c>
      <c r="D15" s="304">
        <v>5</v>
      </c>
      <c r="E15" s="307">
        <v>29</v>
      </c>
      <c r="F15" s="302">
        <v>16</v>
      </c>
      <c r="G15" s="302">
        <v>16</v>
      </c>
      <c r="H15" s="302">
        <v>0</v>
      </c>
      <c r="I15" s="305">
        <v>7622.499999999999</v>
      </c>
      <c r="J15" s="302">
        <v>5238.610000000001</v>
      </c>
      <c r="K15" s="306">
        <f t="shared" si="0"/>
      </c>
      <c r="L15" s="306">
        <f t="shared" si="1"/>
      </c>
      <c r="M15" s="306">
        <f t="shared" si="2"/>
      </c>
      <c r="N15" s="303"/>
      <c r="O15" s="303"/>
    </row>
    <row r="16">
      <c r="A16" s="308" t="s">
        <v>523</v>
      </c>
      <c r="B16" s="309"/>
      <c r="C16" s="309"/>
      <c r="D16" s="309">
        <f>SUM(D14:D15)</f>
      </c>
      <c r="E16" s="309">
        <f>SUM(E14:E15)</f>
      </c>
      <c r="F16" s="309">
        <f>SUM(F14:F15)</f>
      </c>
      <c r="G16" s="309">
        <f>SUM(G14:G15)</f>
      </c>
      <c r="H16" s="309">
        <f>SUM(H14:H15)</f>
      </c>
      <c r="I16" s="309">
        <f>SUM(I14:I15)</f>
      </c>
      <c r="J16" s="309">
        <f>SUM(J14:J15)</f>
      </c>
      <c r="K16" s="310">
        <f t="shared" si="0"/>
      </c>
      <c r="L16" s="310">
        <f t="shared" si="1"/>
      </c>
      <c r="M16" s="310">
        <f t="shared" si="2"/>
      </c>
      <c r="N16" s="309"/>
      <c r="O16" s="309">
        <f>SUM(O14:O15)</f>
      </c>
    </row>
    <row r="17">
      <c r="A17" s="302" t="s">
        <v>525</v>
      </c>
      <c r="B17" s="302" t="s">
        <v>510</v>
      </c>
      <c r="C17" s="303" t="s">
        <v>526</v>
      </c>
      <c r="D17" s="304">
        <v>4</v>
      </c>
      <c r="E17" s="302">
        <v>12</v>
      </c>
      <c r="F17" s="302">
        <v>7</v>
      </c>
      <c r="G17" s="302">
        <v>7</v>
      </c>
      <c r="H17" s="302">
        <v>0</v>
      </c>
      <c r="I17" s="305">
        <v>3351.6</v>
      </c>
      <c r="J17" s="302">
        <v>3574.99</v>
      </c>
      <c r="K17" s="306">
        <f t="shared" si="0"/>
      </c>
      <c r="L17" s="306">
        <f t="shared" si="1"/>
      </c>
      <c r="M17" s="306">
        <f t="shared" si="2"/>
      </c>
      <c r="N17" s="302" t="s">
        <v>527</v>
      </c>
      <c r="O17" s="302">
        <v>8</v>
      </c>
    </row>
    <row r="18">
      <c r="A18" s="302" t="s">
        <v>525</v>
      </c>
      <c r="B18" s="302" t="s">
        <v>517</v>
      </c>
      <c r="C18" s="303" t="s">
        <v>528</v>
      </c>
      <c r="D18" s="304">
        <v>4</v>
      </c>
      <c r="E18" s="307">
        <v>11</v>
      </c>
      <c r="F18" s="302">
        <v>8</v>
      </c>
      <c r="G18" s="302">
        <v>8</v>
      </c>
      <c r="H18" s="302">
        <v>0</v>
      </c>
      <c r="I18" s="305">
        <v>3753.7999999999997</v>
      </c>
      <c r="J18" s="302">
        <v>4090.3199999999997</v>
      </c>
      <c r="K18" s="306">
        <f t="shared" si="0"/>
      </c>
      <c r="L18" s="306">
        <f t="shared" si="1"/>
      </c>
      <c r="M18" s="306">
        <f t="shared" si="2"/>
      </c>
      <c r="N18" s="303"/>
      <c r="O18" s="303"/>
    </row>
    <row r="19">
      <c r="A19" s="308" t="s">
        <v>525</v>
      </c>
      <c r="B19" s="309"/>
      <c r="C19" s="309"/>
      <c r="D19" s="309">
        <f>SUM(D17:D18)</f>
      </c>
      <c r="E19" s="309">
        <f>SUM(E17:E18)</f>
      </c>
      <c r="F19" s="309">
        <f>SUM(F17:F18)</f>
      </c>
      <c r="G19" s="309">
        <f>SUM(G17:G18)</f>
      </c>
      <c r="H19" s="309">
        <f>SUM(H17:H18)</f>
      </c>
      <c r="I19" s="309">
        <f>SUM(I17:I18)</f>
      </c>
      <c r="J19" s="309">
        <f>SUM(J17:J18)</f>
      </c>
      <c r="K19" s="310">
        <f t="shared" si="0"/>
      </c>
      <c r="L19" s="310">
        <f t="shared" si="1"/>
      </c>
      <c r="M19" s="310">
        <f t="shared" si="2"/>
      </c>
      <c r="N19" s="309"/>
      <c r="O19" s="309">
        <f>SUM(O17:O18)</f>
      </c>
    </row>
    <row r="20">
      <c r="A20" s="302" t="s">
        <v>529</v>
      </c>
      <c r="B20" s="302" t="s">
        <v>510</v>
      </c>
      <c r="C20" s="303" t="s">
        <v>526</v>
      </c>
      <c r="D20" s="304">
        <v>4</v>
      </c>
      <c r="E20" s="302">
        <v>15</v>
      </c>
      <c r="F20" s="302">
        <v>8</v>
      </c>
      <c r="G20" s="302">
        <v>8</v>
      </c>
      <c r="H20" s="302">
        <v>0</v>
      </c>
      <c r="I20" s="305">
        <v>3830.4</v>
      </c>
      <c r="J20" s="302">
        <v>3892.27</v>
      </c>
      <c r="K20" s="306">
        <f t="shared" si="0"/>
      </c>
      <c r="L20" s="306">
        <f t="shared" si="1"/>
      </c>
      <c r="M20" s="306">
        <f t="shared" si="2"/>
      </c>
      <c r="N20" s="302" t="s">
        <v>527</v>
      </c>
      <c r="O20" s="302">
        <v>8</v>
      </c>
    </row>
    <row r="21">
      <c r="A21" s="302" t="s">
        <v>529</v>
      </c>
      <c r="B21" s="302" t="s">
        <v>517</v>
      </c>
      <c r="C21" s="303" t="s">
        <v>528</v>
      </c>
      <c r="D21" s="304">
        <v>4</v>
      </c>
      <c r="E21" s="307">
        <v>10</v>
      </c>
      <c r="F21" s="302">
        <v>7</v>
      </c>
      <c r="G21" s="302">
        <v>7</v>
      </c>
      <c r="H21" s="302">
        <v>0</v>
      </c>
      <c r="I21" s="305">
        <v>3351.6</v>
      </c>
      <c r="J21" s="302">
        <v>3854.71</v>
      </c>
      <c r="K21" s="306">
        <f t="shared" si="0"/>
      </c>
      <c r="L21" s="306">
        <f t="shared" si="1"/>
      </c>
      <c r="M21" s="306">
        <f t="shared" si="2"/>
      </c>
      <c r="N21" s="303"/>
      <c r="O21" s="303"/>
    </row>
    <row r="22">
      <c r="A22" s="308" t="s">
        <v>529</v>
      </c>
      <c r="B22" s="309"/>
      <c r="C22" s="309"/>
      <c r="D22" s="309">
        <f>SUM(D20:D21)</f>
      </c>
      <c r="E22" s="309">
        <f>SUM(E20:E21)</f>
      </c>
      <c r="F22" s="309">
        <f>SUM(F20:F21)</f>
      </c>
      <c r="G22" s="309">
        <f>SUM(G20:G21)</f>
      </c>
      <c r="H22" s="309">
        <f>SUM(H20:H21)</f>
      </c>
      <c r="I22" s="309">
        <f>SUM(I20:I21)</f>
      </c>
      <c r="J22" s="309">
        <f>SUM(J20:J21)</f>
      </c>
      <c r="K22" s="310">
        <f t="shared" si="0"/>
      </c>
      <c r="L22" s="310">
        <f t="shared" si="1"/>
      </c>
      <c r="M22" s="310">
        <f t="shared" si="2"/>
      </c>
      <c r="N22" s="309"/>
      <c r="O22" s="309">
        <f>SUM(O20:O21)</f>
      </c>
    </row>
    <row r="23">
      <c r="A23" s="302" t="s">
        <v>530</v>
      </c>
      <c r="B23" s="302" t="s">
        <v>517</v>
      </c>
      <c r="C23" s="303" t="s">
        <v>526</v>
      </c>
      <c r="D23" s="304">
        <v>4</v>
      </c>
      <c r="E23" s="302">
        <v>16</v>
      </c>
      <c r="F23" s="302">
        <v>10</v>
      </c>
      <c r="G23" s="302">
        <v>10</v>
      </c>
      <c r="H23" s="302">
        <v>0</v>
      </c>
      <c r="I23" s="305">
        <v>4711.4</v>
      </c>
      <c r="J23" s="302">
        <v>3838.74</v>
      </c>
      <c r="K23" s="306">
        <f t="shared" si="0"/>
      </c>
      <c r="L23" s="306">
        <f t="shared" si="1"/>
      </c>
      <c r="M23" s="306">
        <f t="shared" si="2"/>
      </c>
      <c r="N23" s="302" t="s">
        <v>527</v>
      </c>
      <c r="O23" s="302">
        <v>8</v>
      </c>
    </row>
    <row r="24">
      <c r="A24" s="302" t="s">
        <v>530</v>
      </c>
      <c r="B24" s="302" t="s">
        <v>513</v>
      </c>
      <c r="C24" s="303" t="s">
        <v>528</v>
      </c>
      <c r="D24" s="304">
        <v>4</v>
      </c>
      <c r="E24" s="307">
        <v>6</v>
      </c>
      <c r="F24" s="302">
        <v>4</v>
      </c>
      <c r="G24" s="302">
        <v>4</v>
      </c>
      <c r="H24" s="302">
        <v>0</v>
      </c>
      <c r="I24" s="305">
        <v>1915.2000000000007</v>
      </c>
      <c r="J24" s="302">
        <v>4187.21</v>
      </c>
      <c r="K24" s="306">
        <f t="shared" si="0"/>
      </c>
      <c r="L24" s="306">
        <f t="shared" si="1"/>
      </c>
      <c r="M24" s="306">
        <f t="shared" si="2"/>
      </c>
      <c r="N24" s="303" t="s">
        <v>531</v>
      </c>
      <c r="O24" s="303"/>
    </row>
    <row r="25">
      <c r="A25" s="308" t="s">
        <v>530</v>
      </c>
      <c r="B25" s="309"/>
      <c r="C25" s="309"/>
      <c r="D25" s="309">
        <f>SUM(D23:D24)</f>
      </c>
      <c r="E25" s="309">
        <f>SUM(E23:E24)</f>
      </c>
      <c r="F25" s="309">
        <f>SUM(F23:F24)</f>
      </c>
      <c r="G25" s="309">
        <f>SUM(G23:G24)</f>
      </c>
      <c r="H25" s="309">
        <f>SUM(H23:H24)</f>
      </c>
      <c r="I25" s="309">
        <f>SUM(I23:I24)</f>
      </c>
      <c r="J25" s="309">
        <f>SUM(J23:J24)</f>
      </c>
      <c r="K25" s="310">
        <f t="shared" si="0"/>
      </c>
      <c r="L25" s="310">
        <f t="shared" si="1"/>
      </c>
      <c r="M25" s="310">
        <f t="shared" si="2"/>
      </c>
      <c r="N25" s="309"/>
      <c r="O25" s="309">
        <f>SUM(O23:O24)</f>
      </c>
    </row>
    <row r="26">
      <c r="A26" s="302" t="s">
        <v>532</v>
      </c>
      <c r="B26" s="302" t="s">
        <v>517</v>
      </c>
      <c r="C26" s="303" t="s">
        <v>526</v>
      </c>
      <c r="D26" s="304">
        <v>4</v>
      </c>
      <c r="E26" s="302">
        <v>9</v>
      </c>
      <c r="F26" s="302">
        <v>7</v>
      </c>
      <c r="G26" s="302">
        <v>7</v>
      </c>
      <c r="H26" s="302">
        <v>0</v>
      </c>
      <c r="I26" s="305">
        <v>3313.3</v>
      </c>
      <c r="J26" s="302">
        <v>3696.87</v>
      </c>
      <c r="K26" s="306">
        <f t="shared" si="0"/>
      </c>
      <c r="L26" s="306">
        <f t="shared" si="1"/>
      </c>
      <c r="M26" s="306">
        <f t="shared" si="2"/>
      </c>
      <c r="N26" s="302" t="s">
        <v>527</v>
      </c>
      <c r="O26" s="302">
        <v>8</v>
      </c>
    </row>
    <row r="27">
      <c r="A27" s="302" t="s">
        <v>532</v>
      </c>
      <c r="B27" s="302" t="s">
        <v>533</v>
      </c>
      <c r="C27" s="303" t="s">
        <v>528</v>
      </c>
      <c r="D27" s="304">
        <v>4</v>
      </c>
      <c r="E27" s="307">
        <v>36</v>
      </c>
      <c r="F27" s="302">
        <v>28</v>
      </c>
      <c r="G27" s="302">
        <v>28</v>
      </c>
      <c r="H27" s="302">
        <v>3</v>
      </c>
      <c r="I27" s="305">
        <v>13406.400000000001</v>
      </c>
      <c r="J27" s="302">
        <v>6243.1900000000005</v>
      </c>
      <c r="K27" s="306">
        <f t="shared" si="0"/>
      </c>
      <c r="L27" s="306">
        <f t="shared" si="1"/>
      </c>
      <c r="M27" s="306">
        <f t="shared" si="2"/>
      </c>
      <c r="N27" s="303"/>
      <c r="O27" s="303"/>
    </row>
    <row r="28">
      <c r="A28" s="308" t="s">
        <v>532</v>
      </c>
      <c r="B28" s="309"/>
      <c r="C28" s="309"/>
      <c r="D28" s="309">
        <f>SUM(D26:D27)</f>
      </c>
      <c r="E28" s="309">
        <f>SUM(E26:E27)</f>
      </c>
      <c r="F28" s="309">
        <f>SUM(F26:F27)</f>
      </c>
      <c r="G28" s="309">
        <f>SUM(G26:G27)</f>
      </c>
      <c r="H28" s="309">
        <f>SUM(H26:H27)</f>
      </c>
      <c r="I28" s="309">
        <f>SUM(I26:I27)</f>
      </c>
      <c r="J28" s="309">
        <f>SUM(J26:J27)</f>
      </c>
      <c r="K28" s="310">
        <f t="shared" si="0"/>
      </c>
      <c r="L28" s="310">
        <f t="shared" si="1"/>
      </c>
      <c r="M28" s="310">
        <f t="shared" si="2"/>
      </c>
      <c r="N28" s="309"/>
      <c r="O28" s="309">
        <f>SUM(O26:O27)</f>
      </c>
    </row>
    <row r="29">
      <c r="A29" s="302" t="s">
        <v>534</v>
      </c>
      <c r="B29" s="302" t="s">
        <v>533</v>
      </c>
      <c r="C29" s="303" t="s">
        <v>535</v>
      </c>
      <c r="D29" s="304">
        <v>5</v>
      </c>
      <c r="E29" s="302">
        <v>22</v>
      </c>
      <c r="F29" s="302">
        <v>17</v>
      </c>
      <c r="G29" s="302">
        <v>17</v>
      </c>
      <c r="H29" s="302">
        <v>1</v>
      </c>
      <c r="I29" s="305">
        <v>8024.7</v>
      </c>
      <c r="J29" s="302">
        <v>5949.5199999999995</v>
      </c>
      <c r="K29" s="306">
        <f t="shared" si="0"/>
      </c>
      <c r="L29" s="306">
        <f t="shared" si="1"/>
      </c>
      <c r="M29" s="306">
        <f t="shared" si="2"/>
      </c>
      <c r="N29" s="302" t="s">
        <v>527</v>
      </c>
      <c r="O29" s="302">
        <v>9</v>
      </c>
    </row>
    <row r="30">
      <c r="A30" s="302" t="s">
        <v>534</v>
      </c>
      <c r="B30" s="302" t="s">
        <v>517</v>
      </c>
      <c r="C30" s="303" t="s">
        <v>536</v>
      </c>
      <c r="D30" s="304">
        <v>4</v>
      </c>
      <c r="E30" s="307">
        <v>20</v>
      </c>
      <c r="F30" s="302">
        <v>10</v>
      </c>
      <c r="G30" s="302">
        <v>10</v>
      </c>
      <c r="H30" s="302">
        <v>0</v>
      </c>
      <c r="I30" s="305">
        <v>4788.000000000001</v>
      </c>
      <c r="J30" s="302">
        <v>3611.9599999999996</v>
      </c>
      <c r="K30" s="306">
        <f t="shared" si="0"/>
      </c>
      <c r="L30" s="306">
        <f t="shared" si="1"/>
      </c>
      <c r="M30" s="306">
        <f t="shared" si="2"/>
      </c>
      <c r="N30" s="303"/>
      <c r="O30" s="303"/>
    </row>
    <row r="31">
      <c r="A31" s="308" t="s">
        <v>534</v>
      </c>
      <c r="B31" s="309"/>
      <c r="C31" s="309"/>
      <c r="D31" s="309">
        <f>SUM(D29:D30)</f>
      </c>
      <c r="E31" s="309">
        <f>SUM(E29:E30)</f>
      </c>
      <c r="F31" s="309">
        <f>SUM(F29:F30)</f>
      </c>
      <c r="G31" s="309">
        <f>SUM(G29:G30)</f>
      </c>
      <c r="H31" s="309">
        <f>SUM(H29:H30)</f>
      </c>
      <c r="I31" s="309">
        <f>SUM(I29:I30)</f>
      </c>
      <c r="J31" s="309">
        <f>SUM(J29:J30)</f>
      </c>
      <c r="K31" s="310">
        <f t="shared" si="0"/>
      </c>
      <c r="L31" s="310">
        <f t="shared" si="1"/>
      </c>
      <c r="M31" s="310">
        <f t="shared" si="2"/>
      </c>
      <c r="N31" s="309"/>
      <c r="O31" s="309">
        <f>SUM(O29:O30)</f>
      </c>
    </row>
    <row r="32">
      <c r="A32" s="302" t="s">
        <v>537</v>
      </c>
      <c r="B32" s="302" t="s">
        <v>533</v>
      </c>
      <c r="C32" s="303" t="s">
        <v>538</v>
      </c>
      <c r="D32" s="304">
        <v>3</v>
      </c>
      <c r="E32" s="302">
        <v>8</v>
      </c>
      <c r="F32" s="302">
        <v>6</v>
      </c>
      <c r="G32" s="302">
        <v>6</v>
      </c>
      <c r="H32" s="302">
        <v>0</v>
      </c>
      <c r="I32" s="305">
        <v>2834.5</v>
      </c>
      <c r="J32" s="302">
        <v>3097.07</v>
      </c>
      <c r="K32" s="306">
        <f t="shared" si="0"/>
      </c>
      <c r="L32" s="306">
        <f t="shared" si="1"/>
      </c>
      <c r="M32" s="306">
        <f t="shared" si="2"/>
      </c>
      <c r="N32" s="302" t="s">
        <v>527</v>
      </c>
      <c r="O32" s="302">
        <v>10</v>
      </c>
    </row>
    <row r="33">
      <c r="A33" s="302" t="s">
        <v>537</v>
      </c>
      <c r="B33" s="302" t="s">
        <v>510</v>
      </c>
      <c r="C33" s="303" t="s">
        <v>518</v>
      </c>
      <c r="D33" s="304">
        <v>4</v>
      </c>
      <c r="E33" s="307">
        <v>10</v>
      </c>
      <c r="F33" s="302">
        <v>9</v>
      </c>
      <c r="G33" s="302">
        <v>9</v>
      </c>
      <c r="H33" s="302">
        <v>0</v>
      </c>
      <c r="I33" s="305">
        <v>4270.9</v>
      </c>
      <c r="J33" s="302">
        <v>4252.16</v>
      </c>
      <c r="K33" s="306">
        <f t="shared" si="0"/>
      </c>
      <c r="L33" s="306">
        <f t="shared" si="1"/>
      </c>
      <c r="M33" s="306">
        <f t="shared" si="2"/>
      </c>
      <c r="N33" s="303"/>
      <c r="O33" s="303"/>
    </row>
    <row customHeight="true" ht="16.071428571428573" r="34">
      <c r="A34" s="302" t="s">
        <v>537</v>
      </c>
      <c r="B34" s="302" t="s">
        <v>533</v>
      </c>
      <c r="C34" s="303" t="s">
        <v>539</v>
      </c>
      <c r="D34" s="304">
        <v>3</v>
      </c>
      <c r="E34" s="302">
        <v>16</v>
      </c>
      <c r="F34" s="302">
        <v>13</v>
      </c>
      <c r="G34" s="302">
        <v>13</v>
      </c>
      <c r="H34" s="302">
        <v>1</v>
      </c>
      <c r="I34" s="305">
        <v>6147.800000000001</v>
      </c>
      <c r="J34" s="302">
        <v>4024.2400000000002</v>
      </c>
      <c r="K34" s="306">
        <f t="shared" si="0"/>
      </c>
      <c r="L34" s="306">
        <f t="shared" si="1"/>
      </c>
      <c r="M34" s="306">
        <f t="shared" si="2"/>
      </c>
      <c r="N34" s="303"/>
      <c r="O34" s="303"/>
    </row>
    <row r="35">
      <c r="A35" s="308" t="s">
        <v>537</v>
      </c>
      <c r="B35" s="309"/>
      <c r="C35" s="308" t="s">
        <v>540</v>
      </c>
      <c r="D35" s="309">
        <f>SUM(D32:D34)</f>
      </c>
      <c r="E35" s="309">
        <f>SUM(E32:E34)</f>
      </c>
      <c r="F35" s="309">
        <f>SUM(F32:F34)</f>
      </c>
      <c r="G35" s="309">
        <f>SUM(G32:G34)</f>
      </c>
      <c r="H35" s="309">
        <f>SUM(H32:H34)</f>
      </c>
      <c r="I35" s="309">
        <f>SUM(I32:I34)</f>
      </c>
      <c r="J35" s="309">
        <f>SUM(J32:J34)</f>
      </c>
      <c r="K35" s="310">
        <f t="shared" si="0"/>
      </c>
      <c r="L35" s="310">
        <f t="shared" si="1"/>
      </c>
      <c r="M35" s="310">
        <f t="shared" si="2"/>
      </c>
      <c r="N35" s="309"/>
      <c r="O35" s="309">
        <f>SUM(O32:O33)</f>
      </c>
    </row>
    <row r="36">
      <c r="A36" s="302" t="s">
        <v>541</v>
      </c>
      <c r="B36" s="302" t="s">
        <v>533</v>
      </c>
      <c r="C36" s="303" t="s">
        <v>538</v>
      </c>
      <c r="D36" s="304">
        <v>3</v>
      </c>
      <c r="E36" s="302">
        <v>12</v>
      </c>
      <c r="F36" s="302">
        <v>7</v>
      </c>
      <c r="G36" s="302">
        <v>7</v>
      </c>
      <c r="H36" s="302">
        <v>0</v>
      </c>
      <c r="I36" s="305">
        <v>3351.6</v>
      </c>
      <c r="J36" s="302">
        <v>3083.3</v>
      </c>
      <c r="K36" s="306">
        <f t="shared" si="0"/>
      </c>
      <c r="L36" s="306">
        <f t="shared" si="1"/>
      </c>
      <c r="M36" s="306">
        <f t="shared" si="2"/>
      </c>
      <c r="N36" s="302" t="s">
        <v>542</v>
      </c>
      <c r="O36" s="302">
        <v>9</v>
      </c>
    </row>
    <row customHeight="true" ht="16.071428571428573" r="37">
      <c r="A37" s="302" t="s">
        <v>541</v>
      </c>
      <c r="B37" s="302" t="s">
        <v>517</v>
      </c>
      <c r="C37" s="303" t="s">
        <v>518</v>
      </c>
      <c r="D37" s="304">
        <v>4</v>
      </c>
      <c r="E37" s="307">
        <v>15</v>
      </c>
      <c r="F37" s="302">
        <v>9</v>
      </c>
      <c r="G37" s="302">
        <v>9</v>
      </c>
      <c r="H37" s="302">
        <v>0</v>
      </c>
      <c r="I37" s="305">
        <v>4270.9</v>
      </c>
      <c r="J37" s="302">
        <v>4525.51</v>
      </c>
      <c r="K37" s="306">
        <f t="shared" si="0"/>
      </c>
      <c r="L37" s="306">
        <f t="shared" si="1"/>
      </c>
      <c r="M37" s="306">
        <f t="shared" si="2"/>
      </c>
      <c r="N37" s="303"/>
      <c r="O37" s="303"/>
    </row>
    <row customHeight="true" ht="16.071428571428573" r="38">
      <c r="A38" s="302" t="s">
        <v>541</v>
      </c>
      <c r="B38" s="302" t="s">
        <v>533</v>
      </c>
      <c r="C38" s="303" t="s">
        <v>543</v>
      </c>
      <c r="D38" s="304">
        <v>2</v>
      </c>
      <c r="E38" s="302">
        <v>4</v>
      </c>
      <c r="F38" s="302">
        <v>3</v>
      </c>
      <c r="G38" s="302">
        <v>3</v>
      </c>
      <c r="H38" s="302">
        <v>0</v>
      </c>
      <c r="I38" s="305">
        <v>1436.3999999999996</v>
      </c>
      <c r="J38" s="302">
        <v>1251.4</v>
      </c>
      <c r="K38" s="306">
        <f t="shared" si="0"/>
      </c>
      <c r="L38" s="306">
        <f t="shared" si="1"/>
      </c>
      <c r="M38" s="306">
        <f t="shared" si="2"/>
      </c>
      <c r="N38" s="303"/>
      <c r="O38" s="303"/>
    </row>
    <row customHeight="true" ht="16.071428571428573" r="39">
      <c r="A39" s="308" t="s">
        <v>541</v>
      </c>
      <c r="B39" s="309"/>
      <c r="C39" s="308" t="s">
        <v>544</v>
      </c>
      <c r="D39" s="309">
        <f>SUM(D36:D38)</f>
      </c>
      <c r="E39" s="309">
        <f>SUM(E36:E38)</f>
      </c>
      <c r="F39" s="309">
        <f>SUM(F36:F38)</f>
      </c>
      <c r="G39" s="309">
        <f>SUM(G36:G38)</f>
      </c>
      <c r="H39" s="309">
        <f>SUM(H36:H38)</f>
      </c>
      <c r="I39" s="309">
        <f>SUM(I36:I38)</f>
      </c>
      <c r="J39" s="309">
        <f>SUM(J36:J38)</f>
      </c>
      <c r="K39" s="310">
        <f t="shared" si="0"/>
      </c>
      <c r="L39" s="310">
        <f t="shared" si="1"/>
      </c>
      <c r="M39" s="310">
        <f t="shared" si="2"/>
      </c>
      <c r="N39" s="309"/>
      <c r="O39" s="309">
        <f>SUM(O36:O37)</f>
      </c>
    </row>
    <row customHeight="true" ht="16.071428571428573" r="40">
      <c r="A40" s="302" t="s">
        <v>545</v>
      </c>
      <c r="B40" s="302" t="s">
        <v>533</v>
      </c>
      <c r="C40" s="303" t="s">
        <v>546</v>
      </c>
      <c r="D40" s="304">
        <v>2.5</v>
      </c>
      <c r="E40" s="302">
        <v>3</v>
      </c>
      <c r="F40" s="302">
        <v>3</v>
      </c>
      <c r="G40" s="302">
        <v>3</v>
      </c>
      <c r="H40" s="302">
        <v>0</v>
      </c>
      <c r="I40" s="302">
        <v>1436.4</v>
      </c>
      <c r="J40" s="305">
        <v>2062.67</v>
      </c>
      <c r="K40" s="306">
        <f t="shared" si="0"/>
      </c>
      <c r="L40" s="306">
        <f t="shared" si="1"/>
      </c>
      <c r="M40" s="306">
        <f t="shared" si="2"/>
      </c>
      <c r="N40" s="302" t="s">
        <v>542</v>
      </c>
      <c r="O40" s="302">
        <v>8.5</v>
      </c>
    </row>
    <row customHeight="true" ht="16.071428571428573" r="41">
      <c r="A41" s="302" t="s">
        <v>545</v>
      </c>
      <c r="B41" s="302" t="s">
        <v>510</v>
      </c>
      <c r="C41" s="303" t="s">
        <v>518</v>
      </c>
      <c r="D41" s="304">
        <v>4</v>
      </c>
      <c r="E41" s="307">
        <v>19</v>
      </c>
      <c r="F41" s="302">
        <v>16</v>
      </c>
      <c r="G41" s="302">
        <v>16</v>
      </c>
      <c r="H41" s="302">
        <v>0</v>
      </c>
      <c r="I41" s="305">
        <v>7507.6</v>
      </c>
      <c r="J41" s="302">
        <v>3839.74</v>
      </c>
      <c r="K41" s="306">
        <f t="shared" si="0"/>
      </c>
      <c r="L41" s="306">
        <f t="shared" si="1"/>
      </c>
      <c r="M41" s="306">
        <f t="shared" si="2"/>
      </c>
      <c r="N41" s="303"/>
      <c r="O41" s="303"/>
    </row>
    <row customHeight="true" ht="16.071428571428573" r="42">
      <c r="A42" s="302" t="s">
        <v>545</v>
      </c>
      <c r="B42" s="302" t="s">
        <v>533</v>
      </c>
      <c r="C42" s="303" t="s">
        <v>543</v>
      </c>
      <c r="D42" s="304">
        <v>2</v>
      </c>
      <c r="E42" s="302">
        <v>1</v>
      </c>
      <c r="F42" s="302">
        <v>1</v>
      </c>
      <c r="G42" s="302">
        <v>1</v>
      </c>
      <c r="H42" s="302">
        <v>0</v>
      </c>
      <c r="I42" s="305">
        <v>478.7999999999993</v>
      </c>
      <c r="J42" s="302">
        <v>2854.53</v>
      </c>
      <c r="K42" s="306">
        <f t="shared" si="0"/>
      </c>
      <c r="L42" s="306">
        <f t="shared" si="1"/>
      </c>
      <c r="M42" s="306">
        <f t="shared" si="2"/>
      </c>
      <c r="N42" s="303"/>
      <c r="O42" s="303"/>
    </row>
    <row customHeight="true" ht="16.071428571428573" r="43">
      <c r="A43" s="308" t="s">
        <v>545</v>
      </c>
      <c r="B43" s="309"/>
      <c r="C43" s="308" t="s">
        <v>547</v>
      </c>
      <c r="D43" s="309">
        <f>SUM(D40:D42)</f>
      </c>
      <c r="E43" s="309">
        <f>SUM(E40:E42)</f>
      </c>
      <c r="F43" s="309">
        <f>SUM(F40:F42)</f>
      </c>
      <c r="G43" s="309">
        <f>SUM(G40:G42)</f>
      </c>
      <c r="H43" s="309">
        <f>SUM(H40:H42)</f>
      </c>
      <c r="I43" s="309">
        <f>SUM(I40:I42)</f>
      </c>
      <c r="J43" s="309">
        <f>SUM(J40:J42)</f>
      </c>
      <c r="K43" s="310">
        <f t="shared" si="0"/>
      </c>
      <c r="L43" s="310">
        <f t="shared" si="1"/>
      </c>
      <c r="M43" s="310">
        <f t="shared" si="2"/>
      </c>
      <c r="N43" s="309"/>
      <c r="O43" s="309">
        <f>SUM(O40:O41)</f>
      </c>
    </row>
    <row customHeight="true" ht="16.071428571428573" r="44">
      <c r="A44" s="302" t="s">
        <v>548</v>
      </c>
      <c r="B44" s="302" t="s">
        <v>510</v>
      </c>
      <c r="C44" s="303" t="s">
        <v>526</v>
      </c>
      <c r="D44" s="304">
        <v>4</v>
      </c>
      <c r="E44" s="302">
        <v>16</v>
      </c>
      <c r="F44" s="302">
        <v>11</v>
      </c>
      <c r="G44" s="302">
        <v>13</v>
      </c>
      <c r="H44" s="302">
        <v>1</v>
      </c>
      <c r="I44" s="305">
        <v>6224.4</v>
      </c>
      <c r="J44" s="302">
        <v>3999.6900000000005</v>
      </c>
      <c r="K44" s="306">
        <f t="shared" si="0"/>
      </c>
      <c r="L44" s="306">
        <f t="shared" si="1"/>
      </c>
      <c r="M44" s="306">
        <f t="shared" si="2"/>
      </c>
      <c r="N44" s="302" t="s">
        <v>542</v>
      </c>
      <c r="O44" s="302">
        <v>7</v>
      </c>
    </row>
    <row customHeight="true" ht="16.071428571428573" r="45">
      <c r="A45" s="302" t="s">
        <v>548</v>
      </c>
      <c r="B45" s="302" t="s">
        <v>517</v>
      </c>
      <c r="C45" s="303" t="s">
        <v>514</v>
      </c>
      <c r="D45" s="304">
        <v>3</v>
      </c>
      <c r="E45" s="307">
        <v>11</v>
      </c>
      <c r="F45" s="302">
        <v>6</v>
      </c>
      <c r="G45" s="302">
        <v>6</v>
      </c>
      <c r="H45" s="302">
        <v>0</v>
      </c>
      <c r="I45" s="305">
        <v>2872.800000000001</v>
      </c>
      <c r="J45" s="302">
        <v>3262.5099999999998</v>
      </c>
      <c r="K45" s="306">
        <f t="shared" si="0"/>
      </c>
      <c r="L45" s="306">
        <f t="shared" si="1"/>
      </c>
      <c r="M45" s="306">
        <f t="shared" si="2"/>
      </c>
      <c r="N45" s="303"/>
      <c r="O45" s="303"/>
    </row>
    <row customHeight="true" ht="16.071428571428573" r="46">
      <c r="A46" s="308" t="s">
        <v>548</v>
      </c>
      <c r="B46" s="309"/>
      <c r="C46" s="308" t="s">
        <v>549</v>
      </c>
      <c r="D46" s="309">
        <f>SUM(D44:D45)</f>
      </c>
      <c r="E46" s="309">
        <f>SUM(E44:E45)</f>
      </c>
      <c r="F46" s="309">
        <f>SUM(F44:F45)</f>
      </c>
      <c r="G46" s="309">
        <f>SUM(G44:G45)</f>
      </c>
      <c r="H46" s="309">
        <f>SUM(H44:H45)</f>
      </c>
      <c r="I46" s="309">
        <f>SUM(I44:I45)</f>
      </c>
      <c r="J46" s="309">
        <f>SUM(J44:J45)</f>
      </c>
      <c r="K46" s="310">
        <f t="shared" si="0"/>
      </c>
      <c r="L46" s="310">
        <f t="shared" si="1"/>
      </c>
      <c r="M46" s="310">
        <f t="shared" si="2"/>
      </c>
      <c r="N46" s="309"/>
      <c r="O46" s="309">
        <f>SUM(O44:O45)</f>
      </c>
    </row>
    <row customHeight="true" ht="16.071428571428573" r="47">
      <c r="A47" s="302" t="s">
        <v>550</v>
      </c>
      <c r="B47" s="302" t="s">
        <v>533</v>
      </c>
      <c r="C47" s="303" t="s">
        <v>526</v>
      </c>
      <c r="D47" s="304">
        <v>4</v>
      </c>
      <c r="E47" s="302">
        <v>14</v>
      </c>
      <c r="F47" s="302">
        <v>7</v>
      </c>
      <c r="G47" s="302">
        <v>7</v>
      </c>
      <c r="H47" s="302">
        <v>0</v>
      </c>
      <c r="I47" s="305">
        <v>3351.6</v>
      </c>
      <c r="J47" s="302">
        <v>3803.9700000000003</v>
      </c>
      <c r="K47" s="306">
        <f t="shared" si="0"/>
      </c>
      <c r="L47" s="306">
        <f t="shared" si="1"/>
      </c>
      <c r="M47" s="306">
        <f t="shared" si="2"/>
      </c>
      <c r="N47" s="302" t="s">
        <v>527</v>
      </c>
      <c r="O47" s="302">
        <v>8</v>
      </c>
    </row>
    <row customHeight="true" ht="16.071428571428573" r="48">
      <c r="A48" s="302" t="s">
        <v>550</v>
      </c>
      <c r="B48" s="302" t="s">
        <v>510</v>
      </c>
      <c r="C48" s="303" t="s">
        <v>528</v>
      </c>
      <c r="D48" s="304">
        <v>4</v>
      </c>
      <c r="E48" s="307">
        <v>18</v>
      </c>
      <c r="F48" s="302">
        <v>15</v>
      </c>
      <c r="G48" s="302">
        <v>15</v>
      </c>
      <c r="H48" s="302">
        <v>1</v>
      </c>
      <c r="I48" s="305">
        <v>7182</v>
      </c>
      <c r="J48" s="302">
        <v>3613.0299999999997</v>
      </c>
      <c r="K48" s="306">
        <f t="shared" si="0"/>
      </c>
      <c r="L48" s="306">
        <f t="shared" si="1"/>
      </c>
      <c r="M48" s="306">
        <f t="shared" si="2"/>
      </c>
      <c r="N48" s="303"/>
      <c r="O48" s="303"/>
    </row>
    <row customHeight="true" ht="16.071428571428573" r="49">
      <c r="A49" s="308" t="s">
        <v>550</v>
      </c>
      <c r="B49" s="309"/>
      <c r="C49" s="308" t="s">
        <v>551</v>
      </c>
      <c r="D49" s="309">
        <f>SUM(D47:D48)</f>
      </c>
      <c r="E49" s="309">
        <f>SUM(E47:E48)</f>
      </c>
      <c r="F49" s="309">
        <f>SUM(F47:F48)</f>
      </c>
      <c r="G49" s="309">
        <f>SUM(G47:G48)</f>
      </c>
      <c r="H49" s="309">
        <f>SUM(H47:H48)</f>
      </c>
      <c r="I49" s="309">
        <f>SUM(I47:I48)</f>
      </c>
      <c r="J49" s="309">
        <f>SUM(J47:J48)</f>
      </c>
      <c r="K49" s="310">
        <f t="shared" si="0"/>
      </c>
      <c r="L49" s="310">
        <f t="shared" si="1"/>
      </c>
      <c r="M49" s="310">
        <f t="shared" si="2"/>
      </c>
      <c r="N49" s="309"/>
      <c r="O49" s="309">
        <f>SUM(O47:O48)</f>
      </c>
    </row>
    <row customHeight="true" ht="16.071428571428573" r="50">
      <c r="A50" s="302" t="s">
        <v>552</v>
      </c>
      <c r="B50" s="302" t="s">
        <v>533</v>
      </c>
      <c r="C50" s="303" t="s">
        <v>526</v>
      </c>
      <c r="D50" s="304">
        <v>4</v>
      </c>
      <c r="E50" s="302">
        <v>30</v>
      </c>
      <c r="F50" s="302">
        <v>21</v>
      </c>
      <c r="G50" s="302">
        <v>21</v>
      </c>
      <c r="H50" s="302">
        <v>0</v>
      </c>
      <c r="I50" s="305">
        <v>9978.2</v>
      </c>
      <c r="J50" s="302">
        <v>4886.33</v>
      </c>
      <c r="K50" s="306">
        <f t="shared" si="0"/>
      </c>
      <c r="L50" s="306">
        <f t="shared" si="1"/>
      </c>
      <c r="M50" s="306">
        <f t="shared" si="2"/>
      </c>
      <c r="N50" s="302" t="s">
        <v>553</v>
      </c>
      <c r="O50" s="302">
        <v>8</v>
      </c>
    </row>
    <row customHeight="true" ht="16.071428571428573" r="51">
      <c r="A51" s="302" t="s">
        <v>552</v>
      </c>
      <c r="B51" s="302" t="s">
        <v>510</v>
      </c>
      <c r="C51" s="303" t="s">
        <v>528</v>
      </c>
      <c r="D51" s="304">
        <v>4</v>
      </c>
      <c r="E51" s="307">
        <v>26</v>
      </c>
      <c r="F51" s="302">
        <v>18</v>
      </c>
      <c r="G51" s="302">
        <v>18</v>
      </c>
      <c r="H51" s="302">
        <v>0</v>
      </c>
      <c r="I51" s="305">
        <v>8618.399999999998</v>
      </c>
      <c r="J51" s="302">
        <v>5141.860000000001</v>
      </c>
      <c r="K51" s="306">
        <f t="shared" si="0"/>
      </c>
      <c r="L51" s="306">
        <f t="shared" si="1"/>
      </c>
      <c r="M51" s="306">
        <f t="shared" si="2"/>
      </c>
      <c r="N51" s="303"/>
      <c r="O51" s="303"/>
    </row>
    <row customHeight="true" ht="16.071428571428573" r="52">
      <c r="A52" s="308" t="s">
        <v>552</v>
      </c>
      <c r="B52" s="309"/>
      <c r="C52" s="308" t="s">
        <v>551</v>
      </c>
      <c r="D52" s="309">
        <f>SUM(D50:D51)</f>
      </c>
      <c r="E52" s="309">
        <f>SUM(E50:E51)</f>
      </c>
      <c r="F52" s="309">
        <f>SUM(F50:F51)</f>
      </c>
      <c r="G52" s="309">
        <f>SUM(G50:G51)</f>
      </c>
      <c r="H52" s="309">
        <f>SUM(H50:H51)</f>
      </c>
      <c r="I52" s="309">
        <f>SUM(I50:I51)</f>
      </c>
      <c r="J52" s="309">
        <v>10019.13</v>
      </c>
      <c r="K52" s="310">
        <f t="shared" si="0"/>
      </c>
      <c r="L52" s="310">
        <f t="shared" si="1"/>
      </c>
      <c r="M52" s="310">
        <f t="shared" si="2"/>
      </c>
      <c r="N52" s="309"/>
      <c r="O52" s="309">
        <f>SUM(O50:O51)</f>
      </c>
    </row>
    <row customHeight="true" ht="16.071428571428573" r="53">
      <c r="A53" s="302" t="s">
        <v>554</v>
      </c>
      <c r="B53" s="302" t="s">
        <v>533</v>
      </c>
      <c r="C53" s="303" t="s">
        <v>526</v>
      </c>
      <c r="D53" s="304">
        <v>4</v>
      </c>
      <c r="E53" s="302">
        <v>19</v>
      </c>
      <c r="F53" s="302">
        <v>10</v>
      </c>
      <c r="G53" s="302">
        <v>10</v>
      </c>
      <c r="H53" s="302">
        <v>0</v>
      </c>
      <c r="I53" s="305">
        <v>4749.7</v>
      </c>
      <c r="J53" s="302">
        <v>3947.21</v>
      </c>
      <c r="K53" s="306">
        <f t="shared" si="0"/>
      </c>
      <c r="L53" s="306">
        <f t="shared" si="1"/>
      </c>
      <c r="M53" s="306">
        <f t="shared" si="2"/>
      </c>
      <c r="N53" s="302" t="s">
        <v>553</v>
      </c>
      <c r="O53" s="302">
        <v>8</v>
      </c>
    </row>
    <row customHeight="true" ht="16.071428571428573" r="54">
      <c r="A54" s="302" t="s">
        <v>554</v>
      </c>
      <c r="B54" s="302" t="s">
        <v>517</v>
      </c>
      <c r="C54" s="303" t="s">
        <v>528</v>
      </c>
      <c r="D54" s="304">
        <v>4</v>
      </c>
      <c r="E54" s="307">
        <v>19</v>
      </c>
      <c r="F54" s="302">
        <v>14</v>
      </c>
      <c r="G54" s="302">
        <v>14</v>
      </c>
      <c r="H54" s="302">
        <v>0</v>
      </c>
      <c r="I54" s="305">
        <v>6626.599999999999</v>
      </c>
      <c r="J54" s="302">
        <v>4195.610000000001</v>
      </c>
      <c r="K54" s="306">
        <f t="shared" si="0"/>
      </c>
      <c r="L54" s="306">
        <f t="shared" si="1"/>
      </c>
      <c r="M54" s="306">
        <f t="shared" si="2"/>
      </c>
      <c r="N54" s="303"/>
      <c r="O54" s="303"/>
    </row>
    <row customHeight="true" ht="16.071428571428573" r="55">
      <c r="A55" s="308" t="s">
        <v>554</v>
      </c>
      <c r="B55" s="309"/>
      <c r="C55" s="308" t="s">
        <v>551</v>
      </c>
      <c r="D55" s="309">
        <f>SUM(D53:D54)</f>
      </c>
      <c r="E55" s="309">
        <f>SUM(E53:E54)</f>
      </c>
      <c r="F55" s="309">
        <f>SUM(F53:F54)</f>
      </c>
      <c r="G55" s="309">
        <f>SUM(G53:G54)</f>
      </c>
      <c r="H55" s="309">
        <f>SUM(H53:H54)</f>
      </c>
      <c r="I55" s="309">
        <f>SUM(I53:I54)</f>
      </c>
      <c r="J55" s="309">
        <f>SUM(J53:J54)</f>
      </c>
      <c r="K55" s="310">
        <f t="shared" si="0"/>
      </c>
      <c r="L55" s="310">
        <f t="shared" si="1"/>
      </c>
      <c r="M55" s="310">
        <f t="shared" si="2"/>
      </c>
      <c r="N55" s="309"/>
      <c r="O55" s="309">
        <f>SUM(O53:O54)</f>
      </c>
    </row>
    <row customHeight="true" ht="16.071428571428573" r="56">
      <c r="A56" s="302" t="s">
        <v>555</v>
      </c>
      <c r="B56" s="302" t="s">
        <v>533</v>
      </c>
      <c r="C56" s="303" t="s">
        <v>526</v>
      </c>
      <c r="D56" s="304">
        <v>4</v>
      </c>
      <c r="E56" s="302">
        <v>12</v>
      </c>
      <c r="F56" s="302">
        <v>9</v>
      </c>
      <c r="G56" s="302">
        <v>9</v>
      </c>
      <c r="H56" s="302">
        <v>0</v>
      </c>
      <c r="I56" s="305">
        <v>4309.2</v>
      </c>
      <c r="J56" s="302">
        <v>3743.32</v>
      </c>
      <c r="K56" s="306">
        <f t="shared" si="0"/>
      </c>
      <c r="L56" s="306">
        <f t="shared" si="1"/>
      </c>
      <c r="M56" s="306">
        <f t="shared" si="2"/>
      </c>
      <c r="N56" s="302" t="s">
        <v>553</v>
      </c>
      <c r="O56" s="302">
        <v>9</v>
      </c>
      <c r="P56" s="301"/>
    </row>
    <row customHeight="true" ht="16.071428571428573" r="57">
      <c r="A57" s="302" t="s">
        <v>555</v>
      </c>
      <c r="B57" s="302" t="s">
        <v>517</v>
      </c>
      <c r="C57" s="303" t="s">
        <v>528</v>
      </c>
      <c r="D57" s="304">
        <v>4</v>
      </c>
      <c r="E57" s="303">
        <v>11</v>
      </c>
      <c r="F57" s="302">
        <v>7</v>
      </c>
      <c r="G57" s="302">
        <v>7</v>
      </c>
      <c r="H57" s="302">
        <v>0</v>
      </c>
      <c r="I57" s="305">
        <v>3351.6000000000004</v>
      </c>
      <c r="J57" s="302">
        <v>3935.96</v>
      </c>
      <c r="K57" s="306">
        <f t="shared" si="0"/>
      </c>
      <c r="L57" s="306">
        <f t="shared" si="1"/>
      </c>
      <c r="M57" s="306">
        <f t="shared" si="2"/>
      </c>
      <c r="N57" s="303"/>
      <c r="O57" s="303"/>
      <c r="P57" s="301"/>
    </row>
    <row customHeight="true" ht="16.071428571428573" r="58">
      <c r="A58" s="302" t="s">
        <v>555</v>
      </c>
      <c r="B58" s="302" t="s">
        <v>510</v>
      </c>
      <c r="C58" s="303" t="s">
        <v>556</v>
      </c>
      <c r="D58" s="304">
        <v>4</v>
      </c>
      <c r="E58" s="303">
        <v>15</v>
      </c>
      <c r="F58" s="302">
        <v>12</v>
      </c>
      <c r="G58" s="302">
        <v>12</v>
      </c>
      <c r="H58" s="302">
        <v>0</v>
      </c>
      <c r="I58" s="305">
        <v>5707.3</v>
      </c>
      <c r="J58" s="302">
        <v>4218.719999999999</v>
      </c>
      <c r="K58" s="306">
        <f t="shared" si="0"/>
      </c>
      <c r="L58" s="306">
        <f t="shared" si="1"/>
      </c>
      <c r="M58" s="306">
        <f t="shared" si="2"/>
      </c>
      <c r="N58" s="303" t="s">
        <v>557</v>
      </c>
      <c r="O58" s="303">
        <v>3</v>
      </c>
      <c r="P58" s="301"/>
    </row>
    <row customHeight="true" ht="16.071428571428573" r="59">
      <c r="A59" s="308" t="s">
        <v>555</v>
      </c>
      <c r="B59" s="309"/>
      <c r="C59" s="309"/>
      <c r="D59" s="309">
        <f>SUM(D56:D58)</f>
      </c>
      <c r="E59" s="309">
        <f>SUM(E56:E58)</f>
      </c>
      <c r="F59" s="309">
        <f>SUM(F56:F58)</f>
      </c>
      <c r="G59" s="309">
        <f>SUM(G56:G58)</f>
      </c>
      <c r="H59" s="309">
        <f>SUM(H56:H58)</f>
      </c>
      <c r="I59" s="309">
        <f>SUM(I56:I58)</f>
      </c>
      <c r="J59" s="309">
        <f>SUM(J56:J58)</f>
      </c>
      <c r="K59" s="310">
        <f t="shared" si="0"/>
      </c>
      <c r="L59" s="310">
        <f t="shared" si="1"/>
      </c>
      <c r="M59" s="310">
        <f t="shared" si="2"/>
      </c>
      <c r="N59" s="309"/>
      <c r="O59" s="309">
        <f>SUM(O56:O58)</f>
      </c>
      <c r="P59" s="301"/>
    </row>
    <row customHeight="true" ht="16.071428571428573" r="60">
      <c r="A60" s="302" t="s">
        <v>558</v>
      </c>
      <c r="B60" s="302" t="s">
        <v>533</v>
      </c>
      <c r="C60" s="303" t="s">
        <v>559</v>
      </c>
      <c r="D60" s="304">
        <v>2</v>
      </c>
      <c r="E60" s="302">
        <v>8</v>
      </c>
      <c r="F60" s="302">
        <v>5</v>
      </c>
      <c r="G60" s="302">
        <v>5</v>
      </c>
      <c r="H60" s="302">
        <v>0</v>
      </c>
      <c r="I60" s="305">
        <v>2394</v>
      </c>
      <c r="J60" s="302">
        <v>1933.75</v>
      </c>
      <c r="K60" s="306">
        <f t="shared" si="0"/>
      </c>
      <c r="L60" s="306">
        <f t="shared" si="1"/>
      </c>
      <c r="M60" s="306">
        <f t="shared" si="2"/>
      </c>
      <c r="N60" s="302" t="s">
        <v>553</v>
      </c>
      <c r="O60" s="302">
        <v>9</v>
      </c>
    </row>
    <row customHeight="true" ht="16.071428571428573" r="61">
      <c r="A61" s="302" t="s">
        <v>558</v>
      </c>
      <c r="B61" s="302" t="s">
        <v>517</v>
      </c>
      <c r="C61" s="303" t="s">
        <v>560</v>
      </c>
      <c r="D61" s="304">
        <v>4</v>
      </c>
      <c r="E61" s="311">
        <v>6</v>
      </c>
      <c r="F61" s="312">
        <v>6</v>
      </c>
      <c r="G61" s="312">
        <v>6</v>
      </c>
      <c r="H61" s="312">
        <v>0</v>
      </c>
      <c r="I61" s="305">
        <v>2872.8</v>
      </c>
      <c r="J61" s="302">
        <v>4223.71</v>
      </c>
      <c r="K61" s="306">
        <f t="shared" si="0"/>
      </c>
      <c r="L61" s="306">
        <f t="shared" si="1"/>
      </c>
      <c r="M61" s="306">
        <f t="shared" si="2"/>
      </c>
      <c r="N61" s="303"/>
      <c r="O61" s="303"/>
    </row>
    <row customHeight="true" ht="16.071428571428573" r="62">
      <c r="A62" s="302" t="s">
        <v>558</v>
      </c>
      <c r="B62" s="302" t="s">
        <v>510</v>
      </c>
      <c r="C62" s="303" t="s">
        <v>561</v>
      </c>
      <c r="D62" s="304">
        <v>4</v>
      </c>
      <c r="E62" s="303"/>
      <c r="F62" s="302"/>
      <c r="G62" s="302"/>
      <c r="H62" s="302"/>
      <c r="I62" s="305"/>
      <c r="J62" s="302"/>
      <c r="K62" s="306">
        <f t="shared" si="0"/>
      </c>
      <c r="L62" s="306">
        <f t="shared" si="1"/>
      </c>
      <c r="M62" s="306">
        <f t="shared" si="2"/>
      </c>
      <c r="N62" s="303" t="s">
        <v>557</v>
      </c>
      <c r="O62" s="303">
        <v>1</v>
      </c>
    </row>
    <row customHeight="true" ht="16.071428571428573" r="63">
      <c r="A63" s="308" t="s">
        <v>558</v>
      </c>
      <c r="B63" s="309"/>
      <c r="C63" s="309"/>
      <c r="D63" s="309">
        <f>SUM(D60:D62)</f>
      </c>
      <c r="E63" s="309">
        <f>SUM(E60:E62)</f>
      </c>
      <c r="F63" s="309">
        <f>SUM(F60:F62)</f>
      </c>
      <c r="G63" s="309">
        <f>SUM(G60:G62)</f>
      </c>
      <c r="H63" s="309">
        <f>SUM(H60:H62)</f>
      </c>
      <c r="I63" s="309">
        <f>SUM(I60:I62)</f>
      </c>
      <c r="J63" s="309">
        <f>SUM(J60:J62)</f>
      </c>
      <c r="K63" s="310">
        <f t="shared" si="0"/>
      </c>
      <c r="L63" s="310">
        <f t="shared" si="1"/>
      </c>
      <c r="M63" s="310">
        <f t="shared" si="2"/>
      </c>
      <c r="N63" s="309"/>
      <c r="O63" s="309">
        <f>SUM(O60:O62)</f>
      </c>
    </row>
    <row customHeight="true" ht="16.071428571428573" r="64"/>
    <row customHeight="true" ht="16.071428571428573" r="65"/>
    <row customHeight="true" ht="16.071428571428573" r="66"/>
    <row customHeight="true" ht="16.071428571428573" r="67"/>
    <row customHeight="true" ht="16.071428571428573" r="68"/>
    <row customHeight="true" ht="16.071428571428573" r="69"/>
    <row customHeight="true" ht="16.071428571428573" r="70">
      <c r="A70" s="313" t="s">
        <v>497</v>
      </c>
      <c r="B70" s="313" t="s">
        <v>562</v>
      </c>
      <c r="C70" s="313" t="s">
        <v>563</v>
      </c>
      <c r="D70" s="313" t="s">
        <v>564</v>
      </c>
      <c r="E70" s="313" t="s">
        <v>565</v>
      </c>
    </row>
    <row customHeight="true" ht="16.071428571428573" r="71">
      <c r="A71">
        <f>SUM(C75:C81)</f>
      </c>
      <c r="B71" s="314">
        <f>SUM(D75:D81)</f>
      </c>
      <c r="C71" s="314">
        <f>SUM(E75:E81)</f>
      </c>
      <c r="D71" s="314">
        <f>SUM(F75:F81)</f>
      </c>
      <c r="E71" s="314">
        <f>SUM(G75:G81)</f>
      </c>
    </row>
    <row customHeight="true" ht="16.071428571428573" r="72"/>
    <row customHeight="true" ht="16.071428571428573" r="73"/>
    <row customHeight="true" ht="16.071428571428573" r="74">
      <c r="A74" s="315" t="s">
        <v>494</v>
      </c>
      <c r="B74" s="315" t="s">
        <v>496</v>
      </c>
      <c r="C74" s="313" t="s">
        <v>497</v>
      </c>
      <c r="D74" s="313" t="s">
        <v>500</v>
      </c>
      <c r="E74" s="313" t="s">
        <v>566</v>
      </c>
      <c r="F74" s="313" t="s">
        <v>502</v>
      </c>
      <c r="G74" s="313" t="s">
        <v>503</v>
      </c>
    </row>
    <row customHeight="true" ht="16.071428571428573" r="75">
      <c r="A75" t="s">
        <v>537</v>
      </c>
      <c r="B75" s="314" t="s">
        <v>567</v>
      </c>
      <c r="C75">
        <v>10</v>
      </c>
      <c r="D75">
        <v>28</v>
      </c>
      <c r="E75">
        <v>1</v>
      </c>
      <c r="F75">
        <v>13253.2</v>
      </c>
      <c r="G75">
        <v>11373.47</v>
      </c>
    </row>
    <row customHeight="true" ht="16.071428571428573" r="76">
      <c r="A76" t="s">
        <v>541</v>
      </c>
      <c r="B76" s="314" t="s">
        <v>568</v>
      </c>
      <c r="C76">
        <v>9</v>
      </c>
      <c r="D76">
        <v>19</v>
      </c>
      <c r="E76">
        <v>0</v>
      </c>
      <c r="F76">
        <v>9058.9</v>
      </c>
      <c r="G76">
        <v>8860.210000000001</v>
      </c>
    </row>
    <row customHeight="true" ht="16.071428571428573" r="77">
      <c r="A77" t="s">
        <v>545</v>
      </c>
      <c r="B77" s="314" t="s">
        <v>569</v>
      </c>
      <c r="C77">
        <v>8.5</v>
      </c>
      <c r="D77">
        <v>20</v>
      </c>
      <c r="E77">
        <v>0</v>
      </c>
      <c r="F77">
        <v>9422.8</v>
      </c>
      <c r="G77">
        <v>8756.94</v>
      </c>
    </row>
    <row customHeight="true" ht="16.071428571428573" r="78">
      <c r="A78" t="s">
        <v>548</v>
      </c>
      <c r="B78" s="314" t="s">
        <v>570</v>
      </c>
      <c r="C78">
        <v>7</v>
      </c>
      <c r="D78">
        <v>19</v>
      </c>
      <c r="E78">
        <v>1</v>
      </c>
      <c r="F78">
        <v>9097.2</v>
      </c>
      <c r="G78">
        <v>7262.200000000001</v>
      </c>
    </row>
    <row customHeight="true" ht="16.071428571428573" r="79">
      <c r="A79" t="s">
        <v>550</v>
      </c>
      <c r="B79" t="s">
        <v>571</v>
      </c>
      <c r="C79">
        <v>8</v>
      </c>
      <c r="D79">
        <v>22</v>
      </c>
      <c r="E79">
        <v>1</v>
      </c>
      <c r="F79">
        <v>10533.6</v>
      </c>
      <c r="G79">
        <v>7417</v>
      </c>
    </row>
    <row customHeight="true" ht="16.071428571428573" r="80">
      <c r="A80" t="s">
        <v>552</v>
      </c>
      <c r="B80" t="s">
        <v>571</v>
      </c>
      <c r="C80">
        <v>8</v>
      </c>
      <c r="D80">
        <v>39</v>
      </c>
      <c r="E80">
        <v>0</v>
      </c>
      <c r="F80">
        <v>18596.6</v>
      </c>
      <c r="G80">
        <v>10019.13</v>
      </c>
    </row>
    <row customHeight="true" ht="16.071428571428573" r="81">
      <c r="A81" t="s">
        <v>554</v>
      </c>
      <c r="B81" t="s">
        <v>571</v>
      </c>
      <c r="C81">
        <v>8</v>
      </c>
      <c r="D81">
        <v>24</v>
      </c>
      <c r="E81">
        <v>0</v>
      </c>
      <c r="F81">
        <v>11376.3</v>
      </c>
      <c r="G81">
        <v>8142.820000000001</v>
      </c>
    </row>
    <row customHeight="true" ht="16.071428571428573" r="82"/>
    <row customHeight="true" ht="16.071428571428573" r="83"/>
    <row customHeight="true" ht="16.071428571428573" r="84"/>
    <row customHeight="true" ht="16.071428571428573" r="85"/>
    <row customHeight="true" ht="16.071428571428573" r="86"/>
    <row customHeight="true" ht="16.071428571428573" r="87"/>
    <row customHeight="true" ht="16.071428571428573" r="88"/>
    <row customHeight="true" ht="16.071428571428573" r="89"/>
    <row customHeight="true" ht="16.071428571428573" r="90"/>
    <row customHeight="true" ht="16.071428571428573" r="91"/>
  </sheetData>
  <autoFilter ref="A1:O6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