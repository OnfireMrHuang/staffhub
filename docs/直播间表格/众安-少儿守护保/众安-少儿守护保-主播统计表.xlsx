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勿删快捷表" sheetId="3" r:id="rId8"/>
    <sheet name="2026.9" sheetId="4" r:id="rId9"/>
    <sheet name="2026.8" sheetId="5" r:id="rId11"/>
    <sheet name="勿删" sheetId="6" r:id="rId13"/>
  </sheets>
  <calcPr calcMode="auto"/>
  <pivotCaches>
    <pivotCache cacheId="1" r:id="rId6"/>
    <pivotCache cacheId="2" r:id="rId7"/>
    <pivotCache cacheId="3" r:id="rId10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<sst xmlns="http://schemas.openxmlformats.org/spreadsheetml/2006/main" count="200" uniqueCount="200">
  <si>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</si>
  <si>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</si>
  <si>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</si>
  <si>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</si>
  <si>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</si>
  <si>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</si>
  <si>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纯投放（表单）</t>
  </si>
  <si>
    <t xml:space="preserve">保单数量</t>
  </si>
  <si>
    <t xml:space="preserve">纯投放（保单）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</si>
  <si>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</si>
  <si>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</si>
  <si>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</si>
  <si>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</si>
  <si>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</si>
  <si>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</si>
  <si>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</si>
  <si>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</si>
  <si>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投手</t>
  </si>
  <si>
    <t xml:space="preserve">时长</t>
  </si>
  <si>
    <t xml:space="preserve">差额</t>
  </si>
  <si>
    <t xml:space="preserve">消耗</t>
  </si>
  <si>
    <t xml:space="preserve">杨蕊竹</t>
  </si>
  <si>
    <t xml:space="preserve">12:00-16:00</t>
  </si>
  <si>
    <t xml:space="preserve">杨博</t>
  </si>
  <si>
    <t xml:space="preserve">赖法彬</t>
  </si>
  <si>
    <t xml:space="preserve">程珂珂</t>
  </si>
  <si>
    <t xml:space="preserve">16:00-20:00</t>
  </si>
  <si>
    <t xml:space="preserve">黄佳慧</t>
  </si>
  <si>
    <t xml:space="preserve">20:00-24:00</t>
  </si>
  <si>
    <t xml:space="preserve">日总</t>
  </si>
  <si>
    <t xml:space="preserve">12-24</t>
  </si>
  <si>
    <t xml:space="preserve">16:00-21:00</t>
  </si>
  <si>
    <t xml:space="preserve">范欣茹</t>
  </si>
  <si>
    <t xml:space="preserve">21:00-23:00</t>
  </si>
  <si>
    <t xml:space="preserve">12-23</t>
  </si>
  <si>
    <t xml:space="preserve">12:00-17:00</t>
  </si>
  <si>
    <t xml:space="preserve">陈浏铭</t>
  </si>
  <si>
    <t xml:space="preserve">孟璐瑶</t>
  </si>
  <si>
    <t xml:space="preserve">17:00-19:00</t>
  </si>
  <si>
    <t xml:space="preserve">19:00-21:00</t>
  </si>
  <si>
    <t xml:space="preserve">李子健双</t>
  </si>
  <si>
    <t xml:space="preserve">21:00-24:00</t>
  </si>
  <si>
    <t xml:space="preserve">吴若楠</t>
  </si>
  <si>
    <t xml:space="preserve">16:00-19:00</t>
  </si>
  <si>
    <t xml:space="preserve">roi</t>
  </si>
  <si>
    <t xml:space="preserve">时耗</t>
  </si>
  <si>
    <t xml:space="preserve">董柯言</t>
  </si>
  <si>
    <t xml:space="preserve">孟璐瑶 </t>
  </si>
  <si>
    <t xml:space="preserve">陈思钰双</t>
  </si>
  <si>
    <t xml:space="preserve">董柯言双</t>
  </si>
  <si>
    <t xml:space="preserve">16:00-16:30</t>
  </si>
  <si>
    <t xml:space="preserve">12-16.30</t>
  </si>
  <si>
    <t xml:space="preserve">13:00-16:00</t>
  </si>
  <si>
    <t xml:space="preserve">何嘉仪</t>
  </si>
  <si>
    <t xml:space="preserve">17:00-21:00</t>
  </si>
  <si>
    <t xml:space="preserve">曹颖慧</t>
  </si>
  <si>
    <t xml:space="preserve">17-24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</si>
  <si>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</si>
  <si>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</si>
  <si>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</si>
  <si>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</si>
  <si>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</si>
  <si>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纯投放（表单）</t>
  </si>
  <si>
    <t xml:space="preserve">保单数量</t>
  </si>
  <si>
    <t xml:space="preserve">纯投放（保单）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</si>
  <si>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</si>
  <si>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</si>
  <si>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</si>
  <si>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</si>
  <si>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</si>
  <si>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</si>
  <si>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</si>
  <si>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</si>
  <si>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投手</t>
  </si>
  <si>
    <t xml:space="preserve">时长</t>
  </si>
  <si>
    <t xml:space="preserve">差额</t>
  </si>
  <si>
    <t xml:space="preserve">消耗</t>
  </si>
  <si>
    <t xml:space="preserve">杨蕊竹</t>
  </si>
  <si>
    <t xml:space="preserve">12:00-16:00</t>
  </si>
  <si>
    <t xml:space="preserve">陈浏铭</t>
  </si>
  <si>
    <t xml:space="preserve">程珂珂</t>
  </si>
  <si>
    <t xml:space="preserve">16:00-19:00</t>
  </si>
  <si>
    <t xml:space="preserve">孟璐瑶</t>
  </si>
  <si>
    <t xml:space="preserve">19:00-21:00</t>
  </si>
  <si>
    <t xml:space="preserve">曹颖慧</t>
  </si>
  <si>
    <t xml:space="preserve">吴若楠</t>
  </si>
  <si>
    <t xml:space="preserve">21:00-24:00</t>
  </si>
  <si>
    <t xml:space="preserve">日总</t>
  </si>
  <si>
    <t xml:space="preserve">12-24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</si>
  <si>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</si>
  <si>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</si>
  <si>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</si>
  <si>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</si>
  <si>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</si>
  <si>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纯投放（表单）</t>
  </si>
  <si>
    <t xml:space="preserve">保单数量</t>
  </si>
  <si>
    <t xml:space="preserve">纯投放（保单）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</si>
  <si>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</si>
  <si>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</si>
  <si>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</si>
  <si>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</si>
  <si>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</si>
  <si>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</si>
  <si>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</si>
  <si>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</si>
  <si>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投手</t>
  </si>
  <si>
    <t xml:space="preserve">时长</t>
  </si>
  <si>
    <t xml:space="preserve">米静</t>
  </si>
  <si>
    <t xml:space="preserve">16:00-19:00</t>
  </si>
  <si>
    <t xml:space="preserve">曹颖慧</t>
  </si>
  <si>
    <t xml:space="preserve">赖法彬</t>
  </si>
  <si>
    <t xml:space="preserve">熊福露</t>
  </si>
  <si>
    <t xml:space="preserve">19:00-21:00</t>
  </si>
  <si>
    <t xml:space="preserve">程珂珂</t>
  </si>
  <si>
    <t xml:space="preserve">21:00-24:00</t>
  </si>
  <si>
    <t xml:space="preserve">日总</t>
  </si>
  <si>
    <t xml:space="preserve">16-24</t>
  </si>
  <si>
    <t xml:space="preserve">黄佳慧</t>
  </si>
  <si>
    <t xml:space="preserve">16:00-20:00</t>
  </si>
  <si>
    <t xml:space="preserve">20:00-24:00</t>
  </si>
  <si>
    <t xml:space="preserve">杨蕊竹</t>
  </si>
  <si>
    <t xml:space="preserve">李子健</t>
  </si>
  <si>
    <t xml:space="preserve">魏迪双</t>
  </si>
  <si>
    <t xml:space="preserve">闫雨萌</t>
  </si>
  <si>
    <t xml:space="preserve">19:00-20:00</t>
  </si>
  <si>
    <t xml:space="preserve">杨博</t>
  </si>
  <si>
    <t xml:space="preserve">12:00-16:00</t>
  </si>
  <si>
    <t xml:space="preserve">12-24</t>
  </si>
  <si>
    <t xml:space="preserve">杨博双</t>
  </si>
  <si>
    <t xml:space="preserve">李哲双</t>
  </si>
  <si>
    <t xml:space="preserve">李哲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</si>
  <si>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</si>
  <si>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</si>
  <si>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</si>
  <si>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</si>
  <si>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</si>
  <si>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</si>
  <si>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</si>
  <si>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纯投放（表单）</t>
  </si>
  <si>
    <t xml:space="preserve">保单数量</t>
  </si>
  <si>
    <t xml:space="preserve">纯投放（保单）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</si>
  <si>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</si>
  <si>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</si>
  <si>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</si>
  <si>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</si>
  <si>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</si>
  <si>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</si>
  <si>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</si>
  <si>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</si>
  <si>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投手</t>
  </si>
  <si>
    <t xml:space="preserve">时长</t>
  </si>
  <si>
    <t xml:space="preserve">熊福露</t>
  </si>
  <si>
    <t xml:space="preserve">  18:00-21:00</t>
  </si>
  <si>
    <t xml:space="preserve">闫小姗双</t>
  </si>
  <si>
    <t xml:space="preserve">赖法彬</t>
  </si>
  <si>
    <t xml:space="preserve">米静</t>
  </si>
  <si>
    <t xml:space="preserve">21:00-24:00</t>
  </si>
  <si>
    <t xml:space="preserve">日总</t>
  </si>
  <si>
    <t xml:space="preserve">18-24</t>
  </si>
  <si>
    <t xml:space="preserve">7:00-10:00</t>
  </si>
  <si>
    <t xml:space="preserve">曹颖慧双</t>
  </si>
  <si>
    <t xml:space="preserve">黄佳慧</t>
  </si>
  <si>
    <t xml:space="preserve">10:00-12:00</t>
  </si>
  <si>
    <t xml:space="preserve">曹颖慧</t>
  </si>
  <si>
    <t xml:space="preserve">12:00-15:00</t>
  </si>
  <si>
    <t xml:space="preserve">7-15</t>
  </si>
  <si>
    <t xml:space="preserve">刘凯</t>
  </si>
  <si>
    <t xml:space="preserve">邵二波</t>
  </si>
  <si>
    <t xml:space="preserve">7:00-11:00</t>
  </si>
  <si>
    <t xml:space="preserve">邵二波，赖法彬</t>
  </si>
  <si>
    <t xml:space="preserve">11:00-13:00</t>
  </si>
  <si>
    <t xml:space="preserve">13:00-15:00</t>
  </si>
  <si>
    <t xml:space="preserve">10:00-13:00</t>
  </si>
  <si>
    <t xml:space="preserve">11:00-14:30</t>
  </si>
  <si>
    <t xml:space="preserve">7-14:30</t>
  </si>
  <si>
    <t xml:space="preserve">魏迪</t>
  </si>
  <si>
    <t xml:space="preserve">程珂珂</t>
  </si>
  <si>
    <t xml:space="preserve">15:00-17:00</t>
  </si>
  <si>
    <t xml:space="preserve">17:00-20:00</t>
  </si>
  <si>
    <t xml:space="preserve">12-20</t>
  </si>
  <si>
    <t xml:space="preserve">17:00-21:00</t>
  </si>
  <si>
    <t xml:space="preserve">12-21</t>
  </si>
  <si>
    <t xml:space="preserve">16:00-20:00</t>
  </si>
  <si>
    <t xml:space="preserve">20:00-24:00</t>
  </si>
  <si>
    <t xml:space="preserve">16-24</t>
  </si>
  <si>
    <t xml:space="preserve">16:00-19:00</t>
  </si>
  <si>
    <t xml:space="preserve">19:00-21:00</t>
  </si>
  <si>
    <t xml:space="preserve">曹颖慧</t>
  </si>
  <si>
    <t xml:space="preserve">全诊保</t>
  </si>
  <si>
    <t xml:space="preserve">2026.10.9</t>
  </si>
  <si>
    <t xml:space="preserve">曹颖慧双</t>
  </si>
  <si>
    <t xml:space="preserve">安心保</t>
  </si>
  <si>
    <t xml:space="preserve">2026.10.8</t>
  </si>
  <si>
    <t xml:space="preserve">平安健康少儿</t>
  </si>
  <si>
    <t xml:space="preserve">超医保</t>
  </si>
  <si>
    <t xml:space="preserve">众安少儿</t>
  </si>
  <si>
    <t xml:space="preserve">e2</t>
  </si>
  <si>
    <t xml:space="preserve">剩余15天</t>
  </si>
  <si>
    <t xml:space="preserve">天</t>
  </si>
  <si>
    <t xml:space="preserve">每天上12小时预计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</si>
</sst>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4">
    <numFmt numFmtId="164" formatCode="0.00_);[Red](0.00)"/>
    <numFmt numFmtId="165" formatCode="#,##0"/>
    <numFmt numFmtId="166" formatCode="yyyy/m/d"/>
    <numFmt numFmtId="167" formatCode="#,##0.00"/>
    <numFmt numFmtId="168" formatCode="@"/>
    <numFmt numFmtId="169" formatCode="0.00_);(0.00)"/>
    <numFmt numFmtId="170" formatCode="0.00_);[Red](0.00)"/>
    <numFmt numFmtId="171" formatCode="#,##0"/>
    <numFmt numFmtId="172" formatCode="yyyy/m/d"/>
    <numFmt numFmtId="173" formatCode="#,##0.00"/>
    <numFmt numFmtId="174" formatCode="@"/>
    <numFmt numFmtId="175" formatCode="0.00_);[Red](0.00)"/>
    <numFmt numFmtId="176" formatCode="yyyy/m/d"/>
    <numFmt numFmtId="177" formatCode="#,##0.00"/>
    <numFmt numFmtId="178" formatCode="@"/>
    <numFmt numFmtId="179" formatCode="0.00_);(0.00)"/>
    <numFmt numFmtId="180" formatCode="0.00_);[Red](0.00)"/>
    <numFmt numFmtId="181" formatCode="yyyy/m/d"/>
    <numFmt numFmtId="182" formatCode="#,##0.00"/>
    <numFmt numFmtId="183" formatCode="@"/>
    <numFmt numFmtId="184" formatCode="yyyy/m/d"/>
    <numFmt numFmtId="185" formatCode="General"/>
    <numFmt numFmtId="186" formatCode="yyyy&quot;.&quot;m&quot;.&quot;d"/>
    <numFmt numFmtId="187" formatCode="0"/>
  </numFmts>
  <fonts count="1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b val="true"/>
      <sz val="10"/>
      <color rgb="FFC00000"/>
      <name val="Calibri"/>
      <family val="2"/>
      <scheme val="minor"/>
    </font>
    <font>
      <sz val="10"/>
      <color rgb="FFDE3C36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DE3C36"/>
      <name val="Calibri"/>
      <family val="2"/>
      <scheme val="minor"/>
    </font>
    <font>
      <b val="true"/>
      <sz val="11"/>
      <color rgb="FF000000"/>
      <name val="Calibri"/>
      <family val="2"/>
      <scheme val="minor"/>
    </font>
  </fonts>
  <fills count="4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C3EAD5"/>
        <bgColor/>
      </patternFill>
    </fill>
    <fill>
      <patternFill patternType="solid">
        <fgColor rgb="FFF76964"/>
        <bgColor/>
      </patternFill>
    </fill>
    <fill>
      <patternFill patternType="solid">
        <fgColor rgb="FFFFFFFF"/>
        <bgColor/>
      </patternFill>
    </fill>
    <fill>
      <patternFill patternType="solid">
        <fgColor rgb="FFD9F3FD"/>
        <bgColor/>
      </patternFill>
    </fill>
    <fill>
      <patternFill patternType="solid">
        <fgColor rgb="FFC7ECFF"/>
        <bgColor/>
      </patternFill>
    </fill>
    <fill>
      <patternFill patternType="solid">
        <fgColor rgb="FF7EDAFB"/>
        <bgColor/>
      </patternFill>
    </fill>
    <fill>
      <patternFill patternType="solid">
        <fgColor rgb="FF99DD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C3EAD5"/>
        <bgColor/>
      </patternFill>
    </fill>
    <fill>
      <patternFill patternType="solid">
        <fgColor rgb="FFF76964"/>
        <bgColor/>
      </patternFill>
    </fill>
    <fill>
      <patternFill patternType="solid">
        <fgColor rgb="FFFFFFFF"/>
        <bgColor/>
      </patternFill>
    </fill>
    <fill>
      <patternFill patternType="solid">
        <fgColor rgb="FFD9F3FD"/>
        <bgColor/>
      </patternFill>
    </fill>
    <fill>
      <patternFill patternType="solid">
        <fgColor rgb="FFC7ECFF"/>
        <bgColor/>
      </patternFill>
    </fill>
    <fill>
      <patternFill patternType="solid">
        <fgColor rgb="FF7EDAFB"/>
        <bgColor/>
      </patternFill>
    </fill>
    <fill>
      <patternFill patternType="solid">
        <fgColor rgb="FF99DD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C3EAD5"/>
        <bgColor/>
      </patternFill>
    </fill>
    <fill>
      <patternFill patternType="solid">
        <fgColor rgb="FFD9F3FD"/>
        <bgColor/>
      </patternFill>
    </fill>
    <fill>
      <patternFill patternType="solid">
        <fgColor rgb="FFC7EC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99DD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C3EAD5"/>
        <bgColor/>
      </patternFill>
    </fill>
    <fill>
      <patternFill patternType="solid">
        <fgColor rgb="FFD9F3FD"/>
        <bgColor/>
      </patternFill>
    </fill>
    <fill>
      <patternFill patternType="solid">
        <fgColor rgb="FFC7ECFF"/>
        <bgColor/>
      </patternFill>
    </fill>
    <fill>
      <patternFill patternType="solid">
        <fgColor rgb="FF7EDAFB"/>
        <bgColor/>
      </patternFill>
    </fill>
    <fill>
      <patternFill patternType="solid">
        <fgColor rgb="FF99DDFF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64E8D6"/>
        <bgColor/>
      </patternFill>
    </fill>
    <fill>
      <patternFill patternType="solid">
        <fgColor rgb="FFD9F3FD"/>
        <bgColor/>
      </patternFill>
    </fill>
    <fill>
      <patternFill patternType="solid">
        <fgColor rgb="FFD5F6F2"/>
        <bgColor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5" xfId="0">
      <alignment horizontal="center" vertical="center"/>
    </xf>
    <xf applyAlignment="true" applyBorder="false" applyFill="true" applyFont="true" applyNumberFormat="false" applyProtection="false" borderId="0" fillId="4" fontId="3" numFmtId="0" xfId="0">
      <alignment horizontal="center" vertical="center"/>
    </xf>
    <xf applyAlignment="true" applyBorder="false" applyFill="false" applyFont="true" applyNumberFormat="true" applyProtection="false" borderId="3" fillId="0" fontId="1" numFmtId="166" xfId="0">
      <alignment horizontal="center" vertical="center"/>
    </xf>
    <xf applyAlignment="true" applyBorder="false" applyFill="true" applyFont="true" applyNumberFormat="false" applyProtection="false" borderId="4" fillId="5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true" applyFont="true" applyNumberFormat="false" applyProtection="false" borderId="1" fillId="6" fontId="4" numFmtId="0" xfId="0">
      <alignment horizontal="center" vertical="center"/>
    </xf>
    <xf applyAlignment="true" applyBorder="false" applyFill="false" applyFont="true" applyNumberFormat="false" applyProtection="false" borderId="6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true" applyFont="true" applyNumberFormat="true" applyProtection="false" borderId="1" fillId="7" fontId="6" numFmtId="164" xfId="0">
      <alignment horizontal="center" vertical="center"/>
    </xf>
    <xf applyAlignment="true" applyBorder="false" applyFill="true" applyFont="true" applyNumberFormat="true" applyProtection="false" borderId="3" fillId="7" fontId="6" numFmtId="164" xfId="0">
      <alignment horizontal="center" vertical="center"/>
    </xf>
    <xf applyAlignment="true" applyBorder="false" applyFill="true" applyFont="true" applyNumberFormat="true" applyProtection="false" borderId="4" fillId="5" fontId="1" numFmtId="167" xfId="0">
      <alignment horizontal="center" vertical="center"/>
    </xf>
    <xf applyAlignment="true" applyBorder="false" applyFill="false" applyFont="true" applyNumberFormat="true" applyProtection="false" borderId="1" fillId="0" fontId="1" numFmtId="167" xfId="0">
      <alignment horizontal="center" vertical="center"/>
    </xf>
    <xf applyAlignment="true" applyBorder="false" applyFill="false" applyFont="true" applyNumberFormat="true" applyProtection="false" borderId="7" fillId="0" fontId="1" numFmtId="167" xfId="0">
      <alignment horizontal="center" vertical="center"/>
    </xf>
    <xf applyAlignment="true" applyBorder="false" applyFill="false" applyFont="true" applyNumberFormat="true" applyProtection="false" borderId="1" fillId="0" fontId="1" numFmtId="167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true" applyProtection="false" borderId="3" fillId="8" fontId="1" numFmtId="166" xfId="0">
      <alignment horizontal="center" vertical="center"/>
    </xf>
    <xf applyAlignment="true" applyBorder="false" applyFill="true" applyFont="true" applyNumberFormat="false" applyProtection="false" borderId="4" fillId="7" fontId="7" numFmtId="0" xfId="0">
      <alignment horizontal="center" vertical="center"/>
    </xf>
    <xf applyAlignment="true" applyBorder="false" applyFill="true" applyFont="true" applyNumberFormat="true" applyProtection="false" borderId="4" fillId="7" fontId="1" numFmtId="168" xfId="0">
      <alignment horizontal="center" vertical="center"/>
    </xf>
    <xf applyAlignment="true" applyBorder="false" applyFill="true" applyFont="true" applyNumberFormat="false" applyProtection="false" borderId="1" fillId="9" fontId="1" numFmtId="0" xfId="0">
      <alignment horizontal="center" vertical="center"/>
    </xf>
    <xf applyAlignment="true" applyBorder="false" applyFill="true" applyFont="true" applyNumberFormat="true" applyProtection="false" borderId="1" fillId="10" fontId="6" numFmtId="164" xfId="0">
      <alignment horizontal="center" vertical="center"/>
    </xf>
    <xf applyAlignment="true" applyBorder="false" applyFill="true" applyFont="true" applyNumberFormat="true" applyProtection="false" borderId="3" fillId="10" fontId="6" numFmtId="164" xfId="0">
      <alignment horizontal="center" vertical="center"/>
    </xf>
    <xf applyAlignment="true" applyBorder="false" applyFill="true" applyFont="true" applyNumberFormat="false" applyProtection="false" borderId="8" fillId="9" fontId="1" numFmtId="0" xfId="0">
      <alignment horizontal="center" vertical="center"/>
    </xf>
    <xf applyAlignment="true" applyBorder="false" applyFill="true" applyFont="true" applyNumberFormat="false" applyProtection="false" borderId="9" fillId="9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4" fillId="5" fontId="1" numFmtId="16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9" xfId="0">
      <alignment horizontal="center" vertical="center"/>
    </xf>
    <xf applyAlignment="true" applyBorder="false" applyFill="false" applyFont="true" applyNumberFormat="true" applyProtection="false" borderId="0" fillId="0" fontId="3" numFmtId="169" xfId="0">
      <alignment horizontal="center" vertical="center"/>
    </xf>
    <xf applyAlignment="true" applyBorder="false" applyFill="false" applyFont="true" applyNumberFormat="false" applyProtection="false" borderId="4" fillId="0" fontId="8" numFmtId="0" xfId="0">
      <alignment horizontal="center" vertical="center"/>
    </xf>
    <xf applyAlignment="true" applyBorder="false" applyFill="false" applyFont="true" applyNumberFormat="false" applyProtection="false" borderId="2" fillId="0" fontId="9" numFmtId="0" xfId="0">
      <alignment horizontal="center" vertical="center"/>
    </xf>
    <xf applyAlignment="true" applyBorder="false" applyFill="true" applyFont="true" applyNumberFormat="false" applyProtection="false" borderId="1" fillId="6" fontId="8" numFmtId="0" xfId="0">
      <alignment horizontal="center" vertical="center"/>
    </xf>
    <xf applyAlignment="true" applyBorder="false" applyFill="false" applyFont="true" applyNumberFormat="false" applyProtection="false" borderId="6" fillId="0" fontId="9" numFmtId="0" xfId="0">
      <alignment horizontal="center" vertical="center"/>
    </xf>
    <xf applyAlignment="true" applyBorder="false" applyFill="false" applyFont="true" applyNumberFormat="false" applyProtection="false" borderId="6" fillId="0" fontId="8" numFmtId="0" xfId="0">
      <alignment horizontal="center" vertical="center"/>
    </xf>
    <xf applyAlignment="true" applyBorder="false" applyFill="false" applyFont="true" applyNumberFormat="false" applyProtection="false" borderId="2" fillId="0" fontId="8" numFmtId="0" xfId="0">
      <alignment horizontal="center" vertical="center"/>
    </xf>
    <xf applyAlignment="true" applyBorder="false" applyFill="false" applyFont="true" applyNumberFormat="true" applyProtection="false" borderId="1" fillId="0" fontId="1" numFmtId="165" xfId="0">
      <alignment horizontal="center" vertical="center"/>
    </xf>
    <xf applyAlignment="true" applyBorder="false" applyFill="false" applyFont="true" applyNumberFormat="false" applyProtection="false" borderId="1" fillId="0" fontId="8" numFmtId="0" xfId="0">
      <alignment horizontal="center" vertical="center"/>
    </xf>
    <xf applyAlignment="true" applyBorder="false" applyFill="false" applyFont="true" applyNumberFormat="true" applyProtection="false" borderId="1" fillId="0" fontId="1" numFmtId="165" xfId="0">
      <alignment horizontal="center" vertical="center"/>
    </xf>
    <xf applyAlignment="true" applyBorder="false" applyFill="false" applyFont="true" applyNumberFormat="false" applyProtection="false" borderId="7" fillId="0" fontId="8" numFmtId="0" xfId="0">
      <alignment horizontal="center" vertical="center" wrapText="true"/>
    </xf>
    <xf applyAlignment="true" applyBorder="false" applyFill="true" applyFont="true" applyNumberFormat="true" applyProtection="false" borderId="3" fillId="8" fontId="10" numFmtId="166" xfId="0">
      <alignment horizontal="center" vertical="center"/>
    </xf>
    <xf applyAlignment="true" applyBorder="false" applyFill="true" applyFont="true" applyNumberFormat="false" applyProtection="false" borderId="4" fillId="7" fontId="11" numFmtId="0" xfId="0">
      <alignment horizontal="center" vertical="center"/>
    </xf>
    <xf applyAlignment="true" applyBorder="false" applyFill="true" applyFont="true" applyNumberFormat="true" applyProtection="false" borderId="4" fillId="7" fontId="10" numFmtId="168" xfId="0">
      <alignment horizontal="center" vertical="center"/>
    </xf>
    <xf applyAlignment="true" applyBorder="false" applyFill="true" applyFont="true" applyNumberFormat="false" applyProtection="false" borderId="1" fillId="9" fontId="10" numFmtId="0" xfId="0">
      <alignment horizontal="center" vertical="center"/>
    </xf>
    <xf applyAlignment="true" applyBorder="false" applyFill="true" applyFont="true" applyNumberFormat="false" applyProtection="false" borderId="1" fillId="9" fontId="12" numFmtId="0" xfId="0">
      <alignment horizontal="center" vertical="center"/>
    </xf>
    <xf applyAlignment="true" applyBorder="false" applyFill="true" applyFont="true" applyNumberFormat="false" applyProtection="false" borderId="8" fillId="9" fontId="10" numFmtId="0" xfId="0">
      <alignment horizontal="center" vertical="center"/>
    </xf>
    <xf applyAlignment="true" applyBorder="false" applyFill="true" applyFont="true" applyNumberFormat="false" applyProtection="false" borderId="9" fillId="9" fontId="10" numFmtId="0" xfId="0">
      <alignment horizontal="center" vertical="center"/>
    </xf>
    <xf applyAlignment="true" applyBorder="false" applyFill="true" applyFont="true" applyNumberFormat="true" applyProtection="false" borderId="1" fillId="9" fontId="10" numFmtId="165" xfId="0">
      <alignment horizontal="center" vertical="center"/>
    </xf>
    <xf applyAlignment="true" applyBorder="false" applyFill="true" applyFont="true" applyNumberFormat="false" applyProtection="false" borderId="4" fillId="5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true" applyProtection="false" borderId="3" fillId="8" fontId="10" numFmtId="166" xfId="0">
      <alignment horizontal="center" vertical="center"/>
    </xf>
    <xf applyAlignment="true" applyBorder="false" applyFill="true" applyFont="true" applyNumberFormat="true" applyProtection="false" borderId="4" fillId="7" fontId="10" numFmtId="168" xfId="0">
      <alignment horizontal="center" vertical="center"/>
    </xf>
    <xf applyAlignment="true" applyBorder="false" applyFill="true" applyFont="true" applyNumberFormat="false" applyProtection="false" borderId="4" fillId="9" fontId="10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3" numFmtId="165" xfId="0">
      <alignment vertical="center"/>
    </xf>
    <xf applyAlignment="true" applyBorder="false" applyFill="true" applyFont="true" applyNumberFormat="false" applyProtection="false" borderId="10" fillId="11" fontId="1" numFmtId="0" xfId="0">
      <alignment horizontal="center" vertical="center"/>
    </xf>
    <xf applyAlignment="true" applyBorder="false" applyFill="true" applyFont="true" applyNumberFormat="false" applyProtection="false" borderId="11" fillId="11" fontId="1" numFmtId="0" xfId="0">
      <alignment horizontal="center" vertical="center"/>
    </xf>
    <xf applyAlignment="true" applyBorder="false" applyFill="true" applyFont="true" applyNumberFormat="false" applyProtection="false" borderId="10" fillId="11" fontId="2" numFmtId="0" xfId="0">
      <alignment horizontal="center" vertical="center"/>
    </xf>
    <xf applyAlignment="true" applyBorder="false" applyFill="true" applyFont="true" applyNumberFormat="true" applyProtection="false" borderId="10" fillId="11" fontId="1" numFmtId="170" xfId="0">
      <alignment horizontal="center" vertical="center"/>
    </xf>
    <xf applyAlignment="true" applyBorder="false" applyFill="true" applyFont="true" applyNumberFormat="true" applyProtection="false" borderId="10" fillId="11" fontId="1" numFmtId="170" xfId="0">
      <alignment horizontal="center" vertical="center"/>
    </xf>
    <xf applyAlignment="true" applyBorder="false" applyFill="true" applyFont="true" applyNumberFormat="false" applyProtection="false" borderId="10" fillId="12" fontId="1" numFmtId="0" xfId="0">
      <alignment horizontal="center" vertical="center"/>
    </xf>
    <xf applyAlignment="true" applyBorder="false" applyFill="true" applyFont="true" applyNumberFormat="true" applyProtection="false" borderId="10" fillId="12" fontId="1" numFmtId="171" xfId="0">
      <alignment horizontal="center" vertical="center"/>
    </xf>
    <xf applyAlignment="true" applyBorder="false" applyFill="true" applyFont="true" applyNumberFormat="false" applyProtection="false" borderId="0" fillId="13" fontId="3" numFmtId="0" xfId="0">
      <alignment horizontal="center" vertical="center"/>
    </xf>
    <xf applyAlignment="true" applyBorder="false" applyFill="false" applyFont="true" applyNumberFormat="true" applyProtection="false" borderId="12" fillId="0" fontId="1" numFmtId="172" xfId="0">
      <alignment horizontal="center" vertical="center"/>
    </xf>
    <xf applyAlignment="true" applyBorder="false" applyFill="true" applyFont="true" applyNumberFormat="false" applyProtection="false" borderId="13" fillId="14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3" fillId="0" fontId="8" numFmtId="0" xfId="0">
      <alignment horizontal="center" vertical="center"/>
    </xf>
    <xf applyAlignment="true" applyBorder="false" applyFill="false" applyFont="true" applyNumberFormat="false" applyProtection="false" borderId="11" fillId="0" fontId="9" numFmtId="0" xfId="0">
      <alignment horizontal="center" vertical="center"/>
    </xf>
    <xf applyAlignment="true" applyBorder="false" applyFill="true" applyFont="true" applyNumberFormat="false" applyProtection="false" borderId="10" fillId="15" fontId="8" numFmtId="0" xfId="0">
      <alignment horizontal="center" vertical="center"/>
    </xf>
    <xf applyAlignment="true" applyBorder="false" applyFill="false" applyFont="true" applyNumberFormat="false" applyProtection="false" borderId="15" fillId="0" fontId="9" numFmtId="0" xfId="0">
      <alignment horizontal="center" vertical="center"/>
    </xf>
    <xf applyAlignment="true" applyBorder="false" applyFill="false" applyFont="true" applyNumberFormat="false" applyProtection="false" borderId="15" fillId="0" fontId="8" numFmtId="0" xfId="0">
      <alignment horizontal="center" vertical="center"/>
    </xf>
    <xf applyAlignment="true" applyBorder="false" applyFill="false" applyFont="true" applyNumberFormat="false" applyProtection="false" borderId="11" fillId="0" fontId="8" numFmtId="0" xfId="0">
      <alignment horizontal="center" vertical="center"/>
    </xf>
    <xf applyAlignment="true" applyBorder="false" applyFill="true" applyFont="true" applyNumberFormat="true" applyProtection="false" borderId="10" fillId="16" fontId="6" numFmtId="170" xfId="0">
      <alignment horizontal="center" vertical="center"/>
    </xf>
    <xf applyAlignment="true" applyBorder="false" applyFill="true" applyFont="true" applyNumberFormat="true" applyProtection="false" borderId="12" fillId="16" fontId="6" numFmtId="170" xfId="0">
      <alignment horizontal="center" vertical="center"/>
    </xf>
    <xf applyAlignment="true" applyBorder="false" applyFill="true" applyFont="true" applyNumberFormat="true" applyProtection="false" borderId="13" fillId="14" fontId="1" numFmtId="173" xfId="0">
      <alignment horizontal="center" vertical="center"/>
    </xf>
    <xf applyAlignment="true" applyBorder="false" applyFill="false" applyFont="true" applyNumberFormat="true" applyProtection="false" borderId="10" fillId="0" fontId="1" numFmtId="171" xfId="0">
      <alignment horizontal="center" vertical="center"/>
    </xf>
    <xf applyAlignment="true" applyBorder="false" applyFill="false" applyFont="true" applyNumberFormat="false" applyProtection="false" borderId="10" fillId="0" fontId="8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true" applyProtection="false" borderId="16" fillId="0" fontId="1" numFmtId="173" xfId="0">
      <alignment horizontal="center" vertical="center"/>
    </xf>
    <xf applyAlignment="true" applyBorder="false" applyFill="false" applyFont="true" applyNumberFormat="true" applyProtection="false" borderId="10" fillId="0" fontId="1" numFmtId="171" xfId="0">
      <alignment horizontal="center" vertical="center"/>
    </xf>
    <xf applyAlignment="true" applyBorder="false" applyFill="false" applyFont="true" applyNumberFormat="false" applyProtection="false" borderId="16" fillId="0" fontId="8" numFmtId="0" xfId="0">
      <alignment horizontal="center" vertical="center" wrapText="true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true" applyFont="true" applyNumberFormat="true" applyProtection="false" borderId="12" fillId="17" fontId="10" numFmtId="172" xfId="0">
      <alignment horizontal="center" vertical="center"/>
    </xf>
    <xf applyAlignment="true" applyBorder="false" applyFill="true" applyFont="true" applyNumberFormat="false" applyProtection="false" borderId="13" fillId="16" fontId="11" numFmtId="0" xfId="0">
      <alignment horizontal="center" vertical="center"/>
    </xf>
    <xf applyAlignment="true" applyBorder="false" applyFill="true" applyFont="true" applyNumberFormat="true" applyProtection="false" borderId="13" fillId="16" fontId="10" numFmtId="174" xfId="0">
      <alignment horizontal="center" vertical="center"/>
    </xf>
    <xf applyAlignment="true" applyBorder="false" applyFill="true" applyFont="true" applyNumberFormat="false" applyProtection="false" borderId="10" fillId="18" fontId="10" numFmtId="0" xfId="0">
      <alignment horizontal="center" vertical="center"/>
    </xf>
    <xf applyAlignment="true" applyBorder="false" applyFill="true" applyFont="true" applyNumberFormat="false" applyProtection="false" borderId="10" fillId="18" fontId="12" numFmtId="0" xfId="0">
      <alignment horizontal="center" vertical="center"/>
    </xf>
    <xf applyAlignment="true" applyBorder="false" applyFill="true" applyFont="true" applyNumberFormat="true" applyProtection="false" borderId="10" fillId="19" fontId="6" numFmtId="170" xfId="0">
      <alignment horizontal="center" vertical="center"/>
    </xf>
    <xf applyAlignment="true" applyBorder="false" applyFill="true" applyFont="true" applyNumberFormat="true" applyProtection="false" borderId="12" fillId="19" fontId="6" numFmtId="170" xfId="0">
      <alignment horizontal="center" vertical="center"/>
    </xf>
    <xf applyAlignment="true" applyBorder="false" applyFill="true" applyFont="true" applyNumberFormat="false" applyProtection="false" borderId="17" fillId="18" fontId="10" numFmtId="0" xfId="0">
      <alignment horizontal="center" vertical="center"/>
    </xf>
    <xf applyAlignment="true" applyBorder="false" applyFill="true" applyFont="true" applyNumberFormat="false" applyProtection="false" borderId="18" fillId="18" fontId="10" numFmtId="0" xfId="0">
      <alignment horizontal="center" vertical="center"/>
    </xf>
    <xf applyAlignment="true" applyBorder="false" applyFill="true" applyFont="true" applyNumberFormat="true" applyProtection="false" borderId="10" fillId="18" fontId="10" numFmtId="171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9" fillId="20" fontId="1" numFmtId="0" xfId="0">
      <alignment horizontal="center" vertical="center"/>
    </xf>
    <xf applyAlignment="true" applyBorder="false" applyFill="true" applyFont="true" applyNumberFormat="false" applyProtection="false" borderId="20" fillId="20" fontId="1" numFmtId="0" xfId="0">
      <alignment horizontal="center" vertical="center"/>
    </xf>
    <xf applyAlignment="true" applyBorder="false" applyFill="true" applyFont="true" applyNumberFormat="false" applyProtection="false" borderId="19" fillId="20" fontId="2" numFmtId="0" xfId="0">
      <alignment horizontal="center" vertical="center"/>
    </xf>
    <xf applyAlignment="true" applyBorder="false" applyFill="true" applyFont="true" applyNumberFormat="true" applyProtection="false" borderId="19" fillId="20" fontId="1" numFmtId="175" xfId="0">
      <alignment horizontal="center" vertical="center"/>
    </xf>
    <xf applyAlignment="true" applyBorder="false" applyFill="true" applyFont="true" applyNumberFormat="true" applyProtection="false" borderId="19" fillId="20" fontId="1" numFmtId="175" xfId="0">
      <alignment horizontal="center" vertical="center"/>
    </xf>
    <xf applyAlignment="true" applyBorder="false" applyFill="true" applyFont="true" applyNumberFormat="false" applyProtection="false" borderId="19" fillId="21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21" fillId="0" fontId="1" numFmtId="176" xfId="0">
      <alignment horizontal="center" vertical="center"/>
    </xf>
    <xf applyAlignment="true" applyBorder="false" applyFill="false" applyFont="true" applyNumberFormat="false" applyProtection="false" borderId="19" fillId="0" fontId="1" numFmtId="0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center" wrapText="true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true" applyFont="true" applyNumberFormat="false" applyProtection="false" borderId="19" fillId="22" fontId="4" numFmtId="0" xfId="0">
      <alignment horizontal="center" vertical="center"/>
    </xf>
    <xf applyAlignment="true" applyBorder="false" applyFill="false" applyFont="true" applyNumberFormat="false" applyProtection="false" borderId="24" fillId="0" fontId="5" numFmtId="0" xfId="0">
      <alignment horizontal="center" vertical="center"/>
    </xf>
    <xf applyAlignment="true" applyBorder="false" applyFill="false" applyFont="true" applyNumberFormat="false" applyProtection="false" borderId="24" fillId="0" fontId="4" numFmtId="0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true" applyFont="true" applyNumberFormat="true" applyProtection="false" borderId="19" fillId="23" fontId="6" numFmtId="175" xfId="0">
      <alignment horizontal="center" vertical="center"/>
    </xf>
    <xf applyAlignment="true" applyBorder="false" applyFill="true" applyFont="true" applyNumberFormat="true" applyProtection="false" borderId="21" fillId="23" fontId="6" numFmtId="175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true" applyFont="true" applyNumberFormat="true" applyProtection="false" borderId="23" fillId="24" fontId="1" numFmtId="177" xfId="0">
      <alignment horizontal="center" vertical="center"/>
    </xf>
    <xf applyAlignment="true" applyBorder="false" applyFill="false" applyFont="true" applyNumberFormat="true" applyProtection="false" borderId="19" fillId="0" fontId="1" numFmtId="177" xfId="0">
      <alignment horizontal="center" vertical="center"/>
    </xf>
    <xf applyAlignment="true" applyBorder="false" applyFill="true" applyFont="true" applyNumberFormat="false" applyProtection="false" borderId="23" fillId="24" fontId="1" numFmtId="0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vertical="center"/>
    </xf>
    <xf applyAlignment="true" applyBorder="false" applyFill="false" applyFont="true" applyNumberFormat="true" applyProtection="false" borderId="25" fillId="0" fontId="1" numFmtId="177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 wrapText="true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/>
    </xf>
    <xf applyAlignment="true" applyBorder="false" applyFill="false" applyFont="true" applyNumberFormat="false" applyProtection="false" borderId="19" fillId="0" fontId="1" numFmtId="0" xfId="0">
      <alignment horizontal="center" vertical="center"/>
    </xf>
    <xf applyAlignment="true" applyBorder="false" applyFill="true" applyFont="true" applyNumberFormat="true" applyProtection="false" borderId="21" fillId="25" fontId="1" numFmtId="176" xfId="0">
      <alignment horizontal="center" vertical="center"/>
    </xf>
    <xf applyAlignment="true" applyBorder="false" applyFill="true" applyFont="true" applyNumberFormat="false" applyProtection="false" borderId="23" fillId="23" fontId="7" numFmtId="0" xfId="0">
      <alignment horizontal="center" vertical="center"/>
    </xf>
    <xf applyAlignment="true" applyBorder="false" applyFill="true" applyFont="true" applyNumberFormat="true" applyProtection="false" borderId="23" fillId="23" fontId="1" numFmtId="178" xfId="0">
      <alignment horizontal="center" vertical="center"/>
    </xf>
    <xf applyAlignment="true" applyBorder="false" applyFill="true" applyFont="true" applyNumberFormat="false" applyProtection="false" borderId="19" fillId="26" fontId="1" numFmtId="0" xfId="0">
      <alignment horizontal="center" vertical="center"/>
    </xf>
    <xf applyAlignment="true" applyBorder="false" applyFill="true" applyFont="true" applyNumberFormat="true" applyProtection="false" borderId="19" fillId="27" fontId="6" numFmtId="175" xfId="0">
      <alignment horizontal="center" vertical="center"/>
    </xf>
    <xf applyAlignment="true" applyBorder="false" applyFill="true" applyFont="true" applyNumberFormat="false" applyProtection="false" borderId="24" fillId="26" fontId="1" numFmtId="0" xfId="0">
      <alignment horizontal="center" vertical="center"/>
    </xf>
    <xf applyAlignment="true" applyBorder="false" applyFill="true" applyFont="true" applyNumberFormat="false" applyProtection="false" borderId="23" fillId="24" fontId="1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true" applyProtection="false" borderId="19" fillId="0" fontId="1" numFmtId="177" xfId="0">
      <alignment horizontal="center" vertical="center"/>
    </xf>
    <xf applyAlignment="true" applyBorder="false" applyFill="true" applyFont="true" applyNumberFormat="true" applyProtection="false" borderId="21" fillId="27" fontId="6" numFmtId="175" xfId="0">
      <alignment horizontal="center" vertical="center"/>
    </xf>
    <xf applyAlignment="true" applyBorder="false" applyFill="true" applyFont="true" applyNumberFormat="false" applyProtection="false" borderId="26" fillId="26" fontId="1" numFmtId="0" xfId="0">
      <alignment horizontal="center" vertical="center"/>
    </xf>
    <xf applyAlignment="true" applyBorder="false" applyFill="true" applyFont="true" applyNumberFormat="false" applyProtection="false" borderId="27" fillId="26" fontId="1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3" numFmtId="179" xfId="0">
      <alignment vertical="center"/>
    </xf>
    <xf applyAlignment="true" applyBorder="false" applyFill="true" applyFont="true" applyNumberFormat="false" applyProtection="false" borderId="28" fillId="28" fontId="1" numFmtId="0" xfId="0">
      <alignment horizontal="center" vertical="center"/>
    </xf>
    <xf applyAlignment="true" applyBorder="false" applyFill="true" applyFont="true" applyNumberFormat="false" applyProtection="false" borderId="29" fillId="28" fontId="1" numFmtId="0" xfId="0">
      <alignment horizontal="center" vertical="center"/>
    </xf>
    <xf applyAlignment="true" applyBorder="false" applyFill="true" applyFont="true" applyNumberFormat="false" applyProtection="false" borderId="28" fillId="28" fontId="2" numFmtId="0" xfId="0">
      <alignment horizontal="center" vertical="center"/>
    </xf>
    <xf applyAlignment="true" applyBorder="false" applyFill="true" applyFont="true" applyNumberFormat="true" applyProtection="false" borderId="28" fillId="28" fontId="1" numFmtId="180" xfId="0">
      <alignment horizontal="center" vertical="center"/>
    </xf>
    <xf applyAlignment="true" applyBorder="false" applyFill="true" applyFont="true" applyNumberFormat="true" applyProtection="false" borderId="28" fillId="28" fontId="1" numFmtId="180" xfId="0">
      <alignment horizontal="center" vertical="center"/>
    </xf>
    <xf applyAlignment="true" applyBorder="false" applyFill="true" applyFont="true" applyNumberFormat="false" applyProtection="false" borderId="28" fillId="29" fontId="1" numFmtId="0" xfId="0">
      <alignment horizontal="center" vertical="center"/>
    </xf>
    <xf applyAlignment="true" applyBorder="false" applyFill="false" applyFont="true" applyNumberFormat="true" applyProtection="false" borderId="30" fillId="0" fontId="1" numFmtId="181" xfId="0">
      <alignment horizontal="center" vertical="center"/>
    </xf>
    <xf applyAlignment="true" applyBorder="false" applyFill="false" applyFont="true" applyNumberFormat="false" applyProtection="false" borderId="28" fillId="0" fontId="1" numFmtId="0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 wrapText="true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horizontal="center" vertical="center"/>
    </xf>
    <xf applyAlignment="true" applyBorder="false" applyFill="false" applyFont="true" applyNumberFormat="false" applyProtection="false" borderId="29" fillId="0" fontId="2" numFmtId="0" xfId="0">
      <alignment horizontal="center" vertical="center"/>
    </xf>
    <xf applyAlignment="true" applyBorder="false" applyFill="true" applyFont="true" applyNumberFormat="false" applyProtection="false" borderId="28" fillId="30" fontId="4" numFmtId="0" xfId="0">
      <alignment horizontal="center" vertical="center"/>
    </xf>
    <xf applyAlignment="true" applyBorder="false" applyFill="false" applyFont="true" applyNumberFormat="false" applyProtection="false" borderId="33" fillId="0" fontId="5" numFmtId="0" xfId="0">
      <alignment horizontal="center" vertical="center"/>
    </xf>
    <xf applyAlignment="true" applyBorder="false" applyFill="false" applyFont="true" applyNumberFormat="false" applyProtection="false" borderId="33" fillId="0" fontId="4" numFmtId="0" xfId="0">
      <alignment horizontal="center" vertical="center"/>
    </xf>
    <xf applyAlignment="true" applyBorder="false" applyFill="false" applyFont="true" applyNumberFormat="false" applyProtection="false" borderId="28" fillId="0" fontId="4" numFmtId="0" xfId="0">
      <alignment horizontal="center" vertical="center"/>
    </xf>
    <xf applyAlignment="true" applyBorder="false" applyFill="true" applyFont="true" applyNumberFormat="true" applyProtection="false" borderId="28" fillId="31" fontId="6" numFmtId="180" xfId="0">
      <alignment horizontal="center" vertical="center"/>
    </xf>
    <xf applyAlignment="true" applyBorder="false" applyFill="true" applyFont="true" applyNumberFormat="true" applyProtection="false" borderId="30" fillId="31" fontId="6" numFmtId="180" xfId="0">
      <alignment horizontal="center" vertical="center"/>
    </xf>
    <xf applyAlignment="true" applyBorder="false" applyFill="false" applyFont="true" applyNumberFormat="true" applyProtection="false" borderId="28" fillId="0" fontId="1" numFmtId="182" xfId="0">
      <alignment horizontal="center" vertical="center"/>
    </xf>
    <xf applyAlignment="true" applyBorder="false" applyFill="false" applyFont="true" applyNumberFormat="false" applyProtection="false" borderId="34" fillId="0" fontId="1" numFmtId="0" xfId="0">
      <alignment horizontal="center" vertical="center" wrapText="true"/>
    </xf>
    <xf applyAlignment="true" applyBorder="false" applyFill="false" applyFont="true" applyNumberFormat="false" applyProtection="false" borderId="28" fillId="0" fontId="1" numFmtId="0" xfId="0">
      <alignment horizontal="center" vertical="center"/>
    </xf>
    <xf applyAlignment="true" applyBorder="false" applyFill="true" applyFont="true" applyNumberFormat="true" applyProtection="false" borderId="30" fillId="32" fontId="1" numFmtId="181" xfId="0">
      <alignment horizontal="center" vertical="center"/>
    </xf>
    <xf applyAlignment="true" applyBorder="false" applyFill="true" applyFont="true" applyNumberFormat="false" applyProtection="false" borderId="32" fillId="31" fontId="7" numFmtId="0" xfId="0">
      <alignment horizontal="center" vertical="center"/>
    </xf>
    <xf applyAlignment="true" applyBorder="false" applyFill="true" applyFont="true" applyNumberFormat="false" applyProtection="false" borderId="32" fillId="31" fontId="1" numFmtId="0" xfId="0">
      <alignment horizontal="center" vertical="center"/>
    </xf>
    <xf applyAlignment="true" applyBorder="false" applyFill="true" applyFont="true" applyNumberFormat="false" applyProtection="false" borderId="28" fillId="33" fontId="1" numFmtId="0" xfId="0">
      <alignment horizontal="center" vertical="center"/>
    </xf>
    <xf applyAlignment="true" applyBorder="false" applyFill="true" applyFont="true" applyNumberFormat="true" applyProtection="false" borderId="28" fillId="34" fontId="6" numFmtId="180" xfId="0">
      <alignment horizontal="center" vertical="center"/>
    </xf>
    <xf applyAlignment="true" applyBorder="false" applyFill="false" applyFont="true" applyNumberFormat="true" applyProtection="false" borderId="30" fillId="0" fontId="1" numFmtId="181" xfId="0">
      <alignment horizontal="center" vertical="center"/>
    </xf>
    <xf applyAlignment="true" applyBorder="false" applyFill="true" applyFont="true" applyNumberFormat="false" applyProtection="false" borderId="32" fillId="35" fontId="1" numFmtId="0" xfId="0">
      <alignment horizontal="center" vertical="center"/>
    </xf>
    <xf applyAlignment="true" applyBorder="false" applyFill="true" applyFont="true" applyNumberFormat="true" applyProtection="false" borderId="30" fillId="32" fontId="1" numFmtId="181" xfId="0">
      <alignment horizontal="center" vertical="center"/>
    </xf>
    <xf applyAlignment="true" applyBorder="false" applyFill="true" applyFont="true" applyNumberFormat="true" applyProtection="false" borderId="32" fillId="31" fontId="1" numFmtId="183" xfId="0">
      <alignment horizontal="center" vertical="center"/>
    </xf>
    <xf applyAlignment="true" applyBorder="false" applyFill="false" applyFont="true" applyNumberFormat="false" applyProtection="false" borderId="35" fillId="0" fontId="3" numFmtId="0" xfId="0">
      <alignment vertical="center"/>
    </xf>
    <xf applyAlignment="true" applyBorder="false" applyFill="false" applyFont="true" applyNumberFormat="true" applyProtection="false" borderId="34" fillId="0" fontId="1" numFmtId="182" xfId="0">
      <alignment horizontal="center" vertical="center"/>
    </xf>
    <xf applyAlignment="true" applyBorder="false" applyFill="false" applyFont="true" applyNumberFormat="false" applyProtection="false" borderId="35" fillId="0" fontId="1" numFmtId="0" xfId="0">
      <alignment horizontal="center" vertical="center"/>
    </xf>
    <xf applyAlignment="true" applyBorder="false" applyFill="false" applyFont="true" applyNumberFormat="false" applyProtection="false" borderId="34" fillId="0" fontId="1" numFmtId="0" xfId="0">
      <alignment horizontal="center" vertical="center"/>
    </xf>
    <xf applyAlignment="true" applyBorder="false" applyFill="true" applyFont="true" applyNumberFormat="false" applyProtection="false" borderId="33" fillId="33" fontId="1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 wrapText="true"/>
    </xf>
    <xf applyAlignment="true" applyBorder="false" applyFill="true" applyFont="true" applyNumberFormat="false" applyProtection="false" borderId="28" fillId="30" fontId="4" numFmtId="0" xfId="0">
      <alignment horizontal="center" vertical="center"/>
    </xf>
    <xf applyAlignment="true" applyBorder="false" applyFill="false" applyFont="true" applyNumberFormat="true" applyProtection="false" borderId="28" fillId="0" fontId="1" numFmtId="182" xfId="0">
      <alignment horizontal="center" vertical="center"/>
    </xf>
    <xf applyAlignment="true" applyBorder="false" applyFill="true" applyFont="true" applyNumberFormat="false" applyProtection="false" borderId="32" fillId="35" fontId="1" numFmtId="0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vertical="center"/>
    </xf>
    <xf applyAlignment="true" applyBorder="false" applyFill="false" applyFont="true" applyNumberFormat="true" applyProtection="false" borderId="34" fillId="0" fontId="1" numFmtId="182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horizontal="center" vertical="center"/>
    </xf>
    <xf applyAlignment="true" applyBorder="false" applyFill="true" applyFont="true" applyNumberFormat="true" applyProtection="false" borderId="32" fillId="31" fontId="1" numFmtId="183" xfId="0">
      <alignment horizontal="center" vertical="center"/>
    </xf>
    <xf applyAlignment="true" applyBorder="false" applyFill="false" applyFont="true" applyNumberFormat="false" applyProtection="false" borderId="28" fillId="0" fontId="4" numFmtId="0" xfId="0">
      <alignment horizontal="center" vertical="center"/>
    </xf>
    <xf applyAlignment="true" applyBorder="false" applyFill="true" applyFont="true" applyNumberFormat="true" applyProtection="false" borderId="32" fillId="35" fontId="1" numFmtId="182" xfId="0">
      <alignment horizontal="center" vertical="center"/>
    </xf>
    <xf applyAlignment="true" applyBorder="false" applyFill="true" applyFont="true" applyNumberFormat="true" applyProtection="false" borderId="36" fillId="36" fontId="1" numFmtId="184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horizontal="center" vertical="center"/>
    </xf>
    <xf applyAlignment="true" applyBorder="false" applyFill="false" applyFont="true" applyNumberFormat="true" applyProtection="false" borderId="36" fillId="0" fontId="1" numFmtId="18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37" fillId="37" fontId="1" numFmtId="186" xfId="0">
      <alignment horizontal="center" vertical="center"/>
    </xf>
    <xf applyAlignment="true" applyBorder="false" applyFill="false" applyFont="true" applyNumberFormat="false" applyProtection="false" borderId="37" fillId="0" fontId="1" numFmtId="0" xfId="0">
      <alignment horizontal="center" vertical="center"/>
    </xf>
    <xf applyAlignment="true" applyBorder="false" applyFill="false" applyFont="true" applyNumberFormat="false" applyProtection="false" borderId="38" fillId="0" fontId="1" numFmtId="0" xfId="0">
      <alignment horizontal="center" vertical="center"/>
    </xf>
    <xf applyAlignment="true" applyBorder="false" applyFill="false" applyFont="true" applyNumberFormat="true" applyProtection="false" borderId="38" fillId="0" fontId="1" numFmtId="185" xfId="0">
      <alignment horizontal="center" vertical="center"/>
    </xf>
    <xf applyAlignment="true" applyBorder="false" applyFill="true" applyFont="true" applyNumberFormat="true" applyProtection="false" borderId="39" fillId="38" fontId="10" numFmtId="184" xfId="0">
      <alignment horizontal="center" vertical="center"/>
    </xf>
    <xf applyAlignment="true" applyBorder="false" applyFill="false" applyFont="true" applyNumberFormat="false" applyProtection="false" borderId="40" fillId="0" fontId="3" numFmtId="0" xfId="0">
      <alignment horizontal="center" vertical="center"/>
    </xf>
    <xf applyAlignment="true" applyBorder="false" applyFill="true" applyFont="true" applyNumberFormat="true" applyProtection="false" borderId="39" fillId="38" fontId="10" numFmtId="18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4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40" fillId="0" fontId="3" numFmtId="0" xfId="0">
      <alignment horizontal="center" vertical="center"/>
    </xf>
    <xf applyAlignment="true" applyBorder="false" applyFill="true" applyFont="true" applyNumberFormat="false" applyProtection="false" borderId="0" fillId="39" fontId="3" numFmtId="0" xfId="0">
      <alignment horizontal="center" vertical="center"/>
    </xf>
    <xf applyAlignment="true" applyBorder="false" applyFill="true" applyFont="true" applyNumberFormat="false" applyProtection="false" borderId="0" fillId="40" fontId="3" numFmtId="0" xfId="0">
      <alignment vertical="center"/>
    </xf>
    <xf applyAlignment="true" applyBorder="false" applyFill="true" applyFont="true" applyNumberFormat="false" applyProtection="false" borderId="0" fillId="41" fontId="3" numFmtId="0" xfId="0">
      <alignment vertical="center"/>
    </xf>
    <xf applyAlignment="true" applyBorder="false" applyFill="true" applyFont="true" applyNumberFormat="true" applyProtection="false" borderId="0" fillId="40" fontId="3" numFmtId="187" xfId="0">
      <alignment horizontal="center" vertical="center"/>
    </xf>
    <xf applyAlignment="true" applyBorder="false" applyFill="true" applyFont="true" applyNumberFormat="false" applyProtection="false" borderId="0" fillId="40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/xl/pivotCache/pivotCacheDefinition1.xml" Type="http://schemas.openxmlformats.org/officeDocument/2006/relationships/pivotCacheDefinition"></Relationship><Relationship Id="rId7" Target="/xl/pivotCache/pivotCacheDefinition2.xml" Type="http://schemas.openxmlformats.org/officeDocument/2006/relationships/pivotCacheDefinition"></Relationship><Relationship Id="rId8" Target="worksheets/sheet3.xml" Type="http://schemas.openxmlformats.org/officeDocument/2006/relationships/worksheet"></Relationship><Relationship Id="rId9" Target="worksheets/sheet4.xml" Type="http://schemas.openxmlformats.org/officeDocument/2006/relationships/worksheet"></Relationship><Relationship Id="rId10" Target="/xl/pivotCache/pivotCacheDefinition3.xml" Type="http://schemas.openxmlformats.org/officeDocument/2006/relationships/pivotCacheDefinition"></Relationship><Relationship Id="rId11" Target="worksheets/sheet5.xml" Type="http://schemas.openxmlformats.org/officeDocument/2006/relationships/worksheet"></Relationship><Relationship Id="rId12" Target="/xl/pivotCache/pivotCacheDefinition4.xml" Type="http://schemas.openxmlformats.org/officeDocument/2006/relationships/pivotCacheDefinition"></Relationship><Relationship Id="rId13" Target="worksheets/sheet6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:$R" sheet="2026.10"/>
  </cacheSource>
  <cacheFields count="18">
    <cacheField name="日期" numFmtId="0">
      <sharedItems containsDate="true" containsBlank="true" containsMixedTypes="true" minDate="2026-10-01T00:00:00.000Z" maxDate="2026-10-18T00:00:00.000Z" count="0"/>
    </cacheField>
    <cacheField name="主播" numFmtId="0">
      <sharedItems containsBlank="true" containsMixedTypes="true" containsNumber="true" minValue="2" maxValue="55.5" count="20">
        <s v="杨蕊竹"/>
        <s v="程珂珂"/>
        <s v="黄佳慧"/>
        <s v="日总"/>
        <s v="范欣茹"/>
        <s v="孟璐瑶"/>
        <s v="吴若楠"/>
        <s v="孟璐瑶 "/>
        <s v="何嘉仪"/>
        <m/>
        <s v="（多项）"/>
        <s v="求和项:直播时长"/>
        <n v="9"/>
        <n v="2"/>
        <n v="5"/>
        <n v="5.5"/>
        <n v="8"/>
        <n v="6"/>
        <n v="20"/>
        <n v="55.5"/>
      </sharedItems>
    </cacheField>
    <cacheField name="直播时段" numFmtId="0">
      <sharedItems containsBlank="true" containsMixedTypes="true" containsNumber="true" containsInteger="true" minValue="1" maxValue="208" count="0"/>
    </cacheField>
    <cacheField name="直播时长" numFmtId="0">
      <sharedItems containsBlank="true" containsMixedTypes="true" containsNumber="true" minValue="0.5" maxValue="162" count="18">
        <n v="4"/>
        <n v="12"/>
        <n v="5"/>
        <n v="2"/>
        <n v="11"/>
        <n v="3"/>
        <n v="0.5"/>
        <n v="4.5"/>
        <n v="8"/>
        <n v="7"/>
        <m/>
        <s v="求和项:纯投放（保单）"/>
        <n v="37"/>
        <n v="1"/>
        <n v="15"/>
        <n v="19"/>
        <n v="75"/>
        <n v="162"/>
      </sharedItems>
    </cacheField>
    <cacheField name="订单数" numFmtId="0">
      <sharedItems containsBlank="true" containsMixedTypes="true" containsNumber="true" minValue="0" maxValue="151165.80000000002" count="0"/>
    </cacheField>
    <cacheField name="纯投放（表单）" numFmtId="0">
      <sharedItems containsBlank="true" containsMixedTypes="true" containsNumber="true" minValue="0" maxValue="95369.64000000001" count="0"/>
    </cacheField>
    <cacheField name="保单数量" numFmtId="0">
      <sharedItems containsBlank="true" containsMixedTypes="true" containsNumber="true" containsInteger="true" minValue="0" maxValue="73" count="0"/>
    </cacheField>
    <cacheField name="纯投放（保单）" numFmtId="0">
      <sharedItems containsString="false" containsBlank="true" containsNumber="true" containsInteger="true" minValue="0" maxValue="64" count="0"/>
    </cacheField>
    <cacheField name="家庭单数量" numFmtId="0">
      <sharedItems containsString="false" containsBlank="true" containsNumber="true" containsInteger="true" minValue="0" maxValue="10" count="0"/>
    </cacheField>
    <cacheField name="年化保费" numFmtId="0">
      <sharedItems containsString="false" containsBlank="true" containsNumber="true" minValue="0" maxValue="50999.2" count="77">
        <n v="6629.8"/>
        <n v="10971.4"/>
        <n v="3151"/>
        <n v="20752.2"/>
        <n v="8488.6"/>
        <n v="12514.2"/>
        <n v="5803.2"/>
        <n v="26806.000000000004"/>
        <n v="22726"/>
        <n v="1743"/>
        <n v="4860.8"/>
        <n v="7434.8"/>
        <n v="36764.6"/>
        <n v="8286.8"/>
        <n v="4933.2"/>
        <n v="4344.6"/>
        <n v="8333"/>
        <n v="25897.6"/>
        <n v="11059.8"/>
        <n v="1301.8"/>
        <n v="3574.8"/>
        <n v="9980.2"/>
        <n v="25916.6"/>
        <n v="20084.2"/>
        <n v="8709.4"/>
        <n v="10288"/>
        <n v="11917.6"/>
        <n v="50999.2"/>
        <n v="14719.2"/>
        <n v="2863.2"/>
        <n v="3458.4"/>
        <n v="10901.4"/>
        <n v="31942.200000000004"/>
        <n v="19800.8"/>
        <n v="11813.4"/>
        <n v="4011"/>
        <n v="12861.8"/>
        <n v="48487"/>
        <n v="15185.6"/>
        <n v="3669.6000000000004"/>
        <n v="3474.7999999999993"/>
        <n v="7983.5999999999985"/>
        <n v="30313.6"/>
        <n v="20653.6"/>
        <n v="3597.4"/>
        <n v="5473.2"/>
        <n v="19597.8"/>
        <n v="49322"/>
        <n v="14765.8"/>
        <n v="3483.4"/>
        <n v="8013.6"/>
        <n v="9397.6"/>
        <n v="35660.4"/>
        <n v="13827.4"/>
        <n v="1836"/>
        <n v="15663.4"/>
        <n v="0"/>
        <n v="866.4"/>
        <n v="16039"/>
        <n v="11349.400000000001"/>
        <n v="27388.4"/>
        <n v="12708"/>
        <n v="4977.5999999999985"/>
        <n v="2304"/>
        <n v="6807"/>
        <n v="26796.6"/>
        <n v="14264.6"/>
        <n v="4238.4"/>
        <n v="967.2"/>
        <n v="10722.6"/>
        <n v="30192.800000000003"/>
        <n v="15169"/>
        <n v="11206.6"/>
        <n v="5302.6"/>
        <n v="18580"/>
        <n v="50258.2"/>
        <m/>
      </sharedItems>
    </cacheField>
    <cacheField name="投流消耗" numFmtId="0">
      <sharedItems containsString="false" containsBlank="true" containsNumber="true" minValue="232.08" maxValue="35035.55" count="79">
        <n v="4636.95"/>
        <n v="7090.83"/>
        <n v="7135.2"/>
        <n v="18862.98"/>
        <n v="5179.27"/>
        <n v="8577.37"/>
        <n v="3349.86"/>
        <n v="17106.5"/>
        <n v="10426.59"/>
        <n v="3451.28"/>
        <n v="3430.97"/>
        <n v="8055.92"/>
        <n v="25364.760000000002"/>
        <n v="6132.43"/>
        <n v="1394.3"/>
        <n v="1650.01"/>
        <n v="5487.65"/>
        <n v="14664.39"/>
        <n v="6321.09"/>
        <n v="3078.17"/>
        <n v="1448.45"/>
        <n v="4816.24"/>
        <n v="15663.95"/>
        <n v="8834.45"/>
        <n v="6131.23"/>
        <n v="3419.16"/>
        <n v="8962.61"/>
        <n v="27347.45"/>
        <n v="8096.75"/>
        <n v="4263.8"/>
        <n v="2568.13"/>
        <n v="4613.98"/>
        <n v="19542.66"/>
        <n v="9964.61"/>
        <n v="8632.8"/>
        <n v="4751.16"/>
        <n v="6811.79"/>
        <n v="30160.36"/>
        <n v="10465.2"/>
        <n v="5271.08"/>
        <n v="2615.26"/>
        <n v="3883.3"/>
        <n v="22234.84"/>
        <n v="10472.2"/>
        <n v="3347.86"/>
        <n v="2384.69"/>
        <n v="9891"/>
        <n v="26095.75"/>
        <n v="7832.01"/>
        <n v="2559.85"/>
        <n v="2709.52"/>
        <n v="7225.13"/>
        <n v="20326.510000000002"/>
        <n v="6976.45"/>
        <n v="1154.22"/>
        <n v="8130.67"/>
        <n v="380.5"/>
        <n v="232.08"/>
        <n v="930.39"/>
        <n v="1542.97"/>
        <n v="5495.16"/>
        <n v="6918.83"/>
        <n v="12413.99"/>
        <n v="8160.08"/>
        <n v="5341.63"/>
        <n v="3105.4700000000003"/>
        <n v="4749.400000000001"/>
        <n v="21356.58"/>
        <n v="7500.1"/>
        <n v="3724.4"/>
        <n v="2206.37"/>
        <n v="3459.01"/>
        <n v="16889.879999999997"/>
        <n v="10373.57"/>
        <n v="6872.6"/>
        <n v="5151.38"/>
        <n v="12638"/>
        <n v="35035.55"/>
        <m/>
      </sharedItems>
    </cacheField>
    <cacheField name="ROI" numFmtId="0">
      <sharedItems containsString="false" containsBlank="true" containsNumber="true" minValue="0" maxValue="3.5381194864806713" count="0"/>
    </cacheField>
    <cacheField name="单均" numFmtId="0">
      <sharedItems containsBlank="true" containsMixedTypes="true" containsNumber="true" minValue="435.75" maxValue="967.2" count="0"/>
    </cacheField>
    <cacheField name="保单成本" numFmtId="0">
      <sharedItems containsBlank="true" containsMixedTypes="true" containsNumber="true" minValue="199.18571428571428" maxValue="2206.37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0.5" maxValue="12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0" maxValue="12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N$79" sheet="2026.10"/>
  </cacheSource>
  <cacheFields count="14">
    <cacheField name="日期" numFmtId="0">
      <sharedItems containsSemiMixedTypes="false" containsNonDate="false" containsDate="true" containsString="false" minDate="2026-10-01T00:00:00.000Z" maxDate="2026-10-18T00:00:00.000Z" count="17">
        <d v="2026-10-01T00:00:00.000Z"/>
        <d v="2026-10-02T00:00:00.000Z"/>
        <d v="2026-10-03T00:00:00.000Z"/>
        <d v="2026-10-04T00:00:00.000Z"/>
        <d v="2026-10-05T00:00:00.000Z"/>
        <d v="2026-10-06T00:00:00.000Z"/>
        <d v="2026-10-07T00:00:00.000Z"/>
        <d v="2026-10-08T00:00:00.000Z"/>
        <d v="2026-10-09T00:00:00.000Z"/>
        <d v="2026-10-10T00:00:00.000Z"/>
        <d v="2026-10-11T00:00:00.000Z"/>
        <d v="2026-10-12T00:00:00.000Z"/>
        <d v="2026-10-14T00:00:00.000Z"/>
        <d v="2026-10-15T00:00:00.000Z"/>
        <d v="2026-10-16T00:00:00.000Z"/>
        <d v="2026-10-17T00:00:00.000Z"/>
        <d v="2026-10-18T00:00:00.000Z"/>
      </sharedItems>
    </cacheField>
    <cacheField name="主播" numFmtId="0">
      <sharedItems count="9">
        <s v="杨蕊竹"/>
        <s v="程珂珂"/>
        <s v="黄佳慧"/>
        <s v="日总"/>
        <s v="范欣茹"/>
        <s v="孟璐瑶"/>
        <s v="吴若楠"/>
        <s v="孟璐瑶 "/>
        <s v="何嘉仪"/>
      </sharedItems>
    </cacheField>
    <cacheField name="直播时段" numFmtId="0">
      <sharedItems count="0"/>
    </cacheField>
    <cacheField name="直播时长" numFmtId="0">
      <sharedItems containsSemiMixedTypes="false" containsString="false" containsNumber="true" minValue="0.5" maxValue="12" count="10">
        <n v="4"/>
        <n v="12"/>
        <n v="5"/>
        <n v="2"/>
        <n v="11"/>
        <n v="3"/>
        <n v="0.5"/>
        <n v="4.5"/>
        <n v="8"/>
        <n v="7"/>
      </sharedItems>
    </cacheField>
    <cacheField name="订单数" numFmtId="0">
      <sharedItems containsSemiMixedTypes="false" containsString="false" containsNumber="true" containsInteger="true" minValue="0" maxValue="92" count="0"/>
    </cacheField>
    <cacheField name="纯投放（表单）" numFmtId="0">
      <sharedItems containsSemiMixedTypes="false" containsString="false" containsNumber="true" containsInteger="true" minValue="0" maxValue="80" count="0"/>
    </cacheField>
    <cacheField name="保单数量" numFmtId="0">
      <sharedItems containsSemiMixedTypes="false" containsString="false" containsNumber="true" containsInteger="true" minValue="0" maxValue="73" count="39">
        <n v="11"/>
        <n v="18"/>
        <n v="6"/>
        <n v="35"/>
        <n v="17"/>
        <n v="15"/>
        <n v="9"/>
        <n v="41"/>
        <n v="33"/>
        <n v="4"/>
        <n v="58"/>
        <n v="7"/>
        <n v="8"/>
        <n v="12"/>
        <n v="38"/>
        <n v="2"/>
        <n v="14"/>
        <n v="37"/>
        <n v="26"/>
        <n v="68"/>
        <n v="20"/>
        <n v="5"/>
        <n v="44"/>
        <n v="27"/>
        <n v="21"/>
        <n v="72"/>
        <n v="22"/>
        <n v="10"/>
        <n v="42"/>
        <n v="32"/>
        <n v="25"/>
        <n v="70"/>
        <n v="50"/>
        <n v="19"/>
        <n v="0"/>
        <n v="1"/>
        <n v="3"/>
        <n v="39"/>
        <n v="73"/>
      </sharedItems>
    </cacheField>
    <cacheField name="纯投放（保单）" numFmtId="0">
      <sharedItems containsSemiMixedTypes="false" containsString="false" containsNumber="true" containsInteger="true" minValue="0" maxValue="64" count="37">
        <n v="9"/>
        <n v="14"/>
        <n v="6"/>
        <n v="29"/>
        <n v="10"/>
        <n v="15"/>
        <n v="31"/>
        <n v="25"/>
        <n v="4"/>
        <n v="5"/>
        <n v="12"/>
        <n v="46"/>
        <n v="8"/>
        <n v="7"/>
        <n v="11"/>
        <n v="30"/>
        <n v="2"/>
        <n v="28"/>
        <n v="24"/>
        <n v="60"/>
        <n v="17"/>
        <n v="1"/>
        <n v="35"/>
        <n v="23"/>
        <n v="21"/>
        <n v="3"/>
        <n v="64"/>
        <n v="19"/>
        <n v="32"/>
        <n v="18"/>
        <n v="13"/>
        <n v="38"/>
        <n v="0"/>
        <n v="16"/>
        <n v="33"/>
        <n v="22"/>
        <n v="61"/>
      </sharedItems>
    </cacheField>
    <cacheField name="家庭单数量" numFmtId="0">
      <sharedItems containsSemiMixedTypes="false" containsString="false" containsNumber="true" containsInteger="true" minValue="0" maxValue="10" count="10">
        <n v="1"/>
        <n v="4"/>
        <n v="0"/>
        <n v="5"/>
        <n v="2"/>
        <n v="6"/>
        <n v="3"/>
        <n v="8"/>
        <n v="7"/>
        <n v="10"/>
      </sharedItems>
    </cacheField>
    <cacheField name="年化保费" numFmtId="0">
      <sharedItems containsSemiMixedTypes="false" containsString="false" containsNumber="true" minValue="0" maxValue="50999.2" count="76">
        <n v="6629.8"/>
        <n v="10971.4"/>
        <n v="3151"/>
        <n v="20752.2"/>
        <n v="8488.6"/>
        <n v="12514.2"/>
        <n v="5803.2"/>
        <n v="26806.000000000004"/>
        <n v="22726"/>
        <n v="1743"/>
        <n v="4860.8"/>
        <n v="7434.8"/>
        <n v="36764.6"/>
        <n v="8286.8"/>
        <n v="4933.2"/>
        <n v="4344.6"/>
        <n v="8333"/>
        <n v="25897.6"/>
        <n v="11059.8"/>
        <n v="1301.8"/>
        <n v="3574.8"/>
        <n v="9980.2"/>
        <n v="25916.6"/>
        <n v="20084.2"/>
        <n v="8709.4"/>
        <n v="10288"/>
        <n v="11917.6"/>
        <n v="50999.2"/>
        <n v="14719.2"/>
        <n v="2863.2"/>
        <n v="3458.4"/>
        <n v="10901.4"/>
        <n v="31942.200000000004"/>
        <n v="19800.8"/>
        <n v="11813.4"/>
        <n v="4011"/>
        <n v="12861.8"/>
        <n v="48487"/>
        <n v="15185.6"/>
        <n v="3669.6000000000004"/>
        <n v="3474.7999999999993"/>
        <n v="7983.5999999999985"/>
        <n v="30313.6"/>
        <n v="20653.6"/>
        <n v="3597.4"/>
        <n v="5473.2"/>
        <n v="19597.8"/>
        <n v="49322"/>
        <n v="14765.8"/>
        <n v="3483.4"/>
        <n v="8013.6"/>
        <n v="9397.6"/>
        <n v="35660.4"/>
        <n v="13827.4"/>
        <n v="1836"/>
        <n v="15663.4"/>
        <n v="0"/>
        <n v="866.4"/>
        <n v="16039"/>
        <n v="11349.400000000001"/>
        <n v="27388.4"/>
        <n v="12708"/>
        <n v="4977.5999999999985"/>
        <n v="2304"/>
        <n v="6807"/>
        <n v="26796.6"/>
        <n v="14264.6"/>
        <n v="4238.4"/>
        <n v="967.2"/>
        <n v="10722.6"/>
        <n v="30192.800000000003"/>
        <n v="15169"/>
        <n v="11206.6"/>
        <n v="5302.6"/>
        <n v="18580"/>
        <n v="50258.2"/>
      </sharedItems>
    </cacheField>
    <cacheField name="投流消耗" numFmtId="0">
      <sharedItems containsSemiMixedTypes="false" containsString="false" containsNumber="true" minValue="232.08" maxValue="35035.55" count="78">
        <n v="4636.95"/>
        <n v="7090.83"/>
        <n v="7135.2"/>
        <n v="18862.98"/>
        <n v="5179.27"/>
        <n v="8577.37"/>
        <n v="3349.86"/>
        <n v="17106.5"/>
        <n v="10426.59"/>
        <n v="3451.28"/>
        <n v="3430.97"/>
        <n v="8055.92"/>
        <n v="25364.760000000002"/>
        <n v="6132.43"/>
        <n v="1394.3"/>
        <n v="1650.01"/>
        <n v="5487.65"/>
        <n v="14664.39"/>
        <n v="6321.09"/>
        <n v="3078.17"/>
        <n v="1448.45"/>
        <n v="4816.24"/>
        <n v="15663.95"/>
        <n v="8834.45"/>
        <n v="6131.23"/>
        <n v="3419.16"/>
        <n v="8962.61"/>
        <n v="27347.45"/>
        <n v="8096.75"/>
        <n v="4263.8"/>
        <n v="2568.13"/>
        <n v="4613.98"/>
        <n v="19542.66"/>
        <n v="9964.61"/>
        <n v="8632.8"/>
        <n v="4751.16"/>
        <n v="6811.79"/>
        <n v="30160.36"/>
        <n v="10465.2"/>
        <n v="5271.08"/>
        <n v="2615.26"/>
        <n v="3883.3"/>
        <n v="22234.84"/>
        <n v="10472.2"/>
        <n v="3347.86"/>
        <n v="2384.69"/>
        <n v="9891"/>
        <n v="26095.75"/>
        <n v="7832.01"/>
        <n v="2559.85"/>
        <n v="2709.52"/>
        <n v="7225.13"/>
        <n v="20326.510000000002"/>
        <n v="6976.45"/>
        <n v="1154.22"/>
        <n v="8130.67"/>
        <n v="380.5"/>
        <n v="232.08"/>
        <n v="930.39"/>
        <n v="1542.97"/>
        <n v="5495.16"/>
        <n v="6918.83"/>
        <n v="12413.99"/>
        <n v="8160.08"/>
        <n v="5341.63"/>
        <n v="3105.4700000000003"/>
        <n v="4749.400000000001"/>
        <n v="21356.58"/>
        <n v="7500.1"/>
        <n v="3724.4"/>
        <n v="2206.37"/>
        <n v="3459.01"/>
        <n v="16889.879999999997"/>
        <n v="10373.57"/>
        <n v="6872.6"/>
        <n v="5151.38"/>
        <n v="12638"/>
        <n v="35035.55"/>
      </sharedItems>
    </cacheField>
    <cacheField name="ROI" numFmtId="0">
      <sharedItems containsSemiMixedTypes="false" containsString="false" containsNumber="true" minValue="0" maxValue="3.5381194864806713" count="0"/>
    </cacheField>
    <cacheField name="单均" numFmtId="0">
      <sharedItems containsMixedTypes="true" containsNumber="true" minValue="435.75" maxValue="967.2" count="0"/>
    </cacheField>
    <cacheField name="保单成本" numFmtId="0">
      <sharedItems containsMixedTypes="true" containsNumber="true" minValue="199.18571428571428" maxValue="2206.37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R$115" sheet="2026.9"/>
  </cacheSource>
  <cacheFields count="18">
    <cacheField name="日期" numFmtId="0">
      <sharedItems containsSemiMixedTypes="false" containsNonDate="false" containsDate="true" containsString="false" minDate="2026-09-01T00:00:00.000Z" maxDate="2026-09-30T00:00:00.000Z" count="0"/>
    </cacheField>
    <cacheField name="主播" numFmtId="0">
      <sharedItems count="7">
        <s v="米静"/>
        <s v="熊福露"/>
        <s v="程珂珂"/>
        <s v="日总"/>
        <s v="黄佳慧"/>
        <s v="杨蕊竹"/>
        <s v="闫雨萌"/>
      </sharedItems>
    </cacheField>
    <cacheField name="直播时段" numFmtId="0">
      <sharedItems count="0"/>
    </cacheField>
    <cacheField name="直播时长" numFmtId="0">
      <sharedItems containsSemiMixedTypes="false" containsString="false" containsNumber="true" minValue="1" maxValue="12" count="11">
        <n v="3"/>
        <n v="2"/>
        <n v="8"/>
        <n v="4"/>
        <n v="2.75"/>
        <n v="1"/>
        <n v="7.75"/>
        <n v="12"/>
        <n v="3.75"/>
        <n v="3.5"/>
        <n v="11.25"/>
      </sharedItems>
    </cacheField>
    <cacheField name="订单数" numFmtId="0">
      <sharedItems containsSemiMixedTypes="false" containsString="false" containsNumber="true" containsInteger="true" minValue="2" maxValue="123" count="0"/>
    </cacheField>
    <cacheField name="纯投放（表单）" numFmtId="0">
      <sharedItems containsSemiMixedTypes="false" containsString="false" containsNumber="true" containsInteger="true" minValue="2" maxValue="96" count="0"/>
    </cacheField>
    <cacheField name="保单数量" numFmtId="0">
      <sharedItems containsSemiMixedTypes="false" containsString="false" containsNumber="true" containsInteger="true" minValue="3" maxValue="115" count="0"/>
    </cacheField>
    <cacheField name="纯投放（保单）" numFmtId="0">
      <sharedItems containsSemiMixedTypes="false" containsString="false" containsNumber="true" containsInteger="true" minValue="2" maxValue="88" count="0"/>
    </cacheField>
    <cacheField name="家庭单数量" numFmtId="0">
      <sharedItems containsSemiMixedTypes="false" containsString="false" containsNumber="true" containsInteger="true" minValue="0" maxValue="19" count="0"/>
    </cacheField>
    <cacheField name="年化保费" numFmtId="0">
      <sharedItems containsSemiMixedTypes="false" containsString="false" containsNumber="true" minValue="1674" maxValue="68026.4" count="114">
        <n v="8869"/>
        <n v="4465"/>
        <n v="10265.599999999999"/>
        <n v="23599.6"/>
        <n v="3453"/>
        <n v="3933.3999999999996"/>
        <n v="13285.400000000003"/>
        <n v="20671.800000000003"/>
        <n v="5326.799999999999"/>
        <n v="3978.7999999999993"/>
        <n v="17347.600000000002"/>
        <n v="26653.2"/>
        <n v="12479"/>
        <n v="11892.800000000003"/>
        <n v="24371.800000000003"/>
        <n v="10794.8"/>
        <n v="12350.2"/>
        <n v="23145"/>
        <n v="9905.599999999999"/>
        <n v="3549.2000000000007"/>
        <n v="6076"/>
        <n v="19530.8"/>
        <n v="2249.8"/>
        <n v="7780.6"/>
        <n v="22762.4"/>
        <n v="32792.8"/>
        <n v="4175.8"/>
        <n v="3014.2"/>
        <n v="9057.2"/>
        <n v="16247.2"/>
        <n v="4683.4"/>
        <n v="5510.8"/>
        <n v="7443.399999999998"/>
        <n v="17637.6"/>
        <n v="4628"/>
        <n v="5903.2"/>
        <n v="10028.2"/>
        <n v="20559.4"/>
        <n v="9504"/>
        <n v="5961.2"/>
        <n v="13213.8"/>
        <n v="28679"/>
        <n v="3068"/>
        <n v="1743.6"/>
        <n v="13128.6"/>
        <n v="17940.2"/>
        <n v="3211"/>
        <n v="3323.6"/>
        <n v="11617.6"/>
        <n v="18152.2"/>
        <n v="4360.8"/>
        <n v="1674"/>
        <n v="6425.6"/>
        <n v="12460.400000000001"/>
        <n v="5473"/>
        <n v="10582.6"/>
        <n v="16055.6"/>
        <n v="10656.8"/>
        <n v="7191.4"/>
        <n v="17848.199999999997"/>
        <n v="6172.6"/>
        <n v="6069.8"/>
        <n v="12242.400000000001"/>
        <n v="4072.8"/>
        <n v="3062.4"/>
        <n v="7135.200000000001"/>
        <n v="7106.2"/>
        <n v="6066.4"/>
        <n v="5903"/>
        <n v="19075.6"/>
        <n v="12720"/>
        <n v="4640.2"/>
        <n v="11334.8"/>
        <n v="28695"/>
        <n v="14174.2"/>
        <n v="10763.8"/>
        <n v="7700.2"/>
        <n v="32638.2"/>
        <n v="11076"/>
        <n v="7597.4"/>
        <n v="10342"/>
        <n v="29015.4"/>
        <n v="10657.8"/>
        <n v="8884.2"/>
        <n v="6572.4"/>
        <n v="26114.4"/>
        <n v="8984"/>
        <n v="4851.6"/>
        <n v="9568.4"/>
        <n v="23404"/>
        <n v="10036.8"/>
        <n v="3673.8"/>
        <n v="10741"/>
        <n v="24451.6"/>
        <n v="5419.4"/>
        <n v="8327.4"/>
        <n v="5734.2"/>
        <n v="19481"/>
        <n v="9922.6"/>
        <n v="11903.8"/>
        <n v="10109.8"/>
        <n v="31936.2"/>
        <n v="25198.4"/>
        <n v="4013.2"/>
        <n v="12307.2"/>
        <n v="41518.8"/>
        <n v="20704.6"/>
        <n v="20448.6"/>
        <n v="13643.2"/>
        <n v="54796.399999999994"/>
        <n v="31318.6"/>
        <n v="26125"/>
        <n v="10582.8"/>
        <n v="68026.4"/>
      </sharedItems>
    </cacheField>
    <cacheField name="投流消耗" numFmtId="0">
      <sharedItems containsSemiMixedTypes="false" containsString="false" containsNumber="true" minValue="1061.09" maxValue="51447.909999999996" count="114">
        <n v="8900.94"/>
        <n v="3537.26"/>
        <n v="6836.85"/>
        <n v="19275.050000000003"/>
        <n v="6389.13"/>
        <n v="4038.04"/>
        <n v="9098.59"/>
        <n v="19525.760000000002"/>
        <n v="7473.93"/>
        <n v="4334.91"/>
        <n v="9581.69"/>
        <n v="21390.53"/>
        <n v="10441.25"/>
        <n v="10804.720000000001"/>
        <n v="21245.97"/>
        <n v="7866.32"/>
        <n v="8446.61"/>
        <n v="16312.93"/>
        <n v="5647.76"/>
        <n v="4484.3099999999995"/>
        <n v="6638.73"/>
        <n v="16770.8"/>
        <n v="3809.86"/>
        <n v="4840.57"/>
        <n v="10768.77"/>
        <n v="19419.2"/>
        <n v="6423.3"/>
        <n v="3427.59"/>
        <n v="8581.35"/>
        <n v="18432.239999999998"/>
        <n v="5336.3"/>
        <n v="3217.44"/>
        <n v="5958.07"/>
        <n v="14511.81"/>
        <n v="3721.14"/>
        <n v="2131.51"/>
        <n v="4916.2"/>
        <n v="10768.849999999999"/>
        <n v="4219.25"/>
        <n v="3866.07"/>
        <n v="8069.29"/>
        <n v="16154.61"/>
        <n v="5399.2"/>
        <n v="1061.09"/>
        <n v="8500.75"/>
        <n v="14961.04"/>
        <n v="4594.01"/>
        <n v="2917.95"/>
        <n v="7192.67"/>
        <n v="14704.630000000001"/>
        <n v="4884.37"/>
        <n v="1839.07"/>
        <n v="4496.93"/>
        <n v="11220.369999999999"/>
        <n v="4049.19"/>
        <n v="5816.57"/>
        <n v="9865.76"/>
        <n v="6461.69"/>
        <n v="6398.28"/>
        <n v="12859.97"/>
        <n v="5079.55"/>
        <n v="4599.72"/>
        <n v="9679.27"/>
        <n v="3756.21"/>
        <n v="3875.33"/>
        <n v="7631.54"/>
        <n v="3744.28"/>
        <n v="4104.35"/>
        <n v="6535.89"/>
        <n v="14384.52"/>
        <n v="6751.07"/>
        <n v="6250.4"/>
        <n v="7127.24"/>
        <n v="20128.71"/>
        <n v="7176.88"/>
        <n v="10489.28"/>
        <n v="8327.37"/>
        <n v="25993.53"/>
        <n v="9212.84"/>
        <n v="6282.18"/>
        <n v="7212.29"/>
        <n v="22707.31"/>
        <n v="8240.72"/>
        <n v="5682.99"/>
        <n v="7975.1"/>
        <n v="21898.809999999998"/>
        <n v="6756.52"/>
        <n v="4771.37"/>
        <n v="5554.78"/>
        <n v="17082.67"/>
        <n v="6310.38"/>
        <n v="4418.04"/>
        <n v="7321.51"/>
        <n v="18049.93"/>
        <n v="4924.8"/>
        <n v="3963.05"/>
        <n v="5860.37"/>
        <n v="14748.220000000001"/>
        <n v="8150.55"/>
        <n v="6789.879999999999"/>
        <n v="7830.42"/>
        <n v="22770.85"/>
        <n v="16962.370000000003"/>
        <n v="11334.92"/>
        <n v="10379.32"/>
        <n v="38676.61"/>
        <n v="15142.22"/>
        <n v="19660.76"/>
        <n v="14447.69"/>
        <n v="49250.67"/>
        <n v="21762.23"/>
        <n v="18969.92"/>
        <n v="10715.76"/>
        <n v="51447.909999999996"/>
      </sharedItems>
    </cacheField>
    <cacheField name="ROI" numFmtId="0">
      <sharedItems containsSemiMixedTypes="false" containsString="false" containsNumber="true" minValue="0.3540563144689155" maxValue="2.7694920502366864" count="0"/>
    </cacheField>
    <cacheField name="单均" numFmtId="0">
      <sharedItems containsSemiMixedTypes="false" containsString="false" containsNumber="true" minValue="493.2857142857143" maxValue="917.9428571428572" count="0"/>
    </cacheField>
    <cacheField name="保单成本" numFmtId="0">
      <sharedItems containsSemiMixedTypes="false" containsString="false" containsNumber="true" minValue="236.83444444444447" maxValue="1619.2742857142857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2" maxValue="12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8" maxValue="12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R$70" sheet="2026.8"/>
  </cacheSource>
  <cacheFields count="18">
    <cacheField name="日期" numFmtId="0">
      <sharedItems containsSemiMixedTypes="false" containsNonDate="false" containsDate="true" containsString="false" minDate="2026-08-14T00:00:00.000Z" maxDate="2026-08-31T00:00:00.000Z" count="0"/>
    </cacheField>
    <cacheField name="主播" numFmtId="0">
      <sharedItems count="0"/>
    </cacheField>
    <cacheField name="直播时段" numFmtId="0">
      <sharedItems count="0"/>
    </cacheField>
    <cacheField name="直播时长" numFmtId="0">
      <sharedItems containsSemiMixedTypes="false" containsString="false" containsNumber="true" minValue="2" maxValue="9" count="0"/>
    </cacheField>
    <cacheField name="订单数" numFmtId="0">
      <sharedItems containsSemiMixedTypes="false" containsString="false" containsNumber="true" containsInteger="true" minValue="0" maxValue="39" count="0"/>
    </cacheField>
    <cacheField name="纯投放（表单）" numFmtId="0">
      <sharedItems containsSemiMixedTypes="false" containsString="false" containsNumber="true" containsInteger="true" minValue="0" maxValue="36" count="0"/>
    </cacheField>
    <cacheField name="保单数量" numFmtId="0">
      <sharedItems containsSemiMixedTypes="false" containsString="false" containsNumber="true" containsInteger="true" minValue="0" maxValue="32" count="0"/>
    </cacheField>
    <cacheField name="纯投放（保单）" numFmtId="0">
      <sharedItems containsSemiMixedTypes="false" containsString="false" containsNumber="true" containsInteger="true" minValue="0" maxValue="27" count="0"/>
    </cacheField>
    <cacheField name="家庭单数量" numFmtId="0">
      <sharedItems containsSemiMixedTypes="false" containsString="false" containsNumber="true" containsInteger="true" minValue="0" maxValue="5" count="0"/>
    </cacheField>
    <cacheField name="年化保费" numFmtId="0">
      <sharedItems containsSemiMixedTypes="false" containsString="false" containsNumber="true" minValue="0" maxValue="23252.4" count="0"/>
    </cacheField>
    <cacheField name="投流消耗" numFmtId="0">
      <sharedItems containsSemiMixedTypes="false" containsString="false" containsNumber="true" minValue="2.99" maxValue="28044.909999999996" count="0"/>
    </cacheField>
    <cacheField name="ROI" numFmtId="0">
      <sharedItems containsSemiMixedTypes="false" containsString="false" containsNumber="true" minValue="0" maxValue="17.33249843456481" count="0"/>
    </cacheField>
    <cacheField name="单均" numFmtId="0">
      <sharedItems containsMixedTypes="true" containsNumber="true" minValue="379.79999999999995" maxValue="967.2" count="0"/>
    </cacheField>
    <cacheField name="保单成本" numFmtId="0">
      <sharedItems containsMixedTypes="true" containsNumber="true" minValue="23.955000000000002" maxValue="3429.04" count="0"/>
    </cacheField>
    <cacheField name="助播1" numFmtId="0">
      <sharedItems containsBlank="true" count="5">
        <s v="闫小姗双"/>
        <m/>
        <s v="曹颖慧双"/>
        <s v="曹颖慧"/>
        <s v="魏迪"/>
      </sharedItems>
    </cacheField>
    <cacheField name="助播时长" numFmtId="0">
      <sharedItems containsString="false" containsBlank="true" containsNumber="true" minValue="1" maxValue="9" count="7">
        <n v="6"/>
        <m/>
        <n v="7"/>
        <n v="1"/>
        <n v="8"/>
        <n v="7.5"/>
        <n v="9"/>
      </sharedItems>
    </cacheField>
    <cacheField name="投手" numFmtId="0">
      <sharedItems containsBlank="true" count="0"/>
    </cacheField>
    <cacheField name="时长" numFmtId="0">
      <sharedItems containsString="false" containsBlank="true" containsNumber="true" minValue="6" maxValue="9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V$34:$Y$55" firstHeaderRow="1" firstDataRow="1" firstDataCol="1"/>
  <pivotFields count="18">
    <pivotField compact="false" outline="false" showAll="false"/>
    <pivotField axis="axisRow" compact="false" outline="false" showAll="false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false" outline="false" showAll="false"/>
    <pivotField dataField="true" compact="false" outline="false" showAll="false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true" compact="false" outline="false" showAll="false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A$95:$G$103" firstHeaderRow="1" firstDataRow="1" firstDataCol="1" rowPageCount="1" colPageCount="2"/>
  <pivotFields count="14">
    <pivotField axis="axisPage" compact="false" outline="false" showAll="false">
      <items count="18">
        <item h="true" x="0"/>
        <item h="true" x="1"/>
        <item h="true" x="2"/>
        <item h="true" x="3"/>
        <item h="true" x="4"/>
        <item h="true" x="5"/>
        <item h="true" x="6"/>
        <item h="true" x="7"/>
        <item h="true" x="8"/>
        <item h="true" x="9"/>
        <item h="true" x="10"/>
        <item x="11"/>
        <item x="12"/>
        <item x="13"/>
        <item x="14"/>
        <item x="15"/>
        <item x="16"/>
        <item t="default"/>
      </items>
    </pivotField>
    <pivotField axis="axisRow" compact="false" outline="false" showAll="false">
      <items count="10">
        <item x="0"/>
        <item x="1"/>
        <item x="2"/>
        <item h="true"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true" compact="false" outline="false" showAll="false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true" compact="false" outline="false" showAll="false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ataField="true" compact="false" outline="false" showAll="false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pageFields count="1">
    <pageField fld="0"/>
  </pageFields>
  <dataFields count="6">
    <dataField name="求和项:直播时长" fld="3" subtotal="sum"/>
    <dataField name="求和项:保单数量" fld="6" subtotal="sum"/>
    <dataField name="求和项:纯投放（保单）" fld="7" subtotal="sum"/>
    <dataField name="求和项:年化保费" fld="9" subtotal="sum"/>
    <dataField name="求和项:投流消耗" fld="10" subtotal="sum"/>
    <dataField name="求和项:家庭单数量" fld="8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120:$F$127" firstHeaderRow="1" firstDataRow="1" firstDataCol="1"/>
  <pivotFields count="18">
    <pivotField compact="false" outline="false" showAll="false"/>
    <pivotField axis="axisRow" compact="false" outline="false" showAll="false">
      <items count="8">
        <item x="0"/>
        <item x="1"/>
        <item x="2"/>
        <item h="true"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dataField="true" compact="false" outline="false" showAll="false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73:$D$78" firstHeaderRow="1" firstDataRow="1" firstDataCol="1"/>
  <pivotFields count="18"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axis="axisRow" compact="false" outline="false" showAll="false">
      <items count="6">
        <item x="0"/>
        <item h="true" x="1"/>
        <item x="2"/>
        <item x="3"/>
        <item x="4"/>
        <item t="default"/>
      </items>
    </pivotField>
    <pivotField dataField="true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compact="false" outline="false" showAll="false"/>
    <pivotField compact="false" outline="false" showAll="false"/>
  </pivotFields>
  <rowFields count="1">
    <field x="14"/>
  </rowFields>
  <dataFields count="1">
    <dataField name="求和项:助播时长" fld="15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Relationship Id="rId2" Target="../pivotTables/pivotTable2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11" min="11" style="0" width="15.574383802816902"/>
    <col collapsed="false" customWidth="true" hidden="false" max="20" min="20" style="0" width="15.574383802816902"/>
    <col collapsed="false" customWidth="true" hidden="false" max="28" min="28" style="0" width="15.574383802816902"/>
    <col collapsed="false" customWidth="true" hidden="false" max="4" min="4" style="0" width="15.574383802816902"/>
    <col collapsed="false" customWidth="true" hidden="false" max="12" min="12" style="0" width="15.574383802816902"/>
    <col collapsed="false" customWidth="true" hidden="false" max="17" min="17" style="0" width="15.574383802816902"/>
    <col collapsed="false" customWidth="true" hidden="false" max="25" min="25" style="0" width="11.211267605633802"/>
    <col collapsed="false" customWidth="true" hidden="false" max="1" min="1" style="0" width="11.211267605633802"/>
    <col collapsed="false" customWidth="true" hidden="false" max="9" min="9" style="0" width="15.574383802816902"/>
    <col collapsed="false" customWidth="true" hidden="false" max="18" min="18" style="0" width="15.574383802816902"/>
    <col collapsed="false" customWidth="true" hidden="false" max="26" min="26" style="0" width="11.211267605633802"/>
    <col collapsed="false" customWidth="true" hidden="false" max="2" min="2" style="0" width="11.211267605633802"/>
    <col collapsed="false" customWidth="true" hidden="false" max="10" min="10" style="0" width="15.574383802816902"/>
    <col collapsed="false" customWidth="true" hidden="false" max="7" min="7" style="0" width="12.64480633802817"/>
    <col collapsed="false" customWidth="true" hidden="false" max="15" min="15" style="0" width="15.574383802816902"/>
    <col collapsed="false" customWidth="true" hidden="false" max="23" min="23" style="0" width="15.574383802816902"/>
    <col collapsed="false" customWidth="true" hidden="false" max="8" min="8" style="0" width="15.574383802816902"/>
    <col collapsed="false" customWidth="true" hidden="false" max="16" min="16" style="0" width="15.574383802816902"/>
    <col collapsed="false" customWidth="true" hidden="false" max="24" min="24" style="0" width="15.574383802816902"/>
    <col collapsed="false" customWidth="true" hidden="false" max="29" min="29" style="0" width="12.64480633802817"/>
    <col collapsed="false" customWidth="true" hidden="false" max="5" min="5" style="0" width="11.211267605633802"/>
    <col collapsed="false" customWidth="true" hidden="false" max="13" min="13" style="0" width="15.574383802816902"/>
    <col collapsed="false" customWidth="true" hidden="false" max="21" min="21" style="0" width="15.574383802816902"/>
    <col collapsed="false" customWidth="true" hidden="false" max="22" min="22" style="0" width="15.574383802816902"/>
    <col collapsed="false" customWidth="true" hidden="false" max="30" min="30" style="0" width="11.211267605633802"/>
    <col collapsed="false" customWidth="true" hidden="false" max="6" min="6" style="0" width="11.211267605633802"/>
    <col collapsed="false" customWidth="true" hidden="false" max="14" min="14" style="0" width="15.574383802816902"/>
    <col collapsed="false" customWidth="true" hidden="false" max="19" min="19" style="0" width="15.574383802816902"/>
    <col collapsed="false" customWidth="true" hidden="false" max="27" min="27" style="0" width="11.211267605633802"/>
  </cols>
  <sheetData>
    <row r="1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7</v>
      </c>
      <c r="H1" s="3" t="s">
        <v>8</v>
      </c>
      <c r="I1" s="1" t="s">
        <v>9</v>
      </c>
      <c r="J1" s="4" t="s">
        <v>10</v>
      </c>
      <c r="K1" s="4" t="s">
        <v>11</v>
      </c>
      <c r="L1" s="5" t="s">
        <v>12</v>
      </c>
      <c r="M1" s="5" t="s">
        <v>13</v>
      </c>
      <c r="N1" s="5" t="s">
        <v>14</v>
      </c>
      <c r="O1" s="1" t="s">
        <v>15</v>
      </c>
      <c r="P1" s="1" t="s">
        <v>16</v>
      </c>
      <c r="Q1" s="6" t="s">
        <v>17</v>
      </c>
      <c r="R1" s="7" t="s">
        <v>18</v>
      </c>
      <c r="S1" s="8" t="s">
        <v>19</v>
      </c>
      <c r="T1" s="8" t="s">
        <v>20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</row>
    <row hidden="true" r="2">
      <c r="A2" s="9">
        <v>46296</v>
      </c>
      <c r="B2" s="10" t="s">
        <v>21</v>
      </c>
      <c r="C2" s="11" t="s">
        <v>22</v>
      </c>
      <c r="D2" s="12">
        <v>4</v>
      </c>
      <c r="E2" s="13">
        <v>13</v>
      </c>
      <c r="F2" s="14">
        <v>11</v>
      </c>
      <c r="G2" s="15">
        <v>11</v>
      </c>
      <c r="H2" s="16">
        <v>9</v>
      </c>
      <c r="I2" s="17">
        <v>1</v>
      </c>
      <c r="J2" s="15">
        <v>6629.8</v>
      </c>
      <c r="K2" s="18">
        <v>4636.95</v>
      </c>
      <c r="L2" s="19">
        <f t="shared" ref="L2:L79" si="2">J2/K2</f>
      </c>
      <c r="M2" s="20">
        <f t="shared" ref="M2:M79" si="4">J2/G2</f>
      </c>
      <c r="N2" s="19">
        <f t="shared" ref="N2:N79" si="0">K2/G2</f>
      </c>
      <c r="O2" s="12" t="s">
        <v>23</v>
      </c>
      <c r="P2" s="12">
        <v>12</v>
      </c>
      <c r="Q2" s="21" t="s">
        <v>24</v>
      </c>
      <c r="R2" s="22">
        <v>12</v>
      </c>
    </row>
    <row hidden="true" r="3">
      <c r="A3" s="9">
        <v>46296</v>
      </c>
      <c r="B3" s="10" t="s">
        <v>25</v>
      </c>
      <c r="C3" s="10" t="s">
        <v>26</v>
      </c>
      <c r="D3" s="12">
        <v>4</v>
      </c>
      <c r="E3" s="13">
        <v>22</v>
      </c>
      <c r="F3" s="14">
        <v>18</v>
      </c>
      <c r="G3" s="15">
        <v>18</v>
      </c>
      <c r="H3" s="16">
        <v>14</v>
      </c>
      <c r="I3" s="17">
        <v>4</v>
      </c>
      <c r="J3" s="15">
        <v>10971.4</v>
      </c>
      <c r="K3" s="18">
        <v>7090.83</v>
      </c>
      <c r="L3" s="19">
        <f t="shared" si="2"/>
      </c>
      <c r="M3" s="20">
        <f t="shared" si="4"/>
      </c>
      <c r="N3" s="20">
        <f t="shared" si="0"/>
      </c>
      <c r="O3" s="12"/>
      <c r="P3" s="13"/>
      <c r="Q3" s="23"/>
      <c r="R3" s="24"/>
    </row>
    <row hidden="true" r="4">
      <c r="A4" s="9">
        <v>46296</v>
      </c>
      <c r="B4" s="12" t="s">
        <v>27</v>
      </c>
      <c r="C4" s="10" t="s">
        <v>28</v>
      </c>
      <c r="D4" s="12">
        <v>4</v>
      </c>
      <c r="E4" s="25">
        <v>7</v>
      </c>
      <c r="F4" s="14">
        <v>7</v>
      </c>
      <c r="G4" s="15">
        <v>6</v>
      </c>
      <c r="H4" s="16">
        <v>6</v>
      </c>
      <c r="I4" s="17">
        <v>0</v>
      </c>
      <c r="J4" s="15">
        <v>3151</v>
      </c>
      <c r="K4" s="18">
        <v>7135.2</v>
      </c>
      <c r="L4" s="19">
        <f t="shared" si="2"/>
      </c>
      <c r="M4" s="20">
        <f t="shared" si="4"/>
      </c>
      <c r="N4" s="20">
        <f t="shared" si="0"/>
      </c>
      <c r="O4" s="12"/>
      <c r="P4" s="13"/>
      <c r="Q4" s="26"/>
      <c r="R4" s="27"/>
    </row>
    <row hidden="true" r="5">
      <c r="A5" s="28">
        <v>46296</v>
      </c>
      <c r="B5" s="29" t="s">
        <v>29</v>
      </c>
      <c r="C5" s="30" t="s">
        <v>30</v>
      </c>
      <c r="D5" s="31">
        <f>SUM(D2:D4)</f>
      </c>
      <c r="E5" s="31">
        <f>SUM(E2:E4)</f>
      </c>
      <c r="F5" s="31">
        <f>SUM(F2:F4)</f>
      </c>
      <c r="G5" s="31">
        <f>SUM(G2:G4)</f>
      </c>
      <c r="H5" s="31">
        <f>SUM(H2:H4)</f>
      </c>
      <c r="I5" s="31">
        <f>SUM(I2:I4)</f>
      </c>
      <c r="J5" s="31">
        <f>SUM(J2:J4)</f>
      </c>
      <c r="K5" s="31">
        <f>SUM(K2:K4)</f>
      </c>
      <c r="L5" s="32">
        <f t="shared" si="2"/>
      </c>
      <c r="M5" s="32">
        <f t="shared" si="4"/>
      </c>
      <c r="N5" s="33">
        <f t="shared" si="0"/>
      </c>
      <c r="O5" s="34"/>
      <c r="P5" s="35">
        <f>SUM(P2:P4)</f>
      </c>
      <c r="Q5" s="31"/>
      <c r="R5" s="31">
        <f>SUM(R2:R4)</f>
      </c>
      <c r="S5">
        <f>T5-K5</f>
      </c>
      <c r="T5" s="36">
        <v>18862.98</v>
      </c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</row>
    <row hidden="true" r="6">
      <c r="A6" s="9">
        <v>46297</v>
      </c>
      <c r="B6" s="10" t="s">
        <v>25</v>
      </c>
      <c r="C6" s="11" t="s">
        <v>22</v>
      </c>
      <c r="D6" s="12">
        <v>4</v>
      </c>
      <c r="E6" s="13">
        <v>17</v>
      </c>
      <c r="F6" s="14">
        <v>12</v>
      </c>
      <c r="G6" s="15">
        <v>17</v>
      </c>
      <c r="H6" s="16">
        <v>10</v>
      </c>
      <c r="I6" s="17">
        <v>2</v>
      </c>
      <c r="J6" s="15">
        <v>8488.6</v>
      </c>
      <c r="K6" s="18">
        <v>5179.27</v>
      </c>
      <c r="L6" s="19">
        <f t="shared" si="2"/>
      </c>
      <c r="M6" s="20">
        <f t="shared" si="4"/>
      </c>
      <c r="N6" s="19">
        <f t="shared" si="0"/>
      </c>
      <c r="O6" s="12" t="s">
        <v>23</v>
      </c>
      <c r="P6" s="12">
        <v>11</v>
      </c>
      <c r="Q6" s="21" t="s">
        <v>24</v>
      </c>
      <c r="R6" s="22">
        <v>12</v>
      </c>
    </row>
    <row hidden="true" r="7">
      <c r="A7" s="9">
        <v>46297</v>
      </c>
      <c r="B7" s="10" t="s">
        <v>21</v>
      </c>
      <c r="C7" s="10" t="s">
        <v>31</v>
      </c>
      <c r="D7" s="12">
        <v>5</v>
      </c>
      <c r="E7" s="13">
        <v>22</v>
      </c>
      <c r="F7" s="14">
        <v>20</v>
      </c>
      <c r="G7" s="15">
        <v>15</v>
      </c>
      <c r="H7" s="16">
        <v>15</v>
      </c>
      <c r="I7" s="17">
        <v>2</v>
      </c>
      <c r="J7" s="15">
        <v>12514.2</v>
      </c>
      <c r="K7" s="18">
        <v>8577.37</v>
      </c>
      <c r="L7" s="19">
        <f t="shared" si="2"/>
      </c>
      <c r="M7" s="20">
        <f t="shared" si="4"/>
      </c>
      <c r="N7" s="20">
        <f t="shared" si="0"/>
      </c>
      <c r="O7" s="12"/>
      <c r="P7" s="13"/>
      <c r="Q7" s="23"/>
      <c r="R7" s="24"/>
    </row>
    <row hidden="true" r="8">
      <c r="A8" s="9">
        <v>46297</v>
      </c>
      <c r="B8" s="12" t="s">
        <v>32</v>
      </c>
      <c r="C8" s="10" t="s">
        <v>33</v>
      </c>
      <c r="D8" s="12">
        <v>2</v>
      </c>
      <c r="E8" s="25">
        <v>11</v>
      </c>
      <c r="F8" s="14">
        <v>8</v>
      </c>
      <c r="G8" s="15">
        <v>9</v>
      </c>
      <c r="H8" s="16">
        <v>6</v>
      </c>
      <c r="I8" s="17">
        <v>2</v>
      </c>
      <c r="J8" s="15">
        <v>5803.2</v>
      </c>
      <c r="K8" s="18">
        <v>3349.86</v>
      </c>
      <c r="L8" s="19">
        <f t="shared" si="2"/>
      </c>
      <c r="M8" s="20">
        <f t="shared" si="4"/>
      </c>
      <c r="N8" s="20">
        <f t="shared" si="0"/>
      </c>
      <c r="O8" s="12"/>
      <c r="P8" s="13"/>
      <c r="Q8" s="26"/>
      <c r="R8" s="27"/>
    </row>
    <row hidden="true" r="9">
      <c r="A9" s="28">
        <v>46297</v>
      </c>
      <c r="B9" s="29" t="s">
        <v>29</v>
      </c>
      <c r="C9" s="30" t="s">
        <v>34</v>
      </c>
      <c r="D9" s="31">
        <f>SUM(D6:D8)</f>
      </c>
      <c r="E9" s="31">
        <f>SUM(E6:E8)</f>
      </c>
      <c r="F9" s="31">
        <f>SUM(F6:F8)</f>
      </c>
      <c r="G9" s="31">
        <f>SUM(G6:G8)</f>
      </c>
      <c r="H9" s="31">
        <f>SUM(H6:H8)</f>
      </c>
      <c r="I9" s="31">
        <f>SUM(I6:I8)</f>
      </c>
      <c r="J9" s="31">
        <f>SUM(J6:J8)</f>
      </c>
      <c r="K9" s="31">
        <f>SUM(K6:K8)</f>
      </c>
      <c r="L9" s="32">
        <f t="shared" si="2"/>
      </c>
      <c r="M9" s="32">
        <f t="shared" si="4"/>
      </c>
      <c r="N9" s="33">
        <f t="shared" si="0"/>
      </c>
      <c r="O9" s="34"/>
      <c r="P9" s="35">
        <f>SUM(P6:P8)</f>
      </c>
      <c r="Q9" s="31"/>
      <c r="R9" s="31">
        <f>SUM(R6:R8)</f>
      </c>
      <c r="S9">
        <f>T9-K9</f>
      </c>
      <c r="T9" s="36">
        <v>17106.5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</row>
    <row hidden="true" r="10">
      <c r="A10" s="9">
        <v>46298</v>
      </c>
      <c r="B10" s="10" t="s">
        <v>21</v>
      </c>
      <c r="C10" s="11" t="s">
        <v>35</v>
      </c>
      <c r="D10" s="12">
        <v>5</v>
      </c>
      <c r="E10" s="13">
        <v>37</v>
      </c>
      <c r="F10" s="14">
        <v>28</v>
      </c>
      <c r="G10" s="15">
        <v>33</v>
      </c>
      <c r="H10" s="16">
        <v>25</v>
      </c>
      <c r="I10" s="17">
        <v>3</v>
      </c>
      <c r="J10" s="15">
        <v>22726</v>
      </c>
      <c r="K10" s="18">
        <v>10426.59</v>
      </c>
      <c r="L10" s="19">
        <f t="shared" si="2"/>
      </c>
      <c r="M10" s="20">
        <f t="shared" si="4"/>
      </c>
      <c r="N10" s="19">
        <f t="shared" si="0"/>
      </c>
      <c r="O10" s="12" t="s">
        <v>23</v>
      </c>
      <c r="P10" s="12">
        <v>10</v>
      </c>
      <c r="Q10" s="37" t="s">
        <v>36</v>
      </c>
      <c r="R10" s="22">
        <v>12</v>
      </c>
    </row>
    <row hidden="true" r="11">
      <c r="A11" s="9">
        <v>46298</v>
      </c>
      <c r="B11" s="10" t="s">
        <v>37</v>
      </c>
      <c r="C11" s="10" t="s">
        <v>38</v>
      </c>
      <c r="D11" s="12">
        <v>2</v>
      </c>
      <c r="E11" s="13">
        <v>4</v>
      </c>
      <c r="F11" s="14">
        <v>4</v>
      </c>
      <c r="G11" s="15">
        <v>4</v>
      </c>
      <c r="H11" s="16">
        <v>4</v>
      </c>
      <c r="I11" s="17">
        <v>1</v>
      </c>
      <c r="J11" s="15">
        <v>1743</v>
      </c>
      <c r="K11" s="18">
        <v>3451.28</v>
      </c>
      <c r="L11" s="19">
        <f t="shared" si="2"/>
      </c>
      <c r="M11" s="20">
        <f t="shared" si="4"/>
      </c>
      <c r="N11" s="20">
        <f t="shared" si="0"/>
      </c>
      <c r="O11" s="12"/>
      <c r="P11" s="13"/>
      <c r="Q11" s="23"/>
      <c r="R11" s="24"/>
    </row>
    <row customHeight="true" hidden="true" ht="18.452380952380953" r="12">
      <c r="A12" s="9">
        <v>46298</v>
      </c>
      <c r="B12" s="12" t="s">
        <v>32</v>
      </c>
      <c r="C12" s="10" t="s">
        <v>39</v>
      </c>
      <c r="D12" s="12">
        <v>2</v>
      </c>
      <c r="E12" s="13">
        <v>8</v>
      </c>
      <c r="F12" s="14">
        <v>7</v>
      </c>
      <c r="G12" s="15">
        <v>6</v>
      </c>
      <c r="H12" s="16">
        <v>5</v>
      </c>
      <c r="I12" s="17">
        <v>0</v>
      </c>
      <c r="J12" s="15">
        <v>4860.8</v>
      </c>
      <c r="K12" s="18">
        <v>3430.97</v>
      </c>
      <c r="L12" s="19">
        <f t="shared" si="2"/>
      </c>
      <c r="M12" s="20">
        <f t="shared" si="4"/>
      </c>
      <c r="N12" s="20">
        <f t="shared" si="0"/>
      </c>
      <c r="O12" s="12" t="s">
        <v>40</v>
      </c>
      <c r="P12" s="13">
        <v>2</v>
      </c>
      <c r="Q12" s="23"/>
      <c r="R12" s="24"/>
    </row>
    <row hidden="true" r="13">
      <c r="A13" s="9">
        <v>46298</v>
      </c>
      <c r="B13" s="12" t="s">
        <v>27</v>
      </c>
      <c r="C13" s="10" t="s">
        <v>41</v>
      </c>
      <c r="D13" s="12">
        <v>3</v>
      </c>
      <c r="E13" s="25">
        <v>16</v>
      </c>
      <c r="F13" s="14">
        <v>13</v>
      </c>
      <c r="G13" s="15">
        <v>15</v>
      </c>
      <c r="H13" s="16">
        <v>12</v>
      </c>
      <c r="I13" s="17">
        <v>4</v>
      </c>
      <c r="J13" s="15">
        <v>7434.8</v>
      </c>
      <c r="K13" s="18">
        <v>8055.92</v>
      </c>
      <c r="L13" s="19">
        <f t="shared" si="2"/>
      </c>
      <c r="M13" s="20">
        <f t="shared" si="4"/>
      </c>
      <c r="N13" s="20">
        <f t="shared" si="0"/>
      </c>
      <c r="O13" s="12"/>
      <c r="P13" s="13"/>
      <c r="Q13" s="26"/>
      <c r="R13" s="27"/>
    </row>
    <row hidden="true" r="14">
      <c r="A14" s="28">
        <v>46298</v>
      </c>
      <c r="B14" s="29" t="s">
        <v>29</v>
      </c>
      <c r="C14" s="30" t="s">
        <v>30</v>
      </c>
      <c r="D14" s="31">
        <f>SUM(D10:D13)</f>
      </c>
      <c r="E14" s="31">
        <f>SUM(E10:E13)</f>
      </c>
      <c r="F14" s="31">
        <f>SUM(F10:F13)</f>
      </c>
      <c r="G14" s="31">
        <f>SUM(G10:G13)</f>
      </c>
      <c r="H14" s="31">
        <f>SUM(H10:H13)</f>
      </c>
      <c r="I14" s="31">
        <f>SUM(I10:I13)</f>
      </c>
      <c r="J14" s="31">
        <f>SUM(J10:J13)</f>
      </c>
      <c r="K14" s="31">
        <f>SUM(K10:K13)</f>
      </c>
      <c r="L14" s="32">
        <f t="shared" si="2"/>
      </c>
      <c r="M14" s="32">
        <f t="shared" si="4"/>
      </c>
      <c r="N14" s="33">
        <f t="shared" si="0"/>
      </c>
      <c r="O14" s="34"/>
      <c r="P14" s="35">
        <f>SUM(P10:P13)</f>
      </c>
      <c r="Q14" s="31"/>
      <c r="R14" s="31">
        <f>SUM(R10:R13)</f>
      </c>
      <c r="S14">
        <f>T14-K14</f>
      </c>
      <c r="T14" s="36">
        <v>25364.76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</row>
    <row hidden="true" r="15">
      <c r="A15" s="9">
        <v>46299</v>
      </c>
      <c r="B15" s="10" t="s">
        <v>21</v>
      </c>
      <c r="C15" s="11" t="s">
        <v>35</v>
      </c>
      <c r="D15" s="12">
        <v>5</v>
      </c>
      <c r="E15" s="13">
        <v>12</v>
      </c>
      <c r="F15" s="14">
        <v>8</v>
      </c>
      <c r="G15" s="15">
        <v>11</v>
      </c>
      <c r="H15" s="16">
        <v>8</v>
      </c>
      <c r="I15" s="17">
        <v>1</v>
      </c>
      <c r="J15" s="15">
        <v>8286.8</v>
      </c>
      <c r="K15" s="18">
        <v>6132.43</v>
      </c>
      <c r="L15" s="19">
        <f t="shared" si="2"/>
      </c>
      <c r="M15" s="20">
        <f t="shared" si="4"/>
      </c>
      <c r="N15" s="19">
        <f t="shared" si="0"/>
      </c>
      <c r="O15" s="12" t="s">
        <v>23</v>
      </c>
      <c r="P15" s="12">
        <v>10</v>
      </c>
      <c r="Q15" s="37" t="s">
        <v>36</v>
      </c>
      <c r="R15" s="22">
        <v>12</v>
      </c>
    </row>
    <row hidden="true" r="16">
      <c r="A16" s="9">
        <v>46299</v>
      </c>
      <c r="B16" s="12" t="s">
        <v>32</v>
      </c>
      <c r="C16" s="10" t="s">
        <v>38</v>
      </c>
      <c r="D16" s="12">
        <v>2</v>
      </c>
      <c r="E16" s="13">
        <v>8</v>
      </c>
      <c r="F16" s="14">
        <v>5</v>
      </c>
      <c r="G16" s="15">
        <v>7</v>
      </c>
      <c r="H16" s="16">
        <v>4</v>
      </c>
      <c r="I16" s="17">
        <v>0</v>
      </c>
      <c r="J16" s="15">
        <v>4933.2</v>
      </c>
      <c r="K16" s="18">
        <v>1394.3</v>
      </c>
      <c r="L16" s="19">
        <f t="shared" si="2"/>
      </c>
      <c r="M16" s="20">
        <f t="shared" si="4"/>
      </c>
      <c r="N16" s="20">
        <f t="shared" si="0"/>
      </c>
      <c r="O16" s="12"/>
      <c r="P16" s="13"/>
      <c r="Q16" s="23"/>
      <c r="R16" s="24"/>
    </row>
    <row hidden="true" r="17">
      <c r="A17" s="9">
        <v>46299</v>
      </c>
      <c r="B17" s="12" t="s">
        <v>42</v>
      </c>
      <c r="C17" s="10" t="s">
        <v>39</v>
      </c>
      <c r="D17" s="12">
        <v>2</v>
      </c>
      <c r="E17" s="13">
        <v>9</v>
      </c>
      <c r="F17" s="14">
        <v>8</v>
      </c>
      <c r="G17" s="15">
        <v>8</v>
      </c>
      <c r="H17" s="16">
        <v>7</v>
      </c>
      <c r="I17" s="17">
        <v>0</v>
      </c>
      <c r="J17" s="15">
        <v>4344.6</v>
      </c>
      <c r="K17" s="18">
        <v>1650.01</v>
      </c>
      <c r="L17" s="19">
        <f t="shared" si="2"/>
      </c>
      <c r="M17" s="20">
        <f t="shared" si="4"/>
      </c>
      <c r="N17" s="20">
        <f t="shared" si="0"/>
      </c>
      <c r="O17" s="12" t="s">
        <v>40</v>
      </c>
      <c r="P17" s="13">
        <v>2</v>
      </c>
      <c r="Q17" s="23"/>
      <c r="R17" s="24"/>
    </row>
    <row hidden="true" r="18">
      <c r="A18" s="9">
        <v>46299</v>
      </c>
      <c r="B18" s="12" t="s">
        <v>27</v>
      </c>
      <c r="C18" s="10" t="s">
        <v>41</v>
      </c>
      <c r="D18" s="12">
        <v>3</v>
      </c>
      <c r="E18" s="25">
        <v>14</v>
      </c>
      <c r="F18" s="14">
        <v>11</v>
      </c>
      <c r="G18" s="15">
        <v>12</v>
      </c>
      <c r="H18" s="16">
        <v>11</v>
      </c>
      <c r="I18" s="17">
        <v>1</v>
      </c>
      <c r="J18" s="15">
        <v>8333</v>
      </c>
      <c r="K18" s="18">
        <v>5487.65</v>
      </c>
      <c r="L18" s="19">
        <f t="shared" si="2"/>
      </c>
      <c r="M18" s="20">
        <f t="shared" si="4"/>
      </c>
      <c r="N18" s="20">
        <f t="shared" si="0"/>
      </c>
      <c r="O18" s="12"/>
      <c r="P18" s="13"/>
      <c r="Q18" s="26"/>
      <c r="R18" s="27"/>
    </row>
    <row hidden="true" r="19">
      <c r="A19" s="28">
        <v>46299</v>
      </c>
      <c r="B19" s="29" t="s">
        <v>29</v>
      </c>
      <c r="C19" s="30" t="s">
        <v>30</v>
      </c>
      <c r="D19" s="31">
        <f>SUM(D15:D18)</f>
      </c>
      <c r="E19" s="31">
        <f>SUM(E15:E18)</f>
      </c>
      <c r="F19" s="31">
        <f>SUM(F15:F18)</f>
      </c>
      <c r="G19" s="31">
        <f>SUM(G15:G18)</f>
      </c>
      <c r="H19" s="31">
        <f>SUM(H15:H18)</f>
      </c>
      <c r="I19" s="31">
        <f>SUM(I15:I18)</f>
      </c>
      <c r="J19" s="31">
        <f>SUM(J15:J18)</f>
      </c>
      <c r="K19" s="31">
        <f>SUM(K15:K18)</f>
      </c>
      <c r="L19" s="32">
        <f t="shared" si="2"/>
      </c>
      <c r="M19" s="32">
        <f t="shared" si="4"/>
      </c>
      <c r="N19" s="33">
        <f t="shared" si="0"/>
      </c>
      <c r="O19" s="34"/>
      <c r="P19" s="35">
        <f>SUM(P15:P18)</f>
      </c>
      <c r="Q19" s="31"/>
      <c r="R19" s="31">
        <f>SUM(R15:R18)</f>
      </c>
      <c r="S19">
        <f>T19-K19</f>
      </c>
      <c r="T19" s="36">
        <v>14664.39</v>
      </c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</row>
    <row hidden="true" r="20">
      <c r="A20" s="9">
        <v>46300</v>
      </c>
      <c r="B20" s="10" t="s">
        <v>21</v>
      </c>
      <c r="C20" s="11" t="s">
        <v>22</v>
      </c>
      <c r="D20" s="12">
        <v>4</v>
      </c>
      <c r="E20" s="13">
        <v>16</v>
      </c>
      <c r="F20" s="14">
        <v>12</v>
      </c>
      <c r="G20" s="15">
        <v>15</v>
      </c>
      <c r="H20" s="16">
        <v>11</v>
      </c>
      <c r="I20" s="17">
        <v>1</v>
      </c>
      <c r="J20" s="15">
        <v>11059.8</v>
      </c>
      <c r="K20" s="18">
        <v>6321.09</v>
      </c>
      <c r="L20" s="19">
        <f t="shared" si="2"/>
      </c>
      <c r="M20" s="20">
        <f t="shared" si="4"/>
      </c>
      <c r="N20" s="19">
        <f t="shared" si="0"/>
      </c>
      <c r="O20" s="12" t="s">
        <v>23</v>
      </c>
      <c r="P20" s="12">
        <v>12</v>
      </c>
      <c r="Q20" s="37" t="s">
        <v>36</v>
      </c>
      <c r="R20" s="22">
        <v>12</v>
      </c>
    </row>
    <row hidden="true" r="21">
      <c r="A21" s="9">
        <v>46300</v>
      </c>
      <c r="B21" s="12" t="s">
        <v>32</v>
      </c>
      <c r="C21" s="10" t="s">
        <v>43</v>
      </c>
      <c r="D21" s="12">
        <v>3</v>
      </c>
      <c r="E21" s="13">
        <v>4</v>
      </c>
      <c r="F21" s="14">
        <v>4</v>
      </c>
      <c r="G21" s="15">
        <v>2</v>
      </c>
      <c r="H21" s="16">
        <v>2</v>
      </c>
      <c r="I21" s="17">
        <v>0</v>
      </c>
      <c r="J21" s="15">
        <v>1301.8</v>
      </c>
      <c r="K21" s="18">
        <v>3078.17</v>
      </c>
      <c r="L21" s="19">
        <f t="shared" si="2"/>
      </c>
      <c r="M21" s="20">
        <f t="shared" si="4"/>
      </c>
      <c r="N21" s="20">
        <f t="shared" si="0"/>
      </c>
      <c r="O21" s="12"/>
      <c r="P21" s="13"/>
      <c r="Q21" s="23"/>
      <c r="R21" s="24"/>
    </row>
    <row hidden="true" r="22">
      <c r="A22" s="9">
        <v>46300</v>
      </c>
      <c r="B22" s="12" t="s">
        <v>42</v>
      </c>
      <c r="C22" s="10" t="s">
        <v>39</v>
      </c>
      <c r="D22" s="12">
        <v>2</v>
      </c>
      <c r="E22" s="13">
        <v>7</v>
      </c>
      <c r="F22" s="14">
        <v>6</v>
      </c>
      <c r="G22" s="15">
        <v>6</v>
      </c>
      <c r="H22" s="16">
        <v>5</v>
      </c>
      <c r="I22" s="17">
        <v>1</v>
      </c>
      <c r="J22" s="15">
        <v>3574.8</v>
      </c>
      <c r="K22" s="18">
        <v>1448.45</v>
      </c>
      <c r="L22" s="19">
        <f t="shared" si="2"/>
      </c>
      <c r="M22" s="20">
        <f t="shared" si="4"/>
      </c>
      <c r="N22" s="20">
        <f t="shared" si="0"/>
      </c>
      <c r="O22" s="12"/>
      <c r="P22" s="13"/>
      <c r="Q22" s="23"/>
      <c r="R22" s="24"/>
    </row>
    <row hidden="true" r="23">
      <c r="A23" s="9">
        <v>46300</v>
      </c>
      <c r="B23" s="12" t="s">
        <v>27</v>
      </c>
      <c r="C23" s="10" t="s">
        <v>41</v>
      </c>
      <c r="D23" s="12">
        <v>3</v>
      </c>
      <c r="E23" s="25">
        <v>15</v>
      </c>
      <c r="F23" s="14">
        <v>11</v>
      </c>
      <c r="G23" s="15">
        <v>14</v>
      </c>
      <c r="H23" s="16">
        <v>10</v>
      </c>
      <c r="I23" s="17">
        <v>2</v>
      </c>
      <c r="J23" s="15">
        <v>9980.2</v>
      </c>
      <c r="K23" s="18">
        <v>4816.24</v>
      </c>
      <c r="L23" s="19">
        <f t="shared" si="2"/>
      </c>
      <c r="M23" s="20">
        <f t="shared" si="4"/>
      </c>
      <c r="N23" s="20">
        <f t="shared" si="0"/>
      </c>
      <c r="O23" s="12"/>
      <c r="P23" s="13"/>
      <c r="Q23" s="26"/>
      <c r="R23" s="27"/>
    </row>
    <row hidden="true" r="24">
      <c r="A24" s="28">
        <v>46300</v>
      </c>
      <c r="B24" s="29" t="s">
        <v>29</v>
      </c>
      <c r="C24" s="30" t="s">
        <v>30</v>
      </c>
      <c r="D24" s="31">
        <f>SUM(D20:D23)</f>
      </c>
      <c r="E24" s="31">
        <f>SUM(E20:E23)</f>
      </c>
      <c r="F24" s="31">
        <f>SUM(F20:F23)</f>
      </c>
      <c r="G24" s="31">
        <f>SUM(G20:G23)</f>
      </c>
      <c r="H24" s="31">
        <f>SUM(H20:H23)</f>
      </c>
      <c r="I24" s="31">
        <f>SUM(I20:I23)</f>
      </c>
      <c r="J24" s="31">
        <f>SUM(J20:J23)</f>
      </c>
      <c r="K24" s="31">
        <f>SUM(K20:K23)</f>
      </c>
      <c r="L24" s="32">
        <f t="shared" si="2"/>
      </c>
      <c r="M24" s="32">
        <f t="shared" si="4"/>
      </c>
      <c r="N24" s="33">
        <f t="shared" si="0"/>
      </c>
      <c r="O24" s="34"/>
      <c r="P24" s="35">
        <f>SUM(P20:P23)</f>
      </c>
      <c r="Q24" s="31"/>
      <c r="R24" s="31">
        <f>SUM(R20:R23)</f>
      </c>
      <c r="S24">
        <f>T24-K24</f>
      </c>
      <c r="T24" s="36">
        <v>15663.95</v>
      </c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</row>
    <row hidden="true" r="25">
      <c r="A25" s="9">
        <v>46301</v>
      </c>
      <c r="B25" s="10" t="s">
        <v>21</v>
      </c>
      <c r="C25" s="11" t="s">
        <v>22</v>
      </c>
      <c r="D25" s="12">
        <v>4</v>
      </c>
      <c r="E25" s="13">
        <v>28</v>
      </c>
      <c r="F25" s="14">
        <v>26</v>
      </c>
      <c r="G25" s="15">
        <v>26</v>
      </c>
      <c r="H25" s="16">
        <v>24</v>
      </c>
      <c r="I25" s="17">
        <v>1</v>
      </c>
      <c r="J25" s="15">
        <v>20084.2</v>
      </c>
      <c r="K25" s="18">
        <v>8834.45</v>
      </c>
      <c r="L25" s="19">
        <f t="shared" si="2"/>
      </c>
      <c r="M25" s="20">
        <f t="shared" si="4"/>
      </c>
      <c r="N25" s="19">
        <f t="shared" si="0"/>
      </c>
      <c r="O25" s="12" t="s">
        <v>23</v>
      </c>
      <c r="P25" s="12">
        <v>12</v>
      </c>
      <c r="Q25" s="37" t="s">
        <v>36</v>
      </c>
      <c r="R25" s="22">
        <v>12</v>
      </c>
    </row>
    <row hidden="true" r="26">
      <c r="A26" s="9">
        <v>46301</v>
      </c>
      <c r="B26" s="12" t="s">
        <v>27</v>
      </c>
      <c r="C26" s="10" t="s">
        <v>43</v>
      </c>
      <c r="D26" s="12">
        <v>3</v>
      </c>
      <c r="E26" s="13">
        <v>14</v>
      </c>
      <c r="F26" s="14">
        <v>11</v>
      </c>
      <c r="G26" s="15">
        <v>12</v>
      </c>
      <c r="H26" s="16">
        <v>10</v>
      </c>
      <c r="I26" s="17">
        <v>2</v>
      </c>
      <c r="J26" s="15">
        <v>8709.4</v>
      </c>
      <c r="K26" s="18">
        <v>6131.23</v>
      </c>
      <c r="L26" s="19">
        <f t="shared" si="2"/>
      </c>
      <c r="M26" s="20">
        <f t="shared" si="4"/>
      </c>
      <c r="N26" s="20">
        <f t="shared" si="0"/>
      </c>
      <c r="O26" s="12"/>
      <c r="P26" s="13"/>
      <c r="Q26" s="23"/>
      <c r="R26" s="24"/>
    </row>
    <row hidden="true" r="27">
      <c r="A27" s="9">
        <v>46301</v>
      </c>
      <c r="B27" s="12" t="s">
        <v>42</v>
      </c>
      <c r="C27" s="10" t="s">
        <v>39</v>
      </c>
      <c r="D27" s="12">
        <v>2</v>
      </c>
      <c r="E27" s="13">
        <v>18</v>
      </c>
      <c r="F27" s="14">
        <v>17</v>
      </c>
      <c r="G27" s="15">
        <v>15</v>
      </c>
      <c r="H27" s="16">
        <v>11</v>
      </c>
      <c r="I27" s="17">
        <v>2</v>
      </c>
      <c r="J27" s="15">
        <v>10288</v>
      </c>
      <c r="K27" s="18">
        <v>3419.16</v>
      </c>
      <c r="L27" s="19">
        <f t="shared" si="2"/>
      </c>
      <c r="M27" s="20">
        <f t="shared" si="4"/>
      </c>
      <c r="N27" s="20">
        <f t="shared" si="0"/>
      </c>
      <c r="O27" s="12"/>
      <c r="P27" s="13"/>
      <c r="Q27" s="23"/>
      <c r="R27" s="24"/>
    </row>
    <row hidden="true" r="28">
      <c r="A28" s="9">
        <v>46301</v>
      </c>
      <c r="B28" s="12" t="s">
        <v>25</v>
      </c>
      <c r="C28" s="10" t="s">
        <v>41</v>
      </c>
      <c r="D28" s="12">
        <v>3</v>
      </c>
      <c r="E28" s="25">
        <v>18</v>
      </c>
      <c r="F28" s="14">
        <v>18</v>
      </c>
      <c r="G28" s="15">
        <v>15</v>
      </c>
      <c r="H28" s="16">
        <v>15</v>
      </c>
      <c r="I28" s="17">
        <v>1</v>
      </c>
      <c r="J28" s="15">
        <v>11917.6</v>
      </c>
      <c r="K28" s="18">
        <v>8962.61</v>
      </c>
      <c r="L28" s="19">
        <f t="shared" si="2"/>
      </c>
      <c r="M28" s="20">
        <f t="shared" si="4"/>
      </c>
      <c r="N28" s="20">
        <f t="shared" si="0"/>
      </c>
      <c r="O28" s="12"/>
      <c r="P28" s="13"/>
      <c r="Q28" s="26"/>
      <c r="R28" s="27"/>
    </row>
    <row hidden="true" r="29">
      <c r="A29" s="28">
        <v>46301</v>
      </c>
      <c r="B29" s="29" t="s">
        <v>29</v>
      </c>
      <c r="C29" s="30" t="s">
        <v>30</v>
      </c>
      <c r="D29" s="31">
        <f>SUM(D25:D28)</f>
      </c>
      <c r="E29" s="31">
        <f>SUM(E25:E28)</f>
      </c>
      <c r="F29" s="31">
        <f>SUM(F25:F28)</f>
      </c>
      <c r="G29" s="31">
        <f>SUM(G25:G28)</f>
      </c>
      <c r="H29" s="31">
        <f>SUM(H25:H28)</f>
      </c>
      <c r="I29" s="31">
        <f>SUM(I25:I28)</f>
      </c>
      <c r="J29" s="31">
        <f>SUM(J25:J28)</f>
      </c>
      <c r="K29" s="31">
        <f>SUM(K25:K28)</f>
      </c>
      <c r="L29" s="32">
        <f t="shared" si="2"/>
      </c>
      <c r="M29" s="32">
        <f t="shared" si="4"/>
      </c>
      <c r="N29" s="33">
        <f t="shared" si="0"/>
      </c>
      <c r="O29" s="34"/>
      <c r="P29" s="35">
        <f>SUM(P25:P28)</f>
      </c>
      <c r="Q29" s="31"/>
      <c r="R29" s="31">
        <f>SUM(R25:R28)</f>
      </c>
      <c r="S29">
        <f>T29-K29</f>
      </c>
      <c r="T29" s="36">
        <v>27347.45</v>
      </c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</row>
    <row hidden="true" r="30">
      <c r="A30" s="9">
        <v>46302</v>
      </c>
      <c r="B30" s="10" t="s">
        <v>21</v>
      </c>
      <c r="C30" s="11" t="s">
        <v>22</v>
      </c>
      <c r="D30" s="12">
        <v>4</v>
      </c>
      <c r="E30" s="13">
        <v>24</v>
      </c>
      <c r="F30" s="14">
        <v>21</v>
      </c>
      <c r="G30" s="15">
        <v>20</v>
      </c>
      <c r="H30" s="16">
        <v>17</v>
      </c>
      <c r="I30" s="17">
        <v>3</v>
      </c>
      <c r="J30" s="15">
        <v>14719.2</v>
      </c>
      <c r="K30" s="18">
        <v>8096.75</v>
      </c>
      <c r="L30" s="19">
        <f t="shared" si="2"/>
      </c>
      <c r="M30" s="20">
        <f t="shared" si="4"/>
      </c>
      <c r="N30" s="19">
        <f t="shared" si="0"/>
      </c>
      <c r="O30" s="12" t="s">
        <v>23</v>
      </c>
      <c r="P30" s="12">
        <v>12</v>
      </c>
      <c r="Q30" s="37" t="s">
        <v>36</v>
      </c>
      <c r="R30" s="22">
        <v>12</v>
      </c>
    </row>
    <row hidden="true" r="31">
      <c r="A31" s="9">
        <v>46302</v>
      </c>
      <c r="B31" s="12" t="s">
        <v>42</v>
      </c>
      <c r="C31" s="10" t="s">
        <v>43</v>
      </c>
      <c r="D31" s="12">
        <v>3</v>
      </c>
      <c r="E31" s="13">
        <v>7</v>
      </c>
      <c r="F31" s="14">
        <v>7</v>
      </c>
      <c r="G31" s="15">
        <v>5</v>
      </c>
      <c r="H31" s="16">
        <v>5</v>
      </c>
      <c r="I31" s="17">
        <v>0</v>
      </c>
      <c r="J31" s="15">
        <v>2863.2</v>
      </c>
      <c r="K31" s="18">
        <v>4263.8</v>
      </c>
      <c r="L31" s="19">
        <f t="shared" si="2"/>
      </c>
      <c r="M31" s="20">
        <f t="shared" si="4"/>
      </c>
      <c r="N31" s="20">
        <f t="shared" si="0"/>
      </c>
      <c r="O31" s="12"/>
      <c r="P31" s="13"/>
      <c r="Q31" s="23"/>
      <c r="R31" s="24"/>
    </row>
    <row hidden="true" r="32">
      <c r="A32" s="9">
        <v>46302</v>
      </c>
      <c r="B32" s="12" t="s">
        <v>27</v>
      </c>
      <c r="C32" s="10" t="s">
        <v>39</v>
      </c>
      <c r="D32" s="12">
        <v>2</v>
      </c>
      <c r="E32" s="13">
        <v>8</v>
      </c>
      <c r="F32" s="14">
        <v>5</v>
      </c>
      <c r="G32" s="15">
        <v>5</v>
      </c>
      <c r="H32" s="16">
        <v>1</v>
      </c>
      <c r="I32" s="17">
        <v>1</v>
      </c>
      <c r="J32" s="15">
        <v>3458.4</v>
      </c>
      <c r="K32" s="18">
        <v>2568.13</v>
      </c>
      <c r="L32" s="19">
        <f t="shared" si="2"/>
      </c>
      <c r="M32" s="20">
        <f t="shared" si="4"/>
      </c>
      <c r="N32" s="20">
        <f t="shared" si="0"/>
      </c>
      <c r="O32" s="12"/>
      <c r="P32" s="13"/>
      <c r="Q32" s="23"/>
      <c r="R32" s="24"/>
    </row>
    <row hidden="true" r="33">
      <c r="A33" s="9">
        <v>46302</v>
      </c>
      <c r="B33" s="12" t="s">
        <v>25</v>
      </c>
      <c r="C33" s="10" t="s">
        <v>41</v>
      </c>
      <c r="D33" s="12">
        <v>3</v>
      </c>
      <c r="E33" s="25">
        <v>14</v>
      </c>
      <c r="F33" s="14">
        <v>13</v>
      </c>
      <c r="G33" s="15">
        <v>14</v>
      </c>
      <c r="H33" s="16">
        <v>12</v>
      </c>
      <c r="I33" s="17">
        <v>2</v>
      </c>
      <c r="J33" s="15">
        <v>10901.4</v>
      </c>
      <c r="K33" s="18">
        <v>4613.98</v>
      </c>
      <c r="L33" s="19">
        <f t="shared" si="2"/>
      </c>
      <c r="M33" s="20">
        <f t="shared" si="4"/>
      </c>
      <c r="N33" s="20">
        <f t="shared" si="0"/>
      </c>
      <c r="O33" s="12"/>
      <c r="P33" s="13"/>
      <c r="Q33" s="26"/>
      <c r="R33" s="27"/>
    </row>
    <row hidden="true" r="34">
      <c r="A34" s="28">
        <v>46302</v>
      </c>
      <c r="B34" s="29" t="s">
        <v>29</v>
      </c>
      <c r="C34" s="30" t="s">
        <v>30</v>
      </c>
      <c r="D34" s="31">
        <f>SUM(D30:D33)</f>
      </c>
      <c r="E34" s="31">
        <f>SUM(E30:E33)</f>
      </c>
      <c r="F34" s="31">
        <f>SUM(F30:F33)</f>
      </c>
      <c r="G34" s="31">
        <f>SUM(G30:G33)</f>
      </c>
      <c r="H34" s="31">
        <f>SUM(H30:H33)</f>
      </c>
      <c r="I34" s="31">
        <f>SUM(I30:I33)</f>
      </c>
      <c r="J34" s="31">
        <f>SUM(J30:J33)</f>
      </c>
      <c r="K34" s="31">
        <f>SUM(K30:K33)</f>
      </c>
      <c r="L34" s="32">
        <f t="shared" si="2"/>
      </c>
      <c r="M34" s="32">
        <f t="shared" si="4"/>
      </c>
      <c r="N34" s="33">
        <f t="shared" si="0"/>
      </c>
      <c r="O34" s="34"/>
      <c r="P34" s="35">
        <f>SUM(P30:P33)</f>
      </c>
      <c r="Q34" s="31"/>
      <c r="R34" s="31">
        <f>SUM(R30:R33)</f>
      </c>
      <c r="S34">
        <f>T34-K34</f>
      </c>
      <c r="T34" s="36">
        <v>19542.66</v>
      </c>
      <c r="U34" s="36"/>
      <c r="V34" s="36"/>
      <c r="W34" s="36"/>
      <c r="X34" s="36"/>
      <c r="Y34" s="36"/>
      <c r="Z34" s="38" t="s">
        <v>44</v>
      </c>
      <c r="AA34" s="39" t="s">
        <v>45</v>
      </c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</row>
    <row hidden="true" r="35">
      <c r="A35" s="9">
        <v>46303</v>
      </c>
      <c r="B35" s="10" t="s">
        <v>21</v>
      </c>
      <c r="C35" s="11" t="s">
        <v>22</v>
      </c>
      <c r="D35" s="12">
        <v>4</v>
      </c>
      <c r="E35" s="13">
        <v>30</v>
      </c>
      <c r="F35" s="14">
        <v>27</v>
      </c>
      <c r="G35" s="15">
        <v>27</v>
      </c>
      <c r="H35" s="16">
        <v>23</v>
      </c>
      <c r="I35" s="17">
        <v>4</v>
      </c>
      <c r="J35" s="15">
        <v>19800.8</v>
      </c>
      <c r="K35" s="18">
        <v>9964.61</v>
      </c>
      <c r="L35" s="19">
        <f t="shared" si="2"/>
      </c>
      <c r="M35" s="20">
        <f t="shared" si="4"/>
      </c>
      <c r="N35" s="19">
        <f t="shared" si="0"/>
      </c>
      <c r="O35" s="12" t="s">
        <v>23</v>
      </c>
      <c r="P35" s="12">
        <v>12</v>
      </c>
      <c r="Q35" s="37" t="s">
        <v>36</v>
      </c>
      <c r="R35" s="22">
        <v>12</v>
      </c>
      <c r="Z35" s="40">
        <f t="shared" ref="Z35:Z44" si="3">X35/Y35</f>
      </c>
      <c r="AA35" s="40">
        <f t="shared" ref="AA35:AA44" si="1">Y35/W35</f>
      </c>
    </row>
    <row hidden="true" r="36">
      <c r="A36" s="9">
        <v>46303</v>
      </c>
      <c r="B36" s="12" t="s">
        <v>25</v>
      </c>
      <c r="C36" s="10" t="s">
        <v>43</v>
      </c>
      <c r="D36" s="12">
        <v>3</v>
      </c>
      <c r="E36" s="13">
        <v>24</v>
      </c>
      <c r="F36" s="14">
        <v>24</v>
      </c>
      <c r="G36" s="15">
        <v>21</v>
      </c>
      <c r="H36" s="16">
        <v>21</v>
      </c>
      <c r="I36" s="17">
        <v>1</v>
      </c>
      <c r="J36" s="15">
        <v>11813.4</v>
      </c>
      <c r="K36" s="18">
        <v>8632.8</v>
      </c>
      <c r="L36" s="19">
        <f t="shared" si="2"/>
      </c>
      <c r="M36" s="20">
        <f t="shared" si="4"/>
      </c>
      <c r="N36" s="20">
        <f t="shared" si="0"/>
      </c>
      <c r="O36" s="12"/>
      <c r="P36" s="13"/>
      <c r="Q36" s="23"/>
      <c r="R36" s="24"/>
      <c r="Z36" s="40">
        <f t="shared" si="3"/>
      </c>
      <c r="AA36" s="40">
        <f t="shared" si="1"/>
      </c>
    </row>
    <row hidden="true" r="37">
      <c r="A37" s="9">
        <v>46303</v>
      </c>
      <c r="B37" s="12" t="s">
        <v>32</v>
      </c>
      <c r="C37" s="10" t="s">
        <v>39</v>
      </c>
      <c r="D37" s="12">
        <v>2</v>
      </c>
      <c r="E37" s="13">
        <v>8</v>
      </c>
      <c r="F37" s="14">
        <v>5</v>
      </c>
      <c r="G37" s="15">
        <v>6</v>
      </c>
      <c r="H37" s="16">
        <v>3</v>
      </c>
      <c r="I37" s="17">
        <v>1</v>
      </c>
      <c r="J37" s="15">
        <v>4011</v>
      </c>
      <c r="K37" s="18">
        <v>4751.16</v>
      </c>
      <c r="L37" s="19">
        <f t="shared" si="2"/>
      </c>
      <c r="M37" s="20">
        <f t="shared" si="4"/>
      </c>
      <c r="N37" s="20">
        <f t="shared" si="0"/>
      </c>
      <c r="O37" s="12"/>
      <c r="P37" s="13"/>
      <c r="Q37" s="23"/>
      <c r="R37" s="24"/>
      <c r="Z37" s="40">
        <f t="shared" si="3"/>
      </c>
      <c r="AA37" s="40">
        <f t="shared" si="1"/>
      </c>
    </row>
    <row hidden="true" r="38">
      <c r="A38" s="9">
        <v>46303</v>
      </c>
      <c r="B38" s="12" t="s">
        <v>42</v>
      </c>
      <c r="C38" s="10" t="s">
        <v>41</v>
      </c>
      <c r="D38" s="12">
        <v>3</v>
      </c>
      <c r="E38" s="25">
        <v>20</v>
      </c>
      <c r="F38" s="14">
        <v>19</v>
      </c>
      <c r="G38" s="15">
        <v>18</v>
      </c>
      <c r="H38" s="16">
        <v>17</v>
      </c>
      <c r="I38" s="17">
        <v>1</v>
      </c>
      <c r="J38" s="15">
        <v>12861.8</v>
      </c>
      <c r="K38" s="18">
        <v>6811.79</v>
      </c>
      <c r="L38" s="19">
        <f t="shared" si="2"/>
      </c>
      <c r="M38" s="20">
        <f t="shared" si="4"/>
      </c>
      <c r="N38" s="20">
        <f t="shared" si="0"/>
      </c>
      <c r="O38" s="12"/>
      <c r="P38" s="13"/>
      <c r="Q38" s="26"/>
      <c r="R38" s="27"/>
      <c r="Z38" s="40">
        <f t="shared" si="3"/>
      </c>
      <c r="AA38" s="40">
        <f t="shared" si="1"/>
      </c>
    </row>
    <row hidden="true" r="39">
      <c r="A39" s="28">
        <v>46303</v>
      </c>
      <c r="B39" s="29" t="s">
        <v>29</v>
      </c>
      <c r="C39" s="30" t="s">
        <v>30</v>
      </c>
      <c r="D39" s="31">
        <f>SUM(D35:D38)</f>
      </c>
      <c r="E39" s="31">
        <f>SUM(E35:E38)</f>
      </c>
      <c r="F39" s="31">
        <f>SUM(F35:F38)</f>
      </c>
      <c r="G39" s="31">
        <f>SUM(G35:G38)</f>
      </c>
      <c r="H39" s="31">
        <f>SUM(H35:H38)</f>
      </c>
      <c r="I39" s="31">
        <f>SUM(I35:I38)</f>
      </c>
      <c r="J39" s="31">
        <f>SUM(J35:J38)</f>
      </c>
      <c r="K39" s="31">
        <f>SUM(K35:K38)</f>
      </c>
      <c r="L39" s="32">
        <f t="shared" si="2"/>
      </c>
      <c r="M39" s="32">
        <f t="shared" si="4"/>
      </c>
      <c r="N39" s="33">
        <f t="shared" si="0"/>
      </c>
      <c r="O39" s="34"/>
      <c r="P39" s="35">
        <f>SUM(P35:P38)</f>
      </c>
      <c r="Q39" s="31"/>
      <c r="R39" s="31">
        <f>SUM(R35:R38)</f>
      </c>
      <c r="S39">
        <f>T39-K39</f>
      </c>
      <c r="T39" s="36">
        <v>30160.36</v>
      </c>
      <c r="U39" s="36"/>
      <c r="V39" s="36"/>
      <c r="W39" s="36"/>
      <c r="X39" s="36"/>
      <c r="Y39" s="36"/>
      <c r="Z39" s="40">
        <f t="shared" si="3"/>
      </c>
      <c r="AA39" s="40">
        <f t="shared" si="1"/>
      </c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</row>
    <row hidden="true" r="40">
      <c r="A40" s="9">
        <v>46304</v>
      </c>
      <c r="B40" s="10" t="s">
        <v>25</v>
      </c>
      <c r="C40" s="11" t="s">
        <v>22</v>
      </c>
      <c r="D40" s="12">
        <v>4</v>
      </c>
      <c r="E40" s="41">
        <v>27</v>
      </c>
      <c r="F40" s="42">
        <v>24</v>
      </c>
      <c r="G40" s="43">
        <v>22</v>
      </c>
      <c r="H40" s="44">
        <v>19</v>
      </c>
      <c r="I40" s="45">
        <v>0</v>
      </c>
      <c r="J40" s="43">
        <v>15185.6</v>
      </c>
      <c r="K40" s="46">
        <v>10465.2</v>
      </c>
      <c r="L40" s="19">
        <f t="shared" si="2"/>
      </c>
      <c r="M40" s="20">
        <f t="shared" si="4"/>
      </c>
      <c r="N40" s="19">
        <f t="shared" si="0"/>
      </c>
      <c r="O40" s="12" t="s">
        <v>46</v>
      </c>
      <c r="P40" s="12">
        <v>12</v>
      </c>
      <c r="Q40" s="37" t="s">
        <v>36</v>
      </c>
      <c r="R40" s="47">
        <v>12</v>
      </c>
      <c r="Z40" s="40">
        <f t="shared" si="3"/>
      </c>
      <c r="AA40" s="40">
        <f t="shared" si="1"/>
      </c>
    </row>
    <row hidden="true" r="41">
      <c r="A41" s="9">
        <v>46304</v>
      </c>
      <c r="B41" s="12" t="s">
        <v>42</v>
      </c>
      <c r="C41" s="10" t="s">
        <v>43</v>
      </c>
      <c r="D41" s="12">
        <v>3</v>
      </c>
      <c r="E41" s="41">
        <v>9</v>
      </c>
      <c r="F41" s="42">
        <v>7</v>
      </c>
      <c r="G41" s="43">
        <v>5</v>
      </c>
      <c r="H41" s="44">
        <v>4</v>
      </c>
      <c r="I41" s="45">
        <v>0</v>
      </c>
      <c r="J41" s="43">
        <v>3669.6000000000004</v>
      </c>
      <c r="K41" s="48">
        <v>5271.08</v>
      </c>
      <c r="L41" s="19">
        <f t="shared" si="2"/>
      </c>
      <c r="M41" s="20">
        <f t="shared" si="4"/>
      </c>
      <c r="N41" s="20">
        <f t="shared" si="0"/>
      </c>
      <c r="O41" s="12"/>
      <c r="P41" s="13"/>
      <c r="Q41" s="23"/>
      <c r="R41" s="49"/>
      <c r="Z41" s="40">
        <f t="shared" si="3"/>
      </c>
      <c r="AA41" s="40">
        <f t="shared" si="1"/>
      </c>
    </row>
    <row hidden="true" r="42">
      <c r="A42" s="9">
        <v>46304</v>
      </c>
      <c r="B42" s="12" t="s">
        <v>47</v>
      </c>
      <c r="C42" s="10" t="s">
        <v>39</v>
      </c>
      <c r="D42" s="12">
        <v>2</v>
      </c>
      <c r="E42" s="41">
        <v>6</v>
      </c>
      <c r="F42" s="42">
        <v>3</v>
      </c>
      <c r="G42" s="43">
        <v>5</v>
      </c>
      <c r="H42" s="44">
        <v>1</v>
      </c>
      <c r="I42" s="45">
        <v>1</v>
      </c>
      <c r="J42" s="43">
        <v>3474.7999999999993</v>
      </c>
      <c r="K42" s="48">
        <v>2615.26</v>
      </c>
      <c r="L42" s="19">
        <f t="shared" si="2"/>
      </c>
      <c r="M42" s="20">
        <f t="shared" si="4"/>
      </c>
      <c r="N42" s="20">
        <f t="shared" si="0"/>
      </c>
      <c r="O42" s="12"/>
      <c r="P42" s="13"/>
      <c r="Q42" s="23"/>
      <c r="R42" s="49"/>
      <c r="Z42" s="40">
        <f t="shared" si="3"/>
      </c>
      <c r="AA42" s="40">
        <f t="shared" si="1"/>
      </c>
    </row>
    <row hidden="true" r="43">
      <c r="A43" s="9">
        <v>46304</v>
      </c>
      <c r="B43" s="12" t="s">
        <v>27</v>
      </c>
      <c r="C43" s="10" t="s">
        <v>41</v>
      </c>
      <c r="D43" s="12">
        <v>3</v>
      </c>
      <c r="E43" s="50">
        <v>12</v>
      </c>
      <c r="F43" s="42">
        <v>10</v>
      </c>
      <c r="G43" s="43">
        <v>10</v>
      </c>
      <c r="H43" s="44">
        <v>8</v>
      </c>
      <c r="I43" s="45">
        <v>0</v>
      </c>
      <c r="J43" s="43">
        <v>7983.5999999999985</v>
      </c>
      <c r="K43" s="48">
        <v>3883.3</v>
      </c>
      <c r="L43" s="19">
        <f t="shared" si="2"/>
      </c>
      <c r="M43" s="20">
        <f t="shared" si="4"/>
      </c>
      <c r="N43" s="20">
        <f t="shared" si="0"/>
      </c>
      <c r="O43" s="12"/>
      <c r="P43" s="13"/>
      <c r="Q43" s="26"/>
      <c r="R43" s="49"/>
      <c r="Z43" s="40">
        <f t="shared" si="3"/>
      </c>
      <c r="AA43" s="40">
        <f t="shared" si="1"/>
      </c>
    </row>
    <row hidden="true" r="44">
      <c r="A44" s="51">
        <v>46304</v>
      </c>
      <c r="B44" s="52" t="s">
        <v>29</v>
      </c>
      <c r="C44" s="53" t="s">
        <v>30</v>
      </c>
      <c r="D44" s="54">
        <f>SUM(D40:D43)</f>
      </c>
      <c r="E44" s="55">
        <f>SUM(E40:E43)</f>
      </c>
      <c r="F44" s="55">
        <f>SUM(F40:F43)</f>
      </c>
      <c r="G44" s="55">
        <f>SUM(G40:G43)</f>
      </c>
      <c r="H44" s="55">
        <f>SUM(H40:H43)</f>
      </c>
      <c r="I44" s="55">
        <f>SUM(I40:I43)</f>
      </c>
      <c r="J44" s="55">
        <f>SUM(J40:J43)</f>
      </c>
      <c r="K44" s="55">
        <f>SUM(K40:K43)</f>
      </c>
      <c r="L44" s="32">
        <f t="shared" si="2"/>
      </c>
      <c r="M44" s="32">
        <f t="shared" si="4"/>
      </c>
      <c r="N44" s="33">
        <f t="shared" si="0"/>
      </c>
      <c r="O44" s="56"/>
      <c r="P44" s="57">
        <f>SUM(P40:P43)</f>
      </c>
      <c r="Q44" s="54"/>
      <c r="R44" s="58">
        <f>SUM(R40:R43)</f>
      </c>
      <c r="S44">
        <f>T44-K44</f>
      </c>
      <c r="T44" s="36">
        <v>22234.84</v>
      </c>
      <c r="U44" s="36"/>
      <c r="V44" s="36"/>
      <c r="W44" s="36"/>
      <c r="X44" s="36"/>
      <c r="Y44" s="36"/>
      <c r="Z44" s="40">
        <f t="shared" si="3"/>
      </c>
      <c r="AA44" s="40">
        <f t="shared" si="1"/>
      </c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</row>
    <row hidden="true" r="45">
      <c r="A45" s="9">
        <v>46305</v>
      </c>
      <c r="B45" s="10" t="s">
        <v>21</v>
      </c>
      <c r="C45" s="11" t="s">
        <v>22</v>
      </c>
      <c r="D45" s="12">
        <v>4</v>
      </c>
      <c r="E45" s="41">
        <v>37</v>
      </c>
      <c r="F45" s="42">
        <v>21</v>
      </c>
      <c r="G45" s="43">
        <v>32</v>
      </c>
      <c r="H45" s="44">
        <v>18</v>
      </c>
      <c r="I45" s="45">
        <v>6</v>
      </c>
      <c r="J45" s="43">
        <v>20653.6</v>
      </c>
      <c r="K45" s="46">
        <v>10472.2</v>
      </c>
      <c r="L45" s="19">
        <f t="shared" si="2"/>
      </c>
      <c r="M45" s="20">
        <f t="shared" si="4"/>
      </c>
      <c r="N45" s="19">
        <f t="shared" si="0"/>
      </c>
      <c r="O45" s="12" t="s">
        <v>48</v>
      </c>
      <c r="P45" s="12">
        <v>4</v>
      </c>
      <c r="Q45" s="37" t="s">
        <v>36</v>
      </c>
      <c r="R45" s="47">
        <v>12</v>
      </c>
    </row>
    <row hidden="true" r="46">
      <c r="A46" s="9">
        <v>46305</v>
      </c>
      <c r="B46" s="10" t="s">
        <v>25</v>
      </c>
      <c r="C46" s="10" t="s">
        <v>43</v>
      </c>
      <c r="D46" s="12">
        <v>3</v>
      </c>
      <c r="E46" s="41">
        <v>5</v>
      </c>
      <c r="F46" s="42">
        <v>5</v>
      </c>
      <c r="G46" s="43">
        <v>5</v>
      </c>
      <c r="H46" s="44">
        <v>5</v>
      </c>
      <c r="I46" s="45">
        <v>0</v>
      </c>
      <c r="J46" s="43">
        <v>3597.4</v>
      </c>
      <c r="K46" s="48">
        <v>3347.86</v>
      </c>
      <c r="L46" s="19">
        <f t="shared" si="2"/>
      </c>
      <c r="M46" s="20">
        <f t="shared" si="4"/>
      </c>
      <c r="N46" s="20">
        <f t="shared" si="0"/>
      </c>
      <c r="O46" s="12"/>
      <c r="P46" s="13"/>
      <c r="Q46" s="23"/>
      <c r="R46" s="49"/>
    </row>
    <row hidden="true" r="47">
      <c r="A47" s="9">
        <v>46305</v>
      </c>
      <c r="B47" s="12" t="s">
        <v>27</v>
      </c>
      <c r="C47" s="10" t="s">
        <v>39</v>
      </c>
      <c r="D47" s="12">
        <v>2</v>
      </c>
      <c r="E47" s="41">
        <v>9</v>
      </c>
      <c r="F47" s="42">
        <v>4</v>
      </c>
      <c r="G47" s="43">
        <v>8</v>
      </c>
      <c r="H47" s="44">
        <v>3</v>
      </c>
      <c r="I47" s="45">
        <v>1</v>
      </c>
      <c r="J47" s="43">
        <v>5473.2</v>
      </c>
      <c r="K47" s="48">
        <v>2384.69</v>
      </c>
      <c r="L47" s="19">
        <f t="shared" si="2"/>
      </c>
      <c r="M47" s="20">
        <f t="shared" si="4"/>
      </c>
      <c r="N47" s="20">
        <f t="shared" si="0"/>
      </c>
      <c r="O47" s="12" t="s">
        <v>23</v>
      </c>
      <c r="P47" s="13">
        <v>8</v>
      </c>
      <c r="Q47" s="23"/>
      <c r="R47" s="49"/>
    </row>
    <row hidden="true" r="48">
      <c r="A48" s="9">
        <v>46305</v>
      </c>
      <c r="B48" s="12" t="s">
        <v>42</v>
      </c>
      <c r="C48" s="10" t="s">
        <v>41</v>
      </c>
      <c r="D48" s="12">
        <v>3</v>
      </c>
      <c r="E48" s="50">
        <v>29</v>
      </c>
      <c r="F48" s="42">
        <v>10</v>
      </c>
      <c r="G48" s="43">
        <v>25</v>
      </c>
      <c r="H48" s="44">
        <v>9</v>
      </c>
      <c r="I48" s="45">
        <v>3</v>
      </c>
      <c r="J48" s="43">
        <v>19597.8</v>
      </c>
      <c r="K48" s="48">
        <v>9891</v>
      </c>
      <c r="L48" s="19">
        <f t="shared" si="2"/>
      </c>
      <c r="M48" s="20">
        <f t="shared" si="4"/>
      </c>
      <c r="N48" s="20">
        <f t="shared" si="0"/>
      </c>
      <c r="O48" s="12"/>
      <c r="P48" s="13"/>
      <c r="Q48" s="26"/>
      <c r="R48" s="49"/>
    </row>
    <row hidden="true" r="49">
      <c r="A49" s="51">
        <v>46305</v>
      </c>
      <c r="B49" s="52" t="s">
        <v>29</v>
      </c>
      <c r="C49" s="53" t="s">
        <v>30</v>
      </c>
      <c r="D49" s="54">
        <f>SUM(D45:D48)</f>
      </c>
      <c r="E49" s="55">
        <f>SUM(E45:E48)</f>
      </c>
      <c r="F49" s="55">
        <f>SUM(F45:F48)</f>
      </c>
      <c r="G49" s="55">
        <f>SUM(G45:G48)</f>
      </c>
      <c r="H49" s="55">
        <f>SUM(H45:H48)</f>
      </c>
      <c r="I49" s="55">
        <f>SUM(I45:I48)</f>
      </c>
      <c r="J49" s="55">
        <f>SUM(J45:J48)</f>
      </c>
      <c r="K49" s="55">
        <f>SUM(K45:K48)</f>
      </c>
      <c r="L49" s="32">
        <f t="shared" si="2"/>
      </c>
      <c r="M49" s="32">
        <f t="shared" si="4"/>
      </c>
      <c r="N49" s="33">
        <f t="shared" si="0"/>
      </c>
      <c r="O49" s="56"/>
      <c r="P49" s="57">
        <f>SUM(P45:P48)</f>
      </c>
      <c r="Q49" s="54"/>
      <c r="R49" s="58">
        <f>SUM(R45:R48)</f>
      </c>
      <c r="S49">
        <f>T49-K49</f>
      </c>
      <c r="T49" s="36">
        <v>26095.75</v>
      </c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</row>
    <row hidden="true" r="50">
      <c r="A50" s="9">
        <v>46306</v>
      </c>
      <c r="B50" s="10" t="s">
        <v>21</v>
      </c>
      <c r="C50" s="11" t="s">
        <v>22</v>
      </c>
      <c r="D50" s="12">
        <v>4</v>
      </c>
      <c r="E50" s="41">
        <v>22</v>
      </c>
      <c r="F50" s="42">
        <v>15</v>
      </c>
      <c r="G50" s="43">
        <v>22</v>
      </c>
      <c r="H50" s="44">
        <v>13</v>
      </c>
      <c r="I50" s="45">
        <v>5</v>
      </c>
      <c r="J50" s="43">
        <v>14765.8</v>
      </c>
      <c r="K50" s="46">
        <v>7832.01</v>
      </c>
      <c r="L50" s="19">
        <f t="shared" si="2"/>
      </c>
      <c r="M50" s="20">
        <f t="shared" si="4"/>
      </c>
      <c r="N50" s="19">
        <f t="shared" si="0"/>
      </c>
      <c r="O50" s="12" t="s">
        <v>49</v>
      </c>
      <c r="P50" s="12">
        <v>4</v>
      </c>
      <c r="Q50" s="37" t="s">
        <v>36</v>
      </c>
      <c r="R50" s="47">
        <v>12</v>
      </c>
    </row>
    <row hidden="true" r="51">
      <c r="A51" s="9">
        <v>46306</v>
      </c>
      <c r="B51" s="10" t="s">
        <v>25</v>
      </c>
      <c r="C51" s="10" t="s">
        <v>43</v>
      </c>
      <c r="D51" s="12">
        <v>3</v>
      </c>
      <c r="E51" s="41">
        <v>5</v>
      </c>
      <c r="F51" s="42">
        <v>5</v>
      </c>
      <c r="G51" s="43">
        <v>4</v>
      </c>
      <c r="H51" s="44">
        <v>4</v>
      </c>
      <c r="I51" s="45">
        <v>0</v>
      </c>
      <c r="J51" s="43">
        <v>3483.4</v>
      </c>
      <c r="K51" s="48">
        <v>2559.85</v>
      </c>
      <c r="L51" s="19">
        <f t="shared" si="2"/>
      </c>
      <c r="M51" s="20">
        <f t="shared" si="4"/>
      </c>
      <c r="N51" s="20">
        <f t="shared" si="0"/>
      </c>
      <c r="O51" s="12"/>
      <c r="P51" s="13"/>
      <c r="Q51" s="23"/>
      <c r="R51" s="49"/>
    </row>
    <row hidden="true" r="52">
      <c r="A52" s="9">
        <v>46306</v>
      </c>
      <c r="B52" s="10" t="s">
        <v>37</v>
      </c>
      <c r="C52" s="10" t="s">
        <v>39</v>
      </c>
      <c r="D52" s="12">
        <v>2</v>
      </c>
      <c r="E52" s="41">
        <v>11</v>
      </c>
      <c r="F52" s="42">
        <v>8</v>
      </c>
      <c r="G52" s="43">
        <v>10</v>
      </c>
      <c r="H52" s="44">
        <v>7</v>
      </c>
      <c r="I52" s="45">
        <v>3</v>
      </c>
      <c r="J52" s="43">
        <v>8013.6</v>
      </c>
      <c r="K52" s="48">
        <v>2709.52</v>
      </c>
      <c r="L52" s="19">
        <f t="shared" si="2"/>
      </c>
      <c r="M52" s="20">
        <f t="shared" si="4"/>
      </c>
      <c r="N52" s="20">
        <f t="shared" si="0"/>
      </c>
      <c r="O52" s="12" t="s">
        <v>23</v>
      </c>
      <c r="P52" s="13">
        <v>8</v>
      </c>
      <c r="Q52" s="23"/>
      <c r="R52" s="49"/>
    </row>
    <row hidden="true" r="53">
      <c r="A53" s="9">
        <v>46306</v>
      </c>
      <c r="B53" s="10" t="s">
        <v>27</v>
      </c>
      <c r="C53" s="10" t="s">
        <v>41</v>
      </c>
      <c r="D53" s="12">
        <v>3</v>
      </c>
      <c r="E53" s="50">
        <v>16</v>
      </c>
      <c r="F53" s="42">
        <v>16</v>
      </c>
      <c r="G53" s="43">
        <v>14</v>
      </c>
      <c r="H53" s="44">
        <v>14</v>
      </c>
      <c r="I53" s="45">
        <v>0</v>
      </c>
      <c r="J53" s="43">
        <v>9397.6</v>
      </c>
      <c r="K53" s="48">
        <v>7225.13</v>
      </c>
      <c r="L53" s="19">
        <f t="shared" si="2"/>
      </c>
      <c r="M53" s="20">
        <f t="shared" si="4"/>
      </c>
      <c r="N53" s="20">
        <f t="shared" si="0"/>
      </c>
      <c r="O53" s="12"/>
      <c r="P53" s="13"/>
      <c r="Q53" s="26"/>
      <c r="R53" s="49"/>
    </row>
    <row hidden="true" r="54">
      <c r="A54" s="51">
        <v>46306</v>
      </c>
      <c r="B54" s="52" t="s">
        <v>29</v>
      </c>
      <c r="C54" s="53" t="s">
        <v>30</v>
      </c>
      <c r="D54" s="54">
        <f>SUM(D50:D53)</f>
      </c>
      <c r="E54" s="55">
        <f>SUM(E50:E53)</f>
      </c>
      <c r="F54" s="55">
        <f>SUM(F50:F53)</f>
      </c>
      <c r="G54" s="55">
        <f>SUM(G50:G53)</f>
      </c>
      <c r="H54" s="55">
        <f>SUM(H50:H53)</f>
      </c>
      <c r="I54" s="55">
        <f>SUM(I50:I53)</f>
      </c>
      <c r="J54" s="55">
        <f>SUM(J50:J53)</f>
      </c>
      <c r="K54" s="55">
        <f>SUM(K50:K53)</f>
      </c>
      <c r="L54" s="32">
        <f t="shared" si="2"/>
      </c>
      <c r="M54" s="32">
        <f t="shared" si="4"/>
      </c>
      <c r="N54" s="33">
        <f t="shared" si="0"/>
      </c>
      <c r="O54" s="56"/>
      <c r="P54" s="57">
        <f>SUM(P50:P53)</f>
      </c>
      <c r="Q54" s="54"/>
      <c r="R54" s="58">
        <f>SUM(R50:R53)</f>
      </c>
      <c r="S54">
        <f>T54-K54</f>
      </c>
      <c r="T54" s="36">
        <v>20326.51</v>
      </c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</row>
    <row r="55">
      <c r="A55" s="9">
        <v>46307</v>
      </c>
      <c r="B55" s="10" t="s">
        <v>21</v>
      </c>
      <c r="C55" s="11" t="s">
        <v>22</v>
      </c>
      <c r="D55" s="12">
        <v>4</v>
      </c>
      <c r="E55" s="41">
        <v>22</v>
      </c>
      <c r="F55" s="42">
        <v>15</v>
      </c>
      <c r="G55" s="43">
        <v>19</v>
      </c>
      <c r="H55" s="44">
        <v>11</v>
      </c>
      <c r="I55" s="45">
        <v>5</v>
      </c>
      <c r="J55" s="43">
        <v>13827.4</v>
      </c>
      <c r="K55" s="46">
        <v>6976.45</v>
      </c>
      <c r="L55" s="19">
        <f t="shared" si="2"/>
      </c>
      <c r="M55" s="20">
        <f t="shared" si="4"/>
      </c>
      <c r="N55" s="19">
        <f t="shared" si="0"/>
      </c>
      <c r="O55" s="12" t="s">
        <v>49</v>
      </c>
      <c r="P55" s="12">
        <v>4</v>
      </c>
      <c r="Q55" s="37" t="s">
        <v>36</v>
      </c>
      <c r="R55" s="47">
        <v>12</v>
      </c>
    </row>
    <row r="56">
      <c r="A56" s="9">
        <v>46307</v>
      </c>
      <c r="B56" s="10" t="s">
        <v>27</v>
      </c>
      <c r="C56" s="10" t="s">
        <v>50</v>
      </c>
      <c r="D56" s="12">
        <v>0.5</v>
      </c>
      <c r="E56" s="41">
        <v>2</v>
      </c>
      <c r="F56" s="42">
        <v>1</v>
      </c>
      <c r="G56" s="43">
        <v>2</v>
      </c>
      <c r="H56" s="44">
        <v>1</v>
      </c>
      <c r="I56" s="45">
        <v>1</v>
      </c>
      <c r="J56" s="43">
        <v>1836</v>
      </c>
      <c r="K56" s="48">
        <v>1154.22</v>
      </c>
      <c r="L56" s="19">
        <f t="shared" si="2"/>
      </c>
      <c r="M56" s="20">
        <f t="shared" si="4"/>
      </c>
      <c r="N56" s="20">
        <f t="shared" si="0"/>
      </c>
      <c r="O56" s="12" t="s">
        <v>23</v>
      </c>
      <c r="P56" s="13">
        <v>0.5</v>
      </c>
      <c r="Q56" s="23"/>
      <c r="R56" s="49"/>
    </row>
    <row r="57">
      <c r="A57" s="51">
        <v>46307</v>
      </c>
      <c r="B57" s="52" t="s">
        <v>29</v>
      </c>
      <c r="C57" s="53" t="s">
        <v>51</v>
      </c>
      <c r="D57" s="54">
        <f>SUM(D55:D56)</f>
      </c>
      <c r="E57" s="55">
        <f>SUM(E55:E56)</f>
      </c>
      <c r="F57" s="55">
        <f>SUM(F55:F56)</f>
      </c>
      <c r="G57" s="55">
        <f>SUM(G55:G56)</f>
      </c>
      <c r="H57" s="55">
        <f>SUM(H55:H56)</f>
      </c>
      <c r="I57" s="55">
        <f>SUM(I55:I56)</f>
      </c>
      <c r="J57" s="55">
        <f>SUM(J55:J56)</f>
      </c>
      <c r="K57" s="55">
        <f>SUM(K55:K56)</f>
      </c>
      <c r="L57" s="32">
        <f t="shared" si="2"/>
      </c>
      <c r="M57" s="32">
        <f t="shared" si="4"/>
      </c>
      <c r="N57" s="33">
        <f t="shared" si="0"/>
      </c>
      <c r="O57" s="56"/>
      <c r="P57" s="57">
        <f>SUM(P55:P56)</f>
      </c>
      <c r="Q57" s="54"/>
      <c r="R57" s="58">
        <f>SUM(R55:R56)</f>
      </c>
      <c r="S57">
        <f>T57-K57</f>
      </c>
      <c r="T57" s="36">
        <v>8130.67</v>
      </c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</row>
    <row r="58">
      <c r="A58" s="9">
        <v>46309</v>
      </c>
      <c r="B58" s="59" t="s">
        <v>37</v>
      </c>
      <c r="C58" s="11" t="s">
        <v>52</v>
      </c>
      <c r="D58" s="12">
        <v>3</v>
      </c>
      <c r="E58" s="41">
        <v>1</v>
      </c>
      <c r="F58" s="42">
        <v>0</v>
      </c>
      <c r="G58" s="43">
        <v>0</v>
      </c>
      <c r="H58" s="44">
        <v>0</v>
      </c>
      <c r="I58" s="45">
        <v>0</v>
      </c>
      <c r="J58" s="43">
        <v>0</v>
      </c>
      <c r="K58" s="46">
        <v>380.5</v>
      </c>
      <c r="L58" s="19">
        <f t="shared" si="2"/>
      </c>
      <c r="M58" s="20">
        <f t="shared" si="4"/>
      </c>
      <c r="N58" s="19">
        <f t="shared" si="0"/>
      </c>
      <c r="O58" s="12" t="s">
        <v>48</v>
      </c>
      <c r="P58" s="12">
        <v>3</v>
      </c>
      <c r="Q58" s="21" t="s">
        <v>36</v>
      </c>
      <c r="R58" s="49">
        <v>12</v>
      </c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</row>
    <row r="59">
      <c r="A59" s="9">
        <v>46309</v>
      </c>
      <c r="B59" s="10" t="s">
        <v>53</v>
      </c>
      <c r="C59" s="59" t="s">
        <v>43</v>
      </c>
      <c r="D59" s="61">
        <v>3</v>
      </c>
      <c r="E59" s="41">
        <v>0</v>
      </c>
      <c r="F59" s="42">
        <v>0</v>
      </c>
      <c r="G59" s="43">
        <v>0</v>
      </c>
      <c r="H59" s="44">
        <v>0</v>
      </c>
      <c r="I59" s="45">
        <v>0</v>
      </c>
      <c r="J59" s="43">
        <v>0</v>
      </c>
      <c r="K59" s="48">
        <v>232.08</v>
      </c>
      <c r="L59" s="19">
        <f t="shared" si="2"/>
      </c>
      <c r="M59" s="20">
        <f t="shared" si="4"/>
      </c>
      <c r="N59" s="20">
        <f t="shared" si="0"/>
      </c>
      <c r="O59" s="61"/>
      <c r="P59" s="62"/>
      <c r="Q59" s="23"/>
      <c r="R59" s="49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</row>
    <row r="60">
      <c r="A60" s="9">
        <v>46309</v>
      </c>
      <c r="B60" s="10" t="s">
        <v>32</v>
      </c>
      <c r="C60" s="59" t="s">
        <v>39</v>
      </c>
      <c r="D60" s="61">
        <v>2</v>
      </c>
      <c r="E60" s="41">
        <v>1</v>
      </c>
      <c r="F60" s="42">
        <v>1</v>
      </c>
      <c r="G60" s="43">
        <v>1</v>
      </c>
      <c r="H60" s="44">
        <v>1</v>
      </c>
      <c r="I60" s="45">
        <v>0</v>
      </c>
      <c r="J60" s="43">
        <v>866.4</v>
      </c>
      <c r="K60" s="48">
        <v>930.39</v>
      </c>
      <c r="L60" s="19">
        <f t="shared" si="2"/>
      </c>
      <c r="M60" s="20">
        <f t="shared" si="4"/>
      </c>
      <c r="N60" s="20">
        <f t="shared" si="0"/>
      </c>
      <c r="O60" s="61" t="s">
        <v>23</v>
      </c>
      <c r="P60" s="13">
        <v>5</v>
      </c>
      <c r="Q60" s="23"/>
      <c r="R60" s="49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</row>
    <row r="61">
      <c r="A61" s="63">
        <v>46309</v>
      </c>
      <c r="B61" s="52" t="s">
        <v>29</v>
      </c>
      <c r="C61" s="64" t="s">
        <v>30</v>
      </c>
      <c r="D61" s="54">
        <f>SUM(D58:D60)</f>
      </c>
      <c r="E61" s="55">
        <f>SUM(E58:E60)</f>
      </c>
      <c r="F61" s="55">
        <f>SUM(F58:F60)</f>
      </c>
      <c r="G61" s="55">
        <f>SUM(G58:G60)</f>
      </c>
      <c r="H61" s="55">
        <f>SUM(H58:H60)</f>
      </c>
      <c r="I61" s="55">
        <f>SUM(I58:I60)</f>
      </c>
      <c r="J61" s="55">
        <f>SUM(J58:J60)</f>
      </c>
      <c r="K61" s="55">
        <f>SUM(K58:K60)</f>
      </c>
      <c r="L61" s="32">
        <f t="shared" si="2"/>
      </c>
      <c r="M61" s="32">
        <f t="shared" si="4"/>
      </c>
      <c r="N61" s="33">
        <f t="shared" si="0"/>
      </c>
      <c r="O61" s="65"/>
      <c r="P61" s="57">
        <f>SUM(P58:P60)</f>
      </c>
      <c r="Q61" s="54"/>
      <c r="R61" s="58">
        <f>SUM(R58:R60)</f>
      </c>
      <c r="S61" s="60">
        <f>T61-K61</f>
      </c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</row>
    <row r="62">
      <c r="A62" s="9">
        <v>46310</v>
      </c>
      <c r="B62" s="10" t="s">
        <v>21</v>
      </c>
      <c r="C62" s="11" t="s">
        <v>54</v>
      </c>
      <c r="D62" s="12">
        <v>4</v>
      </c>
      <c r="E62" s="41">
        <v>17</v>
      </c>
      <c r="F62" s="42">
        <v>17</v>
      </c>
      <c r="G62" s="43">
        <v>19</v>
      </c>
      <c r="H62" s="44">
        <v>16</v>
      </c>
      <c r="I62" s="45">
        <v>3</v>
      </c>
      <c r="J62" s="43">
        <v>16039</v>
      </c>
      <c r="K62" s="46">
        <v>5495.16</v>
      </c>
      <c r="L62" s="19">
        <f t="shared" si="2"/>
      </c>
      <c r="M62" s="20">
        <f t="shared" si="4"/>
      </c>
      <c r="N62" s="19">
        <f t="shared" si="0"/>
      </c>
      <c r="O62" s="12" t="s">
        <v>55</v>
      </c>
      <c r="P62" s="12">
        <v>7</v>
      </c>
      <c r="Q62" s="21" t="s">
        <v>36</v>
      </c>
      <c r="R62" s="47">
        <v>7</v>
      </c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</row>
    <row r="63">
      <c r="A63" s="9">
        <v>46310</v>
      </c>
      <c r="B63" s="10" t="s">
        <v>25</v>
      </c>
      <c r="C63" s="10" t="s">
        <v>41</v>
      </c>
      <c r="D63" s="12">
        <v>3</v>
      </c>
      <c r="E63" s="41">
        <v>17</v>
      </c>
      <c r="F63" s="42">
        <v>12</v>
      </c>
      <c r="G63" s="43">
        <v>14</v>
      </c>
      <c r="H63" s="44">
        <v>8</v>
      </c>
      <c r="I63" s="45">
        <v>1</v>
      </c>
      <c r="J63" s="43">
        <v>11349.400000000001</v>
      </c>
      <c r="K63" s="48">
        <v>6918.83</v>
      </c>
      <c r="L63" s="19">
        <f t="shared" si="2"/>
      </c>
      <c r="M63" s="20">
        <f t="shared" si="4"/>
      </c>
      <c r="N63" s="20">
        <f t="shared" si="0"/>
      </c>
      <c r="O63" s="61"/>
      <c r="P63" s="13"/>
      <c r="Q63" s="23"/>
      <c r="R63" s="49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</row>
    <row r="64">
      <c r="A64" s="51">
        <v>46310</v>
      </c>
      <c r="B64" s="52" t="s">
        <v>29</v>
      </c>
      <c r="C64" s="53" t="s">
        <v>56</v>
      </c>
      <c r="D64" s="54">
        <f>SUM(D62:D63)</f>
      </c>
      <c r="E64" s="55">
        <f>SUM(E62:E63)</f>
      </c>
      <c r="F64" s="55">
        <f>SUM(F62:F63)</f>
      </c>
      <c r="G64" s="55">
        <f>SUM(G62:G63)</f>
      </c>
      <c r="H64" s="55">
        <f>SUM(H62:H63)</f>
      </c>
      <c r="I64" s="55">
        <f>SUM(I62:I63)</f>
      </c>
      <c r="J64" s="55">
        <f>SUM(J62:J63)</f>
      </c>
      <c r="K64" s="55">
        <f>SUM(K62:K63)</f>
      </c>
      <c r="L64" s="32">
        <f t="shared" si="2"/>
      </c>
      <c r="M64" s="32">
        <f t="shared" si="4"/>
      </c>
      <c r="N64" s="33">
        <f t="shared" si="0"/>
      </c>
      <c r="O64" s="65"/>
      <c r="P64" s="57">
        <f>SUM(P62:P63)</f>
      </c>
      <c r="Q64" s="54"/>
      <c r="R64" s="58">
        <f>SUM(R62:R63)</f>
      </c>
      <c r="S64" s="60">
        <f>T64-K64</f>
      </c>
      <c r="T64" s="66">
        <v>12413.99</v>
      </c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</row>
    <row r="65">
      <c r="A65" s="9">
        <v>46311</v>
      </c>
      <c r="B65" s="10" t="s">
        <v>21</v>
      </c>
      <c r="C65" s="11" t="s">
        <v>22</v>
      </c>
      <c r="D65" s="12">
        <v>4</v>
      </c>
      <c r="E65" s="41">
        <v>23</v>
      </c>
      <c r="F65" s="42">
        <v>21</v>
      </c>
      <c r="G65" s="43">
        <v>18</v>
      </c>
      <c r="H65" s="44">
        <v>16</v>
      </c>
      <c r="I65" s="45">
        <v>2</v>
      </c>
      <c r="J65" s="43">
        <v>12708</v>
      </c>
      <c r="K65" s="46">
        <v>8160.08</v>
      </c>
      <c r="L65" s="19">
        <f t="shared" si="2"/>
      </c>
      <c r="M65" s="20">
        <f t="shared" si="4"/>
      </c>
      <c r="N65" s="19">
        <f t="shared" si="0"/>
      </c>
      <c r="O65" s="12"/>
      <c r="P65" s="12"/>
      <c r="Q65" s="23"/>
      <c r="R65" s="49"/>
    </row>
    <row r="66">
      <c r="A66" s="9">
        <v>46311</v>
      </c>
      <c r="B66" s="10" t="s">
        <v>25</v>
      </c>
      <c r="C66" s="10" t="s">
        <v>43</v>
      </c>
      <c r="D66" s="12">
        <v>3</v>
      </c>
      <c r="E66" s="41">
        <v>7</v>
      </c>
      <c r="F66" s="42">
        <v>8</v>
      </c>
      <c r="G66" s="43">
        <v>7</v>
      </c>
      <c r="H66" s="44">
        <v>7</v>
      </c>
      <c r="I66" s="45">
        <v>0</v>
      </c>
      <c r="J66" s="43">
        <v>4977.5999999999985</v>
      </c>
      <c r="K66" s="48">
        <v>5341.63</v>
      </c>
      <c r="L66" s="19">
        <f t="shared" si="2"/>
      </c>
      <c r="M66" s="20">
        <f t="shared" si="4"/>
      </c>
      <c r="N66" s="20">
        <f t="shared" si="0"/>
      </c>
      <c r="O66" s="12"/>
      <c r="P66" s="13"/>
      <c r="Q66" s="23"/>
      <c r="R66" s="49"/>
    </row>
    <row r="67">
      <c r="A67" s="9">
        <v>46311</v>
      </c>
      <c r="B67" s="10" t="s">
        <v>37</v>
      </c>
      <c r="C67" s="10" t="s">
        <v>39</v>
      </c>
      <c r="D67" s="12">
        <v>2</v>
      </c>
      <c r="E67" s="41">
        <v>4</v>
      </c>
      <c r="F67" s="42">
        <v>4</v>
      </c>
      <c r="G67" s="43">
        <v>3</v>
      </c>
      <c r="H67" s="44">
        <v>3</v>
      </c>
      <c r="I67" s="45">
        <v>0</v>
      </c>
      <c r="J67" s="43">
        <v>2304</v>
      </c>
      <c r="K67" s="48">
        <v>3105.4700000000003</v>
      </c>
      <c r="L67" s="19">
        <f t="shared" si="2"/>
      </c>
      <c r="M67" s="20">
        <f t="shared" si="4"/>
      </c>
      <c r="N67" s="20">
        <f t="shared" si="0"/>
      </c>
      <c r="O67" s="12" t="s">
        <v>55</v>
      </c>
      <c r="P67" s="13">
        <v>12</v>
      </c>
      <c r="Q67" s="37" t="s">
        <v>36</v>
      </c>
      <c r="R67" s="47">
        <v>12</v>
      </c>
    </row>
    <row r="68">
      <c r="A68" s="9">
        <v>46311</v>
      </c>
      <c r="B68" s="10" t="s">
        <v>42</v>
      </c>
      <c r="C68" s="10" t="s">
        <v>41</v>
      </c>
      <c r="D68" s="12">
        <v>3</v>
      </c>
      <c r="E68" s="50">
        <v>13</v>
      </c>
      <c r="F68" s="42">
        <v>11</v>
      </c>
      <c r="G68" s="43">
        <v>11</v>
      </c>
      <c r="H68" s="44">
        <v>7</v>
      </c>
      <c r="I68" s="45">
        <v>0</v>
      </c>
      <c r="J68" s="43">
        <v>6807</v>
      </c>
      <c r="K68" s="48">
        <v>4749.400000000001</v>
      </c>
      <c r="L68" s="19">
        <f t="shared" si="2"/>
      </c>
      <c r="M68" s="20">
        <f t="shared" si="4"/>
      </c>
      <c r="N68" s="20">
        <f t="shared" si="0"/>
      </c>
      <c r="O68" s="12"/>
      <c r="P68" s="13"/>
      <c r="Q68" s="26"/>
      <c r="R68" s="49"/>
    </row>
    <row r="69">
      <c r="A69" s="51">
        <v>46311</v>
      </c>
      <c r="B69" s="52" t="s">
        <v>29</v>
      </c>
      <c r="C69" s="53" t="s">
        <v>30</v>
      </c>
      <c r="D69" s="54">
        <f>SUM(D65:D68)</f>
      </c>
      <c r="E69" s="55">
        <f>SUM(E65:E68)</f>
      </c>
      <c r="F69" s="55">
        <f>SUM(F65:F68)</f>
      </c>
      <c r="G69" s="55">
        <f>SUM(G65:G68)</f>
      </c>
      <c r="H69" s="55">
        <f>SUM(H65:H68)</f>
      </c>
      <c r="I69" s="55">
        <f>SUM(I65:I68)</f>
      </c>
      <c r="J69" s="55">
        <f>SUM(J65:J68)</f>
      </c>
      <c r="K69" s="55">
        <f>SUM(K65:K68)</f>
      </c>
      <c r="L69" s="32">
        <f t="shared" si="2"/>
      </c>
      <c r="M69" s="32">
        <f t="shared" si="4"/>
      </c>
      <c r="N69" s="33">
        <f t="shared" si="0"/>
      </c>
      <c r="O69" s="56"/>
      <c r="P69" s="57">
        <f>SUM(P65:P68)</f>
      </c>
      <c r="Q69" s="54"/>
      <c r="R69" s="58">
        <f>SUM(R66:R68)</f>
      </c>
      <c r="S69">
        <f>T69-K69</f>
      </c>
      <c r="T69" s="36">
        <v>21356.58</v>
      </c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</row>
    <row r="70">
      <c r="A70" s="9">
        <v>46312</v>
      </c>
      <c r="B70" s="10" t="s">
        <v>21</v>
      </c>
      <c r="C70" s="11" t="s">
        <v>22</v>
      </c>
      <c r="D70" s="12">
        <v>4</v>
      </c>
      <c r="E70" s="41">
        <v>22</v>
      </c>
      <c r="F70" s="42">
        <v>15</v>
      </c>
      <c r="G70" s="43">
        <v>20</v>
      </c>
      <c r="H70" s="44">
        <v>13</v>
      </c>
      <c r="I70" s="45">
        <v>3</v>
      </c>
      <c r="J70" s="43">
        <v>14264.6</v>
      </c>
      <c r="K70" s="46">
        <v>7500.1</v>
      </c>
      <c r="L70" s="19">
        <f t="shared" si="2"/>
      </c>
      <c r="M70" s="20">
        <f t="shared" si="4"/>
      </c>
      <c r="N70" s="19">
        <f t="shared" si="0"/>
      </c>
      <c r="O70" s="12" t="s">
        <v>23</v>
      </c>
      <c r="P70" s="12">
        <v>12</v>
      </c>
      <c r="Q70" s="37" t="s">
        <v>36</v>
      </c>
      <c r="R70" s="47">
        <v>12</v>
      </c>
    </row>
    <row r="71">
      <c r="A71" s="9">
        <v>46312</v>
      </c>
      <c r="B71" s="10" t="s">
        <v>37</v>
      </c>
      <c r="C71" s="10" t="s">
        <v>43</v>
      </c>
      <c r="D71" s="12">
        <v>3</v>
      </c>
      <c r="E71" s="41">
        <v>7</v>
      </c>
      <c r="F71" s="42">
        <v>7</v>
      </c>
      <c r="G71" s="43">
        <v>5</v>
      </c>
      <c r="H71" s="44">
        <v>5</v>
      </c>
      <c r="I71" s="45">
        <v>1</v>
      </c>
      <c r="J71" s="43">
        <v>4238.4</v>
      </c>
      <c r="K71" s="48">
        <v>3724.4</v>
      </c>
      <c r="L71" s="19">
        <f t="shared" si="2"/>
      </c>
      <c r="M71" s="20">
        <f t="shared" si="4"/>
      </c>
      <c r="N71" s="20">
        <f t="shared" si="0"/>
      </c>
      <c r="O71" s="12"/>
      <c r="P71" s="13"/>
      <c r="Q71" s="23"/>
      <c r="R71" s="49"/>
    </row>
    <row r="72">
      <c r="A72" s="9">
        <v>46312</v>
      </c>
      <c r="B72" s="10" t="s">
        <v>27</v>
      </c>
      <c r="C72" s="10" t="s">
        <v>39</v>
      </c>
      <c r="D72" s="12">
        <v>2</v>
      </c>
      <c r="E72" s="41">
        <v>1</v>
      </c>
      <c r="F72" s="42">
        <v>1</v>
      </c>
      <c r="G72" s="43">
        <v>1</v>
      </c>
      <c r="H72" s="44">
        <v>1</v>
      </c>
      <c r="I72" s="45">
        <v>0</v>
      </c>
      <c r="J72" s="43">
        <v>967.2</v>
      </c>
      <c r="K72" s="48">
        <v>2206.37</v>
      </c>
      <c r="L72" s="19">
        <f t="shared" si="2"/>
      </c>
      <c r="M72" s="20">
        <f t="shared" si="4"/>
      </c>
      <c r="N72" s="20">
        <f t="shared" si="0"/>
      </c>
      <c r="O72" s="12"/>
      <c r="P72" s="13"/>
      <c r="Q72" s="37"/>
      <c r="R72" s="47"/>
    </row>
    <row r="73">
      <c r="A73" s="9">
        <v>46312</v>
      </c>
      <c r="B73" s="10" t="s">
        <v>42</v>
      </c>
      <c r="C73" s="10" t="s">
        <v>41</v>
      </c>
      <c r="D73" s="12">
        <v>3</v>
      </c>
      <c r="E73" s="50">
        <v>18</v>
      </c>
      <c r="F73" s="42">
        <v>16</v>
      </c>
      <c r="G73" s="43">
        <v>15</v>
      </c>
      <c r="H73" s="44">
        <v>12</v>
      </c>
      <c r="I73" s="45">
        <v>2</v>
      </c>
      <c r="J73" s="43">
        <v>10722.6</v>
      </c>
      <c r="K73" s="48">
        <v>3459.01</v>
      </c>
      <c r="L73" s="19">
        <f t="shared" si="2"/>
      </c>
      <c r="M73" s="20">
        <f t="shared" si="4"/>
      </c>
      <c r="N73" s="20">
        <f t="shared" si="0"/>
      </c>
      <c r="O73" s="12"/>
      <c r="P73" s="13"/>
      <c r="Q73" s="26"/>
      <c r="R73" s="49"/>
    </row>
    <row r="74">
      <c r="A74" s="51">
        <v>46312</v>
      </c>
      <c r="B74" s="52" t="s">
        <v>29</v>
      </c>
      <c r="C74" s="53" t="s">
        <v>30</v>
      </c>
      <c r="D74" s="54">
        <f>SUM(D70:D73)</f>
      </c>
      <c r="E74" s="55">
        <f>SUM(E70:E73)</f>
      </c>
      <c r="F74" s="55">
        <f>SUM(F70:F73)</f>
      </c>
      <c r="G74" s="55">
        <f>SUM(G70:G73)</f>
      </c>
      <c r="H74" s="55">
        <f>SUM(H70:H73)</f>
      </c>
      <c r="I74" s="55">
        <f>SUM(I70:I73)</f>
      </c>
      <c r="J74" s="55">
        <f>SUM(J70:J73)</f>
      </c>
      <c r="K74" s="55">
        <f>SUM(K70:K73)</f>
      </c>
      <c r="L74" s="32">
        <f t="shared" si="2"/>
      </c>
      <c r="M74" s="32">
        <f t="shared" si="4"/>
      </c>
      <c r="N74" s="33">
        <f t="shared" si="0"/>
      </c>
      <c r="O74" s="56"/>
      <c r="P74" s="57">
        <f>SUM(P70:P73)</f>
      </c>
      <c r="Q74" s="54"/>
      <c r="R74" s="58">
        <f>SUM(R71:R73)</f>
      </c>
      <c r="S74">
        <f>T74-K74</f>
      </c>
      <c r="T74" s="36">
        <v>16889.88</v>
      </c>
    </row>
    <row r="75">
      <c r="A75" s="9">
        <v>46313</v>
      </c>
      <c r="B75" s="10" t="s">
        <v>21</v>
      </c>
      <c r="C75" s="11" t="s">
        <v>22</v>
      </c>
      <c r="D75" s="12">
        <v>4</v>
      </c>
      <c r="E75" s="41">
        <v>24</v>
      </c>
      <c r="F75" s="42">
        <v>20</v>
      </c>
      <c r="G75" s="43">
        <v>22</v>
      </c>
      <c r="H75" s="44">
        <v>19</v>
      </c>
      <c r="I75" s="45">
        <v>1</v>
      </c>
      <c r="J75" s="43">
        <v>15169</v>
      </c>
      <c r="K75" s="46">
        <v>10373.57</v>
      </c>
      <c r="L75" s="19">
        <f t="shared" si="2"/>
      </c>
      <c r="M75" s="20">
        <f t="shared" si="4"/>
      </c>
      <c r="N75" s="19">
        <f t="shared" si="0"/>
      </c>
      <c r="O75" s="12" t="s">
        <v>23</v>
      </c>
      <c r="P75" s="12">
        <v>12</v>
      </c>
      <c r="Q75" s="37" t="s">
        <v>36</v>
      </c>
      <c r="R75" s="47">
        <v>12</v>
      </c>
    </row>
    <row r="76">
      <c r="A76" s="9">
        <v>46313</v>
      </c>
      <c r="B76" s="10" t="s">
        <v>27</v>
      </c>
      <c r="C76" s="10" t="s">
        <v>43</v>
      </c>
      <c r="D76" s="12">
        <v>3</v>
      </c>
      <c r="E76" s="41">
        <v>19</v>
      </c>
      <c r="F76" s="42">
        <v>16</v>
      </c>
      <c r="G76" s="43">
        <v>17</v>
      </c>
      <c r="H76" s="44">
        <v>13</v>
      </c>
      <c r="I76" s="45">
        <v>2</v>
      </c>
      <c r="J76" s="43">
        <v>11206.6</v>
      </c>
      <c r="K76" s="48">
        <v>6872.6</v>
      </c>
      <c r="L76" s="19">
        <f t="shared" si="2"/>
      </c>
      <c r="M76" s="20">
        <f t="shared" si="4"/>
      </c>
      <c r="N76" s="20">
        <f t="shared" si="0"/>
      </c>
      <c r="O76" s="12"/>
      <c r="P76" s="13"/>
      <c r="Q76" s="23"/>
      <c r="R76" s="49"/>
    </row>
    <row r="77">
      <c r="A77" s="9">
        <v>46313</v>
      </c>
      <c r="B77" s="10" t="s">
        <v>53</v>
      </c>
      <c r="C77" s="10" t="s">
        <v>39</v>
      </c>
      <c r="D77" s="12">
        <v>2</v>
      </c>
      <c r="E77" s="41">
        <v>11</v>
      </c>
      <c r="F77" s="42">
        <v>11</v>
      </c>
      <c r="G77" s="43">
        <v>7</v>
      </c>
      <c r="H77" s="44">
        <v>7</v>
      </c>
      <c r="I77" s="45">
        <v>0</v>
      </c>
      <c r="J77" s="43">
        <v>5302.6</v>
      </c>
      <c r="K77" s="48">
        <v>5151.38</v>
      </c>
      <c r="L77" s="19">
        <f t="shared" si="2"/>
      </c>
      <c r="M77" s="20">
        <f t="shared" si="4"/>
      </c>
      <c r="N77" s="20">
        <f t="shared" si="0"/>
      </c>
      <c r="O77" s="12"/>
      <c r="P77" s="13"/>
      <c r="Q77" s="37"/>
      <c r="R77" s="47"/>
    </row>
    <row r="78">
      <c r="A78" s="9">
        <v>46313</v>
      </c>
      <c r="B78" s="10" t="s">
        <v>25</v>
      </c>
      <c r="C78" s="10" t="s">
        <v>41</v>
      </c>
      <c r="D78" s="12">
        <v>3</v>
      </c>
      <c r="E78" s="50">
        <v>38</v>
      </c>
      <c r="F78" s="42">
        <v>33</v>
      </c>
      <c r="G78" s="43">
        <v>27</v>
      </c>
      <c r="H78" s="44">
        <v>22</v>
      </c>
      <c r="I78" s="45">
        <v>2</v>
      </c>
      <c r="J78" s="43">
        <v>18580</v>
      </c>
      <c r="K78" s="48">
        <v>12638</v>
      </c>
      <c r="L78" s="19">
        <f t="shared" si="2"/>
      </c>
      <c r="M78" s="20">
        <f t="shared" si="4"/>
      </c>
      <c r="N78" s="20">
        <f t="shared" si="0"/>
      </c>
      <c r="O78" s="12"/>
      <c r="P78" s="13"/>
      <c r="Q78" s="26"/>
      <c r="R78" s="49"/>
    </row>
    <row r="79">
      <c r="A79" s="51">
        <v>46313</v>
      </c>
      <c r="B79" s="52" t="s">
        <v>29</v>
      </c>
      <c r="C79" s="53" t="s">
        <v>30</v>
      </c>
      <c r="D79" s="54">
        <f>SUM(D75:D78)</f>
      </c>
      <c r="E79" s="55">
        <f>SUM(E75:E78)</f>
      </c>
      <c r="F79" s="55">
        <f>SUM(F75:F78)</f>
      </c>
      <c r="G79" s="55">
        <f>SUM(G75:G78)</f>
      </c>
      <c r="H79" s="55">
        <f>SUM(H75:H78)</f>
      </c>
      <c r="I79" s="55">
        <f>SUM(I75:I78)</f>
      </c>
      <c r="J79" s="55">
        <f>SUM(J75:J78)</f>
      </c>
      <c r="K79" s="55">
        <f>SUM(K75:K78)</f>
      </c>
      <c r="L79" s="32">
        <f t="shared" si="2"/>
      </c>
      <c r="M79" s="32">
        <f t="shared" si="4"/>
      </c>
      <c r="N79" s="33">
        <f t="shared" si="0"/>
      </c>
      <c r="O79" s="56"/>
      <c r="P79" s="57">
        <f>SUM(P75:P78)</f>
      </c>
      <c r="Q79" s="54"/>
      <c r="R79" s="58">
        <f>SUM(R76:R78)</f>
      </c>
      <c r="S79">
        <f>T79-K79</f>
      </c>
      <c r="T79" s="36"/>
    </row>
    <row r="80">
      <c r="R80" s="67"/>
    </row>
    <row r="81">
      <c r="R81" s="67"/>
    </row>
    <row r="82">
      <c r="R82" s="67"/>
    </row>
    <row r="83">
      <c r="R83" s="67"/>
    </row>
    <row r="84">
      <c r="R84" s="67"/>
    </row>
    <row r="85">
      <c r="R85" s="67"/>
    </row>
    <row r="86">
      <c r="R86" s="67"/>
    </row>
    <row r="87">
      <c r="R87" s="67"/>
    </row>
    <row r="88">
      <c r="R88" s="67"/>
    </row>
    <row r="89">
      <c r="R89" s="67"/>
    </row>
    <row r="90">
      <c r="R90" s="67"/>
    </row>
    <row r="91">
      <c r="R91" s="67"/>
    </row>
    <row r="92">
      <c r="R92" s="67"/>
    </row>
    <row r="93">
      <c r="R93" s="67"/>
    </row>
    <row r="94">
      <c r="R94" s="67"/>
    </row>
    <row r="95">
      <c r="R95" s="67"/>
    </row>
    <row r="96">
      <c r="R96" s="67"/>
    </row>
    <row r="97">
      <c r="R97" s="67"/>
    </row>
    <row r="98">
      <c r="R98" s="67"/>
    </row>
    <row r="99">
      <c r="R99" s="67"/>
    </row>
    <row r="100">
      <c r="R100" s="67"/>
    </row>
    <row r="101">
      <c r="R101" s="67"/>
    </row>
    <row r="102">
      <c r="R102" s="67"/>
    </row>
    <row r="103">
      <c r="R103" s="67"/>
    </row>
    <row r="104">
      <c r="R104" s="67"/>
    </row>
    <row r="105">
      <c r="R105" s="67"/>
    </row>
    <row r="106">
      <c r="R106" s="67"/>
    </row>
    <row r="107">
      <c r="R107" s="67"/>
    </row>
    <row r="108">
      <c r="R108" s="67"/>
    </row>
    <row r="109">
      <c r="R109" s="67"/>
    </row>
    <row r="110">
      <c r="R110" s="67"/>
    </row>
    <row r="111">
      <c r="R111" s="67"/>
    </row>
    <row r="112">
      <c r="R112" s="67"/>
    </row>
    <row r="113">
      <c r="R113" s="67"/>
    </row>
    <row r="114">
      <c r="R114" s="67"/>
    </row>
    <row r="115">
      <c r="R115" s="67"/>
    </row>
    <row r="116">
      <c r="R116" s="67"/>
    </row>
    <row r="117">
      <c r="R117" s="67"/>
    </row>
    <row r="118">
      <c r="R118" s="67"/>
    </row>
    <row r="119">
      <c r="R119" s="67"/>
    </row>
    <row r="120">
      <c r="R120" s="67"/>
    </row>
    <row r="121">
      <c r="R121" s="67"/>
    </row>
    <row r="122">
      <c r="R122" s="67"/>
    </row>
    <row r="123">
      <c r="R123" s="67"/>
    </row>
    <row r="124">
      <c r="R124" s="67"/>
    </row>
    <row r="125">
      <c r="R125" s="67"/>
    </row>
    <row r="126">
      <c r="R126" s="67"/>
    </row>
    <row r="127">
      <c r="R127" s="67"/>
    </row>
    <row r="128">
      <c r="R128" s="67"/>
    </row>
    <row r="129">
      <c r="R129" s="67"/>
    </row>
    <row r="130">
      <c r="R130" s="67"/>
    </row>
    <row r="131">
      <c r="R131" s="67"/>
    </row>
    <row r="132">
      <c r="R132" s="67"/>
    </row>
    <row r="133">
      <c r="R133" s="67"/>
    </row>
    <row r="134">
      <c r="R134" s="67"/>
    </row>
    <row r="135">
      <c r="R135" s="67"/>
    </row>
    <row r="136">
      <c r="R136" s="67"/>
    </row>
    <row r="137">
      <c r="R137" s="67"/>
    </row>
    <row r="138">
      <c r="R138" s="67"/>
    </row>
    <row r="139">
      <c r="R139" s="67"/>
    </row>
    <row r="140">
      <c r="R140" s="67"/>
    </row>
    <row r="141">
      <c r="R141" s="67"/>
    </row>
    <row r="142">
      <c r="R142" s="67"/>
    </row>
    <row r="143">
      <c r="R143" s="67"/>
    </row>
    <row r="144">
      <c r="R144" s="67"/>
    </row>
    <row r="145">
      <c r="R145" s="67"/>
    </row>
    <row r="146">
      <c r="R146" s="67"/>
    </row>
    <row r="147">
      <c r="R147" s="67"/>
    </row>
    <row r="148">
      <c r="R148" s="67"/>
    </row>
    <row r="149">
      <c r="R149" s="67"/>
    </row>
    <row r="150">
      <c r="R150" s="67"/>
    </row>
    <row r="151">
      <c r="R151" s="67"/>
    </row>
    <row r="152">
      <c r="R152" s="67"/>
    </row>
    <row r="153">
      <c r="R153" s="67"/>
    </row>
    <row r="154">
      <c r="R154" s="67"/>
    </row>
    <row r="155">
      <c r="R155" s="67"/>
    </row>
    <row r="156">
      <c r="R156" s="67"/>
    </row>
    <row r="157">
      <c r="R157" s="67"/>
    </row>
    <row r="158">
      <c r="R158" s="67"/>
    </row>
    <row r="159">
      <c r="R159" s="67"/>
    </row>
    <row r="160">
      <c r="R160" s="67"/>
    </row>
    <row r="161">
      <c r="R161" s="67"/>
    </row>
    <row r="162">
      <c r="R162" s="67"/>
    </row>
    <row r="163">
      <c r="R163" s="67"/>
    </row>
    <row r="164">
      <c r="R164" s="67"/>
    </row>
    <row r="165">
      <c r="R165" s="67"/>
    </row>
    <row r="166">
      <c r="R166" s="67"/>
    </row>
    <row r="167">
      <c r="R167" s="67"/>
    </row>
    <row r="168">
      <c r="R168" s="67"/>
    </row>
    <row r="169">
      <c r="R169" s="67"/>
    </row>
    <row r="170">
      <c r="R170" s="67"/>
    </row>
    <row r="171">
      <c r="R171" s="67"/>
    </row>
    <row r="172">
      <c r="R172" s="67"/>
    </row>
    <row r="173">
      <c r="R173" s="67"/>
    </row>
    <row r="174">
      <c r="R174" s="67"/>
    </row>
    <row r="175">
      <c r="R175" s="67"/>
    </row>
    <row r="176">
      <c r="R176" s="67"/>
    </row>
    <row r="177">
      <c r="R177" s="67"/>
    </row>
    <row r="178">
      <c r="R178" s="67"/>
    </row>
    <row r="179">
      <c r="R179" s="67"/>
    </row>
    <row r="180">
      <c r="R180" s="67"/>
    </row>
    <row r="181">
      <c r="R181" s="67"/>
    </row>
    <row r="182">
      <c r="R182" s="67"/>
    </row>
    <row r="183">
      <c r="R183" s="67"/>
    </row>
    <row r="184">
      <c r="R184" s="67"/>
    </row>
    <row r="185">
      <c r="R185" s="67"/>
    </row>
    <row r="186">
      <c r="R186" s="67"/>
    </row>
    <row r="187">
      <c r="R187" s="67"/>
    </row>
    <row r="188">
      <c r="R188" s="67"/>
    </row>
    <row r="189">
      <c r="R189" s="67"/>
    </row>
    <row r="190">
      <c r="R190" s="67"/>
    </row>
    <row r="191">
      <c r="R191" s="67"/>
    </row>
    <row r="192">
      <c r="R192" s="67"/>
    </row>
    <row r="193">
      <c r="R193" s="67"/>
    </row>
    <row r="194">
      <c r="R194" s="67"/>
    </row>
    <row r="195">
      <c r="R195" s="67"/>
    </row>
    <row r="196">
      <c r="R196" s="67"/>
    </row>
    <row r="197">
      <c r="R197" s="67"/>
    </row>
    <row r="198">
      <c r="R198" s="67"/>
    </row>
    <row r="199">
      <c r="R199" s="67"/>
    </row>
    <row r="200">
      <c r="R200" s="67"/>
    </row>
    <row r="201">
      <c r="R201" s="67"/>
    </row>
    <row r="202">
      <c r="R202" s="67"/>
    </row>
    <row r="203">
      <c r="R203" s="67"/>
    </row>
    <row r="204">
      <c r="R204" s="67"/>
    </row>
    <row r="205">
      <c r="R205" s="67"/>
    </row>
    <row r="206">
      <c r="R206" s="67"/>
    </row>
    <row r="207">
      <c r="R207" s="67"/>
    </row>
    <row r="208">
      <c r="R208" s="67"/>
    </row>
    <row r="209">
      <c r="R209" s="67"/>
    </row>
    <row r="210">
      <c r="R210" s="67"/>
    </row>
    <row r="211">
      <c r="R211" s="67"/>
    </row>
    <row r="212">
      <c r="R212" s="67"/>
    </row>
    <row r="213">
      <c r="R213" s="67"/>
    </row>
    <row r="214">
      <c r="R214" s="67"/>
    </row>
    <row r="215">
      <c r="R215" s="67"/>
    </row>
    <row r="216">
      <c r="R216" s="67"/>
    </row>
    <row r="217">
      <c r="R217" s="67"/>
    </row>
    <row r="218">
      <c r="R218" s="67"/>
    </row>
    <row r="219">
      <c r="R219" s="67"/>
    </row>
    <row r="220">
      <c r="R220" s="67"/>
    </row>
    <row r="221">
      <c r="R221" s="67"/>
    </row>
    <row r="222">
      <c r="R222" s="67"/>
    </row>
    <row r="223">
      <c r="R223" s="67"/>
    </row>
    <row r="224">
      <c r="R224" s="67"/>
    </row>
    <row r="225">
      <c r="R225" s="67"/>
    </row>
    <row r="226">
      <c r="R226" s="67"/>
    </row>
    <row r="227">
      <c r="R227" s="67"/>
    </row>
    <row r="228">
      <c r="R228" s="67"/>
    </row>
    <row r="229">
      <c r="R229" s="67"/>
    </row>
    <row r="230">
      <c r="R230" s="67"/>
    </row>
    <row r="231">
      <c r="R231" s="67"/>
    </row>
    <row r="232">
      <c r="R232" s="67"/>
    </row>
    <row r="233">
      <c r="R233" s="67"/>
    </row>
    <row r="234">
      <c r="R234" s="67"/>
    </row>
    <row r="235">
      <c r="R235" s="67"/>
    </row>
    <row r="236">
      <c r="R236" s="67"/>
    </row>
    <row r="237">
      <c r="R237" s="67"/>
    </row>
    <row r="238">
      <c r="R238" s="67"/>
    </row>
    <row r="239">
      <c r="R239" s="67"/>
    </row>
    <row r="240">
      <c r="R240" s="67"/>
    </row>
    <row r="241">
      <c r="R241" s="67"/>
    </row>
    <row r="242">
      <c r="R242" s="67"/>
    </row>
    <row r="243">
      <c r="R243" s="67"/>
    </row>
    <row r="244">
      <c r="R244" s="67"/>
    </row>
    <row r="245">
      <c r="R245" s="67"/>
    </row>
    <row r="246">
      <c r="R246" s="67"/>
    </row>
    <row r="247">
      <c r="R247" s="67"/>
    </row>
    <row r="248">
      <c r="R248" s="67"/>
    </row>
    <row r="249">
      <c r="R249" s="67"/>
    </row>
    <row r="250">
      <c r="R250" s="67"/>
    </row>
    <row r="251">
      <c r="R251" s="67"/>
    </row>
    <row r="252">
      <c r="R252" s="67"/>
    </row>
    <row r="253">
      <c r="R253" s="67"/>
    </row>
    <row r="254">
      <c r="R254" s="67"/>
    </row>
    <row r="255">
      <c r="R255" s="67"/>
    </row>
    <row r="256">
      <c r="R256" s="67"/>
    </row>
    <row r="257">
      <c r="R257" s="67"/>
    </row>
    <row r="258">
      <c r="R258" s="67"/>
    </row>
    <row r="259">
      <c r="R259" s="67"/>
    </row>
    <row r="260">
      <c r="R260" s="67"/>
    </row>
  </sheetData>
  <autoFilter ref="A1:T79">
    <filterColumn colId="0">
      <filters>
        <dateGroupItem dateTimeGrouping="day" day="12" month="10" year="2026"/>
        <dateGroupItem dateTimeGrouping="day" day="14" month="10" year="2026"/>
        <dateGroupItem dateTimeGrouping="day" day="15" month="10" year="2026"/>
        <dateGroupItem dateTimeGrouping="day" day="16" month="10" year="2026"/>
        <dateGroupItem dateTimeGrouping="day" day="17" month="10" year="2026"/>
        <dateGroupItem dateTimeGrouping="day" day="18" month="10" year="2026"/>
      </filters>
    </filterColumn>
  </autoFilter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68" t="s">
        <v>57</v>
      </c>
      <c r="B1" s="69" t="s">
        <v>58</v>
      </c>
      <c r="C1" s="68" t="s">
        <v>59</v>
      </c>
      <c r="D1" s="68" t="s">
        <v>60</v>
      </c>
      <c r="E1" s="68" t="s">
        <v>61</v>
      </c>
      <c r="F1" s="70" t="s">
        <v>62</v>
      </c>
      <c r="G1" s="68" t="s">
        <v>63</v>
      </c>
      <c r="H1" s="70" t="s">
        <v>64</v>
      </c>
      <c r="I1" s="68" t="s">
        <v>65</v>
      </c>
      <c r="J1" s="71" t="s">
        <v>66</v>
      </c>
      <c r="K1" s="71" t="s">
        <v>67</v>
      </c>
      <c r="L1" s="72" t="s">
        <v>68</v>
      </c>
      <c r="M1" s="72" t="s">
        <v>69</v>
      </c>
      <c r="N1" s="72" t="s">
        <v>70</v>
      </c>
      <c r="O1" s="68" t="s">
        <v>71</v>
      </c>
      <c r="P1" s="68" t="s">
        <v>72</v>
      </c>
      <c r="Q1" s="73" t="s">
        <v>73</v>
      </c>
      <c r="R1" s="74" t="s">
        <v>74</v>
      </c>
      <c r="S1" s="75" t="s">
        <v>75</v>
      </c>
      <c r="T1" s="75" t="s">
        <v>76</v>
      </c>
      <c r="U1" s="75"/>
      <c r="V1" s="75"/>
      <c r="W1" s="75"/>
      <c r="X1" s="75"/>
      <c r="Y1" s="75"/>
      <c r="Z1" s="75"/>
      <c r="AA1" s="75"/>
      <c r="AB1" s="75"/>
      <c r="AC1" s="75"/>
      <c r="AD1" s="75"/>
    </row>
    <row r="2">
      <c r="A2" s="76">
        <v>46311</v>
      </c>
      <c r="B2" s="77" t="s">
        <v>77</v>
      </c>
      <c r="C2" s="78" t="s">
        <v>78</v>
      </c>
      <c r="D2" s="79">
        <v>4</v>
      </c>
      <c r="E2" s="80"/>
      <c r="F2" s="81"/>
      <c r="G2" s="82"/>
      <c r="H2" s="83"/>
      <c r="I2" s="84"/>
      <c r="J2" s="82"/>
      <c r="K2" s="85"/>
      <c r="L2" s="86">
        <f t="shared" ref="L2:L6" si="2">J2/K2</f>
      </c>
      <c r="M2" s="87">
        <f t="shared" ref="M2:M6" si="0">J2/G2</f>
      </c>
      <c r="N2" s="86">
        <f t="shared" ref="N2:N6" si="1">K2/G2</f>
      </c>
      <c r="O2" s="79"/>
      <c r="P2" s="79"/>
      <c r="Q2" s="88" t="s">
        <v>79</v>
      </c>
      <c r="R2" s="89">
        <v>12</v>
      </c>
    </row>
    <row r="3">
      <c r="A3" s="76">
        <v>46311</v>
      </c>
      <c r="B3" s="77" t="s">
        <v>80</v>
      </c>
      <c r="C3" s="77" t="s">
        <v>81</v>
      </c>
      <c r="D3" s="79">
        <v>3</v>
      </c>
      <c r="E3" s="80"/>
      <c r="F3" s="81"/>
      <c r="G3" s="82"/>
      <c r="H3" s="83"/>
      <c r="I3" s="84"/>
      <c r="J3" s="82"/>
      <c r="K3" s="90"/>
      <c r="L3" s="86">
        <f t="shared" si="2"/>
      </c>
      <c r="M3" s="87">
        <f t="shared" si="0"/>
      </c>
      <c r="N3" s="87">
        <f t="shared" si="1"/>
      </c>
      <c r="O3" s="79"/>
      <c r="P3" s="91"/>
      <c r="Q3" s="92"/>
      <c r="R3" s="93"/>
    </row>
    <row r="4">
      <c r="A4" s="76">
        <v>46311</v>
      </c>
      <c r="B4" s="77" t="s">
        <v>82</v>
      </c>
      <c r="C4" s="77" t="s">
        <v>83</v>
      </c>
      <c r="D4" s="79">
        <v>2</v>
      </c>
      <c r="E4" s="80"/>
      <c r="F4" s="81"/>
      <c r="G4" s="82"/>
      <c r="H4" s="83"/>
      <c r="I4" s="84"/>
      <c r="J4" s="82"/>
      <c r="K4" s="90"/>
      <c r="L4" s="86">
        <f t="shared" si="2"/>
      </c>
      <c r="M4" s="87">
        <f t="shared" si="0"/>
      </c>
      <c r="N4" s="87">
        <f t="shared" si="1"/>
      </c>
      <c r="O4" s="79" t="s">
        <v>84</v>
      </c>
      <c r="P4" s="91">
        <v>12</v>
      </c>
      <c r="Q4" s="92"/>
      <c r="R4" s="93"/>
    </row>
    <row r="5">
      <c r="A5" s="76">
        <v>46311</v>
      </c>
      <c r="B5" s="77" t="s">
        <v>85</v>
      </c>
      <c r="C5" s="77" t="s">
        <v>86</v>
      </c>
      <c r="D5" s="79">
        <v>3</v>
      </c>
      <c r="E5" s="94"/>
      <c r="F5" s="81"/>
      <c r="G5" s="82"/>
      <c r="H5" s="83"/>
      <c r="I5" s="84"/>
      <c r="J5" s="82"/>
      <c r="K5" s="90"/>
      <c r="L5" s="86">
        <f t="shared" si="2"/>
      </c>
      <c r="M5" s="87">
        <f t="shared" si="0"/>
      </c>
      <c r="N5" s="87">
        <f t="shared" si="1"/>
      </c>
      <c r="O5" s="79"/>
      <c r="P5" s="91"/>
      <c r="Q5" s="95"/>
      <c r="R5" s="93"/>
    </row>
    <row r="6">
      <c r="A6" s="96">
        <v>46311</v>
      </c>
      <c r="B6" s="97" t="s">
        <v>87</v>
      </c>
      <c r="C6" s="98" t="s">
        <v>88</v>
      </c>
      <c r="D6" s="99">
        <f>SUM(D2:D5)</f>
      </c>
      <c r="E6" s="100">
        <f>SUM(E2:E5)</f>
      </c>
      <c r="F6" s="100">
        <f>SUM(F2:F5)</f>
      </c>
      <c r="G6" s="100">
        <f>SUM(G2:G5)</f>
      </c>
      <c r="H6" s="100">
        <f>SUM(H2:H5)</f>
      </c>
      <c r="I6" s="100">
        <f>SUM(I2:I5)</f>
      </c>
      <c r="J6" s="100">
        <f>SUM(J2:J5)</f>
      </c>
      <c r="K6" s="100">
        <f>SUM(K2:K5)</f>
      </c>
      <c r="L6" s="101">
        <f t="shared" si="2"/>
      </c>
      <c r="M6" s="101">
        <f t="shared" si="0"/>
      </c>
      <c r="N6" s="102">
        <f t="shared" si="1"/>
      </c>
      <c r="O6" s="103"/>
      <c r="P6" s="104">
        <f>SUM(P2:P5)</f>
      </c>
      <c r="Q6" s="99"/>
      <c r="R6" s="105">
        <f>SUM(R2:R5)</f>
      </c>
      <c r="S6">
        <f>T6-K6</f>
      </c>
      <c r="T6" s="106">
        <v>20326.51</v>
      </c>
      <c r="U6" s="106"/>
      <c r="V6" s="106"/>
      <c r="W6" s="106"/>
      <c r="X6" s="106"/>
      <c r="Y6" s="106"/>
      <c r="Z6" s="106"/>
      <c r="AA6" s="106"/>
      <c r="AB6" s="106"/>
      <c r="AC6" s="106"/>
      <c r="AD6" s="106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2.56338028169014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</cols>
  <sheetData>
    <row r="1">
      <c r="A1" s="107" t="s">
        <v>89</v>
      </c>
      <c r="B1" s="108" t="s">
        <v>90</v>
      </c>
      <c r="C1" s="107" t="s">
        <v>91</v>
      </c>
      <c r="D1" s="107" t="s">
        <v>92</v>
      </c>
      <c r="E1" s="107" t="s">
        <v>93</v>
      </c>
      <c r="F1" s="109" t="s">
        <v>94</v>
      </c>
      <c r="G1" s="107" t="s">
        <v>95</v>
      </c>
      <c r="H1" s="109" t="s">
        <v>96</v>
      </c>
      <c r="I1" s="107" t="s">
        <v>97</v>
      </c>
      <c r="J1" s="110" t="s">
        <v>98</v>
      </c>
      <c r="K1" s="110" t="s">
        <v>99</v>
      </c>
      <c r="L1" s="111" t="s">
        <v>100</v>
      </c>
      <c r="M1" s="111" t="s">
        <v>101</v>
      </c>
      <c r="N1" s="111" t="s">
        <v>102</v>
      </c>
      <c r="O1" s="107" t="s">
        <v>103</v>
      </c>
      <c r="P1" s="107" t="s">
        <v>104</v>
      </c>
      <c r="Q1" s="112" t="s">
        <v>105</v>
      </c>
      <c r="R1" s="112" t="s">
        <v>106</v>
      </c>
      <c r="S1" s="113"/>
      <c r="T1" s="113"/>
    </row>
    <row r="2">
      <c r="A2" s="114">
        <v>46266</v>
      </c>
      <c r="B2" s="115" t="s">
        <v>107</v>
      </c>
      <c r="C2" s="116" t="s">
        <v>108</v>
      </c>
      <c r="D2" s="117">
        <v>3</v>
      </c>
      <c r="E2" s="118">
        <v>17</v>
      </c>
      <c r="F2" s="119">
        <v>15</v>
      </c>
      <c r="G2" s="120">
        <v>13</v>
      </c>
      <c r="H2" s="121">
        <v>11</v>
      </c>
      <c r="I2" s="122">
        <v>0</v>
      </c>
      <c r="J2" s="120">
        <v>8869</v>
      </c>
      <c r="K2" s="123">
        <v>8900.94</v>
      </c>
      <c r="L2" s="124">
        <f t="shared" ref="L2:L115" si="1">J2/K2</f>
      </c>
      <c r="M2" s="125">
        <f t="shared" ref="M2:M115" si="2">J2/G2</f>
      </c>
      <c r="N2" s="124">
        <f t="shared" ref="N2:N115" si="3">K2/G2</f>
      </c>
      <c r="O2" s="126" t="s">
        <v>109</v>
      </c>
      <c r="P2" s="117">
        <v>8</v>
      </c>
      <c r="Q2" s="127" t="s">
        <v>110</v>
      </c>
      <c r="R2" s="128">
        <v>8</v>
      </c>
    </row>
    <row r="3">
      <c r="A3" s="114">
        <v>46266</v>
      </c>
      <c r="B3" s="126" t="s">
        <v>111</v>
      </c>
      <c r="C3" s="129" t="s">
        <v>112</v>
      </c>
      <c r="D3" s="126">
        <v>2</v>
      </c>
      <c r="E3" s="118">
        <v>4</v>
      </c>
      <c r="F3" s="119">
        <v>6</v>
      </c>
      <c r="G3" s="120">
        <v>5</v>
      </c>
      <c r="H3" s="121">
        <v>5</v>
      </c>
      <c r="I3" s="122">
        <v>1</v>
      </c>
      <c r="J3" s="120">
        <v>4465</v>
      </c>
      <c r="K3" s="123">
        <v>3537.26</v>
      </c>
      <c r="L3" s="124">
        <f t="shared" si="1"/>
      </c>
      <c r="M3" s="125">
        <f t="shared" si="2"/>
      </c>
      <c r="N3" s="125">
        <f t="shared" si="3"/>
      </c>
      <c r="O3" s="130"/>
      <c r="P3" s="130"/>
      <c r="Q3" s="131"/>
      <c r="R3" s="128"/>
    </row>
    <row r="4">
      <c r="A4" s="114">
        <v>46266</v>
      </c>
      <c r="B4" s="126" t="s">
        <v>113</v>
      </c>
      <c r="C4" s="129" t="s">
        <v>114</v>
      </c>
      <c r="D4" s="126">
        <v>3</v>
      </c>
      <c r="E4" s="132">
        <v>15</v>
      </c>
      <c r="F4" s="119">
        <v>14</v>
      </c>
      <c r="G4" s="120">
        <v>14</v>
      </c>
      <c r="H4" s="121">
        <v>11</v>
      </c>
      <c r="I4" s="122">
        <v>3</v>
      </c>
      <c r="J4" s="120">
        <v>10265.599999999999</v>
      </c>
      <c r="K4" s="123">
        <v>6836.85</v>
      </c>
      <c r="L4" s="124">
        <f t="shared" si="1"/>
      </c>
      <c r="M4" s="125">
        <f t="shared" si="2"/>
      </c>
      <c r="N4" s="125">
        <f t="shared" si="3"/>
      </c>
      <c r="O4" s="133"/>
      <c r="P4" s="133"/>
      <c r="Q4" s="134"/>
      <c r="R4" s="135"/>
    </row>
    <row r="5">
      <c r="A5" s="136">
        <v>46266</v>
      </c>
      <c r="B5" s="137" t="s">
        <v>115</v>
      </c>
      <c r="C5" s="138" t="s">
        <v>116</v>
      </c>
      <c r="D5" s="139">
        <f>SUM(D2:D4)</f>
      </c>
      <c r="E5" s="139">
        <f>SUM(E2:E4)</f>
      </c>
      <c r="F5" s="139">
        <f>SUM(F2:F4)</f>
      </c>
      <c r="G5" s="139">
        <f>SUM(G2:G4)</f>
      </c>
      <c r="H5" s="139">
        <f>SUM(H2:H4)</f>
      </c>
      <c r="I5" s="139">
        <f>SUM(I2:I4)</f>
      </c>
      <c r="J5" s="139">
        <f>SUM(J2:J4)</f>
      </c>
      <c r="K5" s="139">
        <f>SUM(K2:K4)</f>
      </c>
      <c r="L5" s="140">
        <f t="shared" si="1"/>
      </c>
      <c r="M5" s="140">
        <f t="shared" si="2"/>
      </c>
      <c r="N5" s="140">
        <f t="shared" si="3"/>
      </c>
      <c r="O5" s="141"/>
      <c r="P5" s="141">
        <f>SUM(P2:P4)</f>
      </c>
      <c r="Q5" s="139"/>
      <c r="R5" s="139">
        <f>SUM(R2:R4)</f>
      </c>
      <c r="T5" s="113"/>
    </row>
    <row r="6">
      <c r="A6" s="114">
        <v>46267</v>
      </c>
      <c r="B6" s="126" t="s">
        <v>111</v>
      </c>
      <c r="C6" s="116" t="s">
        <v>108</v>
      </c>
      <c r="D6" s="117">
        <v>3</v>
      </c>
      <c r="E6" s="118">
        <v>5</v>
      </c>
      <c r="F6" s="119">
        <v>5</v>
      </c>
      <c r="G6" s="120">
        <v>7</v>
      </c>
      <c r="H6" s="121">
        <v>5</v>
      </c>
      <c r="I6" s="122">
        <v>2</v>
      </c>
      <c r="J6" s="120">
        <v>3453</v>
      </c>
      <c r="K6" s="123">
        <v>6389.13</v>
      </c>
      <c r="L6" s="124">
        <f t="shared" si="1"/>
      </c>
      <c r="M6" s="125">
        <f t="shared" si="2"/>
      </c>
      <c r="N6" s="124">
        <f t="shared" si="3"/>
      </c>
      <c r="O6" s="126" t="s">
        <v>109</v>
      </c>
      <c r="P6" s="117">
        <v>8</v>
      </c>
      <c r="Q6" s="127" t="s">
        <v>110</v>
      </c>
      <c r="R6" s="128">
        <v>8</v>
      </c>
    </row>
    <row r="7">
      <c r="A7" s="114">
        <v>46267</v>
      </c>
      <c r="B7" s="126" t="s">
        <v>117</v>
      </c>
      <c r="C7" s="129" t="s">
        <v>112</v>
      </c>
      <c r="D7" s="126">
        <v>2</v>
      </c>
      <c r="E7" s="118">
        <v>5</v>
      </c>
      <c r="F7" s="119">
        <v>5</v>
      </c>
      <c r="G7" s="120">
        <v>6</v>
      </c>
      <c r="H7" s="121">
        <v>5</v>
      </c>
      <c r="I7" s="122">
        <v>1</v>
      </c>
      <c r="J7" s="120">
        <v>3933.3999999999996</v>
      </c>
      <c r="K7" s="123">
        <v>4038.04</v>
      </c>
      <c r="L7" s="124">
        <f t="shared" si="1"/>
      </c>
      <c r="M7" s="125">
        <f t="shared" si="2"/>
      </c>
      <c r="N7" s="125">
        <f t="shared" si="3"/>
      </c>
      <c r="O7" s="130"/>
      <c r="P7" s="130"/>
      <c r="Q7" s="131"/>
      <c r="R7" s="128"/>
    </row>
    <row r="8">
      <c r="A8" s="114">
        <v>46267</v>
      </c>
      <c r="B8" s="126" t="s">
        <v>113</v>
      </c>
      <c r="C8" s="129" t="s">
        <v>114</v>
      </c>
      <c r="D8" s="126">
        <v>3</v>
      </c>
      <c r="E8" s="132">
        <v>22</v>
      </c>
      <c r="F8" s="119">
        <v>22</v>
      </c>
      <c r="G8" s="120">
        <v>21</v>
      </c>
      <c r="H8" s="121">
        <v>18</v>
      </c>
      <c r="I8" s="122">
        <v>3</v>
      </c>
      <c r="J8" s="120">
        <v>13285.400000000003</v>
      </c>
      <c r="K8" s="123">
        <v>9098.59</v>
      </c>
      <c r="L8" s="124">
        <f t="shared" si="1"/>
      </c>
      <c r="M8" s="125">
        <f t="shared" si="2"/>
      </c>
      <c r="N8" s="125">
        <f t="shared" si="3"/>
      </c>
      <c r="O8" s="133"/>
      <c r="P8" s="133"/>
      <c r="Q8" s="134"/>
      <c r="R8" s="135"/>
    </row>
    <row r="9">
      <c r="A9" s="136">
        <v>46267</v>
      </c>
      <c r="B9" s="137" t="s">
        <v>115</v>
      </c>
      <c r="C9" s="138" t="s">
        <v>116</v>
      </c>
      <c r="D9" s="139">
        <f>SUM(D6:D8)</f>
      </c>
      <c r="E9" s="139">
        <f>SUM(E6:E8)</f>
      </c>
      <c r="F9" s="139">
        <f>SUM(F6:F8)</f>
      </c>
      <c r="G9" s="139">
        <f>SUM(G6:G8)</f>
      </c>
      <c r="H9" s="139">
        <f>SUM(H6:H8)</f>
      </c>
      <c r="I9" s="139">
        <f>SUM(I6:I8)</f>
      </c>
      <c r="J9" s="139">
        <f>SUM(J6:J8)</f>
      </c>
      <c r="K9" s="139">
        <f>SUM(K6:K8)</f>
      </c>
      <c r="L9" s="140">
        <f t="shared" si="1"/>
      </c>
      <c r="M9" s="140">
        <f t="shared" si="2"/>
      </c>
      <c r="N9" s="140">
        <f t="shared" si="3"/>
      </c>
      <c r="O9" s="141"/>
      <c r="P9" s="141">
        <f>SUM(P6:P8)</f>
      </c>
      <c r="Q9" s="139"/>
      <c r="R9" s="139">
        <f>SUM(R6:R8)</f>
      </c>
      <c r="T9" s="113"/>
    </row>
    <row r="10">
      <c r="A10" s="114">
        <v>46268</v>
      </c>
      <c r="B10" s="126" t="s">
        <v>117</v>
      </c>
      <c r="C10" s="116" t="s">
        <v>108</v>
      </c>
      <c r="D10" s="117">
        <v>3</v>
      </c>
      <c r="E10" s="118">
        <v>11</v>
      </c>
      <c r="F10" s="119">
        <v>11</v>
      </c>
      <c r="G10" s="120">
        <v>9</v>
      </c>
      <c r="H10" s="121">
        <v>8</v>
      </c>
      <c r="I10" s="122">
        <v>0</v>
      </c>
      <c r="J10" s="120">
        <v>5326.799999999999</v>
      </c>
      <c r="K10" s="123">
        <v>7473.93</v>
      </c>
      <c r="L10" s="124">
        <f t="shared" si="1"/>
      </c>
      <c r="M10" s="125">
        <f t="shared" si="2"/>
      </c>
      <c r="N10" s="124">
        <f t="shared" si="3"/>
      </c>
      <c r="O10" s="126" t="s">
        <v>109</v>
      </c>
      <c r="P10" s="117">
        <v>8</v>
      </c>
      <c r="Q10" s="127" t="s">
        <v>110</v>
      </c>
      <c r="R10" s="128">
        <v>8</v>
      </c>
    </row>
    <row r="11">
      <c r="A11" s="114">
        <v>46268</v>
      </c>
      <c r="B11" s="126" t="s">
        <v>107</v>
      </c>
      <c r="C11" s="129" t="s">
        <v>112</v>
      </c>
      <c r="D11" s="126">
        <v>2</v>
      </c>
      <c r="E11" s="118">
        <v>6</v>
      </c>
      <c r="F11" s="119">
        <v>4</v>
      </c>
      <c r="G11" s="120">
        <v>7</v>
      </c>
      <c r="H11" s="121">
        <v>5</v>
      </c>
      <c r="I11" s="122">
        <v>1</v>
      </c>
      <c r="J11" s="120">
        <v>3978.7999999999993</v>
      </c>
      <c r="K11" s="123">
        <v>4334.91</v>
      </c>
      <c r="L11" s="124">
        <f t="shared" si="1"/>
      </c>
      <c r="M11" s="125">
        <f t="shared" si="2"/>
      </c>
      <c r="N11" s="125">
        <f t="shared" si="3"/>
      </c>
      <c r="O11" s="130"/>
      <c r="P11" s="130"/>
      <c r="Q11" s="131"/>
      <c r="R11" s="128"/>
    </row>
    <row r="12">
      <c r="A12" s="114">
        <v>46268</v>
      </c>
      <c r="B12" s="126" t="s">
        <v>113</v>
      </c>
      <c r="C12" s="129" t="s">
        <v>114</v>
      </c>
      <c r="D12" s="126">
        <v>3</v>
      </c>
      <c r="E12" s="132">
        <v>27</v>
      </c>
      <c r="F12" s="119">
        <v>27</v>
      </c>
      <c r="G12" s="120">
        <v>28</v>
      </c>
      <c r="H12" s="121">
        <v>22</v>
      </c>
      <c r="I12" s="122">
        <v>6</v>
      </c>
      <c r="J12" s="120">
        <v>17347.600000000002</v>
      </c>
      <c r="K12" s="123">
        <v>9581.69</v>
      </c>
      <c r="L12" s="124">
        <f t="shared" si="1"/>
      </c>
      <c r="M12" s="125">
        <f t="shared" si="2"/>
      </c>
      <c r="N12" s="125">
        <f t="shared" si="3"/>
      </c>
      <c r="O12" s="133"/>
      <c r="P12" s="133"/>
      <c r="Q12" s="134"/>
      <c r="R12" s="135"/>
    </row>
    <row r="13">
      <c r="A13" s="136">
        <v>46268</v>
      </c>
      <c r="B13" s="137" t="s">
        <v>115</v>
      </c>
      <c r="C13" s="138" t="s">
        <v>116</v>
      </c>
      <c r="D13" s="139">
        <f>SUM(D10:D12)</f>
      </c>
      <c r="E13" s="139">
        <f>SUM(E10:E12)</f>
      </c>
      <c r="F13" s="139">
        <f>SUM(F10:F12)</f>
      </c>
      <c r="G13" s="139">
        <f>SUM(G10:G12)</f>
      </c>
      <c r="H13" s="139">
        <f>SUM(H10:H12)</f>
      </c>
      <c r="I13" s="139">
        <f>SUM(I10:I12)</f>
      </c>
      <c r="J13" s="139">
        <f>SUM(J10:J12)</f>
      </c>
      <c r="K13" s="139">
        <f>SUM(K10:K12)</f>
      </c>
      <c r="L13" s="140">
        <f t="shared" si="1"/>
      </c>
      <c r="M13" s="140">
        <f t="shared" si="2"/>
      </c>
      <c r="N13" s="140">
        <f t="shared" si="3"/>
      </c>
      <c r="O13" s="141"/>
      <c r="P13" s="141">
        <f>SUM(P10:P12)</f>
      </c>
      <c r="Q13" s="139"/>
      <c r="R13" s="139">
        <f>SUM(R10:R12)</f>
      </c>
      <c r="T13" s="113"/>
    </row>
    <row r="14">
      <c r="A14" s="114">
        <v>46269</v>
      </c>
      <c r="B14" s="126" t="s">
        <v>113</v>
      </c>
      <c r="C14" s="116" t="s">
        <v>118</v>
      </c>
      <c r="D14" s="126">
        <v>4</v>
      </c>
      <c r="E14" s="118">
        <v>18</v>
      </c>
      <c r="F14" s="119">
        <v>17</v>
      </c>
      <c r="G14" s="120">
        <v>18</v>
      </c>
      <c r="H14" s="121">
        <v>15</v>
      </c>
      <c r="I14" s="122">
        <v>2</v>
      </c>
      <c r="J14" s="120">
        <v>12479</v>
      </c>
      <c r="K14" s="123">
        <v>10441.25</v>
      </c>
      <c r="L14" s="124">
        <f t="shared" si="1"/>
      </c>
      <c r="M14" s="125">
        <f t="shared" si="2"/>
      </c>
      <c r="N14" s="124">
        <f t="shared" si="3"/>
      </c>
      <c r="O14" s="126" t="s">
        <v>109</v>
      </c>
      <c r="P14" s="117">
        <f>D16</f>
      </c>
      <c r="Q14" s="127" t="s">
        <v>110</v>
      </c>
      <c r="R14" s="117">
        <f>D16</f>
      </c>
    </row>
    <row r="15">
      <c r="A15" s="114">
        <v>46269</v>
      </c>
      <c r="B15" s="126" t="s">
        <v>117</v>
      </c>
      <c r="C15" s="129" t="s">
        <v>119</v>
      </c>
      <c r="D15" s="126">
        <v>4</v>
      </c>
      <c r="E15" s="132">
        <v>25</v>
      </c>
      <c r="F15" s="119">
        <v>26</v>
      </c>
      <c r="G15" s="120">
        <v>18</v>
      </c>
      <c r="H15" s="121">
        <v>16</v>
      </c>
      <c r="I15" s="122">
        <v>3</v>
      </c>
      <c r="J15" s="120">
        <v>11892.800000000003</v>
      </c>
      <c r="K15" s="123">
        <v>10804.720000000001</v>
      </c>
      <c r="L15" s="124">
        <f t="shared" si="1"/>
      </c>
      <c r="M15" s="125">
        <f t="shared" si="2"/>
      </c>
      <c r="N15" s="125">
        <f t="shared" si="3"/>
      </c>
      <c r="O15" s="133"/>
      <c r="P15" s="133"/>
      <c r="Q15" s="134"/>
      <c r="R15" s="135"/>
    </row>
    <row r="16">
      <c r="A16" s="136">
        <v>46269</v>
      </c>
      <c r="B16" s="137" t="s">
        <v>115</v>
      </c>
      <c r="C16" s="138" t="s">
        <v>116</v>
      </c>
      <c r="D16" s="139">
        <f>SUM(D14:D15)</f>
      </c>
      <c r="E16" s="139">
        <f>SUM(E14:E15)</f>
      </c>
      <c r="F16" s="139">
        <f>SUM(F14:F15)</f>
      </c>
      <c r="G16" s="139">
        <f>SUM(G14:G15)</f>
      </c>
      <c r="H16" s="139">
        <f>SUM(H14:H15)</f>
      </c>
      <c r="I16" s="139">
        <f>SUM(I14:I15)</f>
      </c>
      <c r="J16" s="139">
        <f>SUM(J14:J15)</f>
      </c>
      <c r="K16" s="139">
        <f>SUM(K14:K15)</f>
      </c>
      <c r="L16" s="140">
        <f t="shared" si="1"/>
      </c>
      <c r="M16" s="140">
        <f t="shared" si="2"/>
      </c>
      <c r="N16" s="140">
        <f t="shared" si="3"/>
      </c>
      <c r="O16" s="141"/>
      <c r="P16" s="141">
        <f>SUM(P14:P15)</f>
      </c>
      <c r="Q16" s="139"/>
      <c r="R16" s="139">
        <f>SUM(R14:R15)</f>
      </c>
      <c r="T16" s="113"/>
    </row>
    <row r="17">
      <c r="A17" s="114">
        <v>46270</v>
      </c>
      <c r="B17" s="126" t="s">
        <v>111</v>
      </c>
      <c r="C17" s="116" t="s">
        <v>118</v>
      </c>
      <c r="D17" s="126">
        <v>4</v>
      </c>
      <c r="E17" s="118">
        <v>18</v>
      </c>
      <c r="F17" s="119">
        <v>15</v>
      </c>
      <c r="G17" s="120">
        <v>17</v>
      </c>
      <c r="H17" s="121">
        <v>14</v>
      </c>
      <c r="I17" s="122">
        <v>0</v>
      </c>
      <c r="J17" s="120">
        <v>10794.8</v>
      </c>
      <c r="K17" s="123">
        <v>7866.32</v>
      </c>
      <c r="L17" s="124">
        <f t="shared" si="1"/>
      </c>
      <c r="M17" s="125">
        <f t="shared" si="2"/>
      </c>
      <c r="N17" s="124">
        <f t="shared" si="3"/>
      </c>
      <c r="O17" s="126" t="s">
        <v>109</v>
      </c>
      <c r="P17" s="117">
        <f>D19</f>
      </c>
      <c r="Q17" s="127" t="s">
        <v>110</v>
      </c>
      <c r="R17" s="117">
        <f>D19</f>
      </c>
    </row>
    <row r="18">
      <c r="A18" s="114">
        <v>46270</v>
      </c>
      <c r="B18" s="126" t="s">
        <v>113</v>
      </c>
      <c r="C18" s="129" t="s">
        <v>119</v>
      </c>
      <c r="D18" s="126">
        <v>4</v>
      </c>
      <c r="E18" s="132">
        <v>17</v>
      </c>
      <c r="F18" s="119">
        <v>17</v>
      </c>
      <c r="G18" s="120">
        <v>18</v>
      </c>
      <c r="H18" s="121">
        <v>14</v>
      </c>
      <c r="I18" s="122">
        <v>4</v>
      </c>
      <c r="J18" s="120">
        <v>12350.2</v>
      </c>
      <c r="K18" s="123">
        <v>8446.61</v>
      </c>
      <c r="L18" s="124">
        <f t="shared" si="1"/>
      </c>
      <c r="M18" s="125">
        <f t="shared" si="2"/>
      </c>
      <c r="N18" s="125">
        <f t="shared" si="3"/>
      </c>
      <c r="O18" s="133"/>
      <c r="P18" s="133"/>
      <c r="Q18" s="134"/>
      <c r="R18" s="135"/>
    </row>
    <row r="19">
      <c r="A19" s="136">
        <v>46270</v>
      </c>
      <c r="B19" s="137" t="s">
        <v>115</v>
      </c>
      <c r="C19" s="138" t="s">
        <v>116</v>
      </c>
      <c r="D19" s="139">
        <f>SUM(D17:D18)</f>
      </c>
      <c r="E19" s="139">
        <f>SUM(E17:E18)</f>
      </c>
      <c r="F19" s="139">
        <f>SUM(F17:F18)</f>
      </c>
      <c r="G19" s="139">
        <f>SUM(G17:G18)</f>
      </c>
      <c r="H19" s="139">
        <f>SUM(H17:H18)</f>
      </c>
      <c r="I19" s="139">
        <f>SUM(I17:I18)</f>
      </c>
      <c r="J19" s="139">
        <f>SUM(J17:J18)</f>
      </c>
      <c r="K19" s="139">
        <f>SUM(K17:K18)</f>
      </c>
      <c r="L19" s="140">
        <f t="shared" si="1"/>
      </c>
      <c r="M19" s="140">
        <f t="shared" si="2"/>
      </c>
      <c r="N19" s="140">
        <f t="shared" si="3"/>
      </c>
      <c r="O19" s="141"/>
      <c r="P19" s="141">
        <f>SUM(P17:P18)</f>
      </c>
      <c r="Q19" s="139"/>
      <c r="R19" s="139">
        <f>SUM(R17:R18)</f>
      </c>
      <c r="T19" s="113"/>
    </row>
    <row r="20">
      <c r="A20" s="114">
        <v>46271</v>
      </c>
      <c r="B20" s="126" t="s">
        <v>111</v>
      </c>
      <c r="C20" s="116" t="s">
        <v>108</v>
      </c>
      <c r="D20" s="117">
        <v>3</v>
      </c>
      <c r="E20" s="118">
        <v>13</v>
      </c>
      <c r="F20" s="119">
        <v>13</v>
      </c>
      <c r="G20" s="120">
        <v>19</v>
      </c>
      <c r="H20" s="121">
        <v>12</v>
      </c>
      <c r="I20" s="122">
        <v>6</v>
      </c>
      <c r="J20" s="120">
        <v>9905.599999999999</v>
      </c>
      <c r="K20" s="123">
        <v>5647.76</v>
      </c>
      <c r="L20" s="124">
        <f t="shared" si="1"/>
      </c>
      <c r="M20" s="125">
        <f t="shared" si="2"/>
      </c>
      <c r="N20" s="124">
        <f t="shared" si="3"/>
      </c>
      <c r="O20" s="126" t="s">
        <v>109</v>
      </c>
      <c r="P20" s="117">
        <v>8</v>
      </c>
      <c r="Q20" s="127" t="s">
        <v>110</v>
      </c>
      <c r="R20" s="128">
        <v>8</v>
      </c>
    </row>
    <row r="21">
      <c r="A21" s="114">
        <v>46271</v>
      </c>
      <c r="B21" s="126" t="s">
        <v>120</v>
      </c>
      <c r="C21" s="129" t="s">
        <v>112</v>
      </c>
      <c r="D21" s="126">
        <v>2</v>
      </c>
      <c r="E21" s="118">
        <v>6</v>
      </c>
      <c r="F21" s="119">
        <v>6</v>
      </c>
      <c r="G21" s="120">
        <v>6</v>
      </c>
      <c r="H21" s="121">
        <v>5</v>
      </c>
      <c r="I21" s="122">
        <v>1</v>
      </c>
      <c r="J21" s="120">
        <v>3549.2000000000007</v>
      </c>
      <c r="K21" s="123">
        <v>4484.3099999999995</v>
      </c>
      <c r="L21" s="124">
        <f t="shared" si="1"/>
      </c>
      <c r="M21" s="125">
        <f t="shared" si="2"/>
      </c>
      <c r="N21" s="125">
        <f t="shared" si="3"/>
      </c>
      <c r="O21" s="130"/>
      <c r="P21" s="130"/>
      <c r="Q21" s="131"/>
      <c r="R21" s="128"/>
    </row>
    <row r="22">
      <c r="A22" s="114">
        <v>46271</v>
      </c>
      <c r="B22" s="126" t="s">
        <v>113</v>
      </c>
      <c r="C22" s="129" t="s">
        <v>114</v>
      </c>
      <c r="D22" s="126">
        <v>3</v>
      </c>
      <c r="E22" s="132">
        <v>8</v>
      </c>
      <c r="F22" s="119">
        <v>8</v>
      </c>
      <c r="G22" s="120">
        <v>8</v>
      </c>
      <c r="H22" s="121">
        <v>7</v>
      </c>
      <c r="I22" s="122">
        <v>1</v>
      </c>
      <c r="J22" s="120">
        <v>6076</v>
      </c>
      <c r="K22" s="123">
        <v>6638.73</v>
      </c>
      <c r="L22" s="124">
        <f t="shared" si="1"/>
      </c>
      <c r="M22" s="125">
        <f t="shared" si="2"/>
      </c>
      <c r="N22" s="125">
        <f t="shared" si="3"/>
      </c>
      <c r="O22" s="133"/>
      <c r="P22" s="133"/>
      <c r="Q22" s="134"/>
      <c r="R22" s="135"/>
    </row>
    <row r="23">
      <c r="A23" s="136">
        <v>46271</v>
      </c>
      <c r="B23" s="137" t="s">
        <v>115</v>
      </c>
      <c r="C23" s="138" t="s">
        <v>116</v>
      </c>
      <c r="D23" s="139">
        <f>SUM(D20:D22)</f>
      </c>
      <c r="E23" s="139">
        <f>SUM(E20:E22)</f>
      </c>
      <c r="F23" s="139">
        <f>SUM(F20:F22)</f>
      </c>
      <c r="G23" s="139">
        <f>SUM(G20:G22)</f>
      </c>
      <c r="H23" s="139">
        <f>SUM(H20:H22)</f>
      </c>
      <c r="I23" s="139">
        <f>SUM(I20:I22)</f>
      </c>
      <c r="J23" s="139">
        <f>SUM(J20:J22)</f>
      </c>
      <c r="K23" s="139">
        <f>SUM(K20:K22)</f>
      </c>
      <c r="L23" s="140">
        <f t="shared" si="1"/>
      </c>
      <c r="M23" s="140">
        <f t="shared" si="2"/>
      </c>
      <c r="N23" s="140">
        <f t="shared" si="3"/>
      </c>
      <c r="O23" s="141"/>
      <c r="P23" s="141">
        <f>SUM(P20:P22)</f>
      </c>
      <c r="Q23" s="139"/>
      <c r="R23" s="139">
        <f>SUM(R20:R22)</f>
      </c>
      <c r="T23" s="113"/>
    </row>
    <row r="24">
      <c r="A24" s="114">
        <v>46272</v>
      </c>
      <c r="B24" s="126" t="s">
        <v>111</v>
      </c>
      <c r="C24" s="116" t="s">
        <v>108</v>
      </c>
      <c r="D24" s="117">
        <v>3</v>
      </c>
      <c r="E24" s="118">
        <v>5</v>
      </c>
      <c r="F24" s="119">
        <v>5</v>
      </c>
      <c r="G24" s="120">
        <v>4</v>
      </c>
      <c r="H24" s="121">
        <v>4</v>
      </c>
      <c r="I24" s="122">
        <v>0</v>
      </c>
      <c r="J24" s="120">
        <v>2249.8</v>
      </c>
      <c r="K24" s="123">
        <v>3809.86</v>
      </c>
      <c r="L24" s="124">
        <f t="shared" si="1"/>
      </c>
      <c r="M24" s="125">
        <f t="shared" si="2"/>
      </c>
      <c r="N24" s="124">
        <f t="shared" si="3"/>
      </c>
      <c r="O24" s="126" t="s">
        <v>121</v>
      </c>
      <c r="P24" s="117">
        <v>8</v>
      </c>
      <c r="Q24" s="127" t="s">
        <v>110</v>
      </c>
      <c r="R24" s="128">
        <v>8</v>
      </c>
    </row>
    <row r="25">
      <c r="A25" s="114">
        <v>46272</v>
      </c>
      <c r="B25" s="126" t="s">
        <v>117</v>
      </c>
      <c r="C25" s="129" t="s">
        <v>112</v>
      </c>
      <c r="D25" s="126">
        <v>2</v>
      </c>
      <c r="E25" s="118">
        <v>18</v>
      </c>
      <c r="F25" s="119">
        <v>13</v>
      </c>
      <c r="G25" s="120">
        <v>14</v>
      </c>
      <c r="H25" s="121">
        <v>13</v>
      </c>
      <c r="I25" s="122">
        <v>2</v>
      </c>
      <c r="J25" s="120">
        <v>7780.6</v>
      </c>
      <c r="K25" s="123">
        <v>4840.57</v>
      </c>
      <c r="L25" s="124">
        <f t="shared" si="1"/>
      </c>
      <c r="M25" s="125">
        <f t="shared" si="2"/>
      </c>
      <c r="N25" s="125">
        <f t="shared" si="3"/>
      </c>
      <c r="O25" s="130"/>
      <c r="P25" s="130"/>
      <c r="Q25" s="131"/>
      <c r="R25" s="128"/>
    </row>
    <row r="26">
      <c r="A26" s="114">
        <v>46272</v>
      </c>
      <c r="B26" s="126" t="s">
        <v>113</v>
      </c>
      <c r="C26" s="129" t="s">
        <v>114</v>
      </c>
      <c r="D26" s="126">
        <v>3</v>
      </c>
      <c r="E26" s="132">
        <v>25</v>
      </c>
      <c r="F26" s="119">
        <v>29</v>
      </c>
      <c r="G26" s="120">
        <v>30</v>
      </c>
      <c r="H26" s="121">
        <v>25</v>
      </c>
      <c r="I26" s="122">
        <v>7</v>
      </c>
      <c r="J26" s="120">
        <v>22762.4</v>
      </c>
      <c r="K26" s="123">
        <v>10768.77</v>
      </c>
      <c r="L26" s="124">
        <f t="shared" si="1"/>
      </c>
      <c r="M26" s="125">
        <f t="shared" si="2"/>
      </c>
      <c r="N26" s="125">
        <f t="shared" si="3"/>
      </c>
      <c r="O26" s="133"/>
      <c r="P26" s="133"/>
      <c r="Q26" s="134"/>
      <c r="R26" s="135"/>
    </row>
    <row r="27">
      <c r="A27" s="136">
        <v>46272</v>
      </c>
      <c r="B27" s="137" t="s">
        <v>115</v>
      </c>
      <c r="C27" s="138" t="s">
        <v>116</v>
      </c>
      <c r="D27" s="139">
        <f>SUM(D24:D26)</f>
      </c>
      <c r="E27" s="139">
        <f>SUM(E24:E26)</f>
      </c>
      <c r="F27" s="139">
        <f>SUM(F24:F26)</f>
      </c>
      <c r="G27" s="139">
        <f>SUM(G24:G26)</f>
      </c>
      <c r="H27" s="139">
        <f>SUM(H24:H26)</f>
      </c>
      <c r="I27" s="139">
        <f>SUM(I24:I26)</f>
      </c>
      <c r="J27" s="139">
        <f>SUM(J24:J26)</f>
      </c>
      <c r="K27" s="139">
        <f>SUM(K24:K26)</f>
      </c>
      <c r="L27" s="140">
        <f t="shared" si="1"/>
      </c>
      <c r="M27" s="140">
        <f t="shared" si="2"/>
      </c>
      <c r="N27" s="140">
        <f t="shared" si="3"/>
      </c>
      <c r="O27" s="141"/>
      <c r="P27" s="141">
        <f>SUM(P24:P26)</f>
      </c>
      <c r="Q27" s="139"/>
      <c r="R27" s="139">
        <f>SUM(R24:R26)</f>
      </c>
      <c r="T27" s="113"/>
    </row>
    <row r="28">
      <c r="A28" s="114">
        <v>46273</v>
      </c>
      <c r="B28" s="126" t="s">
        <v>113</v>
      </c>
      <c r="C28" s="116" t="s">
        <v>108</v>
      </c>
      <c r="D28" s="117">
        <v>3</v>
      </c>
      <c r="E28" s="118">
        <v>10</v>
      </c>
      <c r="F28" s="119">
        <v>10</v>
      </c>
      <c r="G28" s="120">
        <v>6</v>
      </c>
      <c r="H28" s="121">
        <v>6</v>
      </c>
      <c r="I28" s="122">
        <v>0</v>
      </c>
      <c r="J28" s="120">
        <v>4175.8</v>
      </c>
      <c r="K28" s="123">
        <v>6423.3</v>
      </c>
      <c r="L28" s="124">
        <f t="shared" si="1"/>
      </c>
      <c r="M28" s="125">
        <f t="shared" si="2"/>
      </c>
      <c r="N28" s="124">
        <f t="shared" si="3"/>
      </c>
      <c r="O28" s="126" t="s">
        <v>122</v>
      </c>
      <c r="P28" s="117">
        <v>8</v>
      </c>
      <c r="Q28" s="127" t="s">
        <v>110</v>
      </c>
      <c r="R28" s="128">
        <v>8</v>
      </c>
    </row>
    <row r="29">
      <c r="A29" s="114">
        <v>46273</v>
      </c>
      <c r="B29" s="142" t="s">
        <v>120</v>
      </c>
      <c r="C29" s="129" t="s">
        <v>112</v>
      </c>
      <c r="D29" s="126">
        <v>2</v>
      </c>
      <c r="E29" s="118">
        <v>7</v>
      </c>
      <c r="F29" s="119">
        <v>7</v>
      </c>
      <c r="G29" s="120">
        <v>6</v>
      </c>
      <c r="H29" s="121">
        <v>5</v>
      </c>
      <c r="I29" s="122">
        <v>0</v>
      </c>
      <c r="J29" s="120">
        <v>3014.2</v>
      </c>
      <c r="K29" s="123">
        <v>3427.59</v>
      </c>
      <c r="L29" s="124">
        <f t="shared" si="1"/>
      </c>
      <c r="M29" s="125">
        <f t="shared" si="2"/>
      </c>
      <c r="N29" s="125">
        <f t="shared" si="3"/>
      </c>
      <c r="O29" s="130"/>
      <c r="P29" s="130"/>
      <c r="Q29" s="131"/>
      <c r="R29" s="128"/>
    </row>
    <row r="30">
      <c r="A30" s="114">
        <v>46273</v>
      </c>
      <c r="B30" s="126" t="s">
        <v>117</v>
      </c>
      <c r="C30" s="129" t="s">
        <v>114</v>
      </c>
      <c r="D30" s="126">
        <v>3</v>
      </c>
      <c r="E30" s="132">
        <v>14</v>
      </c>
      <c r="F30" s="119">
        <v>14</v>
      </c>
      <c r="G30" s="120">
        <v>14</v>
      </c>
      <c r="H30" s="121">
        <v>14</v>
      </c>
      <c r="I30" s="122">
        <v>1</v>
      </c>
      <c r="J30" s="120">
        <v>9057.2</v>
      </c>
      <c r="K30" s="123">
        <v>8581.35</v>
      </c>
      <c r="L30" s="124">
        <f t="shared" si="1"/>
      </c>
      <c r="M30" s="125">
        <f t="shared" si="2"/>
      </c>
      <c r="N30" s="125">
        <f t="shared" si="3"/>
      </c>
      <c r="O30" s="133"/>
      <c r="P30" s="133"/>
      <c r="Q30" s="134"/>
      <c r="R30" s="135"/>
    </row>
    <row r="31">
      <c r="A31" s="136">
        <v>46273</v>
      </c>
      <c r="B31" s="137" t="s">
        <v>115</v>
      </c>
      <c r="C31" s="138" t="s">
        <v>116</v>
      </c>
      <c r="D31" s="139">
        <f>SUM(D28:D30)</f>
      </c>
      <c r="E31" s="139">
        <f>SUM(E28:E30)</f>
      </c>
      <c r="F31" s="139">
        <f>SUM(F28:F30)</f>
      </c>
      <c r="G31" s="139">
        <f>SUM(G28:G30)</f>
      </c>
      <c r="H31" s="139">
        <f>SUM(H28:H30)</f>
      </c>
      <c r="I31" s="139">
        <f>SUM(I28:I30)</f>
      </c>
      <c r="J31" s="139">
        <f>SUM(J28:J30)</f>
      </c>
      <c r="K31" s="139">
        <f>SUM(K28:K30)</f>
      </c>
      <c r="L31" s="140">
        <f t="shared" si="1"/>
      </c>
      <c r="M31" s="140">
        <f t="shared" si="2"/>
      </c>
      <c r="N31" s="140">
        <f t="shared" si="3"/>
      </c>
      <c r="O31" s="141"/>
      <c r="P31" s="141">
        <f>SUM(P28:P30)</f>
      </c>
      <c r="Q31" s="139"/>
      <c r="R31" s="139">
        <f>SUM(R28:R30)</f>
      </c>
      <c r="T31" s="113"/>
    </row>
    <row r="32">
      <c r="A32" s="114">
        <v>46274</v>
      </c>
      <c r="B32" s="126" t="s">
        <v>111</v>
      </c>
      <c r="C32" s="116" t="s">
        <v>108</v>
      </c>
      <c r="D32" s="117">
        <v>3</v>
      </c>
      <c r="E32" s="118">
        <v>6</v>
      </c>
      <c r="F32" s="119">
        <v>5</v>
      </c>
      <c r="G32" s="120">
        <v>6</v>
      </c>
      <c r="H32" s="121">
        <v>4</v>
      </c>
      <c r="I32" s="122">
        <v>1</v>
      </c>
      <c r="J32" s="120">
        <v>4683.4</v>
      </c>
      <c r="K32" s="123">
        <v>5336.3</v>
      </c>
      <c r="L32" s="124">
        <f t="shared" si="1"/>
      </c>
      <c r="M32" s="125">
        <f t="shared" si="2"/>
      </c>
      <c r="N32" s="124">
        <f t="shared" si="3"/>
      </c>
      <c r="O32" s="126" t="s">
        <v>122</v>
      </c>
      <c r="P32" s="117">
        <v>8</v>
      </c>
      <c r="Q32" s="127" t="s">
        <v>110</v>
      </c>
      <c r="R32" s="128">
        <v>8</v>
      </c>
    </row>
    <row r="33">
      <c r="A33" s="114">
        <v>46274</v>
      </c>
      <c r="B33" s="142" t="s">
        <v>120</v>
      </c>
      <c r="C33" s="129" t="s">
        <v>112</v>
      </c>
      <c r="D33" s="126">
        <v>2</v>
      </c>
      <c r="E33" s="118">
        <v>6</v>
      </c>
      <c r="F33" s="119">
        <v>4</v>
      </c>
      <c r="G33" s="120">
        <v>8</v>
      </c>
      <c r="H33" s="121">
        <v>5</v>
      </c>
      <c r="I33" s="122">
        <v>1</v>
      </c>
      <c r="J33" s="120">
        <v>5510.8</v>
      </c>
      <c r="K33" s="123">
        <v>3217.44</v>
      </c>
      <c r="L33" s="124">
        <f t="shared" si="1"/>
      </c>
      <c r="M33" s="125">
        <f t="shared" si="2"/>
      </c>
      <c r="N33" s="125">
        <f t="shared" si="3"/>
      </c>
      <c r="O33" s="130"/>
      <c r="P33" s="130"/>
      <c r="Q33" s="131"/>
      <c r="R33" s="128"/>
    </row>
    <row r="34">
      <c r="A34" s="114">
        <v>46274</v>
      </c>
      <c r="B34" s="126" t="s">
        <v>113</v>
      </c>
      <c r="C34" s="129" t="s">
        <v>114</v>
      </c>
      <c r="D34" s="126">
        <v>3</v>
      </c>
      <c r="E34" s="132">
        <v>10</v>
      </c>
      <c r="F34" s="119">
        <v>12</v>
      </c>
      <c r="G34" s="120">
        <v>9</v>
      </c>
      <c r="H34" s="121">
        <v>9</v>
      </c>
      <c r="I34" s="122">
        <v>1</v>
      </c>
      <c r="J34" s="120">
        <v>7443.399999999998</v>
      </c>
      <c r="K34" s="123">
        <v>5958.07</v>
      </c>
      <c r="L34" s="124">
        <f t="shared" si="1"/>
      </c>
      <c r="M34" s="125">
        <f t="shared" si="2"/>
      </c>
      <c r="N34" s="125">
        <f t="shared" si="3"/>
      </c>
      <c r="O34" s="133"/>
      <c r="P34" s="133"/>
      <c r="Q34" s="134"/>
      <c r="R34" s="135"/>
    </row>
    <row r="35">
      <c r="A35" s="136">
        <v>46274</v>
      </c>
      <c r="B35" s="137" t="s">
        <v>115</v>
      </c>
      <c r="C35" s="138" t="s">
        <v>116</v>
      </c>
      <c r="D35" s="139">
        <f>SUM(D32:D34)</f>
      </c>
      <c r="E35" s="139">
        <f>SUM(E32:E34)</f>
      </c>
      <c r="F35" s="139">
        <f>SUM(F32:F34)</f>
      </c>
      <c r="G35" s="139">
        <f>SUM(G32:G34)</f>
      </c>
      <c r="H35" s="139">
        <f>SUM(H32:H34)</f>
      </c>
      <c r="I35" s="139">
        <f>SUM(I32:I34)</f>
      </c>
      <c r="J35" s="139">
        <f>SUM(J32:J34)</f>
      </c>
      <c r="K35" s="139">
        <f>SUM(K32:K34)</f>
      </c>
      <c r="L35" s="140">
        <f t="shared" si="1"/>
      </c>
      <c r="M35" s="140">
        <f t="shared" si="2"/>
      </c>
      <c r="N35" s="140">
        <f t="shared" si="3"/>
      </c>
      <c r="O35" s="141"/>
      <c r="P35" s="141">
        <f>SUM(P32:P34)</f>
      </c>
      <c r="Q35" s="139"/>
      <c r="R35" s="139">
        <f>SUM(R32:R34)</f>
      </c>
      <c r="T35" s="113"/>
    </row>
    <row r="36">
      <c r="A36" s="114">
        <v>46275</v>
      </c>
      <c r="B36" s="126" t="s">
        <v>117</v>
      </c>
      <c r="C36" s="116" t="s">
        <v>108</v>
      </c>
      <c r="D36" s="117">
        <v>3</v>
      </c>
      <c r="E36" s="118">
        <v>6</v>
      </c>
      <c r="F36" s="119">
        <v>6</v>
      </c>
      <c r="G36" s="120">
        <v>7</v>
      </c>
      <c r="H36" s="121">
        <v>5</v>
      </c>
      <c r="I36" s="122">
        <v>2</v>
      </c>
      <c r="J36" s="120">
        <v>4628</v>
      </c>
      <c r="K36" s="123">
        <v>3721.14</v>
      </c>
      <c r="L36" s="124">
        <f t="shared" si="1"/>
      </c>
      <c r="M36" s="125">
        <f t="shared" si="2"/>
      </c>
      <c r="N36" s="124">
        <f t="shared" si="3"/>
      </c>
      <c r="O36" s="126" t="s">
        <v>121</v>
      </c>
      <c r="P36" s="117">
        <v>8</v>
      </c>
      <c r="Q36" s="127" t="s">
        <v>110</v>
      </c>
      <c r="R36" s="128">
        <v>8</v>
      </c>
    </row>
    <row r="37">
      <c r="A37" s="114">
        <v>46275</v>
      </c>
      <c r="B37" s="142" t="s">
        <v>120</v>
      </c>
      <c r="C37" s="129" t="s">
        <v>112</v>
      </c>
      <c r="D37" s="126">
        <v>2</v>
      </c>
      <c r="E37" s="118">
        <v>9</v>
      </c>
      <c r="F37" s="119">
        <v>8</v>
      </c>
      <c r="G37" s="120">
        <v>9</v>
      </c>
      <c r="H37" s="121">
        <v>6</v>
      </c>
      <c r="I37" s="122">
        <v>3</v>
      </c>
      <c r="J37" s="120">
        <v>5903.2</v>
      </c>
      <c r="K37" s="123">
        <v>2131.51</v>
      </c>
      <c r="L37" s="124">
        <f t="shared" si="1"/>
      </c>
      <c r="M37" s="125">
        <f t="shared" si="2"/>
      </c>
      <c r="N37" s="125">
        <f t="shared" si="3"/>
      </c>
      <c r="O37" s="130"/>
      <c r="P37" s="130"/>
      <c r="Q37" s="131"/>
      <c r="R37" s="128"/>
    </row>
    <row r="38">
      <c r="A38" s="114">
        <v>46275</v>
      </c>
      <c r="B38" s="126" t="s">
        <v>111</v>
      </c>
      <c r="C38" s="129" t="s">
        <v>114</v>
      </c>
      <c r="D38" s="126">
        <v>3</v>
      </c>
      <c r="E38" s="132">
        <v>18</v>
      </c>
      <c r="F38" s="119">
        <v>19</v>
      </c>
      <c r="G38" s="120">
        <v>14</v>
      </c>
      <c r="H38" s="121">
        <v>12</v>
      </c>
      <c r="I38" s="122">
        <v>3</v>
      </c>
      <c r="J38" s="120">
        <v>10028.2</v>
      </c>
      <c r="K38" s="123">
        <v>4916.2</v>
      </c>
      <c r="L38" s="124">
        <f t="shared" si="1"/>
      </c>
      <c r="M38" s="125">
        <f t="shared" si="2"/>
      </c>
      <c r="N38" s="125">
        <f t="shared" si="3"/>
      </c>
      <c r="O38" s="133"/>
      <c r="P38" s="133"/>
      <c r="Q38" s="134"/>
      <c r="R38" s="135"/>
    </row>
    <row r="39">
      <c r="A39" s="136">
        <v>46275</v>
      </c>
      <c r="B39" s="137" t="s">
        <v>115</v>
      </c>
      <c r="C39" s="138" t="s">
        <v>116</v>
      </c>
      <c r="D39" s="139">
        <f>SUM(D36:D38)</f>
      </c>
      <c r="E39" s="139">
        <f>SUM(E36:E38)</f>
      </c>
      <c r="F39" s="139">
        <f>SUM(F36:F38)</f>
      </c>
      <c r="G39" s="139">
        <f>SUM(G36:G38)</f>
      </c>
      <c r="H39" s="139">
        <f>SUM(H36:H38)</f>
      </c>
      <c r="I39" s="139">
        <f>SUM(I36:I38)</f>
      </c>
      <c r="J39" s="139">
        <f>SUM(J36:J38)</f>
      </c>
      <c r="K39" s="139">
        <f>SUM(K36:K38)</f>
      </c>
      <c r="L39" s="140">
        <f t="shared" si="1"/>
      </c>
      <c r="M39" s="140">
        <f t="shared" si="2"/>
      </c>
      <c r="N39" s="140">
        <f t="shared" si="3"/>
      </c>
      <c r="O39" s="141"/>
      <c r="P39" s="141">
        <f>SUM(P36:P38)</f>
      </c>
      <c r="Q39" s="139"/>
      <c r="R39" s="139">
        <f>SUM(R36:R38)</f>
      </c>
      <c r="T39" s="113"/>
    </row>
    <row r="40">
      <c r="A40" s="114">
        <v>46276</v>
      </c>
      <c r="B40" s="126" t="s">
        <v>117</v>
      </c>
      <c r="C40" s="116" t="s">
        <v>108</v>
      </c>
      <c r="D40" s="117">
        <v>3</v>
      </c>
      <c r="E40" s="118">
        <v>11</v>
      </c>
      <c r="F40" s="119">
        <v>10</v>
      </c>
      <c r="G40" s="120">
        <v>14</v>
      </c>
      <c r="H40" s="121">
        <v>8</v>
      </c>
      <c r="I40" s="122">
        <v>4</v>
      </c>
      <c r="J40" s="120">
        <v>9504</v>
      </c>
      <c r="K40" s="123">
        <v>4219.25</v>
      </c>
      <c r="L40" s="124">
        <f t="shared" si="1"/>
      </c>
      <c r="M40" s="125">
        <f t="shared" si="2"/>
      </c>
      <c r="N40" s="124">
        <f t="shared" si="3"/>
      </c>
      <c r="O40" s="126" t="s">
        <v>121</v>
      </c>
      <c r="P40" s="117">
        <v>8</v>
      </c>
      <c r="Q40" s="127" t="s">
        <v>110</v>
      </c>
      <c r="R40" s="128">
        <v>8</v>
      </c>
    </row>
    <row r="41">
      <c r="A41" s="114">
        <v>46276</v>
      </c>
      <c r="B41" s="129" t="s">
        <v>123</v>
      </c>
      <c r="C41" s="129" t="s">
        <v>112</v>
      </c>
      <c r="D41" s="126">
        <v>2</v>
      </c>
      <c r="E41" s="118">
        <v>7</v>
      </c>
      <c r="F41" s="119">
        <v>5</v>
      </c>
      <c r="G41" s="120">
        <v>8</v>
      </c>
      <c r="H41" s="121">
        <v>4</v>
      </c>
      <c r="I41" s="122">
        <v>2</v>
      </c>
      <c r="J41" s="120">
        <v>5961.2</v>
      </c>
      <c r="K41" s="123">
        <v>3866.07</v>
      </c>
      <c r="L41" s="124">
        <f t="shared" si="1"/>
      </c>
      <c r="M41" s="125">
        <f t="shared" si="2"/>
      </c>
      <c r="N41" s="125">
        <f t="shared" si="3"/>
      </c>
      <c r="O41" s="130"/>
      <c r="P41" s="130"/>
      <c r="Q41" s="131"/>
      <c r="R41" s="128"/>
    </row>
    <row r="42">
      <c r="A42" s="114">
        <v>46276</v>
      </c>
      <c r="B42" s="126" t="s">
        <v>113</v>
      </c>
      <c r="C42" s="129" t="s">
        <v>114</v>
      </c>
      <c r="D42" s="126">
        <v>3</v>
      </c>
      <c r="E42" s="132">
        <v>21</v>
      </c>
      <c r="F42" s="119">
        <v>21</v>
      </c>
      <c r="G42" s="120">
        <v>18</v>
      </c>
      <c r="H42" s="121">
        <v>17</v>
      </c>
      <c r="I42" s="122">
        <v>1</v>
      </c>
      <c r="J42" s="120">
        <v>13213.8</v>
      </c>
      <c r="K42" s="123">
        <v>8069.29</v>
      </c>
      <c r="L42" s="124">
        <f t="shared" si="1"/>
      </c>
      <c r="M42" s="125">
        <f t="shared" si="2"/>
      </c>
      <c r="N42" s="125">
        <f t="shared" si="3"/>
      </c>
      <c r="O42" s="133"/>
      <c r="P42" s="133"/>
      <c r="Q42" s="134"/>
      <c r="R42" s="135"/>
    </row>
    <row r="43">
      <c r="A43" s="136">
        <v>46276</v>
      </c>
      <c r="B43" s="137" t="s">
        <v>115</v>
      </c>
      <c r="C43" s="138" t="s">
        <v>116</v>
      </c>
      <c r="D43" s="139">
        <f>SUM(D40:D42)</f>
      </c>
      <c r="E43" s="139">
        <f>SUM(E40:E42)</f>
      </c>
      <c r="F43" s="139">
        <f>SUM(F40:F42)</f>
      </c>
      <c r="G43" s="139">
        <f>SUM(G40:G42)</f>
      </c>
      <c r="H43" s="139">
        <f>SUM(H40:H42)</f>
      </c>
      <c r="I43" s="139">
        <f>SUM(I40:I42)</f>
      </c>
      <c r="J43" s="139">
        <f>SUM(J40:J42)</f>
      </c>
      <c r="K43" s="139">
        <f>SUM(K40:K42)</f>
      </c>
      <c r="L43" s="140">
        <f t="shared" si="1"/>
      </c>
      <c r="M43" s="140">
        <f t="shared" si="2"/>
      </c>
      <c r="N43" s="140">
        <f t="shared" si="3"/>
      </c>
      <c r="O43" s="141"/>
      <c r="P43" s="141">
        <f>SUM(P40:P42)</f>
      </c>
      <c r="Q43" s="139"/>
      <c r="R43" s="139">
        <f>SUM(R40:R42)</f>
      </c>
      <c r="T43" s="113"/>
    </row>
    <row r="44">
      <c r="A44" s="114">
        <v>46277</v>
      </c>
      <c r="B44" s="126" t="s">
        <v>111</v>
      </c>
      <c r="C44" s="116" t="s">
        <v>108</v>
      </c>
      <c r="D44" s="143">
        <f>3-0.25</f>
      </c>
      <c r="E44" s="118">
        <v>6</v>
      </c>
      <c r="F44" s="119">
        <v>6</v>
      </c>
      <c r="G44" s="120">
        <v>4</v>
      </c>
      <c r="H44" s="121">
        <v>4</v>
      </c>
      <c r="I44" s="122">
        <v>0</v>
      </c>
      <c r="J44" s="120">
        <v>3068</v>
      </c>
      <c r="K44" s="123">
        <v>5399.2</v>
      </c>
      <c r="L44" s="124">
        <f t="shared" si="1"/>
      </c>
      <c r="M44" s="125">
        <f t="shared" si="2"/>
      </c>
      <c r="N44" s="124">
        <f t="shared" si="3"/>
      </c>
      <c r="O44" s="126" t="s">
        <v>121</v>
      </c>
      <c r="P44" s="117">
        <v>8</v>
      </c>
      <c r="Q44" s="127" t="s">
        <v>110</v>
      </c>
      <c r="R44" s="128">
        <v>8</v>
      </c>
    </row>
    <row r="45">
      <c r="A45" s="114">
        <v>46277</v>
      </c>
      <c r="B45" s="129" t="s">
        <v>123</v>
      </c>
      <c r="C45" s="129" t="s">
        <v>124</v>
      </c>
      <c r="D45" s="126">
        <v>1</v>
      </c>
      <c r="E45" s="118">
        <v>2</v>
      </c>
      <c r="F45" s="119">
        <v>2</v>
      </c>
      <c r="G45" s="120">
        <v>3</v>
      </c>
      <c r="H45" s="121">
        <v>2</v>
      </c>
      <c r="I45" s="122">
        <v>1</v>
      </c>
      <c r="J45" s="120">
        <v>1743.6</v>
      </c>
      <c r="K45" s="123">
        <v>1061.09</v>
      </c>
      <c r="L45" s="124">
        <f t="shared" si="1"/>
      </c>
      <c r="M45" s="125">
        <f t="shared" si="2"/>
      </c>
      <c r="N45" s="125">
        <f t="shared" si="3"/>
      </c>
      <c r="O45" s="130"/>
      <c r="P45" s="130"/>
      <c r="Q45" s="131"/>
      <c r="R45" s="128"/>
    </row>
    <row r="46">
      <c r="A46" s="114">
        <v>46277</v>
      </c>
      <c r="B46" s="126" t="s">
        <v>117</v>
      </c>
      <c r="C46" s="129" t="s">
        <v>119</v>
      </c>
      <c r="D46" s="126">
        <v>4</v>
      </c>
      <c r="E46" s="132">
        <v>17</v>
      </c>
      <c r="F46" s="119">
        <v>16</v>
      </c>
      <c r="G46" s="120">
        <v>19</v>
      </c>
      <c r="H46" s="121">
        <v>14</v>
      </c>
      <c r="I46" s="122">
        <v>4</v>
      </c>
      <c r="J46" s="120">
        <v>13128.6</v>
      </c>
      <c r="K46" s="123">
        <v>8500.75</v>
      </c>
      <c r="L46" s="124">
        <f t="shared" si="1"/>
      </c>
      <c r="M46" s="125">
        <f t="shared" si="2"/>
      </c>
      <c r="N46" s="125">
        <f t="shared" si="3"/>
      </c>
      <c r="O46" s="133"/>
      <c r="P46" s="133"/>
      <c r="Q46" s="134"/>
      <c r="R46" s="135"/>
    </row>
    <row r="47">
      <c r="A47" s="136">
        <v>46277</v>
      </c>
      <c r="B47" s="137" t="s">
        <v>115</v>
      </c>
      <c r="C47" s="138" t="s">
        <v>116</v>
      </c>
      <c r="D47" s="139">
        <f>SUM(D44:D46)</f>
      </c>
      <c r="E47" s="139">
        <f>SUM(E44:E46)</f>
      </c>
      <c r="F47" s="139">
        <f>SUM(F44:F46)</f>
      </c>
      <c r="G47" s="139">
        <f>SUM(G44:G46)</f>
      </c>
      <c r="H47" s="139">
        <f>SUM(H44:H46)</f>
      </c>
      <c r="I47" s="139">
        <f>SUM(I44:I46)</f>
      </c>
      <c r="J47" s="139">
        <f>SUM(J44:J46)</f>
      </c>
      <c r="K47" s="139">
        <f>SUM(K44:K46)</f>
      </c>
      <c r="L47" s="140">
        <f t="shared" si="1"/>
      </c>
      <c r="M47" s="140">
        <f t="shared" si="2"/>
      </c>
      <c r="N47" s="140">
        <f t="shared" si="3"/>
      </c>
      <c r="O47" s="141"/>
      <c r="P47" s="141">
        <f>SUM(P44:P46)</f>
      </c>
      <c r="Q47" s="139"/>
      <c r="R47" s="139">
        <f>SUM(R44:R46)</f>
      </c>
      <c r="T47" s="113"/>
    </row>
    <row r="48">
      <c r="A48" s="114">
        <v>46278</v>
      </c>
      <c r="B48" s="126" t="s">
        <v>117</v>
      </c>
      <c r="C48" s="116" t="s">
        <v>108</v>
      </c>
      <c r="D48" s="117">
        <v>3</v>
      </c>
      <c r="E48" s="118">
        <v>5</v>
      </c>
      <c r="F48" s="119">
        <v>5</v>
      </c>
      <c r="G48" s="120">
        <v>5</v>
      </c>
      <c r="H48" s="121">
        <v>4</v>
      </c>
      <c r="I48" s="122">
        <v>1</v>
      </c>
      <c r="J48" s="120">
        <v>3211</v>
      </c>
      <c r="K48" s="123">
        <v>4594.01</v>
      </c>
      <c r="L48" s="124">
        <f t="shared" si="1"/>
      </c>
      <c r="M48" s="125">
        <f t="shared" si="2"/>
      </c>
      <c r="N48" s="124">
        <f t="shared" si="3"/>
      </c>
      <c r="O48" s="126" t="s">
        <v>121</v>
      </c>
      <c r="P48" s="117">
        <v>8</v>
      </c>
      <c r="Q48" s="127" t="s">
        <v>110</v>
      </c>
      <c r="R48" s="128">
        <v>8</v>
      </c>
    </row>
    <row r="49">
      <c r="A49" s="114">
        <v>46278</v>
      </c>
      <c r="B49" s="129" t="s">
        <v>120</v>
      </c>
      <c r="C49" s="129" t="s">
        <v>112</v>
      </c>
      <c r="D49" s="126">
        <v>2</v>
      </c>
      <c r="E49" s="118">
        <v>8</v>
      </c>
      <c r="F49" s="119">
        <v>7</v>
      </c>
      <c r="G49" s="120">
        <v>4</v>
      </c>
      <c r="H49" s="121">
        <v>3</v>
      </c>
      <c r="I49" s="122">
        <v>0</v>
      </c>
      <c r="J49" s="120">
        <v>3323.6</v>
      </c>
      <c r="K49" s="123">
        <v>2917.95</v>
      </c>
      <c r="L49" s="124">
        <f t="shared" si="1"/>
      </c>
      <c r="M49" s="125">
        <f t="shared" si="2"/>
      </c>
      <c r="N49" s="125">
        <f t="shared" si="3"/>
      </c>
      <c r="O49" s="130"/>
      <c r="P49" s="130"/>
      <c r="Q49" s="131"/>
      <c r="R49" s="128"/>
    </row>
    <row r="50">
      <c r="A50" s="114">
        <v>46278</v>
      </c>
      <c r="B50" s="126" t="s">
        <v>113</v>
      </c>
      <c r="C50" s="129" t="s">
        <v>114</v>
      </c>
      <c r="D50" s="126">
        <v>3</v>
      </c>
      <c r="E50" s="132">
        <v>18</v>
      </c>
      <c r="F50" s="119">
        <v>18</v>
      </c>
      <c r="G50" s="120">
        <v>16</v>
      </c>
      <c r="H50" s="121">
        <v>12</v>
      </c>
      <c r="I50" s="122">
        <v>4</v>
      </c>
      <c r="J50" s="120">
        <v>11617.6</v>
      </c>
      <c r="K50" s="123">
        <v>7192.67</v>
      </c>
      <c r="L50" s="124">
        <f t="shared" si="1"/>
      </c>
      <c r="M50" s="125">
        <f t="shared" si="2"/>
      </c>
      <c r="N50" s="125">
        <f t="shared" si="3"/>
      </c>
      <c r="O50" s="133"/>
      <c r="P50" s="133"/>
      <c r="Q50" s="134"/>
      <c r="R50" s="135"/>
    </row>
    <row r="51">
      <c r="A51" s="136">
        <v>46278</v>
      </c>
      <c r="B51" s="137" t="s">
        <v>115</v>
      </c>
      <c r="C51" s="138" t="s">
        <v>116</v>
      </c>
      <c r="D51" s="139">
        <f>SUM(D48:D50)</f>
      </c>
      <c r="E51" s="139">
        <f>SUM(E48:E50)</f>
      </c>
      <c r="F51" s="139">
        <f>SUM(F48:F50)</f>
      </c>
      <c r="G51" s="139">
        <f>SUM(G48:G50)</f>
      </c>
      <c r="H51" s="139">
        <f>SUM(H48:H50)</f>
      </c>
      <c r="I51" s="139">
        <f>SUM(I48:I50)</f>
      </c>
      <c r="J51" s="139">
        <f>SUM(J48:J50)</f>
      </c>
      <c r="K51" s="139">
        <f>SUM(K48:K50)</f>
      </c>
      <c r="L51" s="140">
        <f t="shared" si="1"/>
      </c>
      <c r="M51" s="140">
        <f t="shared" si="2"/>
      </c>
      <c r="N51" s="140">
        <f t="shared" si="3"/>
      </c>
      <c r="O51" s="141"/>
      <c r="P51" s="141">
        <f>SUM(P48:P50)</f>
      </c>
      <c r="Q51" s="139"/>
      <c r="R51" s="139">
        <f>SUM(R48:R50)</f>
      </c>
      <c r="T51" s="113"/>
    </row>
    <row r="52">
      <c r="A52" s="114">
        <v>46279</v>
      </c>
      <c r="B52" s="126" t="s">
        <v>117</v>
      </c>
      <c r="C52" s="116" t="s">
        <v>108</v>
      </c>
      <c r="D52" s="117">
        <v>3</v>
      </c>
      <c r="E52" s="118">
        <v>7</v>
      </c>
      <c r="F52" s="119">
        <v>7</v>
      </c>
      <c r="G52" s="120">
        <v>6</v>
      </c>
      <c r="H52" s="121">
        <v>4</v>
      </c>
      <c r="I52" s="122">
        <v>1</v>
      </c>
      <c r="J52" s="120">
        <v>4360.8</v>
      </c>
      <c r="K52" s="123">
        <v>4884.37</v>
      </c>
      <c r="L52" s="124">
        <f t="shared" si="1"/>
      </c>
      <c r="M52" s="125">
        <f t="shared" si="2"/>
      </c>
      <c r="N52" s="124">
        <f t="shared" si="3"/>
      </c>
      <c r="O52" s="126" t="s">
        <v>121</v>
      </c>
      <c r="P52" s="117">
        <v>8</v>
      </c>
      <c r="Q52" s="127" t="s">
        <v>110</v>
      </c>
      <c r="R52" s="128">
        <v>8</v>
      </c>
    </row>
    <row r="53">
      <c r="A53" s="114">
        <v>46279</v>
      </c>
      <c r="B53" s="129" t="s">
        <v>120</v>
      </c>
      <c r="C53" s="129" t="s">
        <v>112</v>
      </c>
      <c r="D53" s="126">
        <v>2</v>
      </c>
      <c r="E53" s="118">
        <v>2</v>
      </c>
      <c r="F53" s="119">
        <v>2</v>
      </c>
      <c r="G53" s="120">
        <v>3</v>
      </c>
      <c r="H53" s="121">
        <v>2</v>
      </c>
      <c r="I53" s="122">
        <v>1</v>
      </c>
      <c r="J53" s="120">
        <v>1674</v>
      </c>
      <c r="K53" s="123">
        <v>1839.07</v>
      </c>
      <c r="L53" s="124">
        <f t="shared" si="1"/>
      </c>
      <c r="M53" s="125">
        <f t="shared" si="2"/>
      </c>
      <c r="N53" s="125">
        <f t="shared" si="3"/>
      </c>
      <c r="O53" s="130"/>
      <c r="P53" s="130"/>
      <c r="Q53" s="131"/>
      <c r="R53" s="128"/>
    </row>
    <row r="54">
      <c r="A54" s="114">
        <v>46279</v>
      </c>
      <c r="B54" s="126" t="s">
        <v>113</v>
      </c>
      <c r="C54" s="129" t="s">
        <v>114</v>
      </c>
      <c r="D54" s="126">
        <v>3</v>
      </c>
      <c r="E54" s="132">
        <v>10</v>
      </c>
      <c r="F54" s="119">
        <v>10</v>
      </c>
      <c r="G54" s="120">
        <v>7</v>
      </c>
      <c r="H54" s="121">
        <v>6</v>
      </c>
      <c r="I54" s="122">
        <v>0</v>
      </c>
      <c r="J54" s="120">
        <v>6425.6</v>
      </c>
      <c r="K54" s="123">
        <v>4496.93</v>
      </c>
      <c r="L54" s="124">
        <f t="shared" si="1"/>
      </c>
      <c r="M54" s="125">
        <f t="shared" si="2"/>
      </c>
      <c r="N54" s="125">
        <f t="shared" si="3"/>
      </c>
      <c r="O54" s="133"/>
      <c r="P54" s="133"/>
      <c r="Q54" s="134"/>
      <c r="R54" s="135"/>
    </row>
    <row r="55">
      <c r="A55" s="136">
        <v>46279</v>
      </c>
      <c r="B55" s="137" t="s">
        <v>115</v>
      </c>
      <c r="C55" s="138" t="s">
        <v>116</v>
      </c>
      <c r="D55" s="139">
        <f>SUM(D52:D54)</f>
      </c>
      <c r="E55" s="139">
        <f>SUM(E52:E54)</f>
      </c>
      <c r="F55" s="139">
        <f>SUM(F52:F54)</f>
      </c>
      <c r="G55" s="139">
        <f>SUM(G52:G54)</f>
      </c>
      <c r="H55" s="139">
        <f>SUM(H52:H54)</f>
      </c>
      <c r="I55" s="139">
        <f>SUM(I52:I54)</f>
      </c>
      <c r="J55" s="139">
        <f>SUM(J52:J54)</f>
      </c>
      <c r="K55" s="139">
        <f>SUM(K52:K54)</f>
      </c>
      <c r="L55" s="140">
        <f t="shared" si="1"/>
      </c>
      <c r="M55" s="140">
        <f t="shared" si="2"/>
      </c>
      <c r="N55" s="140">
        <f t="shared" si="3"/>
      </c>
      <c r="O55" s="141"/>
      <c r="P55" s="141">
        <f>SUM(P52:P54)</f>
      </c>
      <c r="Q55" s="139"/>
      <c r="R55" s="139">
        <f>SUM(R52:R54)</f>
      </c>
      <c r="T55" s="113"/>
    </row>
    <row r="56">
      <c r="A56" s="114">
        <v>46280</v>
      </c>
      <c r="B56" s="126" t="s">
        <v>117</v>
      </c>
      <c r="C56" s="116" t="s">
        <v>118</v>
      </c>
      <c r="D56" s="126">
        <v>4</v>
      </c>
      <c r="E56" s="118">
        <v>10</v>
      </c>
      <c r="F56" s="119">
        <v>9</v>
      </c>
      <c r="G56" s="120">
        <v>8</v>
      </c>
      <c r="H56" s="121">
        <v>6</v>
      </c>
      <c r="I56" s="122">
        <v>1</v>
      </c>
      <c r="J56" s="120">
        <v>5473</v>
      </c>
      <c r="K56" s="123">
        <v>4049.19</v>
      </c>
      <c r="L56" s="124">
        <f t="shared" si="1"/>
      </c>
      <c r="M56" s="125">
        <f t="shared" si="2"/>
      </c>
      <c r="N56" s="124">
        <f t="shared" si="3"/>
      </c>
      <c r="O56" s="126" t="s">
        <v>121</v>
      </c>
      <c r="P56" s="117">
        <v>8</v>
      </c>
      <c r="Q56" s="127" t="s">
        <v>110</v>
      </c>
      <c r="R56" s="128">
        <v>8</v>
      </c>
    </row>
    <row r="57">
      <c r="A57" s="114">
        <v>46280</v>
      </c>
      <c r="B57" s="126" t="s">
        <v>113</v>
      </c>
      <c r="C57" s="129" t="s">
        <v>119</v>
      </c>
      <c r="D57" s="126">
        <v>4</v>
      </c>
      <c r="E57" s="132">
        <v>15</v>
      </c>
      <c r="F57" s="119">
        <v>15</v>
      </c>
      <c r="G57" s="120">
        <v>16</v>
      </c>
      <c r="H57" s="121">
        <v>14</v>
      </c>
      <c r="I57" s="122">
        <v>2</v>
      </c>
      <c r="J57" s="120">
        <v>10582.6</v>
      </c>
      <c r="K57" s="123">
        <v>5816.57</v>
      </c>
      <c r="L57" s="124">
        <f t="shared" si="1"/>
      </c>
      <c r="M57" s="125">
        <f t="shared" si="2"/>
      </c>
      <c r="N57" s="125">
        <f t="shared" si="3"/>
      </c>
      <c r="O57" s="133"/>
      <c r="P57" s="133"/>
      <c r="Q57" s="134"/>
      <c r="R57" s="135"/>
    </row>
    <row r="58">
      <c r="A58" s="136">
        <v>46280</v>
      </c>
      <c r="B58" s="137" t="s">
        <v>115</v>
      </c>
      <c r="C58" s="138" t="s">
        <v>116</v>
      </c>
      <c r="D58" s="139">
        <f>SUM(D56:D57)</f>
      </c>
      <c r="E58" s="139">
        <f>SUM(E56:E57)</f>
      </c>
      <c r="F58" s="139">
        <f>SUM(F56:F57)</f>
      </c>
      <c r="G58" s="139">
        <f>SUM(G56:G57)</f>
      </c>
      <c r="H58" s="139">
        <f>SUM(H56:H57)</f>
      </c>
      <c r="I58" s="139">
        <f>SUM(I56:I57)</f>
      </c>
      <c r="J58" s="139">
        <f>SUM(J56:J57)</f>
      </c>
      <c r="K58" s="139">
        <f>SUM(K56:K57)</f>
      </c>
      <c r="L58" s="140">
        <f t="shared" si="1"/>
      </c>
      <c r="M58" s="140">
        <f t="shared" si="2"/>
      </c>
      <c r="N58" s="140">
        <f t="shared" si="3"/>
      </c>
      <c r="O58" s="141"/>
      <c r="P58" s="141">
        <f>SUM(P56:P57)</f>
      </c>
      <c r="Q58" s="139"/>
      <c r="R58" s="139">
        <f>SUM(R56:R57)</f>
      </c>
      <c r="T58" s="113"/>
    </row>
    <row r="59">
      <c r="A59" s="114">
        <v>46281</v>
      </c>
      <c r="B59" s="126" t="s">
        <v>120</v>
      </c>
      <c r="C59" s="116" t="s">
        <v>118</v>
      </c>
      <c r="D59" s="126">
        <v>4</v>
      </c>
      <c r="E59" s="118">
        <v>14</v>
      </c>
      <c r="F59" s="119">
        <v>14</v>
      </c>
      <c r="G59" s="120">
        <v>16</v>
      </c>
      <c r="H59" s="121">
        <v>13</v>
      </c>
      <c r="I59" s="122">
        <v>3</v>
      </c>
      <c r="J59" s="120">
        <v>10656.8</v>
      </c>
      <c r="K59" s="123">
        <v>6461.69</v>
      </c>
      <c r="L59" s="124">
        <f t="shared" si="1"/>
      </c>
      <c r="M59" s="125">
        <f t="shared" si="2"/>
      </c>
      <c r="N59" s="124">
        <f t="shared" si="3"/>
      </c>
      <c r="O59" s="126" t="s">
        <v>121</v>
      </c>
      <c r="P59" s="117">
        <v>8</v>
      </c>
      <c r="Q59" s="127" t="s">
        <v>110</v>
      </c>
      <c r="R59" s="128">
        <v>8</v>
      </c>
    </row>
    <row r="60">
      <c r="A60" s="114">
        <v>46281</v>
      </c>
      <c r="B60" s="126" t="s">
        <v>113</v>
      </c>
      <c r="C60" s="129" t="s">
        <v>119</v>
      </c>
      <c r="D60" s="126">
        <v>4</v>
      </c>
      <c r="E60" s="132">
        <v>10</v>
      </c>
      <c r="F60" s="119">
        <v>9</v>
      </c>
      <c r="G60" s="120">
        <v>11</v>
      </c>
      <c r="H60" s="121">
        <v>8</v>
      </c>
      <c r="I60" s="122">
        <v>2</v>
      </c>
      <c r="J60" s="120">
        <v>7191.4</v>
      </c>
      <c r="K60" s="123">
        <v>6398.28</v>
      </c>
      <c r="L60" s="124">
        <f t="shared" si="1"/>
      </c>
      <c r="M60" s="125">
        <f t="shared" si="2"/>
      </c>
      <c r="N60" s="125">
        <f t="shared" si="3"/>
      </c>
      <c r="O60" s="133"/>
      <c r="P60" s="133"/>
      <c r="Q60" s="134"/>
      <c r="R60" s="135"/>
    </row>
    <row r="61">
      <c r="A61" s="136">
        <v>46281</v>
      </c>
      <c r="B61" s="137" t="s">
        <v>115</v>
      </c>
      <c r="C61" s="138" t="s">
        <v>116</v>
      </c>
      <c r="D61" s="139">
        <f>SUM(D59:D60)</f>
      </c>
      <c r="E61" s="139">
        <f>SUM(E59:E60)</f>
      </c>
      <c r="F61" s="139">
        <f>SUM(F59:F60)</f>
      </c>
      <c r="G61" s="139">
        <f>SUM(G59:G60)</f>
      </c>
      <c r="H61" s="139">
        <f>SUM(H59:H60)</f>
      </c>
      <c r="I61" s="139">
        <f>SUM(I59:I60)</f>
      </c>
      <c r="J61" s="139">
        <f>SUM(J59:J60)</f>
      </c>
      <c r="K61" s="139">
        <f>SUM(K59:K60)</f>
      </c>
      <c r="L61" s="140">
        <f t="shared" si="1"/>
      </c>
      <c r="M61" s="140">
        <f t="shared" si="2"/>
      </c>
      <c r="N61" s="140">
        <f t="shared" si="3"/>
      </c>
      <c r="O61" s="141"/>
      <c r="P61" s="141">
        <f>SUM(P59:P60)</f>
      </c>
      <c r="Q61" s="139"/>
      <c r="R61" s="139">
        <f>SUM(R59:R60)</f>
      </c>
      <c r="T61" s="113"/>
    </row>
    <row r="62">
      <c r="A62" s="114">
        <v>46282</v>
      </c>
      <c r="B62" s="126" t="s">
        <v>120</v>
      </c>
      <c r="C62" s="116" t="s">
        <v>118</v>
      </c>
      <c r="D62" s="126">
        <v>4</v>
      </c>
      <c r="E62" s="118">
        <v>12</v>
      </c>
      <c r="F62" s="119">
        <v>12</v>
      </c>
      <c r="G62" s="120">
        <v>10</v>
      </c>
      <c r="H62" s="121">
        <v>10</v>
      </c>
      <c r="I62" s="122">
        <v>0</v>
      </c>
      <c r="J62" s="120">
        <v>6172.6</v>
      </c>
      <c r="K62" s="123">
        <v>5079.55</v>
      </c>
      <c r="L62" s="124">
        <f t="shared" si="1"/>
      </c>
      <c r="M62" s="125">
        <f t="shared" si="2"/>
      </c>
      <c r="N62" s="124">
        <f t="shared" si="3"/>
      </c>
      <c r="O62" s="126" t="s">
        <v>125</v>
      </c>
      <c r="P62" s="117">
        <v>8</v>
      </c>
      <c r="Q62" s="127" t="s">
        <v>110</v>
      </c>
      <c r="R62" s="128">
        <v>8</v>
      </c>
    </row>
    <row r="63">
      <c r="A63" s="114">
        <v>46282</v>
      </c>
      <c r="B63" s="126" t="s">
        <v>117</v>
      </c>
      <c r="C63" s="129" t="s">
        <v>119</v>
      </c>
      <c r="D63" s="126">
        <v>4</v>
      </c>
      <c r="E63" s="132">
        <v>14</v>
      </c>
      <c r="F63" s="119">
        <v>10</v>
      </c>
      <c r="G63" s="120">
        <v>9</v>
      </c>
      <c r="H63" s="121">
        <v>6</v>
      </c>
      <c r="I63" s="122">
        <v>2</v>
      </c>
      <c r="J63" s="120">
        <v>6069.8</v>
      </c>
      <c r="K63" s="123">
        <v>4599.72</v>
      </c>
      <c r="L63" s="124">
        <f t="shared" si="1"/>
      </c>
      <c r="M63" s="125">
        <f t="shared" si="2"/>
      </c>
      <c r="N63" s="125">
        <f t="shared" si="3"/>
      </c>
      <c r="O63" s="133"/>
      <c r="P63" s="133"/>
      <c r="Q63" s="134"/>
      <c r="R63" s="135"/>
    </row>
    <row r="64">
      <c r="A64" s="136">
        <v>46282</v>
      </c>
      <c r="B64" s="137" t="s">
        <v>115</v>
      </c>
      <c r="C64" s="138" t="s">
        <v>116</v>
      </c>
      <c r="D64" s="139">
        <f>SUM(D62:D63)</f>
      </c>
      <c r="E64" s="139">
        <f>SUM(E62:E63)</f>
      </c>
      <c r="F64" s="139">
        <f>SUM(F62:F63)</f>
      </c>
      <c r="G64" s="139">
        <f>SUM(G62:G63)</f>
      </c>
      <c r="H64" s="139">
        <f>SUM(H62:H63)</f>
      </c>
      <c r="I64" s="139">
        <f>SUM(I62:I63)</f>
      </c>
      <c r="J64" s="139">
        <f>SUM(J62:J63)</f>
      </c>
      <c r="K64" s="139">
        <f>SUM(K62:K63)</f>
      </c>
      <c r="L64" s="140">
        <f t="shared" si="1"/>
      </c>
      <c r="M64" s="140">
        <f t="shared" si="2"/>
      </c>
      <c r="N64" s="140">
        <f t="shared" si="3"/>
      </c>
      <c r="O64" s="141"/>
      <c r="P64" s="141">
        <f>SUM(P62:P63)</f>
      </c>
      <c r="Q64" s="139"/>
      <c r="R64" s="139">
        <f>SUM(R62:R63)</f>
      </c>
      <c r="T64" s="113"/>
    </row>
    <row r="65">
      <c r="A65" s="114">
        <v>46283</v>
      </c>
      <c r="B65" s="126" t="s">
        <v>117</v>
      </c>
      <c r="C65" s="116" t="s">
        <v>118</v>
      </c>
      <c r="D65" s="126">
        <v>4</v>
      </c>
      <c r="E65" s="118">
        <v>6</v>
      </c>
      <c r="F65" s="119">
        <v>5</v>
      </c>
      <c r="G65" s="120">
        <v>5</v>
      </c>
      <c r="H65" s="121">
        <v>3</v>
      </c>
      <c r="I65" s="122">
        <v>2</v>
      </c>
      <c r="J65" s="120">
        <v>4072.8</v>
      </c>
      <c r="K65" s="123">
        <v>3756.21</v>
      </c>
      <c r="L65" s="124">
        <f t="shared" si="1"/>
      </c>
      <c r="M65" s="125">
        <f t="shared" si="2"/>
      </c>
      <c r="N65" s="124">
        <f t="shared" si="3"/>
      </c>
      <c r="O65" s="126" t="s">
        <v>125</v>
      </c>
      <c r="P65" s="117">
        <v>8</v>
      </c>
      <c r="Q65" s="127" t="s">
        <v>110</v>
      </c>
      <c r="R65" s="128">
        <v>8</v>
      </c>
    </row>
    <row r="66">
      <c r="A66" s="114">
        <v>46283</v>
      </c>
      <c r="B66" s="126" t="s">
        <v>113</v>
      </c>
      <c r="C66" s="129" t="s">
        <v>119</v>
      </c>
      <c r="D66" s="126">
        <v>4</v>
      </c>
      <c r="E66" s="132">
        <v>6</v>
      </c>
      <c r="F66" s="119">
        <v>6</v>
      </c>
      <c r="G66" s="120">
        <v>4</v>
      </c>
      <c r="H66" s="121">
        <v>4</v>
      </c>
      <c r="I66" s="122">
        <v>0</v>
      </c>
      <c r="J66" s="120">
        <v>3062.4</v>
      </c>
      <c r="K66" s="123">
        <v>3875.33</v>
      </c>
      <c r="L66" s="124">
        <f t="shared" si="1"/>
      </c>
      <c r="M66" s="125">
        <f t="shared" si="2"/>
      </c>
      <c r="N66" s="125">
        <f t="shared" si="3"/>
      </c>
      <c r="O66" s="133"/>
      <c r="P66" s="133"/>
      <c r="Q66" s="134"/>
      <c r="R66" s="135"/>
    </row>
    <row r="67">
      <c r="A67" s="136">
        <v>46283</v>
      </c>
      <c r="B67" s="137" t="s">
        <v>115</v>
      </c>
      <c r="C67" s="138" t="s">
        <v>116</v>
      </c>
      <c r="D67" s="139">
        <f>SUM(D65:D66)</f>
      </c>
      <c r="E67" s="139">
        <f>SUM(E65:E66)</f>
      </c>
      <c r="F67" s="139">
        <f>SUM(F65:F66)</f>
      </c>
      <c r="G67" s="139">
        <f>SUM(G65:G66)</f>
      </c>
      <c r="H67" s="139">
        <f>SUM(H65:H66)</f>
      </c>
      <c r="I67" s="139">
        <f>SUM(I65:I66)</f>
      </c>
      <c r="J67" s="139">
        <f>SUM(J65:J66)</f>
      </c>
      <c r="K67" s="139">
        <f>SUM(K65:K66)</f>
      </c>
      <c r="L67" s="140">
        <f t="shared" si="1"/>
      </c>
      <c r="M67" s="140">
        <f t="shared" si="2"/>
      </c>
      <c r="N67" s="140">
        <f t="shared" si="3"/>
      </c>
      <c r="O67" s="141"/>
      <c r="P67" s="141">
        <f>SUM(P65:P66)</f>
      </c>
      <c r="Q67" s="139"/>
      <c r="R67" s="139">
        <f>SUM(R65:R66)</f>
      </c>
      <c r="T67" s="113"/>
    </row>
    <row r="68">
      <c r="A68" s="114">
        <v>46284</v>
      </c>
      <c r="B68" s="126" t="s">
        <v>117</v>
      </c>
      <c r="C68" s="116" t="s">
        <v>126</v>
      </c>
      <c r="D68" s="126">
        <v>4</v>
      </c>
      <c r="E68" s="118">
        <v>11</v>
      </c>
      <c r="F68" s="119">
        <v>9</v>
      </c>
      <c r="G68" s="120">
        <v>10</v>
      </c>
      <c r="H68" s="121">
        <v>7</v>
      </c>
      <c r="I68" s="122">
        <v>4</v>
      </c>
      <c r="J68" s="120">
        <v>7106.2</v>
      </c>
      <c r="K68" s="123">
        <v>3744.28</v>
      </c>
      <c r="L68" s="124">
        <f t="shared" si="1"/>
      </c>
      <c r="M68" s="125">
        <f t="shared" si="2"/>
      </c>
      <c r="N68" s="124">
        <f t="shared" si="3"/>
      </c>
      <c r="O68" s="126" t="s">
        <v>122</v>
      </c>
      <c r="P68" s="126">
        <v>4</v>
      </c>
      <c r="Q68" s="127" t="s">
        <v>110</v>
      </c>
      <c r="R68" s="144">
        <v>12</v>
      </c>
    </row>
    <row r="69">
      <c r="A69" s="114">
        <v>46284</v>
      </c>
      <c r="B69" s="129" t="s">
        <v>120</v>
      </c>
      <c r="C69" s="129" t="s">
        <v>118</v>
      </c>
      <c r="D69" s="126">
        <v>4</v>
      </c>
      <c r="E69" s="118">
        <v>12</v>
      </c>
      <c r="F69" s="119">
        <v>9</v>
      </c>
      <c r="G69" s="120">
        <v>10</v>
      </c>
      <c r="H69" s="121">
        <v>4</v>
      </c>
      <c r="I69" s="122">
        <v>2</v>
      </c>
      <c r="J69" s="120">
        <v>6066.4</v>
      </c>
      <c r="K69" s="123">
        <v>4104.35</v>
      </c>
      <c r="L69" s="124">
        <f t="shared" si="1"/>
      </c>
      <c r="M69" s="125">
        <f t="shared" si="2"/>
      </c>
      <c r="N69" s="125">
        <f t="shared" si="3"/>
      </c>
      <c r="O69" s="126"/>
      <c r="P69" s="130"/>
      <c r="Q69" s="131"/>
      <c r="R69" s="128"/>
    </row>
    <row r="70">
      <c r="A70" s="114">
        <v>46284</v>
      </c>
      <c r="B70" s="126" t="s">
        <v>113</v>
      </c>
      <c r="C70" s="129" t="s">
        <v>119</v>
      </c>
      <c r="D70" s="126">
        <v>4</v>
      </c>
      <c r="E70" s="132">
        <v>16</v>
      </c>
      <c r="F70" s="119">
        <v>15</v>
      </c>
      <c r="G70" s="120">
        <v>8</v>
      </c>
      <c r="H70" s="121">
        <v>9</v>
      </c>
      <c r="I70" s="122">
        <v>0</v>
      </c>
      <c r="J70" s="120">
        <v>5903</v>
      </c>
      <c r="K70" s="123">
        <v>6535.89</v>
      </c>
      <c r="L70" s="124">
        <f t="shared" si="1"/>
      </c>
      <c r="M70" s="125">
        <f t="shared" si="2"/>
      </c>
      <c r="N70" s="125">
        <f t="shared" si="3"/>
      </c>
      <c r="O70" s="126" t="s">
        <v>125</v>
      </c>
      <c r="P70" s="118">
        <v>8</v>
      </c>
      <c r="Q70" s="134"/>
      <c r="R70" s="135"/>
    </row>
    <row customHeight="true" ht="16.071428571428573" r="71">
      <c r="A71" s="136">
        <v>46284</v>
      </c>
      <c r="B71" s="137" t="s">
        <v>115</v>
      </c>
      <c r="C71" s="138" t="s">
        <v>127</v>
      </c>
      <c r="D71" s="139">
        <f>SUM(D68:D70)</f>
      </c>
      <c r="E71" s="139">
        <f>SUM(E68:E70)</f>
      </c>
      <c r="F71" s="139">
        <f>SUM(F68:F70)</f>
      </c>
      <c r="G71" s="139">
        <f>SUM(G68:G70)</f>
      </c>
      <c r="H71" s="139">
        <f>SUM(H68:H70)</f>
      </c>
      <c r="I71" s="139">
        <f>SUM(I68:I70)</f>
      </c>
      <c r="J71" s="139">
        <f>SUM(J68:J70)</f>
      </c>
      <c r="K71" s="139">
        <f>SUM(K68:K70)</f>
      </c>
      <c r="L71" s="140">
        <f t="shared" si="1"/>
      </c>
      <c r="M71" s="140">
        <f t="shared" si="2"/>
      </c>
      <c r="N71" s="140">
        <f t="shared" si="3"/>
      </c>
      <c r="O71" s="141"/>
      <c r="P71" s="141">
        <f>SUM(P68:P70)</f>
      </c>
      <c r="Q71" s="139"/>
      <c r="R71" s="139">
        <f>SUM(R68:R70)</f>
      </c>
      <c r="T71" s="113"/>
    </row>
    <row customHeight="true" ht="16.071428571428573" r="72">
      <c r="A72" s="114">
        <v>46285</v>
      </c>
      <c r="B72" s="129" t="s">
        <v>120</v>
      </c>
      <c r="C72" s="116" t="s">
        <v>126</v>
      </c>
      <c r="D72" s="126">
        <v>4</v>
      </c>
      <c r="E72" s="118">
        <v>21</v>
      </c>
      <c r="F72" s="119">
        <v>20</v>
      </c>
      <c r="G72" s="120">
        <v>19</v>
      </c>
      <c r="H72" s="121">
        <v>18</v>
      </c>
      <c r="I72" s="122">
        <v>4</v>
      </c>
      <c r="J72" s="120">
        <v>12720</v>
      </c>
      <c r="K72" s="123">
        <v>6751.07</v>
      </c>
      <c r="L72" s="124">
        <f t="shared" si="1"/>
      </c>
      <c r="M72" s="125">
        <f t="shared" si="2"/>
      </c>
      <c r="N72" s="124">
        <f t="shared" si="3"/>
      </c>
      <c r="O72" s="126" t="s">
        <v>122</v>
      </c>
      <c r="P72" s="126">
        <v>4</v>
      </c>
      <c r="Q72" s="127" t="s">
        <v>110</v>
      </c>
      <c r="R72" s="144">
        <v>12</v>
      </c>
    </row>
    <row customHeight="true" ht="16.071428571428573" r="73">
      <c r="A73" s="114">
        <v>46285</v>
      </c>
      <c r="B73" s="126" t="s">
        <v>113</v>
      </c>
      <c r="C73" s="129" t="s">
        <v>118</v>
      </c>
      <c r="D73" s="126">
        <v>4</v>
      </c>
      <c r="E73" s="118">
        <v>10</v>
      </c>
      <c r="F73" s="119">
        <v>11</v>
      </c>
      <c r="G73" s="120">
        <v>6</v>
      </c>
      <c r="H73" s="121">
        <v>8</v>
      </c>
      <c r="I73" s="122">
        <v>0</v>
      </c>
      <c r="J73" s="120">
        <v>4640.2</v>
      </c>
      <c r="K73" s="123">
        <v>6250.4</v>
      </c>
      <c r="L73" s="124">
        <f t="shared" si="1"/>
      </c>
      <c r="M73" s="125">
        <f t="shared" si="2"/>
      </c>
      <c r="N73" s="125">
        <f t="shared" si="3"/>
      </c>
      <c r="O73" s="126"/>
      <c r="P73" s="130"/>
      <c r="Q73" s="131"/>
      <c r="R73" s="128"/>
    </row>
    <row customHeight="true" ht="16.071428571428573" r="74">
      <c r="A74" s="114">
        <v>46285</v>
      </c>
      <c r="B74" s="126" t="s">
        <v>117</v>
      </c>
      <c r="C74" s="129" t="s">
        <v>119</v>
      </c>
      <c r="D74" s="126">
        <v>4</v>
      </c>
      <c r="E74" s="132">
        <v>25</v>
      </c>
      <c r="F74" s="119">
        <v>15</v>
      </c>
      <c r="G74" s="120">
        <v>17</v>
      </c>
      <c r="H74" s="121">
        <v>11</v>
      </c>
      <c r="I74" s="122">
        <v>2</v>
      </c>
      <c r="J74" s="120">
        <v>11334.8</v>
      </c>
      <c r="K74" s="123">
        <v>7127.24</v>
      </c>
      <c r="L74" s="124">
        <f t="shared" si="1"/>
      </c>
      <c r="M74" s="125">
        <f t="shared" si="2"/>
      </c>
      <c r="N74" s="125">
        <f t="shared" si="3"/>
      </c>
      <c r="O74" s="126" t="s">
        <v>125</v>
      </c>
      <c r="P74" s="118">
        <v>8</v>
      </c>
      <c r="Q74" s="134"/>
      <c r="R74" s="135"/>
    </row>
    <row customHeight="true" ht="16.071428571428573" r="75">
      <c r="A75" s="136">
        <v>46285</v>
      </c>
      <c r="B75" s="137" t="s">
        <v>115</v>
      </c>
      <c r="C75" s="138" t="s">
        <v>127</v>
      </c>
      <c r="D75" s="139">
        <f>SUM(D72:D74)</f>
      </c>
      <c r="E75" s="139">
        <f>SUM(E72:E74)</f>
      </c>
      <c r="F75" s="139">
        <f>SUM(F72:F74)</f>
      </c>
      <c r="G75" s="139">
        <f>SUM(G72:G74)</f>
      </c>
      <c r="H75" s="139">
        <f>SUM(H72:H74)</f>
      </c>
      <c r="I75" s="139">
        <f>SUM(I72:I74)</f>
      </c>
      <c r="J75" s="139">
        <f>SUM(J72:J74)</f>
      </c>
      <c r="K75" s="139">
        <f>SUM(K72:K74)</f>
      </c>
      <c r="L75" s="140">
        <f t="shared" si="1"/>
      </c>
      <c r="M75" s="140">
        <f t="shared" si="2"/>
      </c>
      <c r="N75" s="140">
        <f t="shared" si="3"/>
      </c>
      <c r="O75" s="141"/>
      <c r="P75" s="141">
        <f>SUM(P72:P74)</f>
      </c>
      <c r="Q75" s="139"/>
      <c r="R75" s="139">
        <f>SUM(R72:R74)</f>
      </c>
      <c r="T75" s="113"/>
    </row>
    <row customHeight="true" ht="16.071428571428573" r="76">
      <c r="A76" s="114">
        <v>46286</v>
      </c>
      <c r="B76" s="129" t="s">
        <v>120</v>
      </c>
      <c r="C76" s="116" t="s">
        <v>126</v>
      </c>
      <c r="D76" s="126">
        <v>4</v>
      </c>
      <c r="E76" s="118">
        <v>18</v>
      </c>
      <c r="F76" s="119">
        <v>14</v>
      </c>
      <c r="G76" s="120">
        <v>17</v>
      </c>
      <c r="H76" s="121">
        <v>11</v>
      </c>
      <c r="I76" s="122">
        <v>4</v>
      </c>
      <c r="J76" s="120">
        <v>14174.2</v>
      </c>
      <c r="K76" s="123">
        <v>7176.88</v>
      </c>
      <c r="L76" s="124">
        <f t="shared" si="1"/>
      </c>
      <c r="M76" s="125">
        <f t="shared" si="2"/>
      </c>
      <c r="N76" s="124">
        <f t="shared" si="3"/>
      </c>
      <c r="O76" s="126" t="s">
        <v>122</v>
      </c>
      <c r="P76" s="126">
        <v>4</v>
      </c>
      <c r="Q76" s="127" t="s">
        <v>110</v>
      </c>
      <c r="R76" s="144">
        <v>12</v>
      </c>
    </row>
    <row customHeight="true" ht="16.071428571428573" r="77">
      <c r="A77" s="114">
        <v>46286</v>
      </c>
      <c r="B77" s="126" t="s">
        <v>117</v>
      </c>
      <c r="C77" s="129" t="s">
        <v>118</v>
      </c>
      <c r="D77" s="126">
        <v>4</v>
      </c>
      <c r="E77" s="118">
        <v>24</v>
      </c>
      <c r="F77" s="119">
        <v>21</v>
      </c>
      <c r="G77" s="120">
        <v>17</v>
      </c>
      <c r="H77" s="121">
        <v>14</v>
      </c>
      <c r="I77" s="122">
        <v>3</v>
      </c>
      <c r="J77" s="120">
        <v>10763.8</v>
      </c>
      <c r="K77" s="123">
        <v>10489.28</v>
      </c>
      <c r="L77" s="124">
        <f t="shared" si="1"/>
      </c>
      <c r="M77" s="125">
        <f t="shared" si="2"/>
      </c>
      <c r="N77" s="125">
        <f t="shared" si="3"/>
      </c>
      <c r="O77" s="126"/>
      <c r="P77" s="130"/>
      <c r="Q77" s="131"/>
      <c r="R77" s="128"/>
    </row>
    <row customHeight="true" ht="16.071428571428573" r="78">
      <c r="A78" s="114">
        <v>46286</v>
      </c>
      <c r="B78" s="126" t="s">
        <v>113</v>
      </c>
      <c r="C78" s="129" t="s">
        <v>119</v>
      </c>
      <c r="D78" s="126">
        <v>4</v>
      </c>
      <c r="E78" s="132">
        <v>18</v>
      </c>
      <c r="F78" s="119">
        <v>14</v>
      </c>
      <c r="G78" s="120">
        <v>13</v>
      </c>
      <c r="H78" s="121">
        <v>10</v>
      </c>
      <c r="I78" s="122">
        <v>3</v>
      </c>
      <c r="J78" s="120">
        <v>7700.2</v>
      </c>
      <c r="K78" s="123">
        <v>8327.37</v>
      </c>
      <c r="L78" s="124">
        <f t="shared" si="1"/>
      </c>
      <c r="M78" s="125">
        <f t="shared" si="2"/>
      </c>
      <c r="N78" s="125">
        <f t="shared" si="3"/>
      </c>
      <c r="O78" s="126" t="s">
        <v>125</v>
      </c>
      <c r="P78" s="118">
        <v>8</v>
      </c>
      <c r="Q78" s="134"/>
      <c r="R78" s="135"/>
    </row>
    <row customHeight="true" ht="16.071428571428573" r="79">
      <c r="A79" s="136">
        <v>46286</v>
      </c>
      <c r="B79" s="137" t="s">
        <v>115</v>
      </c>
      <c r="C79" s="138" t="s">
        <v>127</v>
      </c>
      <c r="D79" s="139">
        <f>SUM(D76:D78)</f>
      </c>
      <c r="E79" s="139">
        <f>SUM(E76:E78)</f>
      </c>
      <c r="F79" s="139">
        <f>SUM(F76:F78)</f>
      </c>
      <c r="G79" s="139">
        <f>SUM(G76:G78)</f>
      </c>
      <c r="H79" s="139">
        <f>SUM(H76:H78)</f>
      </c>
      <c r="I79" s="139">
        <f>SUM(I76:I78)</f>
      </c>
      <c r="J79" s="139">
        <f>SUM(J76:J78)</f>
      </c>
      <c r="K79" s="139">
        <f>SUM(K76:K78)</f>
      </c>
      <c r="L79" s="140">
        <f t="shared" si="1"/>
      </c>
      <c r="M79" s="140">
        <f t="shared" si="2"/>
      </c>
      <c r="N79" s="140">
        <f t="shared" si="3"/>
      </c>
      <c r="O79" s="141"/>
      <c r="P79" s="141">
        <f>SUM(P76:P78)</f>
      </c>
      <c r="Q79" s="139"/>
      <c r="R79" s="139">
        <f>SUM(R76:R78)</f>
      </c>
      <c r="T79" s="113"/>
    </row>
    <row customHeight="true" ht="16.071428571428573" r="80">
      <c r="A80" s="114">
        <v>46287</v>
      </c>
      <c r="B80" s="129" t="s">
        <v>120</v>
      </c>
      <c r="C80" s="116" t="s">
        <v>126</v>
      </c>
      <c r="D80" s="126">
        <v>4</v>
      </c>
      <c r="E80" s="118">
        <v>20</v>
      </c>
      <c r="F80" s="119">
        <v>18</v>
      </c>
      <c r="G80" s="120">
        <v>15</v>
      </c>
      <c r="H80" s="121">
        <v>13</v>
      </c>
      <c r="I80" s="122">
        <v>4</v>
      </c>
      <c r="J80" s="120">
        <v>11076</v>
      </c>
      <c r="K80" s="123">
        <v>9212.84</v>
      </c>
      <c r="L80" s="124">
        <f t="shared" si="1"/>
      </c>
      <c r="M80" s="125">
        <f t="shared" si="2"/>
      </c>
      <c r="N80" s="124">
        <f t="shared" si="3"/>
      </c>
      <c r="O80" s="126" t="s">
        <v>122</v>
      </c>
      <c r="P80" s="126">
        <v>4</v>
      </c>
      <c r="Q80" s="127" t="s">
        <v>110</v>
      </c>
      <c r="R80" s="144">
        <v>12</v>
      </c>
    </row>
    <row customHeight="true" ht="16.071428571428573" r="81">
      <c r="A81" s="114">
        <v>46287</v>
      </c>
      <c r="B81" s="126" t="s">
        <v>113</v>
      </c>
      <c r="C81" s="129" t="s">
        <v>118</v>
      </c>
      <c r="D81" s="126">
        <v>4</v>
      </c>
      <c r="E81" s="118">
        <v>15</v>
      </c>
      <c r="F81" s="119">
        <v>15</v>
      </c>
      <c r="G81" s="120">
        <v>11</v>
      </c>
      <c r="H81" s="121">
        <v>10</v>
      </c>
      <c r="I81" s="122">
        <v>1</v>
      </c>
      <c r="J81" s="120">
        <v>7597.4</v>
      </c>
      <c r="K81" s="123">
        <v>6282.18</v>
      </c>
      <c r="L81" s="124">
        <f t="shared" si="1"/>
      </c>
      <c r="M81" s="125">
        <f t="shared" si="2"/>
      </c>
      <c r="N81" s="125">
        <f t="shared" si="3"/>
      </c>
      <c r="O81" s="126"/>
      <c r="P81" s="130"/>
      <c r="Q81" s="131"/>
      <c r="R81" s="128"/>
    </row>
    <row customHeight="true" ht="16.071428571428573" r="82">
      <c r="A82" s="114">
        <v>46287</v>
      </c>
      <c r="B82" s="126" t="s">
        <v>117</v>
      </c>
      <c r="C82" s="129" t="s">
        <v>119</v>
      </c>
      <c r="D82" s="126">
        <v>4</v>
      </c>
      <c r="E82" s="132">
        <v>19</v>
      </c>
      <c r="F82" s="119">
        <v>20</v>
      </c>
      <c r="G82" s="120">
        <v>14</v>
      </c>
      <c r="H82" s="121">
        <v>13</v>
      </c>
      <c r="I82" s="122">
        <v>1</v>
      </c>
      <c r="J82" s="120">
        <v>10342</v>
      </c>
      <c r="K82" s="123">
        <v>7212.29</v>
      </c>
      <c r="L82" s="124">
        <f t="shared" si="1"/>
      </c>
      <c r="M82" s="125">
        <f t="shared" si="2"/>
      </c>
      <c r="N82" s="125">
        <f t="shared" si="3"/>
      </c>
      <c r="O82" s="126" t="s">
        <v>125</v>
      </c>
      <c r="P82" s="118">
        <v>8</v>
      </c>
      <c r="Q82" s="134"/>
      <c r="R82" s="135"/>
    </row>
    <row customHeight="true" ht="16.071428571428573" r="83">
      <c r="A83" s="136">
        <v>46287</v>
      </c>
      <c r="B83" s="137" t="s">
        <v>115</v>
      </c>
      <c r="C83" s="138" t="s">
        <v>127</v>
      </c>
      <c r="D83" s="139">
        <f>SUM(D80:D82)</f>
      </c>
      <c r="E83" s="139">
        <f>SUM(E80:E82)</f>
      </c>
      <c r="F83" s="139">
        <f>SUM(F80:F82)</f>
      </c>
      <c r="G83" s="139">
        <f>SUM(G80:G82)</f>
      </c>
      <c r="H83" s="139">
        <f>SUM(H80:H82)</f>
      </c>
      <c r="I83" s="139">
        <f>SUM(I80:I82)</f>
      </c>
      <c r="J83" s="139">
        <f>SUM(J80:J82)</f>
      </c>
      <c r="K83" s="139">
        <f>SUM(K80:K82)</f>
      </c>
      <c r="L83" s="140">
        <f t="shared" si="1"/>
      </c>
      <c r="M83" s="140">
        <f t="shared" si="2"/>
      </c>
      <c r="N83" s="140">
        <f t="shared" si="3"/>
      </c>
      <c r="O83" s="141"/>
      <c r="P83" s="141">
        <f>SUM(P80:P82)</f>
      </c>
      <c r="Q83" s="139"/>
      <c r="R83" s="139">
        <f>SUM(R80:R82)</f>
      </c>
      <c r="T83" s="113"/>
    </row>
    <row customHeight="true" ht="16.071428571428573" r="84">
      <c r="A84" s="114">
        <v>46288</v>
      </c>
      <c r="B84" s="129" t="s">
        <v>120</v>
      </c>
      <c r="C84" s="116" t="s">
        <v>126</v>
      </c>
      <c r="D84" s="126">
        <v>4</v>
      </c>
      <c r="E84" s="118">
        <v>23</v>
      </c>
      <c r="F84" s="119">
        <v>19</v>
      </c>
      <c r="G84" s="120">
        <v>13</v>
      </c>
      <c r="H84" s="121">
        <v>17</v>
      </c>
      <c r="I84" s="122">
        <v>1</v>
      </c>
      <c r="J84" s="120">
        <v>10657.8</v>
      </c>
      <c r="K84" s="123">
        <v>8240.72</v>
      </c>
      <c r="L84" s="124">
        <f t="shared" si="1"/>
      </c>
      <c r="M84" s="125">
        <f t="shared" si="2"/>
      </c>
      <c r="N84" s="124">
        <f t="shared" si="3"/>
      </c>
      <c r="O84" s="126" t="s">
        <v>125</v>
      </c>
      <c r="P84" s="126">
        <v>12</v>
      </c>
      <c r="Q84" s="127" t="s">
        <v>110</v>
      </c>
      <c r="R84" s="144">
        <v>12</v>
      </c>
    </row>
    <row customHeight="true" ht="16.071428571428573" r="85">
      <c r="A85" s="114">
        <v>46288</v>
      </c>
      <c r="B85" s="126" t="s">
        <v>113</v>
      </c>
      <c r="C85" s="129" t="s">
        <v>118</v>
      </c>
      <c r="D85" s="126">
        <v>4</v>
      </c>
      <c r="E85" s="118">
        <v>15</v>
      </c>
      <c r="F85" s="119">
        <v>15</v>
      </c>
      <c r="G85" s="120">
        <v>14</v>
      </c>
      <c r="H85" s="121">
        <v>12</v>
      </c>
      <c r="I85" s="122">
        <v>2</v>
      </c>
      <c r="J85" s="120">
        <v>8884.2</v>
      </c>
      <c r="K85" s="123">
        <v>5682.99</v>
      </c>
      <c r="L85" s="124">
        <f t="shared" si="1"/>
      </c>
      <c r="M85" s="125">
        <f t="shared" si="2"/>
      </c>
      <c r="N85" s="125">
        <f t="shared" si="3"/>
      </c>
      <c r="O85" s="126"/>
      <c r="P85" s="130"/>
      <c r="Q85" s="131"/>
      <c r="R85" s="128"/>
    </row>
    <row customHeight="true" ht="16.071428571428573" r="86">
      <c r="A86" s="114">
        <v>46288</v>
      </c>
      <c r="B86" s="126" t="s">
        <v>117</v>
      </c>
      <c r="C86" s="129" t="s">
        <v>119</v>
      </c>
      <c r="D86" s="126">
        <v>4</v>
      </c>
      <c r="E86" s="132">
        <v>10</v>
      </c>
      <c r="F86" s="119">
        <v>8</v>
      </c>
      <c r="G86" s="120">
        <v>9</v>
      </c>
      <c r="H86" s="121">
        <v>8</v>
      </c>
      <c r="I86" s="122">
        <v>2</v>
      </c>
      <c r="J86" s="120">
        <v>6572.4</v>
      </c>
      <c r="K86" s="123">
        <v>7975.1</v>
      </c>
      <c r="L86" s="124">
        <f t="shared" si="1"/>
      </c>
      <c r="M86" s="125">
        <f t="shared" si="2"/>
      </c>
      <c r="N86" s="125">
        <f t="shared" si="3"/>
      </c>
      <c r="O86" s="126"/>
      <c r="P86" s="118"/>
      <c r="Q86" s="134"/>
      <c r="R86" s="135"/>
    </row>
    <row customHeight="true" ht="16.071428571428573" r="87">
      <c r="A87" s="136">
        <v>46288</v>
      </c>
      <c r="B87" s="137" t="s">
        <v>115</v>
      </c>
      <c r="C87" s="138" t="s">
        <v>127</v>
      </c>
      <c r="D87" s="139">
        <f>SUM(D84:D86)</f>
      </c>
      <c r="E87" s="139">
        <f>SUM(E84:E86)</f>
      </c>
      <c r="F87" s="139">
        <f>SUM(F84:F86)</f>
      </c>
      <c r="G87" s="139">
        <f>SUM(G84:G86)</f>
      </c>
      <c r="H87" s="139">
        <f>SUM(H84:H86)</f>
      </c>
      <c r="I87" s="139">
        <f>SUM(I84:I86)</f>
      </c>
      <c r="J87" s="139">
        <f>SUM(J84:J86)</f>
      </c>
      <c r="K87" s="139">
        <f>SUM(K84:K86)</f>
      </c>
      <c r="L87" s="140">
        <f t="shared" si="1"/>
      </c>
      <c r="M87" s="140">
        <f t="shared" si="2"/>
      </c>
      <c r="N87" s="140">
        <f t="shared" si="3"/>
      </c>
      <c r="O87" s="141"/>
      <c r="P87" s="141">
        <f>SUM(P84:P86)</f>
      </c>
      <c r="Q87" s="139"/>
      <c r="R87" s="139">
        <f>SUM(R84:R86)</f>
      </c>
      <c r="T87" s="113"/>
    </row>
    <row customHeight="true" ht="16.071428571428573" r="88">
      <c r="A88" s="114">
        <v>46289</v>
      </c>
      <c r="B88" s="126" t="s">
        <v>113</v>
      </c>
      <c r="C88" s="116" t="s">
        <v>126</v>
      </c>
      <c r="D88" s="126">
        <v>4</v>
      </c>
      <c r="E88" s="118">
        <v>12</v>
      </c>
      <c r="F88" s="119">
        <v>11</v>
      </c>
      <c r="G88" s="120">
        <v>12</v>
      </c>
      <c r="H88" s="121">
        <v>10</v>
      </c>
      <c r="I88" s="122">
        <v>1</v>
      </c>
      <c r="J88" s="120">
        <v>8984</v>
      </c>
      <c r="K88" s="123">
        <v>6756.52</v>
      </c>
      <c r="L88" s="124">
        <f t="shared" si="1"/>
      </c>
      <c r="M88" s="125">
        <f t="shared" si="2"/>
      </c>
      <c r="N88" s="124">
        <f t="shared" si="3"/>
      </c>
      <c r="O88" s="126" t="s">
        <v>109</v>
      </c>
      <c r="P88" s="126">
        <v>4</v>
      </c>
      <c r="Q88" s="127" t="s">
        <v>110</v>
      </c>
      <c r="R88" s="144">
        <v>12</v>
      </c>
    </row>
    <row r="89">
      <c r="A89" s="114">
        <v>46289</v>
      </c>
      <c r="B89" s="126" t="s">
        <v>117</v>
      </c>
      <c r="C89" s="129" t="s">
        <v>118</v>
      </c>
      <c r="D89" s="126">
        <v>4</v>
      </c>
      <c r="E89" s="118">
        <v>10</v>
      </c>
      <c r="F89" s="119">
        <v>8</v>
      </c>
      <c r="G89" s="120">
        <v>7</v>
      </c>
      <c r="H89" s="121">
        <v>5</v>
      </c>
      <c r="I89" s="122">
        <v>2</v>
      </c>
      <c r="J89" s="120">
        <v>4851.6</v>
      </c>
      <c r="K89" s="123">
        <v>4771.37</v>
      </c>
      <c r="L89" s="124">
        <f t="shared" si="1"/>
      </c>
      <c r="M89" s="125">
        <f t="shared" si="2"/>
      </c>
      <c r="N89" s="125">
        <f t="shared" si="3"/>
      </c>
      <c r="O89" s="126" t="s">
        <v>128</v>
      </c>
      <c r="P89" s="118">
        <v>3</v>
      </c>
      <c r="Q89" s="131"/>
      <c r="R89" s="128"/>
    </row>
    <row r="90">
      <c r="A90" s="114">
        <v>46289</v>
      </c>
      <c r="B90" s="129" t="s">
        <v>120</v>
      </c>
      <c r="C90" s="129" t="s">
        <v>119</v>
      </c>
      <c r="D90" s="126">
        <v>4</v>
      </c>
      <c r="E90" s="132">
        <v>15</v>
      </c>
      <c r="F90" s="119">
        <v>13</v>
      </c>
      <c r="G90" s="120">
        <v>14</v>
      </c>
      <c r="H90" s="121">
        <v>20</v>
      </c>
      <c r="I90" s="122">
        <v>2</v>
      </c>
      <c r="J90" s="120">
        <v>9568.4</v>
      </c>
      <c r="K90" s="123">
        <v>5554.78</v>
      </c>
      <c r="L90" s="124">
        <f t="shared" si="1"/>
      </c>
      <c r="M90" s="125">
        <f t="shared" si="2"/>
      </c>
      <c r="N90" s="125">
        <f t="shared" si="3"/>
      </c>
      <c r="O90" s="126" t="s">
        <v>125</v>
      </c>
      <c r="P90" s="118">
        <v>5</v>
      </c>
      <c r="Q90" s="134"/>
      <c r="R90" s="135"/>
    </row>
    <row r="91">
      <c r="A91" s="136">
        <v>46289</v>
      </c>
      <c r="B91" s="137" t="s">
        <v>115</v>
      </c>
      <c r="C91" s="138" t="s">
        <v>127</v>
      </c>
      <c r="D91" s="139">
        <f>SUM(D88:D90)</f>
      </c>
      <c r="E91" s="139">
        <f>SUM(E88:E90)</f>
      </c>
      <c r="F91" s="139">
        <f>SUM(F88:F90)</f>
      </c>
      <c r="G91" s="139">
        <f>SUM(G88:G90)</f>
      </c>
      <c r="H91" s="139">
        <f>SUM(H88:H90)</f>
      </c>
      <c r="I91" s="139">
        <f>SUM(I88:I90)</f>
      </c>
      <c r="J91" s="139">
        <f>SUM(J88:J90)</f>
      </c>
      <c r="K91" s="139">
        <f>SUM(K88:K90)</f>
      </c>
      <c r="L91" s="140">
        <f t="shared" si="1"/>
      </c>
      <c r="M91" s="140">
        <f t="shared" si="2"/>
      </c>
      <c r="N91" s="145">
        <f t="shared" si="3"/>
      </c>
      <c r="O91" s="146"/>
      <c r="P91" s="147">
        <f>SUM(P88:P90)</f>
      </c>
      <c r="Q91" s="139"/>
      <c r="R91" s="139">
        <f>SUM(R88:R90)</f>
      </c>
      <c r="T91" s="113"/>
    </row>
    <row r="92">
      <c r="A92" s="114">
        <v>46290</v>
      </c>
      <c r="B92" s="126" t="s">
        <v>117</v>
      </c>
      <c r="C92" s="116" t="s">
        <v>126</v>
      </c>
      <c r="D92" s="126">
        <v>4</v>
      </c>
      <c r="E92" s="118">
        <v>12</v>
      </c>
      <c r="F92" s="119">
        <v>10</v>
      </c>
      <c r="G92" s="120">
        <v>12</v>
      </c>
      <c r="H92" s="121">
        <v>10</v>
      </c>
      <c r="I92" s="122">
        <v>4</v>
      </c>
      <c r="J92" s="120">
        <v>10036.8</v>
      </c>
      <c r="K92" s="123">
        <v>6310.38</v>
      </c>
      <c r="L92" s="124">
        <f t="shared" si="1"/>
      </c>
      <c r="M92" s="125">
        <f t="shared" si="2"/>
      </c>
      <c r="N92" s="124">
        <f t="shared" si="3"/>
      </c>
      <c r="O92" s="126" t="s">
        <v>109</v>
      </c>
      <c r="P92" s="126">
        <v>4</v>
      </c>
      <c r="Q92" s="127" t="s">
        <v>110</v>
      </c>
      <c r="R92" s="144">
        <v>12</v>
      </c>
    </row>
    <row r="93">
      <c r="A93" s="114">
        <v>46290</v>
      </c>
      <c r="B93" s="129" t="s">
        <v>120</v>
      </c>
      <c r="C93" s="129" t="s">
        <v>118</v>
      </c>
      <c r="D93" s="126">
        <v>4</v>
      </c>
      <c r="E93" s="118">
        <v>8</v>
      </c>
      <c r="F93" s="119">
        <v>6</v>
      </c>
      <c r="G93" s="120">
        <v>7</v>
      </c>
      <c r="H93" s="121">
        <v>5</v>
      </c>
      <c r="I93" s="122">
        <v>2</v>
      </c>
      <c r="J93" s="120">
        <v>3673.8</v>
      </c>
      <c r="K93" s="123">
        <v>4418.04</v>
      </c>
      <c r="L93" s="124">
        <f t="shared" si="1"/>
      </c>
      <c r="M93" s="125">
        <f t="shared" si="2"/>
      </c>
      <c r="N93" s="125">
        <f t="shared" si="3"/>
      </c>
      <c r="O93" s="126" t="s">
        <v>128</v>
      </c>
      <c r="P93" s="118">
        <v>3</v>
      </c>
      <c r="Q93" s="131"/>
      <c r="R93" s="128"/>
    </row>
    <row r="94">
      <c r="A94" s="114">
        <v>46290</v>
      </c>
      <c r="B94" s="129" t="s">
        <v>113</v>
      </c>
      <c r="C94" s="129" t="s">
        <v>119</v>
      </c>
      <c r="D94" s="126">
        <v>4</v>
      </c>
      <c r="E94" s="132">
        <v>16</v>
      </c>
      <c r="F94" s="119">
        <v>15</v>
      </c>
      <c r="G94" s="120">
        <v>14</v>
      </c>
      <c r="H94" s="121">
        <v>11</v>
      </c>
      <c r="I94" s="122">
        <v>2</v>
      </c>
      <c r="J94" s="120">
        <v>10741</v>
      </c>
      <c r="K94" s="123">
        <v>7321.51</v>
      </c>
      <c r="L94" s="124">
        <f t="shared" si="1"/>
      </c>
      <c r="M94" s="125">
        <f t="shared" si="2"/>
      </c>
      <c r="N94" s="125">
        <f t="shared" si="3"/>
      </c>
      <c r="O94" s="126" t="s">
        <v>125</v>
      </c>
      <c r="P94" s="118">
        <v>5</v>
      </c>
      <c r="Q94" s="134"/>
      <c r="R94" s="135"/>
    </row>
    <row r="95">
      <c r="A95" s="136">
        <v>46290</v>
      </c>
      <c r="B95" s="137" t="s">
        <v>115</v>
      </c>
      <c r="C95" s="138" t="s">
        <v>127</v>
      </c>
      <c r="D95" s="139">
        <f>SUM(D92:D94)</f>
      </c>
      <c r="E95" s="139">
        <f>SUM(E92:E94)</f>
      </c>
      <c r="F95" s="139">
        <f>SUM(F92:F94)</f>
      </c>
      <c r="G95" s="139">
        <f>SUM(G92:G94)</f>
      </c>
      <c r="H95" s="139">
        <f>SUM(H92:H94)</f>
      </c>
      <c r="I95" s="139">
        <f>SUM(I92:I94)</f>
      </c>
      <c r="J95" s="139">
        <f>SUM(J92:J94)</f>
      </c>
      <c r="K95" s="139">
        <f>SUM(K92:K94)</f>
      </c>
      <c r="L95" s="140">
        <f t="shared" si="1"/>
      </c>
      <c r="M95" s="140">
        <f t="shared" si="2"/>
      </c>
      <c r="N95" s="145">
        <f t="shared" si="3"/>
      </c>
      <c r="O95" s="146"/>
      <c r="P95" s="147">
        <f>SUM(P92:P94)</f>
      </c>
      <c r="Q95" s="139"/>
      <c r="R95" s="139">
        <f>SUM(R92:R94)</f>
      </c>
      <c r="T95" s="113"/>
    </row>
    <row r="96">
      <c r="A96" s="114">
        <v>46291</v>
      </c>
      <c r="B96" s="129" t="s">
        <v>120</v>
      </c>
      <c r="C96" s="116" t="s">
        <v>126</v>
      </c>
      <c r="D96" s="126">
        <v>4</v>
      </c>
      <c r="E96" s="118">
        <v>8</v>
      </c>
      <c r="F96" s="119">
        <v>7</v>
      </c>
      <c r="G96" s="120">
        <v>7</v>
      </c>
      <c r="H96" s="121">
        <v>6</v>
      </c>
      <c r="I96" s="122">
        <v>0</v>
      </c>
      <c r="J96" s="120">
        <v>5419.4</v>
      </c>
      <c r="K96" s="123">
        <v>4924.8</v>
      </c>
      <c r="L96" s="124">
        <f t="shared" si="1"/>
      </c>
      <c r="M96" s="125">
        <f t="shared" si="2"/>
      </c>
      <c r="N96" s="124">
        <f t="shared" si="3"/>
      </c>
      <c r="O96" s="126" t="s">
        <v>109</v>
      </c>
      <c r="P96" s="126">
        <v>4</v>
      </c>
      <c r="Q96" s="127" t="s">
        <v>110</v>
      </c>
      <c r="R96" s="144">
        <v>12</v>
      </c>
    </row>
    <row r="97">
      <c r="A97" s="114">
        <v>46291</v>
      </c>
      <c r="B97" s="129" t="s">
        <v>113</v>
      </c>
      <c r="C97" s="129" t="s">
        <v>118</v>
      </c>
      <c r="D97" s="126">
        <v>4</v>
      </c>
      <c r="E97" s="118">
        <v>13</v>
      </c>
      <c r="F97" s="119">
        <v>7</v>
      </c>
      <c r="G97" s="120">
        <v>11</v>
      </c>
      <c r="H97" s="121">
        <v>5</v>
      </c>
      <c r="I97" s="122">
        <v>3</v>
      </c>
      <c r="J97" s="120">
        <v>8327.4</v>
      </c>
      <c r="K97" s="123">
        <v>3963.05</v>
      </c>
      <c r="L97" s="124">
        <f t="shared" si="1"/>
      </c>
      <c r="M97" s="125">
        <f t="shared" si="2"/>
      </c>
      <c r="N97" s="125">
        <f t="shared" si="3"/>
      </c>
      <c r="O97" s="126" t="s">
        <v>128</v>
      </c>
      <c r="P97" s="118">
        <v>3</v>
      </c>
      <c r="Q97" s="131"/>
      <c r="R97" s="128"/>
    </row>
    <row r="98">
      <c r="A98" s="114">
        <v>46291</v>
      </c>
      <c r="B98" s="126" t="s">
        <v>117</v>
      </c>
      <c r="C98" s="129" t="s">
        <v>119</v>
      </c>
      <c r="D98" s="126">
        <v>4</v>
      </c>
      <c r="E98" s="132">
        <v>9</v>
      </c>
      <c r="F98" s="119">
        <v>8</v>
      </c>
      <c r="G98" s="120">
        <v>8</v>
      </c>
      <c r="H98" s="121">
        <v>7</v>
      </c>
      <c r="I98" s="122">
        <v>4</v>
      </c>
      <c r="J98" s="120">
        <v>5734.2</v>
      </c>
      <c r="K98" s="123">
        <v>5860.37</v>
      </c>
      <c r="L98" s="124">
        <f t="shared" si="1"/>
      </c>
      <c r="M98" s="125">
        <f t="shared" si="2"/>
      </c>
      <c r="N98" s="125">
        <f t="shared" si="3"/>
      </c>
      <c r="O98" s="126" t="s">
        <v>125</v>
      </c>
      <c r="P98" s="118">
        <v>5</v>
      </c>
      <c r="Q98" s="134"/>
      <c r="R98" s="135"/>
    </row>
    <row r="99">
      <c r="A99" s="136">
        <v>46291</v>
      </c>
      <c r="B99" s="137" t="s">
        <v>115</v>
      </c>
      <c r="C99" s="138" t="s">
        <v>127</v>
      </c>
      <c r="D99" s="139">
        <f>SUM(D96:D98)</f>
      </c>
      <c r="E99" s="139">
        <f>SUM(E96:E98)</f>
      </c>
      <c r="F99" s="139">
        <f>SUM(F96:F98)</f>
      </c>
      <c r="G99" s="139">
        <f>SUM(G96:G98)</f>
      </c>
      <c r="H99" s="139">
        <f>SUM(H96:H98)</f>
      </c>
      <c r="I99" s="139">
        <f>SUM(I96:I98)</f>
      </c>
      <c r="J99" s="139">
        <f>SUM(J96:J98)</f>
      </c>
      <c r="K99" s="139">
        <f>SUM(K96:K98)</f>
      </c>
      <c r="L99" s="140">
        <f t="shared" si="1"/>
      </c>
      <c r="M99" s="140">
        <f t="shared" si="2"/>
      </c>
      <c r="N99" s="145">
        <f t="shared" si="3"/>
      </c>
      <c r="O99" s="146"/>
      <c r="P99" s="147">
        <f>SUM(P96:P98)</f>
      </c>
      <c r="Q99" s="139"/>
      <c r="R99" s="139">
        <f>SUM(R96:R98)</f>
      </c>
      <c r="T99" s="113"/>
    </row>
    <row r="100">
      <c r="A100" s="114">
        <v>46292</v>
      </c>
      <c r="B100" s="126" t="s">
        <v>113</v>
      </c>
      <c r="C100" s="116" t="s">
        <v>126</v>
      </c>
      <c r="D100" s="126">
        <v>4</v>
      </c>
      <c r="E100" s="118">
        <v>16</v>
      </c>
      <c r="F100" s="119">
        <v>16</v>
      </c>
      <c r="G100" s="120">
        <v>14</v>
      </c>
      <c r="H100" s="121">
        <v>12</v>
      </c>
      <c r="I100" s="122">
        <v>4</v>
      </c>
      <c r="J100" s="120">
        <v>9922.6</v>
      </c>
      <c r="K100" s="123">
        <v>8150.55</v>
      </c>
      <c r="L100" s="124">
        <f t="shared" si="1"/>
      </c>
      <c r="M100" s="125">
        <f t="shared" si="2"/>
      </c>
      <c r="N100" s="124">
        <f t="shared" si="3"/>
      </c>
      <c r="O100" s="126" t="s">
        <v>109</v>
      </c>
      <c r="P100" s="126">
        <v>4</v>
      </c>
      <c r="Q100" s="127" t="s">
        <v>110</v>
      </c>
      <c r="R100" s="144">
        <v>12</v>
      </c>
    </row>
    <row r="101">
      <c r="A101" s="114">
        <v>46292</v>
      </c>
      <c r="B101" s="126" t="s">
        <v>117</v>
      </c>
      <c r="C101" s="129" t="s">
        <v>118</v>
      </c>
      <c r="D101" s="126">
        <v>4</v>
      </c>
      <c r="E101" s="118">
        <v>18</v>
      </c>
      <c r="F101" s="119">
        <v>13</v>
      </c>
      <c r="G101" s="120">
        <v>16</v>
      </c>
      <c r="H101" s="121">
        <v>11</v>
      </c>
      <c r="I101" s="122">
        <v>4</v>
      </c>
      <c r="J101" s="120">
        <v>11903.8</v>
      </c>
      <c r="K101" s="123">
        <v>6789.879999999999</v>
      </c>
      <c r="L101" s="124">
        <f t="shared" si="1"/>
      </c>
      <c r="M101" s="125">
        <f t="shared" si="2"/>
      </c>
      <c r="N101" s="125">
        <f t="shared" si="3"/>
      </c>
      <c r="O101" s="126" t="s">
        <v>128</v>
      </c>
      <c r="P101" s="118">
        <v>3</v>
      </c>
      <c r="Q101" s="131"/>
      <c r="R101" s="128"/>
    </row>
    <row r="102">
      <c r="A102" s="114">
        <v>46292</v>
      </c>
      <c r="B102" s="129" t="s">
        <v>120</v>
      </c>
      <c r="C102" s="129" t="s">
        <v>119</v>
      </c>
      <c r="D102" s="126">
        <v>4</v>
      </c>
      <c r="E102" s="132">
        <v>16</v>
      </c>
      <c r="F102" s="119">
        <v>13</v>
      </c>
      <c r="G102" s="120">
        <v>13</v>
      </c>
      <c r="H102" s="121">
        <v>10</v>
      </c>
      <c r="I102" s="122">
        <v>1</v>
      </c>
      <c r="J102" s="120">
        <v>10109.8</v>
      </c>
      <c r="K102" s="123">
        <v>7830.42</v>
      </c>
      <c r="L102" s="124">
        <f t="shared" si="1"/>
      </c>
      <c r="M102" s="125">
        <f t="shared" si="2"/>
      </c>
      <c r="N102" s="125">
        <f t="shared" si="3"/>
      </c>
      <c r="O102" s="126" t="s">
        <v>125</v>
      </c>
      <c r="P102" s="118">
        <v>5</v>
      </c>
      <c r="Q102" s="134"/>
      <c r="R102" s="135"/>
    </row>
    <row r="103">
      <c r="A103" s="136">
        <v>46292</v>
      </c>
      <c r="B103" s="137" t="s">
        <v>115</v>
      </c>
      <c r="C103" s="138" t="s">
        <v>127</v>
      </c>
      <c r="D103" s="139">
        <f>SUM(D100:D102)</f>
      </c>
      <c r="E103" s="139">
        <f>SUM(E100:E102)</f>
      </c>
      <c r="F103" s="139">
        <f>SUM(F100:F102)</f>
      </c>
      <c r="G103" s="139">
        <f>SUM(G100:G102)</f>
      </c>
      <c r="H103" s="139">
        <f>SUM(H100:H102)</f>
      </c>
      <c r="I103" s="139">
        <f>SUM(I100:I102)</f>
      </c>
      <c r="J103" s="139">
        <f>SUM(J100:J102)</f>
      </c>
      <c r="K103" s="139">
        <f>SUM(K100:K102)</f>
      </c>
      <c r="L103" s="140">
        <f t="shared" si="1"/>
      </c>
      <c r="M103" s="140">
        <f t="shared" si="2"/>
      </c>
      <c r="N103" s="145">
        <f t="shared" si="3"/>
      </c>
      <c r="O103" s="146"/>
      <c r="P103" s="147">
        <f>SUM(P100:P102)</f>
      </c>
      <c r="Q103" s="139"/>
      <c r="R103" s="139">
        <f>SUM(R100:R102)</f>
      </c>
      <c r="T103" s="113"/>
    </row>
    <row r="104">
      <c r="A104" s="114">
        <v>46293</v>
      </c>
      <c r="B104" s="129" t="s">
        <v>120</v>
      </c>
      <c r="C104" s="116" t="s">
        <v>126</v>
      </c>
      <c r="D104" s="126">
        <v>4</v>
      </c>
      <c r="E104" s="118">
        <v>43</v>
      </c>
      <c r="F104" s="119">
        <v>34</v>
      </c>
      <c r="G104" s="120">
        <v>38</v>
      </c>
      <c r="H104" s="121">
        <v>31</v>
      </c>
      <c r="I104" s="122">
        <v>7</v>
      </c>
      <c r="J104" s="120">
        <v>25198.4</v>
      </c>
      <c r="K104" s="123">
        <v>16962.370000000003</v>
      </c>
      <c r="L104" s="124">
        <f t="shared" si="1"/>
      </c>
      <c r="M104" s="125">
        <f t="shared" si="2"/>
      </c>
      <c r="N104" s="124">
        <f t="shared" si="3"/>
      </c>
      <c r="O104" s="126" t="s">
        <v>129</v>
      </c>
      <c r="P104" s="126">
        <v>4</v>
      </c>
      <c r="Q104" s="127" t="s">
        <v>110</v>
      </c>
      <c r="R104" s="144">
        <v>12</v>
      </c>
    </row>
    <row r="105">
      <c r="A105" s="114">
        <v>46293</v>
      </c>
      <c r="B105" s="126" t="s">
        <v>117</v>
      </c>
      <c r="C105" s="129" t="s">
        <v>118</v>
      </c>
      <c r="D105" s="126">
        <v>4</v>
      </c>
      <c r="E105" s="118">
        <v>9</v>
      </c>
      <c r="F105" s="119">
        <v>9</v>
      </c>
      <c r="G105" s="120">
        <v>7</v>
      </c>
      <c r="H105" s="121">
        <v>7</v>
      </c>
      <c r="I105" s="122">
        <v>0</v>
      </c>
      <c r="J105" s="120">
        <v>4013.2</v>
      </c>
      <c r="K105" s="123">
        <v>11334.92</v>
      </c>
      <c r="L105" s="124">
        <f t="shared" si="1"/>
      </c>
      <c r="M105" s="125">
        <f t="shared" si="2"/>
      </c>
      <c r="N105" s="125">
        <f t="shared" si="3"/>
      </c>
      <c r="O105" s="126" t="s">
        <v>130</v>
      </c>
      <c r="P105" s="118">
        <v>2</v>
      </c>
      <c r="Q105" s="131"/>
      <c r="R105" s="128"/>
    </row>
    <row r="106">
      <c r="A106" s="114">
        <v>46293</v>
      </c>
      <c r="B106" s="126" t="s">
        <v>113</v>
      </c>
      <c r="C106" s="129" t="s">
        <v>119</v>
      </c>
      <c r="D106" s="126">
        <v>4</v>
      </c>
      <c r="E106" s="132">
        <v>22</v>
      </c>
      <c r="F106" s="119">
        <v>19</v>
      </c>
      <c r="G106" s="120">
        <v>19</v>
      </c>
      <c r="H106" s="121">
        <v>18</v>
      </c>
      <c r="I106" s="122">
        <v>1</v>
      </c>
      <c r="J106" s="120">
        <v>12307.2</v>
      </c>
      <c r="K106" s="123">
        <v>10379.32</v>
      </c>
      <c r="L106" s="124">
        <f t="shared" si="1"/>
      </c>
      <c r="M106" s="125">
        <f t="shared" si="2"/>
      </c>
      <c r="N106" s="125">
        <f t="shared" si="3"/>
      </c>
      <c r="O106" s="126" t="s">
        <v>125</v>
      </c>
      <c r="P106" s="118">
        <v>6</v>
      </c>
      <c r="Q106" s="134"/>
      <c r="R106" s="135"/>
    </row>
    <row r="107">
      <c r="A107" s="136">
        <v>46293</v>
      </c>
      <c r="B107" s="137" t="s">
        <v>115</v>
      </c>
      <c r="C107" s="138" t="s">
        <v>127</v>
      </c>
      <c r="D107" s="139">
        <f>SUM(D104:D106)</f>
      </c>
      <c r="E107" s="139">
        <f>SUM(E104:E106)</f>
      </c>
      <c r="F107" s="139">
        <f>SUM(F104:F106)</f>
      </c>
      <c r="G107" s="139">
        <f>SUM(G104:G106)</f>
      </c>
      <c r="H107" s="139">
        <f>SUM(H104:H106)</f>
      </c>
      <c r="I107" s="139">
        <f>SUM(I104:I106)</f>
      </c>
      <c r="J107" s="139">
        <f>SUM(J104:J106)</f>
      </c>
      <c r="K107" s="139">
        <f>SUM(K104:K106)</f>
      </c>
      <c r="L107" s="140">
        <f t="shared" si="1"/>
      </c>
      <c r="M107" s="140">
        <f t="shared" si="2"/>
      </c>
      <c r="N107" s="145">
        <f t="shared" si="3"/>
      </c>
      <c r="O107" s="146"/>
      <c r="P107" s="147">
        <f>SUM(P104:P106)</f>
      </c>
      <c r="Q107" s="139"/>
      <c r="R107" s="139">
        <f>SUM(R104:R106)</f>
      </c>
      <c r="T107" s="113"/>
    </row>
    <row r="108">
      <c r="A108" s="114">
        <v>46294</v>
      </c>
      <c r="B108" s="129" t="s">
        <v>120</v>
      </c>
      <c r="C108" s="116" t="s">
        <v>126</v>
      </c>
      <c r="D108" s="126">
        <v>4</v>
      </c>
      <c r="E108" s="118">
        <v>40</v>
      </c>
      <c r="F108" s="119">
        <v>29</v>
      </c>
      <c r="G108" s="120">
        <v>34</v>
      </c>
      <c r="H108" s="121">
        <v>23</v>
      </c>
      <c r="I108" s="122">
        <v>6</v>
      </c>
      <c r="J108" s="120">
        <v>20704.6</v>
      </c>
      <c r="K108" s="123">
        <v>15142.22</v>
      </c>
      <c r="L108" s="124">
        <f t="shared" si="1"/>
      </c>
      <c r="M108" s="125">
        <f t="shared" si="2"/>
      </c>
      <c r="N108" s="124">
        <f t="shared" si="3"/>
      </c>
      <c r="O108" s="126" t="s">
        <v>125</v>
      </c>
      <c r="P108" s="126">
        <v>12</v>
      </c>
      <c r="Q108" s="127" t="s">
        <v>110</v>
      </c>
      <c r="R108" s="144">
        <v>12</v>
      </c>
    </row>
    <row r="109">
      <c r="A109" s="114">
        <v>46294</v>
      </c>
      <c r="B109" s="126" t="s">
        <v>113</v>
      </c>
      <c r="C109" s="129" t="s">
        <v>118</v>
      </c>
      <c r="D109" s="126">
        <v>4</v>
      </c>
      <c r="E109" s="118">
        <v>40</v>
      </c>
      <c r="F109" s="119">
        <v>37</v>
      </c>
      <c r="G109" s="120">
        <v>35</v>
      </c>
      <c r="H109" s="121">
        <v>31</v>
      </c>
      <c r="I109" s="122">
        <v>3</v>
      </c>
      <c r="J109" s="120">
        <v>20448.6</v>
      </c>
      <c r="K109" s="123">
        <v>19660.76</v>
      </c>
      <c r="L109" s="124">
        <f t="shared" si="1"/>
      </c>
      <c r="M109" s="125">
        <f t="shared" si="2"/>
      </c>
      <c r="N109" s="125">
        <f t="shared" si="3"/>
      </c>
      <c r="O109" s="126"/>
      <c r="P109" s="118"/>
      <c r="Q109" s="131"/>
      <c r="R109" s="128"/>
    </row>
    <row r="110">
      <c r="A110" s="114">
        <v>46294</v>
      </c>
      <c r="B110" s="126" t="s">
        <v>117</v>
      </c>
      <c r="C110" s="129" t="s">
        <v>119</v>
      </c>
      <c r="D110" s="126">
        <v>4</v>
      </c>
      <c r="E110" s="132">
        <v>24</v>
      </c>
      <c r="F110" s="119">
        <v>21</v>
      </c>
      <c r="G110" s="120">
        <v>20</v>
      </c>
      <c r="H110" s="121">
        <v>17</v>
      </c>
      <c r="I110" s="122">
        <v>2</v>
      </c>
      <c r="J110" s="120">
        <v>13643.2</v>
      </c>
      <c r="K110" s="123">
        <v>14447.69</v>
      </c>
      <c r="L110" s="124">
        <f t="shared" si="1"/>
      </c>
      <c r="M110" s="125">
        <f t="shared" si="2"/>
      </c>
      <c r="N110" s="125">
        <f t="shared" si="3"/>
      </c>
      <c r="O110" s="126"/>
      <c r="P110" s="118"/>
      <c r="Q110" s="134"/>
      <c r="R110" s="135"/>
    </row>
    <row r="111">
      <c r="A111" s="136">
        <v>46294</v>
      </c>
      <c r="B111" s="137" t="s">
        <v>115</v>
      </c>
      <c r="C111" s="138" t="s">
        <v>127</v>
      </c>
      <c r="D111" s="139">
        <f>SUM(D108:D110)</f>
      </c>
      <c r="E111" s="139">
        <f>SUM(E108:E110)</f>
      </c>
      <c r="F111" s="139">
        <f>SUM(F108:F110)</f>
      </c>
      <c r="G111" s="139">
        <f>SUM(G108:G110)</f>
      </c>
      <c r="H111" s="139">
        <f>SUM(H108:H110)</f>
      </c>
      <c r="I111" s="139">
        <f>SUM(I108:I110)</f>
      </c>
      <c r="J111" s="139">
        <f>SUM(J108:J110)</f>
      </c>
      <c r="K111" s="139">
        <f>SUM(K108:K110)</f>
      </c>
      <c r="L111" s="140">
        <f t="shared" si="1"/>
      </c>
      <c r="M111" s="140">
        <f t="shared" si="2"/>
      </c>
      <c r="N111" s="145">
        <f t="shared" si="3"/>
      </c>
      <c r="O111" s="146"/>
      <c r="P111" s="147">
        <f>SUM(P108:P110)</f>
      </c>
      <c r="Q111" s="139"/>
      <c r="R111" s="139">
        <f>SUM(R108:R110)</f>
      </c>
      <c r="T111" s="113"/>
    </row>
    <row r="112">
      <c r="A112" s="114">
        <v>46295</v>
      </c>
      <c r="B112" s="126" t="s">
        <v>113</v>
      </c>
      <c r="C112" s="116" t="s">
        <v>126</v>
      </c>
      <c r="D112" s="148">
        <f>4-0.25</f>
      </c>
      <c r="E112" s="118">
        <v>61</v>
      </c>
      <c r="F112" s="119">
        <v>50</v>
      </c>
      <c r="G112" s="120">
        <v>57</v>
      </c>
      <c r="H112" s="121">
        <v>46</v>
      </c>
      <c r="I112" s="122">
        <v>9</v>
      </c>
      <c r="J112" s="120">
        <v>31318.6</v>
      </c>
      <c r="K112" s="123">
        <v>21762.23</v>
      </c>
      <c r="L112" s="124">
        <f t="shared" si="1"/>
      </c>
      <c r="M112" s="125">
        <f t="shared" si="2"/>
      </c>
      <c r="N112" s="124">
        <f t="shared" si="3"/>
      </c>
      <c r="O112" s="126" t="s">
        <v>125</v>
      </c>
      <c r="P112" s="126">
        <v>12</v>
      </c>
      <c r="Q112" s="127" t="s">
        <v>110</v>
      </c>
      <c r="R112" s="144">
        <v>12</v>
      </c>
    </row>
    <row r="113">
      <c r="A113" s="114">
        <v>46295</v>
      </c>
      <c r="B113" s="129" t="s">
        <v>120</v>
      </c>
      <c r="C113" s="129" t="s">
        <v>118</v>
      </c>
      <c r="D113" s="148">
        <f>4-0.5</f>
      </c>
      <c r="E113" s="118">
        <v>45</v>
      </c>
      <c r="F113" s="119">
        <v>33</v>
      </c>
      <c r="G113" s="120">
        <v>42</v>
      </c>
      <c r="H113" s="121">
        <v>30</v>
      </c>
      <c r="I113" s="122">
        <v>7</v>
      </c>
      <c r="J113" s="120">
        <v>26125</v>
      </c>
      <c r="K113" s="123">
        <v>18969.92</v>
      </c>
      <c r="L113" s="124">
        <f t="shared" si="1"/>
      </c>
      <c r="M113" s="125">
        <f t="shared" si="2"/>
      </c>
      <c r="N113" s="125">
        <f t="shared" si="3"/>
      </c>
      <c r="O113" s="126"/>
      <c r="P113" s="118"/>
      <c r="Q113" s="131"/>
      <c r="R113" s="128"/>
    </row>
    <row r="114">
      <c r="A114" s="114">
        <v>46295</v>
      </c>
      <c r="B114" s="126" t="s">
        <v>117</v>
      </c>
      <c r="C114" s="129" t="s">
        <v>119</v>
      </c>
      <c r="D114" s="126">
        <v>4</v>
      </c>
      <c r="E114" s="132">
        <v>17</v>
      </c>
      <c r="F114" s="119">
        <v>13</v>
      </c>
      <c r="G114" s="120">
        <v>16</v>
      </c>
      <c r="H114" s="121">
        <v>12</v>
      </c>
      <c r="I114" s="122">
        <v>3</v>
      </c>
      <c r="J114" s="120">
        <v>10582.8</v>
      </c>
      <c r="K114" s="123">
        <v>10715.76</v>
      </c>
      <c r="L114" s="124">
        <f t="shared" si="1"/>
      </c>
      <c r="M114" s="125">
        <f t="shared" si="2"/>
      </c>
      <c r="N114" s="125">
        <f t="shared" si="3"/>
      </c>
      <c r="O114" s="126"/>
      <c r="P114" s="118"/>
      <c r="Q114" s="134"/>
      <c r="R114" s="135"/>
    </row>
    <row r="115">
      <c r="A115" s="136">
        <v>46295</v>
      </c>
      <c r="B115" s="137" t="s">
        <v>115</v>
      </c>
      <c r="C115" s="138" t="s">
        <v>127</v>
      </c>
      <c r="D115" s="139">
        <f>SUM(D112:D114)</f>
      </c>
      <c r="E115" s="139">
        <f>SUM(E112:E114)</f>
      </c>
      <c r="F115" s="139">
        <f>SUM(F112:F114)</f>
      </c>
      <c r="G115" s="139">
        <f>SUM(G112:G114)</f>
      </c>
      <c r="H115" s="139">
        <f>SUM(H112:H114)</f>
      </c>
      <c r="I115" s="139">
        <f>SUM(I112:I114)</f>
      </c>
      <c r="J115" s="139">
        <f>SUM(J112:J114)</f>
      </c>
      <c r="K115" s="139">
        <f>SUM(K112:K114)</f>
      </c>
      <c r="L115" s="140">
        <f t="shared" si="1"/>
      </c>
      <c r="M115" s="140">
        <f t="shared" si="2"/>
      </c>
      <c r="N115" s="145">
        <f t="shared" si="3"/>
      </c>
      <c r="O115" s="146"/>
      <c r="P115" s="147">
        <f>SUM(P112:P114)</f>
      </c>
      <c r="Q115" s="139"/>
      <c r="R115" s="139">
        <f>SUM(R112:R114)</f>
      </c>
      <c r="T115" s="113"/>
    </row>
    <row r="116"/>
    <row r="117"/>
    <row r="118"/>
    <row r="119"/>
    <row r="120"/>
    <row r="121">
      <c r="G121" s="149">
        <f t="shared" ref="G121:G127" si="0">E121/F121</f>
      </c>
      <c r="L121" t="s">
        <v>103</v>
      </c>
      <c r="M121" t="s">
        <v>131</v>
      </c>
    </row>
    <row r="122">
      <c r="G122" s="149">
        <f t="shared" si="0"/>
      </c>
      <c r="L122" t="s">
        <v>109</v>
      </c>
      <c r="M122">
        <v>64</v>
      </c>
    </row>
    <row r="123">
      <c r="G123" s="149">
        <f t="shared" si="0"/>
      </c>
      <c r="L123" t="s">
        <v>130</v>
      </c>
      <c r="M123">
        <v>2</v>
      </c>
    </row>
    <row r="124">
      <c r="G124" s="149">
        <f t="shared" si="0"/>
      </c>
      <c r="L124" t="s">
        <v>129</v>
      </c>
      <c r="M124">
        <v>4</v>
      </c>
    </row>
    <row r="125">
      <c r="G125" s="149">
        <f t="shared" si="0"/>
      </c>
      <c r="L125" t="s">
        <v>121</v>
      </c>
      <c r="M125">
        <v>64</v>
      </c>
    </row>
    <row r="126">
      <c r="G126" s="149">
        <f t="shared" si="0"/>
      </c>
      <c r="L126" t="s">
        <v>122</v>
      </c>
      <c r="M126">
        <v>32</v>
      </c>
    </row>
    <row r="127">
      <c r="G127" s="149">
        <f t="shared" si="0"/>
      </c>
      <c r="L127" t="s">
        <v>125</v>
      </c>
      <c r="M127">
        <v>110</v>
      </c>
    </row>
    <row r="128">
      <c r="L128" t="s">
        <v>128</v>
      </c>
      <c r="M128">
        <v>12</v>
      </c>
    </row>
    <row r="129">
      <c r="G129" s="149"/>
      <c r="L129" t="s">
        <v>132</v>
      </c>
      <c r="M129">
        <v>288</v>
      </c>
    </row>
    <row r="130">
      <c r="G130" s="149"/>
    </row>
    <row r="131">
      <c r="G131" s="149"/>
    </row>
    <row r="132">
      <c r="G132" s="149"/>
    </row>
    <row r="133">
      <c r="G133" s="149"/>
    </row>
    <row r="134">
      <c r="G134" s="149"/>
    </row>
    <row r="135">
      <c r="G135" s="149"/>
    </row>
  </sheetData>
  <autoFilter ref="A1:R115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12" min="12" style="0" width="11.211267605633802"/>
  </cols>
  <sheetData>
    <row r="1">
      <c r="A1" s="150" t="s">
        <v>133</v>
      </c>
      <c r="B1" s="151" t="s">
        <v>134</v>
      </c>
      <c r="C1" s="150" t="s">
        <v>135</v>
      </c>
      <c r="D1" s="150" t="s">
        <v>136</v>
      </c>
      <c r="E1" s="150" t="s">
        <v>137</v>
      </c>
      <c r="F1" s="152" t="s">
        <v>138</v>
      </c>
      <c r="G1" s="150" t="s">
        <v>139</v>
      </c>
      <c r="H1" s="152" t="s">
        <v>140</v>
      </c>
      <c r="I1" s="150" t="s">
        <v>141</v>
      </c>
      <c r="J1" s="153" t="s">
        <v>142</v>
      </c>
      <c r="K1" s="153" t="s">
        <v>143</v>
      </c>
      <c r="L1" s="154" t="s">
        <v>144</v>
      </c>
      <c r="M1" s="154" t="s">
        <v>145</v>
      </c>
      <c r="N1" s="154" t="s">
        <v>146</v>
      </c>
      <c r="O1" s="150" t="s">
        <v>147</v>
      </c>
      <c r="P1" s="150" t="s">
        <v>148</v>
      </c>
      <c r="Q1" s="155" t="s">
        <v>149</v>
      </c>
      <c r="R1" s="155" t="s">
        <v>150</v>
      </c>
    </row>
    <row r="2">
      <c r="A2" s="156">
        <v>46248</v>
      </c>
      <c r="B2" s="157" t="s">
        <v>151</v>
      </c>
      <c r="C2" s="158" t="s">
        <v>152</v>
      </c>
      <c r="D2" s="159">
        <v>3</v>
      </c>
      <c r="E2" s="160">
        <v>0</v>
      </c>
      <c r="F2" s="161">
        <v>0</v>
      </c>
      <c r="G2" s="162">
        <v>0</v>
      </c>
      <c r="H2" s="163">
        <v>0</v>
      </c>
      <c r="I2" s="164">
        <v>0</v>
      </c>
      <c r="J2" s="162">
        <v>0</v>
      </c>
      <c r="K2" s="165">
        <v>2.99</v>
      </c>
      <c r="L2" s="166">
        <f t="shared" ref="L2:L70" si="0">J2/K2</f>
      </c>
      <c r="M2" s="167">
        <f t="shared" ref="M2:M70" si="1">J2/G2</f>
      </c>
      <c r="N2" s="166">
        <f t="shared" ref="N2:N70" si="2">K2/G2</f>
      </c>
      <c r="O2" s="157" t="s">
        <v>153</v>
      </c>
      <c r="P2" s="157">
        <v>6</v>
      </c>
      <c r="Q2" s="168" t="s">
        <v>154</v>
      </c>
      <c r="R2" s="168">
        <v>6</v>
      </c>
    </row>
    <row r="3">
      <c r="A3" s="156">
        <v>46248</v>
      </c>
      <c r="B3" s="159" t="s">
        <v>155</v>
      </c>
      <c r="C3" s="158" t="s">
        <v>156</v>
      </c>
      <c r="D3" s="159">
        <v>3</v>
      </c>
      <c r="E3" s="169">
        <v>0</v>
      </c>
      <c r="F3" s="161">
        <v>0</v>
      </c>
      <c r="G3" s="162">
        <v>0</v>
      </c>
      <c r="H3" s="163">
        <v>0</v>
      </c>
      <c r="I3" s="164">
        <v>0</v>
      </c>
      <c r="J3" s="162">
        <v>0</v>
      </c>
      <c r="K3" s="165">
        <v>101.79</v>
      </c>
      <c r="L3" s="166">
        <f t="shared" si="0"/>
      </c>
      <c r="M3" s="167">
        <f t="shared" si="1"/>
      </c>
      <c r="N3" s="166">
        <f t="shared" si="2"/>
      </c>
      <c r="O3" s="170"/>
      <c r="P3" s="170"/>
      <c r="Q3" s="170"/>
      <c r="R3" s="170"/>
    </row>
    <row r="4">
      <c r="A4" s="171">
        <v>46248</v>
      </c>
      <c r="B4" s="172" t="s">
        <v>157</v>
      </c>
      <c r="C4" s="173" t="s">
        <v>158</v>
      </c>
      <c r="D4" s="174">
        <f>SUM(D2:D3)</f>
      </c>
      <c r="E4" s="174">
        <f>SUM(E2:E3)</f>
      </c>
      <c r="F4" s="174">
        <f>SUM(F2:F3)</f>
      </c>
      <c r="G4" s="174">
        <f>SUM(G2:G3)</f>
      </c>
      <c r="H4" s="174">
        <f>SUM(H2:H3)</f>
      </c>
      <c r="I4" s="174">
        <f>SUM(I2:I3)</f>
      </c>
      <c r="J4" s="174">
        <f>SUM(J2:J3)</f>
      </c>
      <c r="K4" s="174">
        <f>SUM(K2:K3)</f>
      </c>
      <c r="L4" s="175">
        <f t="shared" si="0"/>
      </c>
      <c r="M4" s="175">
        <f t="shared" si="1"/>
      </c>
      <c r="N4" s="175">
        <f t="shared" si="2"/>
      </c>
      <c r="O4" s="174"/>
      <c r="P4" s="174">
        <f>SUM(P2:P3)</f>
      </c>
      <c r="Q4" s="174"/>
      <c r="R4" s="174">
        <f>SUM(R2:R3)</f>
      </c>
    </row>
    <row r="5">
      <c r="A5" s="176">
        <v>46249</v>
      </c>
      <c r="B5" s="157" t="s">
        <v>151</v>
      </c>
      <c r="C5" s="158" t="s">
        <v>159</v>
      </c>
      <c r="D5" s="159">
        <v>3</v>
      </c>
      <c r="E5" s="160">
        <v>0</v>
      </c>
      <c r="F5" s="161">
        <v>0</v>
      </c>
      <c r="G5" s="162">
        <v>0</v>
      </c>
      <c r="H5" s="163">
        <v>0</v>
      </c>
      <c r="I5" s="164">
        <v>0</v>
      </c>
      <c r="J5" s="162">
        <v>0</v>
      </c>
      <c r="K5" s="165">
        <v>198.18</v>
      </c>
      <c r="L5" s="166">
        <f t="shared" si="0"/>
      </c>
      <c r="M5" s="167">
        <f t="shared" si="1"/>
      </c>
      <c r="N5" s="166">
        <f t="shared" si="2"/>
      </c>
      <c r="O5" s="157" t="s">
        <v>160</v>
      </c>
      <c r="P5" s="157">
        <v>7</v>
      </c>
      <c r="Q5" s="168" t="s">
        <v>154</v>
      </c>
      <c r="R5" s="168">
        <v>8</v>
      </c>
    </row>
    <row customHeight="true" ht="18.452380952380953" r="6">
      <c r="A6" s="176">
        <v>46249</v>
      </c>
      <c r="B6" s="159" t="s">
        <v>161</v>
      </c>
      <c r="C6" s="177" t="s">
        <v>162</v>
      </c>
      <c r="D6" s="159">
        <v>2</v>
      </c>
      <c r="E6" s="160">
        <v>0</v>
      </c>
      <c r="F6" s="161">
        <v>0</v>
      </c>
      <c r="G6" s="162">
        <v>0</v>
      </c>
      <c r="H6" s="163">
        <v>0</v>
      </c>
      <c r="I6" s="164">
        <v>0</v>
      </c>
      <c r="J6" s="162">
        <v>0</v>
      </c>
      <c r="K6" s="165">
        <v>1201.24</v>
      </c>
      <c r="L6" s="166">
        <f t="shared" si="0"/>
      </c>
      <c r="M6" s="167">
        <f t="shared" si="1"/>
      </c>
      <c r="N6" s="166">
        <f t="shared" si="2"/>
      </c>
      <c r="O6" s="157" t="s">
        <v>163</v>
      </c>
      <c r="P6" s="157">
        <v>1</v>
      </c>
      <c r="Q6" s="168"/>
      <c r="R6" s="168"/>
    </row>
    <row r="7">
      <c r="A7" s="176">
        <v>46249</v>
      </c>
      <c r="B7" s="159" t="s">
        <v>155</v>
      </c>
      <c r="C7" s="177" t="s">
        <v>164</v>
      </c>
      <c r="D7" s="159">
        <v>3</v>
      </c>
      <c r="E7" s="169">
        <v>1</v>
      </c>
      <c r="F7" s="161">
        <v>1</v>
      </c>
      <c r="G7" s="162">
        <v>1</v>
      </c>
      <c r="H7" s="163">
        <v>1</v>
      </c>
      <c r="I7" s="164">
        <v>0</v>
      </c>
      <c r="J7" s="162">
        <v>862.8000000000001</v>
      </c>
      <c r="K7" s="165">
        <v>1267.53</v>
      </c>
      <c r="L7" s="166">
        <f t="shared" si="0"/>
      </c>
      <c r="M7" s="167">
        <f t="shared" si="1"/>
      </c>
      <c r="N7" s="166">
        <f t="shared" si="2"/>
      </c>
      <c r="O7" s="170"/>
      <c r="P7" s="170"/>
      <c r="Q7" s="170"/>
      <c r="R7" s="170"/>
    </row>
    <row r="8">
      <c r="A8" s="178">
        <v>46249</v>
      </c>
      <c r="B8" s="172" t="s">
        <v>157</v>
      </c>
      <c r="C8" s="179" t="s">
        <v>165</v>
      </c>
      <c r="D8" s="174">
        <f>SUM(D5:D7)</f>
      </c>
      <c r="E8" s="174">
        <f>SUM(E5:E7)</f>
      </c>
      <c r="F8" s="174">
        <f>SUM(F5:F7)</f>
      </c>
      <c r="G8" s="174">
        <f>SUM(G5:G7)</f>
      </c>
      <c r="H8" s="174">
        <f>SUM(H5:H7)</f>
      </c>
      <c r="I8" s="174">
        <f>SUM(I5:I7)</f>
      </c>
      <c r="J8" s="174">
        <f>SUM(J5:J7)</f>
      </c>
      <c r="K8" s="174">
        <f>SUM(K5:K7)</f>
      </c>
      <c r="L8" s="175">
        <f t="shared" si="0"/>
      </c>
      <c r="M8" s="175">
        <f t="shared" si="1"/>
      </c>
      <c r="N8" s="175">
        <f t="shared" si="2"/>
      </c>
      <c r="O8" s="174"/>
      <c r="P8" s="174">
        <f>SUM(P5:P7)</f>
      </c>
      <c r="Q8" s="174"/>
      <c r="R8" s="174">
        <f>SUM(R5:R7)</f>
      </c>
    </row>
    <row r="9">
      <c r="A9" s="176">
        <v>46250</v>
      </c>
      <c r="B9" s="157" t="s">
        <v>155</v>
      </c>
      <c r="C9" s="158" t="s">
        <v>159</v>
      </c>
      <c r="D9" s="159">
        <v>3</v>
      </c>
      <c r="E9" s="160">
        <v>2</v>
      </c>
      <c r="F9" s="161">
        <v>0</v>
      </c>
      <c r="G9" s="162">
        <v>2</v>
      </c>
      <c r="H9" s="163">
        <v>0</v>
      </c>
      <c r="I9" s="164">
        <v>1</v>
      </c>
      <c r="J9" s="162">
        <v>759.5999999999999</v>
      </c>
      <c r="K9" s="165">
        <v>1452.63</v>
      </c>
      <c r="L9" s="166">
        <f t="shared" si="0"/>
      </c>
      <c r="M9" s="167">
        <f t="shared" si="1"/>
      </c>
      <c r="N9" s="166">
        <f t="shared" si="2"/>
      </c>
      <c r="O9" s="157" t="s">
        <v>160</v>
      </c>
      <c r="P9" s="157">
        <v>7</v>
      </c>
      <c r="Q9" s="168" t="s">
        <v>154</v>
      </c>
      <c r="R9" s="168">
        <v>8</v>
      </c>
    </row>
    <row r="10">
      <c r="A10" s="176">
        <v>46250</v>
      </c>
      <c r="B10" s="159" t="s">
        <v>166</v>
      </c>
      <c r="C10" s="177" t="s">
        <v>162</v>
      </c>
      <c r="D10" s="159">
        <v>2</v>
      </c>
      <c r="E10" s="160">
        <v>1</v>
      </c>
      <c r="F10" s="161">
        <v>0</v>
      </c>
      <c r="G10" s="162">
        <v>0</v>
      </c>
      <c r="H10" s="163">
        <v>0</v>
      </c>
      <c r="I10" s="164">
        <v>0</v>
      </c>
      <c r="J10" s="162">
        <v>0</v>
      </c>
      <c r="K10" s="165">
        <v>986.48</v>
      </c>
      <c r="L10" s="166">
        <f t="shared" si="0"/>
      </c>
      <c r="M10" s="167">
        <f t="shared" si="1"/>
      </c>
      <c r="N10" s="166">
        <f t="shared" si="2"/>
      </c>
      <c r="O10" s="157" t="s">
        <v>163</v>
      </c>
      <c r="P10" s="157">
        <v>1</v>
      </c>
      <c r="Q10" s="168"/>
      <c r="R10" s="168"/>
    </row>
    <row r="11">
      <c r="A11" s="176">
        <v>46250</v>
      </c>
      <c r="B11" s="157" t="s">
        <v>151</v>
      </c>
      <c r="C11" s="177" t="s">
        <v>164</v>
      </c>
      <c r="D11" s="159">
        <v>3</v>
      </c>
      <c r="E11" s="169">
        <v>0</v>
      </c>
      <c r="F11" s="161">
        <v>0</v>
      </c>
      <c r="G11" s="162">
        <v>0</v>
      </c>
      <c r="H11" s="163">
        <v>0</v>
      </c>
      <c r="I11" s="164">
        <v>0</v>
      </c>
      <c r="J11" s="162">
        <v>0</v>
      </c>
      <c r="K11" s="165">
        <v>840.31</v>
      </c>
      <c r="L11" s="166">
        <f t="shared" si="0"/>
      </c>
      <c r="M11" s="167">
        <f t="shared" si="1"/>
      </c>
      <c r="N11" s="166">
        <f t="shared" si="2"/>
      </c>
      <c r="O11" s="170"/>
      <c r="P11" s="170"/>
      <c r="Q11" s="170"/>
      <c r="R11" s="170"/>
    </row>
    <row r="12">
      <c r="A12" s="178">
        <v>46250</v>
      </c>
      <c r="B12" s="172" t="s">
        <v>157</v>
      </c>
      <c r="C12" s="179" t="s">
        <v>165</v>
      </c>
      <c r="D12" s="174">
        <f>SUM(D9:D11)</f>
      </c>
      <c r="E12" s="174">
        <f>SUM(E9:E11)</f>
      </c>
      <c r="F12" s="174">
        <f>SUM(F9:F11)</f>
      </c>
      <c r="G12" s="174">
        <f>SUM(G9:G11)</f>
      </c>
      <c r="H12" s="174">
        <f>SUM(H9:H11)</f>
      </c>
      <c r="I12" s="174">
        <f>SUM(I9:I11)</f>
      </c>
      <c r="J12" s="174">
        <f>SUM(J9:J11)</f>
      </c>
      <c r="K12" s="174">
        <f>SUM(K9:K11)</f>
      </c>
      <c r="L12" s="175">
        <f t="shared" si="0"/>
      </c>
      <c r="M12" s="175">
        <f t="shared" si="1"/>
      </c>
      <c r="N12" s="175">
        <f t="shared" si="2"/>
      </c>
      <c r="O12" s="174"/>
      <c r="P12" s="174">
        <f>SUM(P9:P11)</f>
      </c>
      <c r="Q12" s="174"/>
      <c r="R12" s="174">
        <f>SUM(R9:R11)</f>
      </c>
    </row>
    <row r="13">
      <c r="A13" s="176">
        <v>46251</v>
      </c>
      <c r="B13" s="157" t="s">
        <v>155</v>
      </c>
      <c r="C13" s="158" t="s">
        <v>159</v>
      </c>
      <c r="D13" s="159">
        <v>3</v>
      </c>
      <c r="E13" s="160">
        <v>0</v>
      </c>
      <c r="F13" s="161">
        <v>0</v>
      </c>
      <c r="G13" s="162">
        <v>0</v>
      </c>
      <c r="H13" s="163">
        <v>0</v>
      </c>
      <c r="I13" s="164">
        <v>0</v>
      </c>
      <c r="J13" s="162">
        <v>0</v>
      </c>
      <c r="K13" s="165">
        <v>2616.07</v>
      </c>
      <c r="L13" s="166">
        <f t="shared" si="0"/>
      </c>
      <c r="M13" s="167">
        <f t="shared" si="1"/>
      </c>
      <c r="N13" s="166">
        <f t="shared" si="2"/>
      </c>
      <c r="O13" s="157" t="s">
        <v>160</v>
      </c>
      <c r="P13" s="157">
        <v>7</v>
      </c>
      <c r="Q13" s="168" t="s">
        <v>167</v>
      </c>
      <c r="R13" s="168">
        <v>8</v>
      </c>
    </row>
    <row r="14">
      <c r="A14" s="176">
        <v>46251</v>
      </c>
      <c r="B14" s="159" t="s">
        <v>161</v>
      </c>
      <c r="C14" s="177" t="s">
        <v>162</v>
      </c>
      <c r="D14" s="159">
        <v>2</v>
      </c>
      <c r="E14" s="160">
        <v>0</v>
      </c>
      <c r="F14" s="161">
        <v>0</v>
      </c>
      <c r="G14" s="162">
        <v>0</v>
      </c>
      <c r="H14" s="163">
        <v>0</v>
      </c>
      <c r="I14" s="164">
        <v>0</v>
      </c>
      <c r="J14" s="162">
        <v>0</v>
      </c>
      <c r="K14" s="165">
        <v>1085.6799999999998</v>
      </c>
      <c r="L14" s="166">
        <f t="shared" si="0"/>
      </c>
      <c r="M14" s="167">
        <f t="shared" si="1"/>
      </c>
      <c r="N14" s="166">
        <f t="shared" si="2"/>
      </c>
      <c r="O14" s="157" t="s">
        <v>163</v>
      </c>
      <c r="P14" s="157">
        <v>1</v>
      </c>
      <c r="Q14" s="168"/>
      <c r="R14" s="168"/>
    </row>
    <row r="15">
      <c r="A15" s="176">
        <v>46251</v>
      </c>
      <c r="B15" s="157" t="s">
        <v>151</v>
      </c>
      <c r="C15" s="177" t="s">
        <v>164</v>
      </c>
      <c r="D15" s="159">
        <v>3</v>
      </c>
      <c r="E15" s="169">
        <v>0</v>
      </c>
      <c r="F15" s="161">
        <v>0</v>
      </c>
      <c r="G15" s="162">
        <v>0</v>
      </c>
      <c r="H15" s="163">
        <v>0</v>
      </c>
      <c r="I15" s="164">
        <v>0</v>
      </c>
      <c r="J15" s="162">
        <v>0</v>
      </c>
      <c r="K15" s="165">
        <v>717.3400000000001</v>
      </c>
      <c r="L15" s="166">
        <f t="shared" si="0"/>
      </c>
      <c r="M15" s="167">
        <f t="shared" si="1"/>
      </c>
      <c r="N15" s="166">
        <f t="shared" si="2"/>
      </c>
      <c r="O15" s="170"/>
      <c r="P15" s="170"/>
      <c r="Q15" s="170"/>
      <c r="R15" s="170"/>
    </row>
    <row r="16">
      <c r="A16" s="178">
        <v>46251</v>
      </c>
      <c r="B16" s="172" t="s">
        <v>157</v>
      </c>
      <c r="C16" s="179" t="s">
        <v>165</v>
      </c>
      <c r="D16" s="174">
        <f>SUM(D13:D15)</f>
      </c>
      <c r="E16" s="174">
        <f>SUM(E13:E15)</f>
      </c>
      <c r="F16" s="174">
        <f>SUM(F13:F15)</f>
      </c>
      <c r="G16" s="174">
        <f>SUM(G13:G15)</f>
      </c>
      <c r="H16" s="174">
        <f>SUM(H13:H15)</f>
      </c>
      <c r="I16" s="174">
        <f>SUM(I13:I15)</f>
      </c>
      <c r="J16" s="174">
        <f>SUM(J13:J15)</f>
      </c>
      <c r="K16" s="174">
        <f>SUM(K13:K15)</f>
      </c>
      <c r="L16" s="175">
        <f t="shared" si="0"/>
      </c>
      <c r="M16" s="175">
        <f t="shared" si="1"/>
      </c>
      <c r="N16" s="175">
        <f t="shared" si="2"/>
      </c>
      <c r="O16" s="174"/>
      <c r="P16" s="174">
        <f>SUM(P13:P15)</f>
      </c>
      <c r="Q16" s="174"/>
      <c r="R16" s="174">
        <f>SUM(R13:R15)</f>
      </c>
    </row>
    <row r="17">
      <c r="A17" s="176">
        <v>46252</v>
      </c>
      <c r="B17" s="157" t="s">
        <v>151</v>
      </c>
      <c r="C17" s="158" t="s">
        <v>168</v>
      </c>
      <c r="D17" s="159">
        <v>4</v>
      </c>
      <c r="E17" s="160">
        <v>15</v>
      </c>
      <c r="F17" s="161">
        <v>14</v>
      </c>
      <c r="G17" s="162">
        <v>13</v>
      </c>
      <c r="H17" s="163">
        <v>11</v>
      </c>
      <c r="I17" s="164">
        <v>1</v>
      </c>
      <c r="J17" s="162">
        <v>9980.2</v>
      </c>
      <c r="K17" s="165">
        <v>13468.259999999998</v>
      </c>
      <c r="L17" s="166">
        <f t="shared" si="0"/>
      </c>
      <c r="M17" s="167">
        <f t="shared" si="1"/>
      </c>
      <c r="N17" s="166">
        <f t="shared" si="2"/>
      </c>
      <c r="O17" s="157"/>
      <c r="P17" s="157"/>
      <c r="Q17" s="168" t="s">
        <v>169</v>
      </c>
      <c r="R17" s="168">
        <v>8</v>
      </c>
    </row>
    <row r="18">
      <c r="A18" s="176">
        <v>46252</v>
      </c>
      <c r="B18" s="159" t="s">
        <v>161</v>
      </c>
      <c r="C18" s="177" t="s">
        <v>170</v>
      </c>
      <c r="D18" s="159">
        <v>2</v>
      </c>
      <c r="E18" s="160">
        <v>11</v>
      </c>
      <c r="F18" s="161">
        <v>11</v>
      </c>
      <c r="G18" s="162">
        <v>8</v>
      </c>
      <c r="H18" s="163">
        <v>7</v>
      </c>
      <c r="I18" s="164">
        <v>1</v>
      </c>
      <c r="J18" s="162">
        <v>6333.4000000000015</v>
      </c>
      <c r="K18" s="165">
        <v>7603.87</v>
      </c>
      <c r="L18" s="166">
        <f t="shared" si="0"/>
      </c>
      <c r="M18" s="167">
        <f t="shared" si="1"/>
      </c>
      <c r="N18" s="166">
        <f t="shared" si="2"/>
      </c>
      <c r="O18" s="157" t="s">
        <v>163</v>
      </c>
      <c r="P18" s="157">
        <v>8</v>
      </c>
      <c r="Q18" s="168"/>
      <c r="R18" s="168"/>
    </row>
    <row r="19">
      <c r="A19" s="176">
        <v>46252</v>
      </c>
      <c r="B19" s="157" t="s">
        <v>166</v>
      </c>
      <c r="C19" s="177" t="s">
        <v>171</v>
      </c>
      <c r="D19" s="159">
        <v>2</v>
      </c>
      <c r="E19" s="169">
        <v>7</v>
      </c>
      <c r="F19" s="161">
        <v>7</v>
      </c>
      <c r="G19" s="162">
        <v>6</v>
      </c>
      <c r="H19" s="163">
        <v>5</v>
      </c>
      <c r="I19" s="164">
        <v>1</v>
      </c>
      <c r="J19" s="162">
        <v>5008.799999999999</v>
      </c>
      <c r="K19" s="165">
        <v>6972.780000000001</v>
      </c>
      <c r="L19" s="166">
        <f t="shared" si="0"/>
      </c>
      <c r="M19" s="167">
        <f t="shared" si="1"/>
      </c>
      <c r="N19" s="166">
        <f t="shared" si="2"/>
      </c>
      <c r="O19" s="170"/>
      <c r="P19" s="170"/>
      <c r="Q19" s="170"/>
      <c r="R19" s="170"/>
    </row>
    <row r="20">
      <c r="A20" s="178">
        <v>46252</v>
      </c>
      <c r="B20" s="172" t="s">
        <v>157</v>
      </c>
      <c r="C20" s="179" t="s">
        <v>165</v>
      </c>
      <c r="D20" s="174">
        <f>SUM(D17:D19)</f>
      </c>
      <c r="E20" s="174">
        <f>SUM(E17:E19)</f>
      </c>
      <c r="F20" s="174">
        <f>SUM(F17:F19)</f>
      </c>
      <c r="G20" s="174">
        <f>SUM(G17:G19)</f>
      </c>
      <c r="H20" s="174">
        <f>SUM(H17:H19)</f>
      </c>
      <c r="I20" s="174">
        <f>SUM(I17:I19)</f>
      </c>
      <c r="J20" s="174">
        <f>SUM(J17:J19)</f>
      </c>
      <c r="K20" s="174">
        <f>SUM(K17:K19)</f>
      </c>
      <c r="L20" s="175">
        <f t="shared" si="0"/>
      </c>
      <c r="M20" s="175">
        <f t="shared" si="1"/>
      </c>
      <c r="N20" s="175">
        <f t="shared" si="2"/>
      </c>
      <c r="O20" s="174"/>
      <c r="P20" s="174">
        <f>SUM(P17:P19)</f>
      </c>
      <c r="Q20" s="174"/>
      <c r="R20" s="174">
        <f>SUM(R17:R19)</f>
      </c>
    </row>
    <row r="21">
      <c r="A21" s="176">
        <v>46253</v>
      </c>
      <c r="B21" s="157" t="s">
        <v>151</v>
      </c>
      <c r="C21" s="158" t="s">
        <v>159</v>
      </c>
      <c r="D21" s="159">
        <v>3</v>
      </c>
      <c r="E21" s="160">
        <v>9</v>
      </c>
      <c r="F21" s="161">
        <v>9</v>
      </c>
      <c r="G21" s="162">
        <v>8</v>
      </c>
      <c r="H21" s="163">
        <v>7</v>
      </c>
      <c r="I21" s="164">
        <v>1</v>
      </c>
      <c r="J21" s="162">
        <v>5707.400000000001</v>
      </c>
      <c r="K21" s="165">
        <v>7496.629999999999</v>
      </c>
      <c r="L21" s="166">
        <f t="shared" si="0"/>
      </c>
      <c r="M21" s="167">
        <f t="shared" si="1"/>
      </c>
      <c r="N21" s="166">
        <f t="shared" si="2"/>
      </c>
      <c r="O21" s="157"/>
      <c r="P21" s="157"/>
      <c r="Q21" s="168" t="s">
        <v>169</v>
      </c>
      <c r="R21" s="168">
        <v>8</v>
      </c>
    </row>
    <row r="22">
      <c r="A22" s="176">
        <v>46253</v>
      </c>
      <c r="B22" s="159" t="s">
        <v>161</v>
      </c>
      <c r="C22" s="177" t="s">
        <v>172</v>
      </c>
      <c r="D22" s="159">
        <v>3</v>
      </c>
      <c r="E22" s="160">
        <v>12</v>
      </c>
      <c r="F22" s="161">
        <v>12</v>
      </c>
      <c r="G22" s="162">
        <v>11</v>
      </c>
      <c r="H22" s="163">
        <v>9</v>
      </c>
      <c r="I22" s="164">
        <v>1</v>
      </c>
      <c r="J22" s="162">
        <v>8384.400000000001</v>
      </c>
      <c r="K22" s="165">
        <v>9525.51</v>
      </c>
      <c r="L22" s="166">
        <f t="shared" si="0"/>
      </c>
      <c r="M22" s="167">
        <f t="shared" si="1"/>
      </c>
      <c r="N22" s="166">
        <f t="shared" si="2"/>
      </c>
      <c r="O22" s="157" t="s">
        <v>163</v>
      </c>
      <c r="P22" s="157">
        <v>8</v>
      </c>
      <c r="Q22" s="168"/>
      <c r="R22" s="168"/>
    </row>
    <row r="23">
      <c r="A23" s="176">
        <v>46253</v>
      </c>
      <c r="B23" s="157" t="s">
        <v>166</v>
      </c>
      <c r="C23" s="177" t="s">
        <v>171</v>
      </c>
      <c r="D23" s="159">
        <v>2</v>
      </c>
      <c r="E23" s="169">
        <v>12</v>
      </c>
      <c r="F23" s="161">
        <v>12</v>
      </c>
      <c r="G23" s="162">
        <v>8</v>
      </c>
      <c r="H23" s="163">
        <v>8</v>
      </c>
      <c r="I23" s="164">
        <v>0</v>
      </c>
      <c r="J23" s="162">
        <v>6207.199999999999</v>
      </c>
      <c r="K23" s="165">
        <v>7219.889999999999</v>
      </c>
      <c r="L23" s="166">
        <f t="shared" si="0"/>
      </c>
      <c r="M23" s="167">
        <f t="shared" si="1"/>
      </c>
      <c r="N23" s="166">
        <f t="shared" si="2"/>
      </c>
      <c r="O23" s="170"/>
      <c r="P23" s="170"/>
      <c r="Q23" s="170"/>
      <c r="R23" s="170"/>
    </row>
    <row r="24">
      <c r="A24" s="178">
        <v>46253</v>
      </c>
      <c r="B24" s="172" t="s">
        <v>157</v>
      </c>
      <c r="C24" s="179" t="s">
        <v>165</v>
      </c>
      <c r="D24" s="174">
        <f>SUM(D21:D23)</f>
      </c>
      <c r="E24" s="174">
        <f>SUM(E21:E23)</f>
      </c>
      <c r="F24" s="174">
        <f>SUM(F21:F23)</f>
      </c>
      <c r="G24" s="174">
        <f>SUM(G21:G23)</f>
      </c>
      <c r="H24" s="174">
        <f>SUM(H21:H23)</f>
      </c>
      <c r="I24" s="174">
        <f>SUM(I21:I23)</f>
      </c>
      <c r="J24" s="174">
        <f>SUM(J21:J23)</f>
      </c>
      <c r="K24" s="174">
        <f>SUM(K21:K23)</f>
      </c>
      <c r="L24" s="175">
        <f t="shared" si="0"/>
      </c>
      <c r="M24" s="175">
        <f t="shared" si="1"/>
      </c>
      <c r="N24" s="175">
        <f t="shared" si="2"/>
      </c>
      <c r="O24" s="174"/>
      <c r="P24" s="174">
        <f>SUM(P21:P23)</f>
      </c>
      <c r="Q24" s="174"/>
      <c r="R24" s="174">
        <f>SUM(R21:R23)</f>
      </c>
    </row>
    <row r="25">
      <c r="A25" s="176">
        <v>46254</v>
      </c>
      <c r="B25" s="157" t="s">
        <v>151</v>
      </c>
      <c r="C25" s="158" t="s">
        <v>168</v>
      </c>
      <c r="D25" s="159">
        <v>4</v>
      </c>
      <c r="E25" s="160">
        <v>15</v>
      </c>
      <c r="F25" s="161">
        <v>13</v>
      </c>
      <c r="G25" s="162">
        <v>11</v>
      </c>
      <c r="H25" s="163">
        <v>9</v>
      </c>
      <c r="I25" s="164">
        <v>0</v>
      </c>
      <c r="J25" s="162">
        <v>7401.200000000001</v>
      </c>
      <c r="K25" s="165">
        <v>8677.28</v>
      </c>
      <c r="L25" s="166">
        <f t="shared" si="0"/>
      </c>
      <c r="M25" s="167">
        <f t="shared" si="1"/>
      </c>
      <c r="N25" s="166">
        <f t="shared" si="2"/>
      </c>
      <c r="O25" s="157" t="s">
        <v>163</v>
      </c>
      <c r="P25" s="157">
        <v>7.5</v>
      </c>
      <c r="Q25" s="168" t="s">
        <v>169</v>
      </c>
      <c r="R25" s="168">
        <v>7.5</v>
      </c>
    </row>
    <row r="26">
      <c r="A26" s="176">
        <v>46254</v>
      </c>
      <c r="B26" s="159" t="s">
        <v>161</v>
      </c>
      <c r="C26" s="177" t="s">
        <v>173</v>
      </c>
      <c r="D26" s="159">
        <v>3.5</v>
      </c>
      <c r="E26" s="169">
        <v>2</v>
      </c>
      <c r="F26" s="161">
        <v>2</v>
      </c>
      <c r="G26" s="162">
        <v>0</v>
      </c>
      <c r="H26" s="163">
        <v>0</v>
      </c>
      <c r="I26" s="164">
        <v>0</v>
      </c>
      <c r="J26" s="162">
        <v>0</v>
      </c>
      <c r="K26" s="165">
        <v>3593.22</v>
      </c>
      <c r="L26" s="166">
        <f t="shared" si="0"/>
      </c>
      <c r="M26" s="167">
        <f t="shared" si="1"/>
      </c>
      <c r="N26" s="166">
        <f t="shared" si="2"/>
      </c>
      <c r="O26" s="170"/>
      <c r="P26" s="170"/>
      <c r="Q26" s="170"/>
      <c r="R26" s="170"/>
    </row>
    <row r="27">
      <c r="A27" s="178">
        <v>46254</v>
      </c>
      <c r="B27" s="172" t="s">
        <v>157</v>
      </c>
      <c r="C27" s="179" t="s">
        <v>174</v>
      </c>
      <c r="D27" s="174">
        <f>SUM(D25:D26)</f>
      </c>
      <c r="E27" s="174">
        <f>SUM(E25:E26)</f>
      </c>
      <c r="F27" s="174">
        <f>SUM(F25:F26)</f>
      </c>
      <c r="G27" s="174">
        <f>SUM(G25:G26)</f>
      </c>
      <c r="H27" s="174">
        <f>SUM(H25:H26)</f>
      </c>
      <c r="I27" s="174">
        <f>SUM(I25:I26)</f>
      </c>
      <c r="J27" s="174">
        <f>SUM(J25:J26)</f>
      </c>
      <c r="K27" s="174">
        <f>SUM(K25:K26)</f>
      </c>
      <c r="L27" s="175">
        <f t="shared" si="0"/>
      </c>
      <c r="M27" s="175">
        <f t="shared" si="1"/>
      </c>
      <c r="N27" s="175">
        <f t="shared" si="2"/>
      </c>
      <c r="O27" s="174"/>
      <c r="P27" s="174">
        <f>SUM(P25:P26)</f>
      </c>
      <c r="Q27" s="174"/>
      <c r="R27" s="174">
        <f>SUM(R25:R26)</f>
      </c>
    </row>
    <row r="28">
      <c r="A28" s="176">
        <v>46255</v>
      </c>
      <c r="B28" s="157" t="s">
        <v>151</v>
      </c>
      <c r="C28" s="158" t="s">
        <v>159</v>
      </c>
      <c r="D28" s="159">
        <v>3</v>
      </c>
      <c r="E28" s="160">
        <v>7</v>
      </c>
      <c r="F28" s="161">
        <v>6</v>
      </c>
      <c r="G28" s="162">
        <v>6</v>
      </c>
      <c r="H28" s="163">
        <v>5</v>
      </c>
      <c r="I28" s="164">
        <v>0</v>
      </c>
      <c r="J28" s="162">
        <v>4323.599999999999</v>
      </c>
      <c r="K28" s="165">
        <v>2732.96</v>
      </c>
      <c r="L28" s="166">
        <f t="shared" si="0"/>
      </c>
      <c r="M28" s="167">
        <f t="shared" si="1"/>
      </c>
      <c r="N28" s="166">
        <f t="shared" si="2"/>
      </c>
      <c r="O28" s="159" t="s">
        <v>163</v>
      </c>
      <c r="P28" s="159">
        <v>8</v>
      </c>
      <c r="Q28" s="168" t="s">
        <v>169</v>
      </c>
      <c r="R28" s="168">
        <v>8</v>
      </c>
    </row>
    <row r="29">
      <c r="A29" s="176">
        <v>46255</v>
      </c>
      <c r="B29" s="159" t="s">
        <v>161</v>
      </c>
      <c r="C29" s="177" t="s">
        <v>172</v>
      </c>
      <c r="D29" s="159">
        <v>3</v>
      </c>
      <c r="E29" s="160">
        <v>16</v>
      </c>
      <c r="F29" s="161">
        <v>14</v>
      </c>
      <c r="G29" s="162">
        <v>15</v>
      </c>
      <c r="H29" s="163">
        <v>11</v>
      </c>
      <c r="I29" s="164">
        <v>2</v>
      </c>
      <c r="J29" s="162">
        <v>9632.2</v>
      </c>
      <c r="K29" s="165">
        <v>7863.2300000000005</v>
      </c>
      <c r="L29" s="166">
        <f t="shared" si="0"/>
      </c>
      <c r="M29" s="167">
        <f t="shared" si="1"/>
      </c>
      <c r="N29" s="167">
        <f t="shared" si="2"/>
      </c>
      <c r="O29" s="180"/>
      <c r="P29" s="180"/>
      <c r="Q29" s="181"/>
      <c r="R29" s="168"/>
    </row>
    <row r="30">
      <c r="A30" s="176">
        <v>46255</v>
      </c>
      <c r="B30" s="157" t="s">
        <v>166</v>
      </c>
      <c r="C30" s="177" t="s">
        <v>171</v>
      </c>
      <c r="D30" s="159">
        <v>2</v>
      </c>
      <c r="E30" s="169">
        <v>1</v>
      </c>
      <c r="F30" s="161">
        <v>3</v>
      </c>
      <c r="G30" s="162">
        <v>1</v>
      </c>
      <c r="H30" s="163">
        <v>3</v>
      </c>
      <c r="I30" s="164">
        <v>0</v>
      </c>
      <c r="J30" s="162">
        <v>895</v>
      </c>
      <c r="K30" s="165">
        <v>3429.04</v>
      </c>
      <c r="L30" s="166">
        <f t="shared" si="0"/>
      </c>
      <c r="M30" s="167">
        <f t="shared" si="1"/>
      </c>
      <c r="N30" s="167">
        <f t="shared" si="2"/>
      </c>
      <c r="O30" s="182"/>
      <c r="P30" s="182"/>
      <c r="Q30" s="183"/>
      <c r="R30" s="170"/>
    </row>
    <row r="31">
      <c r="A31" s="178">
        <v>46255</v>
      </c>
      <c r="B31" s="172" t="s">
        <v>157</v>
      </c>
      <c r="C31" s="179" t="s">
        <v>165</v>
      </c>
      <c r="D31" s="174">
        <f>SUM(D28:D30)</f>
      </c>
      <c r="E31" s="174">
        <f>SUM(E28:E30)</f>
      </c>
      <c r="F31" s="174">
        <f>SUM(F28:F30)</f>
      </c>
      <c r="G31" s="174">
        <f>SUM(G28:G30)</f>
      </c>
      <c r="H31" s="174">
        <f>SUM(H28:H30)</f>
      </c>
      <c r="I31" s="174">
        <f>SUM(I28:I30)</f>
      </c>
      <c r="J31" s="174">
        <f>SUM(J28:J30)</f>
      </c>
      <c r="K31" s="174">
        <f>SUM(K28:K30)</f>
      </c>
      <c r="L31" s="175">
        <f t="shared" si="0"/>
      </c>
      <c r="M31" s="175">
        <f t="shared" si="1"/>
      </c>
      <c r="N31" s="175">
        <f t="shared" si="2"/>
      </c>
      <c r="O31" s="184"/>
      <c r="P31" s="184">
        <f>SUM(P28:P30)</f>
      </c>
      <c r="Q31" s="174"/>
      <c r="R31" s="174">
        <f>SUM(R28:R30)</f>
      </c>
    </row>
    <row r="32">
      <c r="A32" s="176">
        <v>46256</v>
      </c>
      <c r="B32" s="157" t="s">
        <v>151</v>
      </c>
      <c r="C32" s="158" t="s">
        <v>159</v>
      </c>
      <c r="D32" s="159">
        <v>3</v>
      </c>
      <c r="E32" s="160">
        <v>4</v>
      </c>
      <c r="F32" s="161">
        <v>4</v>
      </c>
      <c r="G32" s="162">
        <v>4</v>
      </c>
      <c r="H32" s="163">
        <v>4</v>
      </c>
      <c r="I32" s="164">
        <v>0</v>
      </c>
      <c r="J32" s="162">
        <v>3375.5999999999995</v>
      </c>
      <c r="K32" s="165">
        <v>3504.16</v>
      </c>
      <c r="L32" s="166">
        <f t="shared" si="0"/>
      </c>
      <c r="M32" s="167">
        <f t="shared" si="1"/>
      </c>
      <c r="N32" s="166">
        <f t="shared" si="2"/>
      </c>
      <c r="O32" s="159" t="s">
        <v>163</v>
      </c>
      <c r="P32" s="159">
        <v>8</v>
      </c>
      <c r="Q32" s="168" t="s">
        <v>169</v>
      </c>
      <c r="R32" s="168">
        <v>8</v>
      </c>
    </row>
    <row r="33">
      <c r="A33" s="176">
        <v>46256</v>
      </c>
      <c r="B33" s="159" t="s">
        <v>161</v>
      </c>
      <c r="C33" s="177" t="s">
        <v>172</v>
      </c>
      <c r="D33" s="159">
        <v>3</v>
      </c>
      <c r="E33" s="160">
        <v>15</v>
      </c>
      <c r="F33" s="161">
        <v>15</v>
      </c>
      <c r="G33" s="162">
        <v>14</v>
      </c>
      <c r="H33" s="163">
        <v>13</v>
      </c>
      <c r="I33" s="164">
        <v>1</v>
      </c>
      <c r="J33" s="162">
        <v>9464.400000000001</v>
      </c>
      <c r="K33" s="165">
        <v>5964.36</v>
      </c>
      <c r="L33" s="166">
        <f t="shared" si="0"/>
      </c>
      <c r="M33" s="167">
        <f t="shared" si="1"/>
      </c>
      <c r="N33" s="167">
        <f t="shared" si="2"/>
      </c>
      <c r="O33" s="180"/>
      <c r="P33" s="180"/>
      <c r="Q33" s="181"/>
      <c r="R33" s="168"/>
    </row>
    <row r="34">
      <c r="A34" s="176">
        <v>46256</v>
      </c>
      <c r="B34" s="157" t="s">
        <v>166</v>
      </c>
      <c r="C34" s="177" t="s">
        <v>171</v>
      </c>
      <c r="D34" s="159">
        <v>2</v>
      </c>
      <c r="E34" s="169">
        <v>3</v>
      </c>
      <c r="F34" s="161">
        <v>3</v>
      </c>
      <c r="G34" s="162">
        <v>3</v>
      </c>
      <c r="H34" s="163">
        <v>3</v>
      </c>
      <c r="I34" s="164">
        <v>0</v>
      </c>
      <c r="J34" s="162">
        <v>1659.5999999999985</v>
      </c>
      <c r="K34" s="165">
        <v>2823.95</v>
      </c>
      <c r="L34" s="166">
        <f t="shared" si="0"/>
      </c>
      <c r="M34" s="167">
        <f t="shared" si="1"/>
      </c>
      <c r="N34" s="167">
        <f t="shared" si="2"/>
      </c>
      <c r="O34" s="182"/>
      <c r="P34" s="182"/>
      <c r="Q34" s="183"/>
      <c r="R34" s="170"/>
    </row>
    <row r="35">
      <c r="A35" s="178">
        <v>46256</v>
      </c>
      <c r="B35" s="172" t="s">
        <v>157</v>
      </c>
      <c r="C35" s="179" t="s">
        <v>165</v>
      </c>
      <c r="D35" s="174">
        <f>SUM(D32:D34)</f>
      </c>
      <c r="E35" s="174">
        <f>SUM(E32:E34)</f>
      </c>
      <c r="F35" s="174">
        <f>SUM(F32:F34)</f>
      </c>
      <c r="G35" s="174">
        <f>SUM(G32:G34)</f>
      </c>
      <c r="H35" s="174">
        <f>SUM(H32:H34)</f>
      </c>
      <c r="I35" s="174">
        <f>SUM(I32:I34)</f>
      </c>
      <c r="J35" s="174">
        <f>SUM(J32:J34)</f>
      </c>
      <c r="K35" s="174">
        <f>SUM(K32:K34)</f>
      </c>
      <c r="L35" s="175">
        <f t="shared" si="0"/>
      </c>
      <c r="M35" s="175">
        <f t="shared" si="1"/>
      </c>
      <c r="N35" s="175">
        <f t="shared" si="2"/>
      </c>
      <c r="O35" s="184"/>
      <c r="P35" s="184">
        <f>SUM(P32:P34)</f>
      </c>
      <c r="Q35" s="174"/>
      <c r="R35" s="174">
        <f>SUM(R32:R34)</f>
      </c>
    </row>
    <row r="36">
      <c r="A36" s="176">
        <v>46257</v>
      </c>
      <c r="B36" s="185" t="s">
        <v>161</v>
      </c>
      <c r="C36" s="186" t="s">
        <v>159</v>
      </c>
      <c r="D36" s="185">
        <v>3</v>
      </c>
      <c r="E36" s="160">
        <v>8</v>
      </c>
      <c r="F36" s="161">
        <v>8</v>
      </c>
      <c r="G36" s="162">
        <v>8</v>
      </c>
      <c r="H36" s="163">
        <v>8</v>
      </c>
      <c r="I36" s="164">
        <v>0</v>
      </c>
      <c r="J36" s="187">
        <v>5132.200000000001</v>
      </c>
      <c r="K36" s="165">
        <v>5629.02</v>
      </c>
      <c r="L36" s="166">
        <f t="shared" si="0"/>
      </c>
      <c r="M36" s="167">
        <f t="shared" si="1"/>
      </c>
      <c r="N36" s="166">
        <f t="shared" si="2"/>
      </c>
      <c r="O36" s="185" t="s">
        <v>163</v>
      </c>
      <c r="P36" s="185">
        <v>8</v>
      </c>
      <c r="Q36" s="188" t="s">
        <v>169</v>
      </c>
      <c r="R36" s="188">
        <v>8</v>
      </c>
    </row>
    <row r="37">
      <c r="A37" s="176">
        <v>46257</v>
      </c>
      <c r="B37" s="159" t="s">
        <v>151</v>
      </c>
      <c r="C37" s="189" t="s">
        <v>172</v>
      </c>
      <c r="D37" s="185">
        <v>3</v>
      </c>
      <c r="E37" s="160">
        <v>7</v>
      </c>
      <c r="F37" s="161">
        <v>7</v>
      </c>
      <c r="G37" s="162">
        <v>6</v>
      </c>
      <c r="H37" s="163">
        <v>6</v>
      </c>
      <c r="I37" s="164">
        <v>0</v>
      </c>
      <c r="J37" s="187">
        <v>4532.200000000001</v>
      </c>
      <c r="K37" s="165">
        <v>6794.77</v>
      </c>
      <c r="L37" s="166">
        <f t="shared" si="0"/>
      </c>
      <c r="M37" s="167">
        <f t="shared" si="1"/>
      </c>
      <c r="N37" s="167">
        <f t="shared" si="2"/>
      </c>
      <c r="O37" s="190"/>
      <c r="P37" s="190"/>
      <c r="Q37" s="191"/>
      <c r="R37" s="188"/>
    </row>
    <row r="38">
      <c r="A38" s="176">
        <v>46257</v>
      </c>
      <c r="B38" s="157" t="s">
        <v>155</v>
      </c>
      <c r="C38" s="189" t="s">
        <v>171</v>
      </c>
      <c r="D38" s="185">
        <v>2</v>
      </c>
      <c r="E38" s="169">
        <v>7</v>
      </c>
      <c r="F38" s="161">
        <v>5</v>
      </c>
      <c r="G38" s="162">
        <v>8</v>
      </c>
      <c r="H38" s="163">
        <v>5</v>
      </c>
      <c r="I38" s="164">
        <v>1</v>
      </c>
      <c r="J38" s="187">
        <v>5638.799999999999</v>
      </c>
      <c r="K38" s="165">
        <v>2693.01</v>
      </c>
      <c r="L38" s="166">
        <f t="shared" si="0"/>
      </c>
      <c r="M38" s="167">
        <f t="shared" si="1"/>
      </c>
      <c r="N38" s="167">
        <f t="shared" si="2"/>
      </c>
      <c r="O38" s="192"/>
      <c r="P38" s="192"/>
      <c r="Q38" s="183"/>
      <c r="R38" s="170"/>
    </row>
    <row r="39">
      <c r="A39" s="178">
        <v>46257</v>
      </c>
      <c r="B39" s="172" t="s">
        <v>157</v>
      </c>
      <c r="C39" s="193" t="s">
        <v>165</v>
      </c>
      <c r="D39" s="174">
        <f>SUM(D36:D38)</f>
      </c>
      <c r="E39" s="174">
        <f>SUM(E36:E38)</f>
      </c>
      <c r="F39" s="174">
        <f>SUM(F36:F38)</f>
      </c>
      <c r="G39" s="174">
        <f>SUM(G36:G38)</f>
      </c>
      <c r="H39" s="174">
        <f>SUM(H36:H38)</f>
      </c>
      <c r="I39" s="174">
        <f>SUM(I36:I38)</f>
      </c>
      <c r="J39" s="174">
        <f>SUM(J36:J38)</f>
      </c>
      <c r="K39" s="174">
        <f>SUM(K36:K38)</f>
      </c>
      <c r="L39" s="175">
        <f t="shared" si="0"/>
      </c>
      <c r="M39" s="175">
        <f t="shared" si="1"/>
      </c>
      <c r="N39" s="175">
        <f t="shared" si="2"/>
      </c>
      <c r="O39" s="184"/>
      <c r="P39" s="184">
        <f>SUM(P36:P38)</f>
      </c>
      <c r="Q39" s="174"/>
      <c r="R39" s="174">
        <f>SUM(R36:R38)</f>
      </c>
    </row>
    <row r="40">
      <c r="A40" s="176">
        <v>46258</v>
      </c>
      <c r="B40" s="159" t="s">
        <v>155</v>
      </c>
      <c r="C40" s="186" t="s">
        <v>159</v>
      </c>
      <c r="D40" s="185">
        <v>3</v>
      </c>
      <c r="E40" s="160">
        <v>12</v>
      </c>
      <c r="F40" s="161">
        <v>11</v>
      </c>
      <c r="G40" s="162">
        <v>9</v>
      </c>
      <c r="H40" s="163">
        <v>8</v>
      </c>
      <c r="I40" s="164">
        <v>1</v>
      </c>
      <c r="J40" s="162">
        <v>4575.2</v>
      </c>
      <c r="K40" s="194">
        <v>6252.15</v>
      </c>
      <c r="L40" s="166">
        <f t="shared" si="0"/>
      </c>
      <c r="M40" s="167">
        <f t="shared" si="1"/>
      </c>
      <c r="N40" s="166">
        <f t="shared" si="2"/>
      </c>
      <c r="O40" s="159" t="s">
        <v>175</v>
      </c>
      <c r="P40" s="185">
        <v>8</v>
      </c>
      <c r="Q40" s="188" t="s">
        <v>169</v>
      </c>
      <c r="R40" s="188">
        <v>8</v>
      </c>
    </row>
    <row r="41">
      <c r="A41" s="176">
        <v>46258</v>
      </c>
      <c r="B41" s="159" t="s">
        <v>151</v>
      </c>
      <c r="C41" s="189" t="s">
        <v>172</v>
      </c>
      <c r="D41" s="185">
        <v>3</v>
      </c>
      <c r="E41" s="160">
        <v>7</v>
      </c>
      <c r="F41" s="161">
        <v>8</v>
      </c>
      <c r="G41" s="162">
        <v>4</v>
      </c>
      <c r="H41" s="163">
        <v>4</v>
      </c>
      <c r="I41" s="164">
        <v>0</v>
      </c>
      <c r="J41" s="162">
        <v>2714.2</v>
      </c>
      <c r="K41" s="194">
        <v>4814.2</v>
      </c>
      <c r="L41" s="166">
        <f t="shared" si="0"/>
      </c>
      <c r="M41" s="167">
        <f t="shared" si="1"/>
      </c>
      <c r="N41" s="167">
        <f t="shared" si="2"/>
      </c>
      <c r="O41" s="190"/>
      <c r="P41" s="190"/>
      <c r="Q41" s="191"/>
      <c r="R41" s="188"/>
    </row>
    <row r="42">
      <c r="A42" s="176">
        <v>46258</v>
      </c>
      <c r="B42" s="157" t="s">
        <v>161</v>
      </c>
      <c r="C42" s="189" t="s">
        <v>171</v>
      </c>
      <c r="D42" s="185">
        <v>2</v>
      </c>
      <c r="E42" s="169">
        <v>1</v>
      </c>
      <c r="F42" s="161">
        <v>1</v>
      </c>
      <c r="G42" s="162">
        <v>1</v>
      </c>
      <c r="H42" s="163">
        <v>1</v>
      </c>
      <c r="I42" s="164">
        <v>0</v>
      </c>
      <c r="J42" s="162">
        <v>967.2</v>
      </c>
      <c r="K42" s="194">
        <v>875.09</v>
      </c>
      <c r="L42" s="166">
        <f t="shared" si="0"/>
      </c>
      <c r="M42" s="167">
        <f t="shared" si="1"/>
      </c>
      <c r="N42" s="167">
        <f t="shared" si="2"/>
      </c>
      <c r="O42" s="192"/>
      <c r="P42" s="192"/>
      <c r="Q42" s="183"/>
      <c r="R42" s="170"/>
    </row>
    <row r="43">
      <c r="A43" s="178">
        <v>46258</v>
      </c>
      <c r="B43" s="172" t="s">
        <v>157</v>
      </c>
      <c r="C43" s="193" t="s">
        <v>165</v>
      </c>
      <c r="D43" s="174">
        <f>SUM(D40:D42)</f>
      </c>
      <c r="E43" s="174">
        <f>SUM(E40:E42)</f>
      </c>
      <c r="F43" s="174">
        <f>SUM(F40:F42)</f>
      </c>
      <c r="G43" s="174">
        <f>SUM(G40:G42)</f>
      </c>
      <c r="H43" s="174">
        <f>SUM(H40:H42)</f>
      </c>
      <c r="I43" s="174">
        <f>SUM(I40:I42)</f>
      </c>
      <c r="J43" s="174">
        <f>SUM(J40:J42)</f>
      </c>
      <c r="K43" s="174">
        <f>SUM(K40:K42)</f>
      </c>
      <c r="L43" s="175">
        <f t="shared" si="0"/>
      </c>
      <c r="M43" s="175">
        <f t="shared" si="1"/>
      </c>
      <c r="N43" s="175">
        <f t="shared" si="2"/>
      </c>
      <c r="O43" s="184"/>
      <c r="P43" s="184">
        <f>SUM(P40:P42)</f>
      </c>
      <c r="Q43" s="174"/>
      <c r="R43" s="174">
        <f>SUM(R40:R42)</f>
      </c>
    </row>
    <row r="44">
      <c r="A44" s="176">
        <v>46259</v>
      </c>
      <c r="B44" s="157" t="s">
        <v>161</v>
      </c>
      <c r="C44" s="186" t="s">
        <v>159</v>
      </c>
      <c r="D44" s="185">
        <v>3</v>
      </c>
      <c r="E44" s="160">
        <v>10</v>
      </c>
      <c r="F44" s="161">
        <v>10</v>
      </c>
      <c r="G44" s="162">
        <v>6</v>
      </c>
      <c r="H44" s="163">
        <v>6</v>
      </c>
      <c r="I44" s="164">
        <v>0</v>
      </c>
      <c r="J44" s="162">
        <v>5133.400000000001</v>
      </c>
      <c r="K44" s="194">
        <v>4912.83</v>
      </c>
      <c r="L44" s="166">
        <f t="shared" si="0"/>
      </c>
      <c r="M44" s="167">
        <f t="shared" si="1"/>
      </c>
      <c r="N44" s="166">
        <f t="shared" si="2"/>
      </c>
      <c r="O44" s="159" t="s">
        <v>163</v>
      </c>
      <c r="P44" s="185">
        <v>8</v>
      </c>
      <c r="Q44" s="188" t="s">
        <v>169</v>
      </c>
      <c r="R44" s="188">
        <v>8</v>
      </c>
    </row>
    <row r="45">
      <c r="A45" s="176">
        <v>46259</v>
      </c>
      <c r="B45" s="159" t="s">
        <v>155</v>
      </c>
      <c r="C45" s="177" t="s">
        <v>162</v>
      </c>
      <c r="D45" s="159">
        <v>2</v>
      </c>
      <c r="E45" s="160">
        <v>5</v>
      </c>
      <c r="F45" s="161">
        <v>5</v>
      </c>
      <c r="G45" s="162">
        <v>4</v>
      </c>
      <c r="H45" s="163">
        <v>3</v>
      </c>
      <c r="I45" s="164">
        <v>1</v>
      </c>
      <c r="J45" s="162">
        <v>3045.3999999999996</v>
      </c>
      <c r="K45" s="194">
        <v>3606.26</v>
      </c>
      <c r="L45" s="166">
        <f t="shared" si="0"/>
      </c>
      <c r="M45" s="167">
        <f t="shared" si="1"/>
      </c>
      <c r="N45" s="167">
        <f t="shared" si="2"/>
      </c>
      <c r="O45" s="190"/>
      <c r="P45" s="190"/>
      <c r="Q45" s="191"/>
      <c r="R45" s="188"/>
    </row>
    <row r="46">
      <c r="A46" s="176">
        <v>46259</v>
      </c>
      <c r="B46" s="159" t="s">
        <v>151</v>
      </c>
      <c r="C46" s="177" t="s">
        <v>164</v>
      </c>
      <c r="D46" s="159">
        <v>3</v>
      </c>
      <c r="E46" s="169">
        <v>5</v>
      </c>
      <c r="F46" s="161">
        <v>5</v>
      </c>
      <c r="G46" s="162">
        <v>5</v>
      </c>
      <c r="H46" s="163">
        <v>4</v>
      </c>
      <c r="I46" s="164">
        <v>1</v>
      </c>
      <c r="J46" s="162">
        <v>3349.000000000001</v>
      </c>
      <c r="K46" s="194">
        <v>2873.87</v>
      </c>
      <c r="L46" s="166">
        <f t="shared" si="0"/>
      </c>
      <c r="M46" s="167">
        <f t="shared" si="1"/>
      </c>
      <c r="N46" s="167">
        <f t="shared" si="2"/>
      </c>
      <c r="O46" s="192"/>
      <c r="P46" s="192"/>
      <c r="Q46" s="183"/>
      <c r="R46" s="170"/>
    </row>
    <row r="47">
      <c r="A47" s="178">
        <v>46259</v>
      </c>
      <c r="B47" s="172" t="s">
        <v>157</v>
      </c>
      <c r="C47" s="193" t="s">
        <v>165</v>
      </c>
      <c r="D47" s="174">
        <f>SUM(D44:D46)</f>
      </c>
      <c r="E47" s="174">
        <f>SUM(E44:E46)</f>
      </c>
      <c r="F47" s="174">
        <f>SUM(F44:F46)</f>
      </c>
      <c r="G47" s="174">
        <f>SUM(G44:G46)</f>
      </c>
      <c r="H47" s="174">
        <f>SUM(H44:H46)</f>
      </c>
      <c r="I47" s="174">
        <f>SUM(I44:I46)</f>
      </c>
      <c r="J47" s="174">
        <f>SUM(J44:J46)</f>
      </c>
      <c r="K47" s="174">
        <f>SUM(K44:K46)</f>
      </c>
      <c r="L47" s="175">
        <f t="shared" si="0"/>
      </c>
      <c r="M47" s="175">
        <f t="shared" si="1"/>
      </c>
      <c r="N47" s="175">
        <f t="shared" si="2"/>
      </c>
      <c r="O47" s="184"/>
      <c r="P47" s="184">
        <f>SUM(P44:P46)</f>
      </c>
      <c r="Q47" s="174"/>
      <c r="R47" s="174">
        <f>SUM(R44:R46)</f>
      </c>
    </row>
    <row r="48">
      <c r="A48" s="176">
        <v>46260</v>
      </c>
      <c r="B48" s="157" t="s">
        <v>161</v>
      </c>
      <c r="C48" s="158" t="s">
        <v>164</v>
      </c>
      <c r="D48" s="185">
        <v>3</v>
      </c>
      <c r="E48" s="160">
        <v>1</v>
      </c>
      <c r="F48" s="161">
        <v>0</v>
      </c>
      <c r="G48" s="162">
        <v>2</v>
      </c>
      <c r="H48" s="163">
        <v>0</v>
      </c>
      <c r="I48" s="164">
        <v>1</v>
      </c>
      <c r="J48" s="162">
        <v>830.4000000000001</v>
      </c>
      <c r="K48" s="194">
        <v>47.910000000000004</v>
      </c>
      <c r="L48" s="166">
        <f t="shared" si="0"/>
      </c>
      <c r="M48" s="167">
        <f t="shared" si="1"/>
      </c>
      <c r="N48" s="166">
        <f t="shared" si="2"/>
      </c>
      <c r="O48" s="159" t="s">
        <v>163</v>
      </c>
      <c r="P48" s="185">
        <v>8</v>
      </c>
      <c r="Q48" s="195" t="s">
        <v>154</v>
      </c>
      <c r="R48" s="188">
        <v>8</v>
      </c>
    </row>
    <row r="49">
      <c r="A49" s="176">
        <v>46260</v>
      </c>
      <c r="B49" s="159" t="s">
        <v>176</v>
      </c>
      <c r="C49" s="177" t="s">
        <v>177</v>
      </c>
      <c r="D49" s="159">
        <v>2</v>
      </c>
      <c r="E49" s="160">
        <v>4</v>
      </c>
      <c r="F49" s="161">
        <v>4</v>
      </c>
      <c r="G49" s="162">
        <v>3</v>
      </c>
      <c r="H49" s="163">
        <v>3</v>
      </c>
      <c r="I49" s="164">
        <v>0</v>
      </c>
      <c r="J49" s="162">
        <v>2304</v>
      </c>
      <c r="K49" s="194">
        <v>3706.98</v>
      </c>
      <c r="L49" s="166">
        <f t="shared" si="0"/>
      </c>
      <c r="M49" s="167">
        <f t="shared" si="1"/>
      </c>
      <c r="N49" s="167">
        <f t="shared" si="2"/>
      </c>
      <c r="O49" s="190"/>
      <c r="P49" s="190"/>
      <c r="Q49" s="191"/>
      <c r="R49" s="188"/>
    </row>
    <row r="50">
      <c r="A50" s="176">
        <v>46260</v>
      </c>
      <c r="B50" s="159" t="s">
        <v>155</v>
      </c>
      <c r="C50" s="177" t="s">
        <v>178</v>
      </c>
      <c r="D50" s="159">
        <v>3</v>
      </c>
      <c r="E50" s="169">
        <v>5</v>
      </c>
      <c r="F50" s="161">
        <v>4</v>
      </c>
      <c r="G50" s="162">
        <v>3</v>
      </c>
      <c r="H50" s="163">
        <v>3</v>
      </c>
      <c r="I50" s="164">
        <v>0</v>
      </c>
      <c r="J50" s="162">
        <v>1421.9999999999995</v>
      </c>
      <c r="K50" s="194">
        <v>1511.19</v>
      </c>
      <c r="L50" s="166">
        <f t="shared" si="0"/>
      </c>
      <c r="M50" s="167">
        <f t="shared" si="1"/>
      </c>
      <c r="N50" s="167">
        <f t="shared" si="2"/>
      </c>
      <c r="O50" s="192"/>
      <c r="P50" s="192"/>
      <c r="Q50" s="183"/>
      <c r="R50" s="170"/>
    </row>
    <row r="51">
      <c r="A51" s="178">
        <v>46260</v>
      </c>
      <c r="B51" s="172" t="s">
        <v>157</v>
      </c>
      <c r="C51" s="179" t="s">
        <v>179</v>
      </c>
      <c r="D51" s="174">
        <f>SUM(D48:D50)</f>
      </c>
      <c r="E51" s="174">
        <f>SUM(E48:E50)</f>
      </c>
      <c r="F51" s="174">
        <f>SUM(F48:F50)</f>
      </c>
      <c r="G51" s="174">
        <f>SUM(G48:G50)</f>
      </c>
      <c r="H51" s="174">
        <f>SUM(H48:H50)</f>
      </c>
      <c r="I51" s="174">
        <f>SUM(I48:I50)</f>
      </c>
      <c r="J51" s="174">
        <f>SUM(J48:J50)</f>
      </c>
      <c r="K51" s="174">
        <f>SUM(K48:K50)</f>
      </c>
      <c r="L51" s="175">
        <f t="shared" si="0"/>
      </c>
      <c r="M51" s="175">
        <f t="shared" si="1"/>
      </c>
      <c r="N51" s="175">
        <f t="shared" si="2"/>
      </c>
      <c r="O51" s="184"/>
      <c r="P51" s="184">
        <f>SUM(P48:P50)</f>
      </c>
      <c r="Q51" s="174"/>
      <c r="R51" s="174">
        <f>SUM(R48:R50)</f>
      </c>
    </row>
    <row r="52">
      <c r="A52" s="176">
        <v>46261</v>
      </c>
      <c r="B52" s="157" t="s">
        <v>161</v>
      </c>
      <c r="C52" s="158" t="s">
        <v>164</v>
      </c>
      <c r="D52" s="185">
        <v>3</v>
      </c>
      <c r="E52" s="160">
        <v>5</v>
      </c>
      <c r="F52" s="161">
        <v>5</v>
      </c>
      <c r="G52" s="162">
        <v>4</v>
      </c>
      <c r="H52" s="163">
        <v>3</v>
      </c>
      <c r="I52" s="164">
        <v>1</v>
      </c>
      <c r="J52" s="162">
        <v>2265.6000000000004</v>
      </c>
      <c r="K52" s="194">
        <v>2455.0699999999997</v>
      </c>
      <c r="L52" s="166">
        <f t="shared" si="0"/>
      </c>
      <c r="M52" s="167">
        <f t="shared" si="1"/>
      </c>
      <c r="N52" s="166">
        <f t="shared" si="2"/>
      </c>
      <c r="O52" s="159" t="s">
        <v>163</v>
      </c>
      <c r="P52" s="159">
        <v>9</v>
      </c>
      <c r="Q52" s="195" t="s">
        <v>154</v>
      </c>
      <c r="R52" s="168">
        <v>9</v>
      </c>
    </row>
    <row r="53">
      <c r="A53" s="176">
        <v>46261</v>
      </c>
      <c r="B53" s="159" t="s">
        <v>176</v>
      </c>
      <c r="C53" s="177" t="s">
        <v>177</v>
      </c>
      <c r="D53" s="159">
        <v>2</v>
      </c>
      <c r="E53" s="160">
        <v>4</v>
      </c>
      <c r="F53" s="161">
        <v>2</v>
      </c>
      <c r="G53" s="162">
        <v>2</v>
      </c>
      <c r="H53" s="163">
        <v>1</v>
      </c>
      <c r="I53" s="164">
        <v>0</v>
      </c>
      <c r="J53" s="162">
        <v>1661.8000000000002</v>
      </c>
      <c r="K53" s="194">
        <v>1165.4099999999999</v>
      </c>
      <c r="L53" s="166">
        <f t="shared" si="0"/>
      </c>
      <c r="M53" s="167">
        <f t="shared" si="1"/>
      </c>
      <c r="N53" s="167">
        <f t="shared" si="2"/>
      </c>
      <c r="O53" s="190"/>
      <c r="P53" s="190"/>
      <c r="Q53" s="191"/>
      <c r="R53" s="188"/>
    </row>
    <row r="54">
      <c r="A54" s="176">
        <v>46261</v>
      </c>
      <c r="B54" s="159" t="s">
        <v>151</v>
      </c>
      <c r="C54" s="177" t="s">
        <v>180</v>
      </c>
      <c r="D54" s="159">
        <v>4</v>
      </c>
      <c r="E54" s="169">
        <v>15</v>
      </c>
      <c r="F54" s="161">
        <v>15</v>
      </c>
      <c r="G54" s="162">
        <v>16</v>
      </c>
      <c r="H54" s="163">
        <v>14</v>
      </c>
      <c r="I54" s="164">
        <v>1</v>
      </c>
      <c r="J54" s="162">
        <v>11797</v>
      </c>
      <c r="K54" s="194">
        <v>5580.950000000001</v>
      </c>
      <c r="L54" s="166">
        <f t="shared" si="0"/>
      </c>
      <c r="M54" s="167">
        <f t="shared" si="1"/>
      </c>
      <c r="N54" s="167">
        <f t="shared" si="2"/>
      </c>
      <c r="O54" s="192"/>
      <c r="P54" s="192"/>
      <c r="Q54" s="183"/>
      <c r="R54" s="170"/>
    </row>
    <row r="55">
      <c r="A55" s="178">
        <v>46261</v>
      </c>
      <c r="B55" s="172" t="s">
        <v>157</v>
      </c>
      <c r="C55" s="179" t="s">
        <v>181</v>
      </c>
      <c r="D55" s="174">
        <f>SUM(D52:D54)</f>
      </c>
      <c r="E55" s="174">
        <f>SUM(E52:E54)</f>
      </c>
      <c r="F55" s="174">
        <f>SUM(F52:F54)</f>
      </c>
      <c r="G55" s="174">
        <f>SUM(G52:G54)</f>
      </c>
      <c r="H55" s="174">
        <f>SUM(H52:H54)</f>
      </c>
      <c r="I55" s="174">
        <f>SUM(I52:I54)</f>
      </c>
      <c r="J55" s="174">
        <f>SUM(J52:J54)</f>
      </c>
      <c r="K55" s="174">
        <f>SUM(K52:K54)</f>
      </c>
      <c r="L55" s="175">
        <f t="shared" si="0"/>
      </c>
      <c r="M55" s="175">
        <f t="shared" si="1"/>
      </c>
      <c r="N55" s="175">
        <f t="shared" si="2"/>
      </c>
      <c r="O55" s="184"/>
      <c r="P55" s="184">
        <f>SUM(P52:P54)</f>
      </c>
      <c r="Q55" s="174"/>
      <c r="R55" s="174">
        <f>SUM(R52:R54)</f>
      </c>
    </row>
    <row r="56">
      <c r="A56" s="176">
        <v>46262</v>
      </c>
      <c r="B56" s="157" t="s">
        <v>176</v>
      </c>
      <c r="C56" s="158" t="s">
        <v>164</v>
      </c>
      <c r="D56" s="185">
        <v>3</v>
      </c>
      <c r="E56" s="160">
        <v>13</v>
      </c>
      <c r="F56" s="161">
        <v>12</v>
      </c>
      <c r="G56" s="162">
        <v>13</v>
      </c>
      <c r="H56" s="163">
        <v>9</v>
      </c>
      <c r="I56" s="164">
        <v>3</v>
      </c>
      <c r="J56" s="162">
        <v>8493.599999999999</v>
      </c>
      <c r="K56" s="194">
        <v>8079.03</v>
      </c>
      <c r="L56" s="166">
        <f t="shared" si="0"/>
      </c>
      <c r="M56" s="167">
        <f t="shared" si="1"/>
      </c>
      <c r="N56" s="166">
        <f t="shared" si="2"/>
      </c>
      <c r="O56" s="159" t="s">
        <v>163</v>
      </c>
      <c r="P56" s="185">
        <v>8</v>
      </c>
      <c r="Q56" s="195" t="s">
        <v>154</v>
      </c>
      <c r="R56" s="188">
        <v>8</v>
      </c>
    </row>
    <row r="57">
      <c r="A57" s="176">
        <v>46262</v>
      </c>
      <c r="B57" s="159" t="s">
        <v>155</v>
      </c>
      <c r="C57" s="177" t="s">
        <v>177</v>
      </c>
      <c r="D57" s="159">
        <v>2</v>
      </c>
      <c r="E57" s="160">
        <v>6</v>
      </c>
      <c r="F57" s="161">
        <v>6</v>
      </c>
      <c r="G57" s="162">
        <v>4</v>
      </c>
      <c r="H57" s="163">
        <v>5</v>
      </c>
      <c r="I57" s="164">
        <v>0</v>
      </c>
      <c r="J57" s="162">
        <v>2702.3999999999996</v>
      </c>
      <c r="K57" s="194">
        <v>5417.93</v>
      </c>
      <c r="L57" s="166">
        <f t="shared" si="0"/>
      </c>
      <c r="M57" s="167">
        <f t="shared" si="1"/>
      </c>
      <c r="N57" s="167">
        <f t="shared" si="2"/>
      </c>
      <c r="O57" s="190"/>
      <c r="P57" s="190"/>
      <c r="Q57" s="191"/>
      <c r="R57" s="188"/>
    </row>
    <row r="58">
      <c r="A58" s="176">
        <v>46262</v>
      </c>
      <c r="B58" s="159" t="s">
        <v>151</v>
      </c>
      <c r="C58" s="177" t="s">
        <v>178</v>
      </c>
      <c r="D58" s="159">
        <v>3</v>
      </c>
      <c r="E58" s="169">
        <v>10</v>
      </c>
      <c r="F58" s="161">
        <v>8</v>
      </c>
      <c r="G58" s="162">
        <v>12</v>
      </c>
      <c r="H58" s="163">
        <v>8</v>
      </c>
      <c r="I58" s="164">
        <v>2</v>
      </c>
      <c r="J58" s="162">
        <v>8685.199999999999</v>
      </c>
      <c r="K58" s="194">
        <v>6259.08</v>
      </c>
      <c r="L58" s="166">
        <f t="shared" si="0"/>
      </c>
      <c r="M58" s="167">
        <f t="shared" si="1"/>
      </c>
      <c r="N58" s="167">
        <f t="shared" si="2"/>
      </c>
      <c r="O58" s="192"/>
      <c r="P58" s="192"/>
      <c r="Q58" s="183"/>
      <c r="R58" s="170"/>
    </row>
    <row r="59">
      <c r="A59" s="178">
        <v>46262</v>
      </c>
      <c r="B59" s="172" t="s">
        <v>157</v>
      </c>
      <c r="C59" s="179" t="s">
        <v>179</v>
      </c>
      <c r="D59" s="174">
        <f>SUM(D56:D58)</f>
      </c>
      <c r="E59" s="174">
        <f>SUM(E56:E58)</f>
      </c>
      <c r="F59" s="174">
        <f>SUM(F56:F58)</f>
      </c>
      <c r="G59" s="174">
        <f>SUM(G56:G58)</f>
      </c>
      <c r="H59" s="174">
        <f>SUM(H56:H58)</f>
      </c>
      <c r="I59" s="174">
        <f>SUM(I56:I58)</f>
      </c>
      <c r="J59" s="174">
        <f>SUM(J56:J58)</f>
      </c>
      <c r="K59" s="174">
        <f>SUM(K56:K58)</f>
      </c>
      <c r="L59" s="175">
        <f t="shared" si="0"/>
      </c>
      <c r="M59" s="175">
        <f t="shared" si="1"/>
      </c>
      <c r="N59" s="175">
        <f t="shared" si="2"/>
      </c>
      <c r="O59" s="184"/>
      <c r="P59" s="184">
        <f>SUM(P56:P58)</f>
      </c>
      <c r="Q59" s="174"/>
      <c r="R59" s="174">
        <f>SUM(R56:R58)</f>
      </c>
    </row>
    <row r="60">
      <c r="A60" s="176">
        <v>46263</v>
      </c>
      <c r="B60" s="157" t="s">
        <v>161</v>
      </c>
      <c r="C60" s="158" t="s">
        <v>182</v>
      </c>
      <c r="D60" s="159">
        <v>4</v>
      </c>
      <c r="E60" s="160">
        <v>21</v>
      </c>
      <c r="F60" s="161">
        <v>19</v>
      </c>
      <c r="G60" s="162">
        <v>16</v>
      </c>
      <c r="H60" s="163">
        <v>13</v>
      </c>
      <c r="I60" s="164">
        <v>1</v>
      </c>
      <c r="J60" s="162">
        <v>11649.2</v>
      </c>
      <c r="K60" s="194">
        <v>9123.630000000001</v>
      </c>
      <c r="L60" s="166">
        <f t="shared" si="0"/>
      </c>
      <c r="M60" s="167">
        <f t="shared" si="1"/>
      </c>
      <c r="N60" s="166">
        <f t="shared" si="2"/>
      </c>
      <c r="O60" s="159" t="s">
        <v>163</v>
      </c>
      <c r="P60" s="185">
        <v>8</v>
      </c>
      <c r="Q60" s="195" t="s">
        <v>154</v>
      </c>
      <c r="R60" s="188">
        <v>8</v>
      </c>
    </row>
    <row r="61">
      <c r="A61" s="176">
        <v>46263</v>
      </c>
      <c r="B61" s="159" t="s">
        <v>151</v>
      </c>
      <c r="C61" s="177" t="s">
        <v>183</v>
      </c>
      <c r="D61" s="159">
        <v>4</v>
      </c>
      <c r="E61" s="169">
        <v>18</v>
      </c>
      <c r="F61" s="161">
        <v>17</v>
      </c>
      <c r="G61" s="162">
        <v>16</v>
      </c>
      <c r="H61" s="163">
        <v>11</v>
      </c>
      <c r="I61" s="164">
        <v>3</v>
      </c>
      <c r="J61" s="162">
        <v>11603.2</v>
      </c>
      <c r="K61" s="194">
        <v>12404.210000000001</v>
      </c>
      <c r="L61" s="166">
        <f t="shared" si="0"/>
      </c>
      <c r="M61" s="167">
        <f t="shared" si="1"/>
      </c>
      <c r="N61" s="167">
        <f t="shared" si="2"/>
      </c>
      <c r="O61" s="192"/>
      <c r="P61" s="192"/>
      <c r="Q61" s="183"/>
      <c r="R61" s="170"/>
    </row>
    <row r="62">
      <c r="A62" s="178">
        <v>46263</v>
      </c>
      <c r="B62" s="172" t="s">
        <v>157</v>
      </c>
      <c r="C62" s="179" t="s">
        <v>184</v>
      </c>
      <c r="D62" s="174">
        <f>SUM(D60:D61)</f>
      </c>
      <c r="E62" s="174">
        <f>SUM(E60:E61)</f>
      </c>
      <c r="F62" s="174">
        <f>SUM(F60:F61)</f>
      </c>
      <c r="G62" s="174">
        <f>SUM(G60:G61)</f>
      </c>
      <c r="H62" s="174">
        <f>SUM(H60:H61)</f>
      </c>
      <c r="I62" s="174">
        <f>SUM(I60:I61)</f>
      </c>
      <c r="J62" s="174">
        <f>SUM(J60:J61)</f>
      </c>
      <c r="K62" s="174">
        <f>SUM(K60:K61)</f>
      </c>
      <c r="L62" s="175">
        <f t="shared" si="0"/>
      </c>
      <c r="M62" s="175">
        <f t="shared" si="1"/>
      </c>
      <c r="N62" s="175">
        <f t="shared" si="2"/>
      </c>
      <c r="O62" s="184"/>
      <c r="P62" s="184">
        <f>SUM(P60:P61)</f>
      </c>
      <c r="Q62" s="174"/>
      <c r="R62" s="174">
        <f>SUM(R60:R61)</f>
      </c>
    </row>
    <row r="63">
      <c r="A63" s="176">
        <v>46264</v>
      </c>
      <c r="B63" s="157" t="s">
        <v>161</v>
      </c>
      <c r="C63" s="158" t="s">
        <v>185</v>
      </c>
      <c r="D63" s="185">
        <v>3</v>
      </c>
      <c r="E63" s="160">
        <v>20</v>
      </c>
      <c r="F63" s="161">
        <v>19</v>
      </c>
      <c r="G63" s="162">
        <v>19</v>
      </c>
      <c r="H63" s="163">
        <v>16</v>
      </c>
      <c r="I63" s="164">
        <v>2</v>
      </c>
      <c r="J63" s="162">
        <v>10609.8</v>
      </c>
      <c r="K63" s="194">
        <v>10474.34</v>
      </c>
      <c r="L63" s="166">
        <f t="shared" si="0"/>
      </c>
      <c r="M63" s="167">
        <f t="shared" si="1"/>
      </c>
      <c r="N63" s="166">
        <f t="shared" si="2"/>
      </c>
      <c r="O63" s="159" t="s">
        <v>163</v>
      </c>
      <c r="P63" s="185">
        <v>8</v>
      </c>
      <c r="Q63" s="195" t="s">
        <v>154</v>
      </c>
      <c r="R63" s="188">
        <v>8</v>
      </c>
    </row>
    <row r="64">
      <c r="A64" s="176">
        <v>46264</v>
      </c>
      <c r="B64" s="157" t="s">
        <v>176</v>
      </c>
      <c r="C64" s="177" t="s">
        <v>186</v>
      </c>
      <c r="D64" s="159">
        <v>2</v>
      </c>
      <c r="E64" s="160">
        <v>4</v>
      </c>
      <c r="F64" s="161">
        <v>4</v>
      </c>
      <c r="G64" s="162">
        <v>4</v>
      </c>
      <c r="H64" s="163">
        <v>4</v>
      </c>
      <c r="I64" s="164">
        <v>0</v>
      </c>
      <c r="J64" s="162">
        <v>3030.7999999999993</v>
      </c>
      <c r="K64" s="194">
        <v>6477.68</v>
      </c>
      <c r="L64" s="166">
        <f t="shared" si="0"/>
      </c>
      <c r="M64" s="167">
        <f t="shared" si="1"/>
      </c>
      <c r="N64" s="167">
        <f t="shared" si="2"/>
      </c>
      <c r="O64" s="190"/>
      <c r="P64" s="190"/>
      <c r="Q64" s="191"/>
      <c r="R64" s="188"/>
    </row>
    <row r="65">
      <c r="A65" s="176">
        <v>46264</v>
      </c>
      <c r="B65" s="159" t="s">
        <v>151</v>
      </c>
      <c r="C65" s="177" t="s">
        <v>156</v>
      </c>
      <c r="D65" s="159">
        <v>3</v>
      </c>
      <c r="E65" s="169">
        <v>10</v>
      </c>
      <c r="F65" s="161">
        <v>9</v>
      </c>
      <c r="G65" s="162">
        <v>8</v>
      </c>
      <c r="H65" s="163">
        <v>7</v>
      </c>
      <c r="I65" s="164">
        <v>0</v>
      </c>
      <c r="J65" s="162">
        <v>5097.200000000001</v>
      </c>
      <c r="K65" s="194">
        <v>8295.23</v>
      </c>
      <c r="L65" s="166">
        <f t="shared" si="0"/>
      </c>
      <c r="M65" s="167">
        <f t="shared" si="1"/>
      </c>
      <c r="N65" s="167">
        <f t="shared" si="2"/>
      </c>
      <c r="O65" s="192"/>
      <c r="P65" s="192"/>
      <c r="Q65" s="183"/>
      <c r="R65" s="170"/>
    </row>
    <row r="66">
      <c r="A66" s="178">
        <v>46264</v>
      </c>
      <c r="B66" s="172" t="s">
        <v>157</v>
      </c>
      <c r="C66" s="179" t="s">
        <v>184</v>
      </c>
      <c r="D66" s="174">
        <f>SUM(D63:D65)</f>
      </c>
      <c r="E66" s="174">
        <f>SUM(E63:E65)</f>
      </c>
      <c r="F66" s="174">
        <f>SUM(F63:F65)</f>
      </c>
      <c r="G66" s="174">
        <f>SUM(G63:G65)</f>
      </c>
      <c r="H66" s="174">
        <f>SUM(H63:H65)</f>
      </c>
      <c r="I66" s="174">
        <f>SUM(I63:I65)</f>
      </c>
      <c r="J66" s="174">
        <f>SUM(J63:J65)</f>
      </c>
      <c r="K66" s="174">
        <f>SUM(K63:K65)</f>
      </c>
      <c r="L66" s="175">
        <f t="shared" si="0"/>
      </c>
      <c r="M66" s="175">
        <f t="shared" si="1"/>
      </c>
      <c r="N66" s="175">
        <f t="shared" si="2"/>
      </c>
      <c r="O66" s="184"/>
      <c r="P66" s="184">
        <f>SUM(P63:P65)</f>
      </c>
      <c r="Q66" s="174"/>
      <c r="R66" s="174">
        <f>SUM(R63:R65)</f>
      </c>
    </row>
    <row r="67">
      <c r="A67" s="176">
        <v>46265</v>
      </c>
      <c r="B67" s="157" t="s">
        <v>161</v>
      </c>
      <c r="C67" s="158" t="s">
        <v>185</v>
      </c>
      <c r="D67" s="185">
        <v>3</v>
      </c>
      <c r="E67" s="160">
        <v>13</v>
      </c>
      <c r="F67" s="161">
        <v>13</v>
      </c>
      <c r="G67" s="162">
        <v>9</v>
      </c>
      <c r="H67" s="163">
        <v>8</v>
      </c>
      <c r="I67" s="164">
        <v>1</v>
      </c>
      <c r="J67" s="162">
        <v>5573.4</v>
      </c>
      <c r="K67" s="194">
        <v>6561.049999999999</v>
      </c>
      <c r="L67" s="166">
        <f t="shared" si="0"/>
      </c>
      <c r="M67" s="167">
        <f t="shared" si="1"/>
      </c>
      <c r="N67" s="166">
        <f t="shared" si="2"/>
      </c>
      <c r="O67" s="159" t="s">
        <v>163</v>
      </c>
      <c r="P67" s="185">
        <v>8</v>
      </c>
      <c r="Q67" s="195" t="s">
        <v>154</v>
      </c>
      <c r="R67" s="188">
        <v>8</v>
      </c>
    </row>
    <row r="68">
      <c r="A68" s="176">
        <v>46265</v>
      </c>
      <c r="B68" s="157" t="s">
        <v>155</v>
      </c>
      <c r="C68" s="177" t="s">
        <v>186</v>
      </c>
      <c r="D68" s="159">
        <v>2</v>
      </c>
      <c r="E68" s="160">
        <v>11</v>
      </c>
      <c r="F68" s="161">
        <v>11</v>
      </c>
      <c r="G68" s="162">
        <v>10</v>
      </c>
      <c r="H68" s="163">
        <v>10</v>
      </c>
      <c r="I68" s="164">
        <v>0</v>
      </c>
      <c r="J68" s="162">
        <v>7248.200000000001</v>
      </c>
      <c r="K68" s="194">
        <v>3372.3900000000003</v>
      </c>
      <c r="L68" s="166">
        <f t="shared" si="0"/>
      </c>
      <c r="M68" s="167">
        <f t="shared" si="1"/>
      </c>
      <c r="N68" s="167">
        <f t="shared" si="2"/>
      </c>
      <c r="O68" s="190"/>
      <c r="P68" s="190"/>
      <c r="Q68" s="191"/>
      <c r="R68" s="188"/>
    </row>
    <row r="69">
      <c r="A69" s="176">
        <v>46265</v>
      </c>
      <c r="B69" s="159" t="s">
        <v>151</v>
      </c>
      <c r="C69" s="177" t="s">
        <v>156</v>
      </c>
      <c r="D69" s="159">
        <v>3</v>
      </c>
      <c r="E69" s="169">
        <v>7</v>
      </c>
      <c r="F69" s="161">
        <v>6</v>
      </c>
      <c r="G69" s="162">
        <v>8</v>
      </c>
      <c r="H69" s="163">
        <v>5</v>
      </c>
      <c r="I69" s="164">
        <v>1</v>
      </c>
      <c r="J69" s="162">
        <v>5507.800000000001</v>
      </c>
      <c r="K69" s="194">
        <v>6764.24</v>
      </c>
      <c r="L69" s="166">
        <f t="shared" si="0"/>
      </c>
      <c r="M69" s="167">
        <f t="shared" si="1"/>
      </c>
      <c r="N69" s="167">
        <f t="shared" si="2"/>
      </c>
      <c r="O69" s="192"/>
      <c r="P69" s="192"/>
      <c r="Q69" s="183"/>
      <c r="R69" s="170"/>
    </row>
    <row r="70">
      <c r="A70" s="178">
        <v>46265</v>
      </c>
      <c r="B70" s="172" t="s">
        <v>157</v>
      </c>
      <c r="C70" s="179" t="s">
        <v>184</v>
      </c>
      <c r="D70" s="174">
        <f>SUM(D67:D69)</f>
      </c>
      <c r="E70" s="174">
        <f>SUM(E67:E69)</f>
      </c>
      <c r="F70" s="174">
        <f>SUM(F67:F69)</f>
      </c>
      <c r="G70" s="174">
        <f>SUM(G67:G69)</f>
      </c>
      <c r="H70" s="174">
        <f>SUM(H67:H69)</f>
      </c>
      <c r="I70" s="174">
        <f>SUM(I67:I69)</f>
      </c>
      <c r="J70" s="174">
        <f>SUM(J67:J69)</f>
      </c>
      <c r="K70" s="174">
        <f>SUM(K67:K69)</f>
      </c>
      <c r="L70" s="175">
        <f t="shared" si="0"/>
      </c>
      <c r="M70" s="175">
        <f t="shared" si="1"/>
      </c>
      <c r="N70" s="175">
        <f t="shared" si="2"/>
      </c>
      <c r="O70" s="184"/>
      <c r="P70" s="184">
        <f>SUM(P67:P69)</f>
      </c>
      <c r="Q70" s="174"/>
      <c r="R70" s="174">
        <f>SUM(R67:R69)</f>
      </c>
    </row>
  </sheetData>
  <autoFilter ref="A1:R197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2.67605633802817"/>
  </cols>
  <sheetData>
    <row r="1">
      <c r="A1" s="196">
        <v>46301</v>
      </c>
      <c r="B1" s="197" t="s">
        <v>187</v>
      </c>
      <c r="C1" s="198">
        <v>9</v>
      </c>
      <c r="D1" s="199" t="s">
        <v>188</v>
      </c>
      <c r="E1" s="200" t="s">
        <v>189</v>
      </c>
      <c r="F1" s="201" t="s">
        <v>190</v>
      </c>
      <c r="G1" s="201">
        <v>8</v>
      </c>
      <c r="H1" s="199" t="s">
        <v>191</v>
      </c>
    </row>
    <row r="2">
      <c r="A2" s="196">
        <v>46302</v>
      </c>
      <c r="B2" s="197" t="s">
        <v>187</v>
      </c>
      <c r="C2" s="198">
        <v>9</v>
      </c>
      <c r="D2" s="199" t="s">
        <v>188</v>
      </c>
      <c r="E2" s="196">
        <v>46303</v>
      </c>
      <c r="F2" s="202" t="s">
        <v>190</v>
      </c>
      <c r="G2" s="203">
        <v>5</v>
      </c>
      <c r="H2" s="199" t="s">
        <v>188</v>
      </c>
    </row>
    <row r="3">
      <c r="A3" s="200" t="s">
        <v>192</v>
      </c>
      <c r="B3" s="201" t="s">
        <v>187</v>
      </c>
      <c r="C3" s="201">
        <v>8</v>
      </c>
      <c r="D3" s="199" t="s">
        <v>191</v>
      </c>
      <c r="E3" s="204">
        <v>46310</v>
      </c>
      <c r="F3" s="202" t="s">
        <v>190</v>
      </c>
      <c r="G3" s="205">
        <v>4</v>
      </c>
      <c r="H3" s="199" t="s">
        <v>193</v>
      </c>
    </row>
    <row r="4">
      <c r="A4" s="196">
        <v>46304</v>
      </c>
      <c r="B4" s="197" t="s">
        <v>187</v>
      </c>
      <c r="C4" s="198">
        <v>9</v>
      </c>
      <c r="D4" s="199" t="s">
        <v>188</v>
      </c>
      <c r="E4" s="204">
        <v>46311</v>
      </c>
      <c r="F4" s="202" t="s">
        <v>190</v>
      </c>
      <c r="G4" s="205">
        <v>4</v>
      </c>
      <c r="H4" s="199" t="s">
        <v>193</v>
      </c>
    </row>
    <row r="5">
      <c r="A5" s="196">
        <v>46305</v>
      </c>
      <c r="B5" s="197" t="s">
        <v>187</v>
      </c>
      <c r="C5" s="198">
        <v>5</v>
      </c>
      <c r="D5" s="199" t="s">
        <v>188</v>
      </c>
      <c r="E5" s="204">
        <v>46312</v>
      </c>
      <c r="F5" s="202" t="s">
        <v>190</v>
      </c>
      <c r="G5" s="199">
        <v>12</v>
      </c>
      <c r="H5" s="199" t="s">
        <v>194</v>
      </c>
    </row>
    <row r="6">
      <c r="A6" s="196">
        <v>46306</v>
      </c>
      <c r="B6" s="197" t="s">
        <v>187</v>
      </c>
      <c r="C6" s="203">
        <v>5</v>
      </c>
      <c r="D6" s="199" t="s">
        <v>188</v>
      </c>
      <c r="E6" s="206">
        <v>46313</v>
      </c>
      <c r="F6" s="207" t="s">
        <v>190</v>
      </c>
      <c r="G6" s="207">
        <v>12</v>
      </c>
      <c r="H6" s="207" t="s">
        <v>194</v>
      </c>
    </row>
    <row r="7">
      <c r="A7" s="204">
        <v>46310</v>
      </c>
      <c r="B7" s="208" t="s">
        <v>187</v>
      </c>
      <c r="C7" s="205">
        <v>7</v>
      </c>
      <c r="D7" s="199" t="s">
        <v>195</v>
      </c>
      <c r="E7" s="206">
        <v>46314</v>
      </c>
      <c r="G7" s="207"/>
    </row>
    <row r="8">
      <c r="A8" s="204">
        <v>46311</v>
      </c>
      <c r="B8" s="208" t="s">
        <v>187</v>
      </c>
      <c r="C8" s="205">
        <v>12</v>
      </c>
      <c r="D8" s="199" t="s">
        <v>195</v>
      </c>
      <c r="E8" s="206">
        <v>46315</v>
      </c>
      <c r="F8" s="207"/>
      <c r="G8" s="207"/>
    </row>
    <row r="9">
      <c r="A9" s="204">
        <v>46312</v>
      </c>
      <c r="B9" s="208" t="s">
        <v>187</v>
      </c>
      <c r="C9" s="205">
        <v>12</v>
      </c>
      <c r="D9" s="199" t="s">
        <v>196</v>
      </c>
      <c r="E9" s="206">
        <v>46316</v>
      </c>
      <c r="G9" s="207"/>
    </row>
    <row r="10">
      <c r="A10" s="204">
        <v>46313</v>
      </c>
      <c r="B10" s="207" t="s">
        <v>187</v>
      </c>
      <c r="C10" s="205">
        <v>12</v>
      </c>
      <c r="D10" s="209" t="s">
        <v>196</v>
      </c>
      <c r="E10" s="206">
        <v>46317</v>
      </c>
      <c r="G10" s="207"/>
    </row>
    <row r="11">
      <c r="A11" s="204">
        <v>46314</v>
      </c>
      <c r="C11" s="210"/>
      <c r="D11" s="209"/>
      <c r="E11" s="206">
        <v>46318</v>
      </c>
      <c r="G11" s="207"/>
    </row>
    <row r="12">
      <c r="A12" s="204">
        <v>46315</v>
      </c>
      <c r="C12" s="210"/>
      <c r="D12" s="209"/>
      <c r="E12" s="206">
        <v>46319</v>
      </c>
      <c r="G12" s="207"/>
    </row>
    <row r="13">
      <c r="A13" s="204">
        <v>46316</v>
      </c>
      <c r="C13" s="210"/>
      <c r="D13" s="209"/>
      <c r="E13" s="206">
        <v>46320</v>
      </c>
      <c r="G13" s="207"/>
    </row>
    <row r="14">
      <c r="A14" s="204">
        <v>46317</v>
      </c>
      <c r="C14" s="210"/>
      <c r="D14" s="209"/>
      <c r="E14" s="206">
        <v>46321</v>
      </c>
      <c r="G14" s="207"/>
    </row>
    <row r="15">
      <c r="A15" s="204">
        <v>46318</v>
      </c>
      <c r="C15" s="210"/>
      <c r="D15" s="209"/>
      <c r="E15" s="206">
        <v>46322</v>
      </c>
      <c r="G15" s="207"/>
    </row>
    <row r="16">
      <c r="A16" s="204">
        <v>46319</v>
      </c>
      <c r="C16" s="210"/>
      <c r="D16" s="209"/>
      <c r="E16" s="206">
        <v>46323</v>
      </c>
      <c r="G16" s="207"/>
    </row>
    <row r="17">
      <c r="A17" s="204">
        <v>46320</v>
      </c>
      <c r="C17" s="210"/>
      <c r="D17" s="209"/>
      <c r="E17" s="206">
        <v>46324</v>
      </c>
      <c r="G17" s="207"/>
    </row>
    <row r="18">
      <c r="A18" s="204">
        <v>46321</v>
      </c>
      <c r="C18" s="210"/>
      <c r="D18" s="209"/>
      <c r="E18" s="206">
        <v>46325</v>
      </c>
      <c r="G18" s="207"/>
    </row>
    <row r="19">
      <c r="A19" s="204">
        <v>46322</v>
      </c>
      <c r="C19" s="210"/>
      <c r="D19" s="209"/>
      <c r="E19" s="206">
        <v>46326</v>
      </c>
      <c r="G19" s="207"/>
    </row>
    <row r="20">
      <c r="A20" s="204">
        <v>46323</v>
      </c>
      <c r="C20" s="210"/>
      <c r="D20" s="209"/>
      <c r="E20" s="206"/>
    </row>
    <row r="21">
      <c r="A21" s="204">
        <v>46324</v>
      </c>
      <c r="C21" s="210"/>
      <c r="D21" s="209"/>
      <c r="E21" s="206"/>
    </row>
    <row r="22">
      <c r="A22" s="204">
        <v>46325</v>
      </c>
      <c r="C22" s="210"/>
      <c r="D22" s="209"/>
      <c r="E22" s="206"/>
    </row>
    <row r="23">
      <c r="A23" s="204">
        <v>46326</v>
      </c>
      <c r="C23" s="210"/>
      <c r="D23" s="209"/>
    </row>
    <row r="24">
      <c r="C24" s="211">
        <f>SUM(C1:C23)</f>
      </c>
      <c r="D24" s="209"/>
      <c r="G24" s="211">
        <f>SUM(G1:G23)</f>
      </c>
    </row>
    <row r="25">
      <c r="B25" s="212">
        <v>216</v>
      </c>
      <c r="C25" s="213">
        <f>B25-C24</f>
      </c>
      <c r="D25" s="199" t="s">
        <v>197</v>
      </c>
      <c r="E25" s="214">
        <f>C25/12</f>
      </c>
      <c r="F25" s="215" t="s">
        <v>198</v>
      </c>
    </row>
    <row r="26">
      <c r="E26" s="215" t="s">
        <v>199</v>
      </c>
      <c r="F26" s="215"/>
    </row>
    <row r="27">
      <c r="D27" s="209"/>
    </row>
    <row r="28">
      <c r="D28" s="209"/>
    </row>
    <row r="29">
      <c r="D29" s="209"/>
    </row>
    <row r="30">
      <c r="D30" s="209"/>
    </row>
    <row r="31">
      <c r="D31" s="209"/>
    </row>
    <row r="32">
      <c r="D32" s="209"/>
    </row>
    <row r="33">
      <c r="D33" s="209"/>
    </row>
    <row r="34">
      <c r="D34" s="209"/>
    </row>
    <row r="35">
      <c r="D35" s="209"/>
    </row>
    <row r="36">
      <c r="D36" s="209"/>
    </row>
    <row r="37">
      <c r="D37" s="209"/>
    </row>
    <row r="38">
      <c r="D38" s="209"/>
    </row>
    <row r="39">
      <c r="D39" s="209"/>
    </row>
    <row r="40">
      <c r="D40" s="209"/>
    </row>
    <row r="41">
      <c r="D41" s="209"/>
    </row>
    <row r="42">
      <c r="D42" s="209"/>
    </row>
    <row r="43">
      <c r="D43" s="209"/>
    </row>
    <row r="44">
      <c r="D44" s="209"/>
    </row>
    <row r="45">
      <c r="D45" s="209"/>
    </row>
    <row r="46">
      <c r="D46" s="209"/>
    </row>
    <row r="47">
      <c r="D47" s="209"/>
    </row>
    <row r="48">
      <c r="D48" s="209"/>
    </row>
    <row r="49">
      <c r="D49" s="209"/>
    </row>
    <row r="50">
      <c r="D50" s="209"/>
    </row>
    <row r="51">
      <c r="D51" s="209"/>
    </row>
    <row r="52">
      <c r="D52" s="209"/>
    </row>
    <row r="53">
      <c r="D53" s="209"/>
    </row>
    <row r="54">
      <c r="D54" s="209"/>
    </row>
    <row r="55">
      <c r="D55" s="209"/>
    </row>
    <row r="56">
      <c r="D56" s="209"/>
    </row>
    <row r="57">
      <c r="D57" s="209"/>
    </row>
    <row r="58">
      <c r="D58" s="209"/>
    </row>
    <row r="59">
      <c r="D59" s="209"/>
    </row>
    <row r="60">
      <c r="D60" s="209"/>
    </row>
    <row r="61">
      <c r="D61" s="209"/>
    </row>
    <row r="62">
      <c r="D62" s="209"/>
    </row>
    <row r="63">
      <c r="D63" s="209"/>
    </row>
    <row r="64">
      <c r="D64" s="209"/>
    </row>
    <row r="65">
      <c r="D65" s="209"/>
    </row>
    <row r="66">
      <c r="D66" s="209"/>
    </row>
    <row r="67">
      <c r="D67" s="209"/>
    </row>
    <row r="68">
      <c r="D68" s="209"/>
    </row>
    <row r="69">
      <c r="D69" s="209"/>
    </row>
    <row r="70">
      <c r="D70" s="209"/>
    </row>
    <row r="71">
      <c r="D71" s="209"/>
    </row>
    <row r="72">
      <c r="D72" s="209"/>
    </row>
    <row r="73">
      <c r="D73" s="209"/>
    </row>
    <row r="74">
      <c r="D74" s="209"/>
    </row>
    <row r="75">
      <c r="D75" s="209"/>
    </row>
    <row r="76">
      <c r="D76" s="209"/>
    </row>
    <row r="77">
      <c r="D77" s="209"/>
    </row>
    <row r="78">
      <c r="D78" s="209"/>
    </row>
    <row r="79">
      <c r="D79" s="209"/>
    </row>
    <row r="80">
      <c r="D80" s="209"/>
    </row>
    <row r="81">
      <c r="D81" s="209"/>
    </row>
    <row r="82">
      <c r="D82" s="209"/>
    </row>
    <row r="83">
      <c r="D83" s="209"/>
    </row>
    <row r="84">
      <c r="D84" s="209"/>
    </row>
    <row r="85">
      <c r="D85" s="209"/>
    </row>
    <row r="86">
      <c r="D86" s="209"/>
    </row>
    <row r="87">
      <c r="D87" s="209"/>
    </row>
    <row r="88">
      <c r="D88" s="209"/>
    </row>
    <row r="89">
      <c r="D89" s="209"/>
    </row>
    <row r="90">
      <c r="D90" s="209"/>
    </row>
    <row r="91">
      <c r="D91" s="209"/>
    </row>
    <row r="92">
      <c r="D92" s="209"/>
    </row>
    <row r="93">
      <c r="D93" s="209"/>
    </row>
    <row r="94">
      <c r="D94" s="209"/>
    </row>
    <row r="95">
      <c r="D95" s="209"/>
    </row>
    <row r="96">
      <c r="D96" s="209"/>
    </row>
    <row r="97">
      <c r="D97" s="209"/>
    </row>
    <row r="98">
      <c r="D98" s="209"/>
    </row>
    <row r="99">
      <c r="D99" s="209"/>
    </row>
    <row r="100">
      <c r="D100" s="209"/>
    </row>
    <row r="101">
      <c r="D101" s="209"/>
    </row>
    <row r="102">
      <c r="D102" s="209"/>
    </row>
    <row r="103">
      <c r="D103" s="209"/>
    </row>
    <row r="104">
      <c r="D104" s="209"/>
    </row>
    <row r="105">
      <c r="D105" s="209"/>
    </row>
    <row r="106">
      <c r="D106" s="209"/>
    </row>
    <row r="107">
      <c r="D107" s="209"/>
    </row>
    <row r="108">
      <c r="D108" s="209"/>
    </row>
    <row r="109">
      <c r="D109" s="209"/>
    </row>
    <row r="110">
      <c r="D110" s="209"/>
    </row>
    <row r="111">
      <c r="D111" s="209"/>
    </row>
    <row r="112">
      <c r="D112" s="209"/>
    </row>
    <row r="113">
      <c r="D113" s="209"/>
    </row>
    <row r="114">
      <c r="D114" s="209"/>
    </row>
    <row r="115">
      <c r="D115" s="209"/>
    </row>
    <row r="116">
      <c r="D116" s="209"/>
    </row>
    <row r="117">
      <c r="D117" s="209"/>
    </row>
    <row r="118">
      <c r="D118" s="209"/>
    </row>
    <row r="119">
      <c r="D119" s="209"/>
    </row>
    <row r="120">
      <c r="D120" s="209"/>
    </row>
    <row r="121">
      <c r="D121" s="209"/>
    </row>
    <row r="122">
      <c r="D122" s="209"/>
    </row>
    <row r="123">
      <c r="D123" s="209"/>
    </row>
    <row r="124">
      <c r="D124" s="209"/>
    </row>
    <row r="125">
      <c r="D125" s="209"/>
    </row>
    <row r="126">
      <c r="D126" s="209"/>
    </row>
    <row r="127">
      <c r="D127" s="209"/>
    </row>
    <row r="128">
      <c r="D128" s="209"/>
    </row>
    <row r="129">
      <c r="D129" s="209"/>
    </row>
    <row r="130">
      <c r="D130" s="209"/>
    </row>
    <row r="131">
      <c r="D131" s="209"/>
    </row>
    <row r="132">
      <c r="D132" s="209"/>
    </row>
    <row r="133">
      <c r="D133" s="209"/>
    </row>
    <row r="134">
      <c r="D134" s="209"/>
    </row>
    <row r="135">
      <c r="D135" s="209"/>
    </row>
    <row r="136">
      <c r="D136" s="209"/>
    </row>
    <row r="137">
      <c r="D137" s="209"/>
    </row>
    <row r="138">
      <c r="D138" s="209"/>
    </row>
    <row r="139">
      <c r="D139" s="209"/>
    </row>
    <row r="140">
      <c r="D140" s="209"/>
    </row>
    <row r="141">
      <c r="D141" s="209"/>
    </row>
    <row r="142">
      <c r="D142" s="209"/>
    </row>
    <row r="143">
      <c r="D143" s="209"/>
    </row>
    <row r="144">
      <c r="D144" s="209"/>
    </row>
    <row r="145">
      <c r="D145" s="209"/>
    </row>
    <row r="146">
      <c r="D146" s="209"/>
    </row>
    <row r="147">
      <c r="D147" s="209"/>
    </row>
    <row r="148">
      <c r="D148" s="209"/>
    </row>
    <row r="149">
      <c r="D149" s="209"/>
    </row>
    <row r="150">
      <c r="D150" s="209"/>
    </row>
    <row r="151">
      <c r="D151" s="209"/>
    </row>
    <row r="152">
      <c r="D152" s="209"/>
    </row>
    <row r="153">
      <c r="D153" s="209"/>
    </row>
    <row r="154">
      <c r="D154" s="209"/>
    </row>
    <row r="155">
      <c r="D155" s="209"/>
    </row>
    <row r="156">
      <c r="D156" s="209"/>
    </row>
    <row r="157">
      <c r="D157" s="209"/>
    </row>
    <row r="158">
      <c r="D158" s="209"/>
    </row>
    <row r="159">
      <c r="D159" s="209"/>
    </row>
    <row r="160">
      <c r="D160" s="209"/>
    </row>
    <row r="161">
      <c r="D161" s="209"/>
    </row>
    <row r="162">
      <c r="D162" s="209"/>
    </row>
    <row r="163">
      <c r="D163" s="209"/>
    </row>
    <row r="164">
      <c r="D164" s="209"/>
    </row>
    <row r="165">
      <c r="D165" s="209"/>
    </row>
    <row r="166">
      <c r="D166" s="209"/>
    </row>
    <row r="167">
      <c r="D167" s="209"/>
    </row>
    <row r="168">
      <c r="D168" s="209"/>
    </row>
    <row r="169">
      <c r="D169" s="209"/>
    </row>
    <row r="170">
      <c r="D170" s="209"/>
    </row>
    <row r="171">
      <c r="D171" s="209"/>
    </row>
    <row r="172">
      <c r="D172" s="209"/>
    </row>
    <row r="173">
      <c r="D173" s="209"/>
    </row>
    <row r="174">
      <c r="D174" s="209"/>
    </row>
    <row r="175">
      <c r="D175" s="209"/>
    </row>
    <row r="176">
      <c r="D176" s="209"/>
    </row>
    <row r="177">
      <c r="D177" s="209"/>
    </row>
    <row r="178">
      <c r="D178" s="209"/>
    </row>
    <row r="179">
      <c r="D179" s="209"/>
    </row>
    <row r="180">
      <c r="D180" s="209"/>
    </row>
    <row r="181">
      <c r="D181" s="209"/>
    </row>
    <row r="182">
      <c r="D182" s="209"/>
    </row>
    <row r="183">
      <c r="D183" s="209"/>
    </row>
    <row r="184">
      <c r="D184" s="209"/>
    </row>
    <row r="185">
      <c r="D185" s="209"/>
    </row>
    <row r="186">
      <c r="D186" s="209"/>
    </row>
    <row r="187">
      <c r="D187" s="209"/>
    </row>
    <row r="188">
      <c r="D188" s="209"/>
    </row>
    <row r="189">
      <c r="D189" s="209"/>
    </row>
    <row r="190">
      <c r="D190" s="209"/>
    </row>
    <row r="191">
      <c r="D191" s="209"/>
    </row>
    <row r="192">
      <c r="D192" s="209"/>
    </row>
    <row r="193">
      <c r="D193" s="209"/>
    </row>
    <row r="194">
      <c r="D194" s="209"/>
    </row>
    <row r="195">
      <c r="D195" s="209"/>
    </row>
    <row r="196">
      <c r="D196" s="209"/>
    </row>
    <row r="197">
      <c r="D197" s="209"/>
    </row>
    <row r="198">
      <c r="D198" s="209"/>
    </row>
    <row r="199">
      <c r="D199" s="209"/>
    </row>
    <row r="200">
      <c r="D200" s="209"/>
    </row>
  </sheetData>
  <mergeCells>
    <mergeCell ref="E26:F2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